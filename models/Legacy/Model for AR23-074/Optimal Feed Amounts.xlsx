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ydrive.gsk.com/personal/zach_a_hatzenbeller_gsk_com/Documents/Documents/GitHub/state-space-model/models/Model for AR23-074/"/>
    </mc:Choice>
  </mc:AlternateContent>
  <xr:revisionPtr revIDLastSave="137" documentId="8_{3C01458E-BF29-43CD-AC0B-1C5B2E9B6EBF}" xr6:coauthVersionLast="47" xr6:coauthVersionMax="47" xr10:uidLastSave="{A66E9DA8-F9D8-4C53-87EB-B06BB5D9149B}"/>
  <bookViews>
    <workbookView xWindow="28680" yWindow="-120" windowWidth="29040" windowHeight="15840" activeTab="1" xr2:uid="{DFE9C257-EE83-471C-A943-F381799BCF04}"/>
  </bookViews>
  <sheets>
    <sheet name="Conditions" sheetId="2" r:id="rId1"/>
    <sheet name="Feed Amount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7" i="1" l="1"/>
  <c r="G17" i="1"/>
  <c r="H17" i="1"/>
  <c r="I17" i="1"/>
  <c r="C17" i="1"/>
  <c r="D17" i="1"/>
  <c r="E17" i="1"/>
  <c r="B17" i="1"/>
  <c r="F4" i="1"/>
  <c r="G4" i="1"/>
  <c r="H4" i="1"/>
  <c r="I4" i="1"/>
  <c r="F5" i="1"/>
  <c r="G5" i="1"/>
  <c r="H5" i="1"/>
  <c r="I5" i="1"/>
  <c r="F6" i="1"/>
  <c r="G6" i="1"/>
  <c r="H6" i="1"/>
  <c r="I6" i="1"/>
  <c r="F7" i="1"/>
  <c r="G7" i="1"/>
  <c r="H7" i="1"/>
  <c r="I7" i="1"/>
  <c r="F8" i="1"/>
  <c r="G8" i="1"/>
  <c r="H8" i="1"/>
  <c r="I8" i="1"/>
  <c r="F9" i="1"/>
  <c r="G9" i="1"/>
  <c r="H9" i="1"/>
  <c r="I9" i="1"/>
  <c r="F10" i="1"/>
  <c r="G10" i="1"/>
  <c r="H10" i="1"/>
  <c r="I10" i="1"/>
  <c r="F11" i="1"/>
  <c r="G11" i="1"/>
  <c r="H11" i="1"/>
  <c r="I11" i="1"/>
  <c r="F12" i="1"/>
  <c r="G12" i="1"/>
  <c r="H12" i="1"/>
  <c r="I12" i="1"/>
  <c r="F13" i="1"/>
  <c r="G13" i="1"/>
  <c r="H13" i="1"/>
  <c r="I13" i="1"/>
  <c r="F14" i="1"/>
  <c r="G14" i="1"/>
  <c r="H14" i="1"/>
  <c r="I14" i="1"/>
  <c r="F15" i="1"/>
  <c r="G15" i="1"/>
  <c r="H15" i="1"/>
  <c r="I15" i="1"/>
  <c r="F16" i="1"/>
  <c r="G16" i="1"/>
  <c r="H16" i="1"/>
  <c r="I16" i="1"/>
  <c r="G3" i="1"/>
  <c r="H3" i="1"/>
  <c r="I3" i="1"/>
  <c r="F3" i="1"/>
</calcChain>
</file>

<file path=xl/sharedStrings.xml><?xml version="1.0" encoding="utf-8"?>
<sst xmlns="http://schemas.openxmlformats.org/spreadsheetml/2006/main" count="21" uniqueCount="13">
  <si>
    <t>Day</t>
  </si>
  <si>
    <t>Starting W/V</t>
  </si>
  <si>
    <t>Total Feed %</t>
  </si>
  <si>
    <t>Upper Bound</t>
  </si>
  <si>
    <t>Condition 1</t>
  </si>
  <si>
    <t>Condition 2</t>
  </si>
  <si>
    <t>Condition 3</t>
  </si>
  <si>
    <t>Condition 4</t>
  </si>
  <si>
    <t>Titer Prediction (g/L)</t>
  </si>
  <si>
    <t>Model Prediction Conditions</t>
  </si>
  <si>
    <t>Feed Amounts (mL)</t>
  </si>
  <si>
    <t>Feed % Per day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</si>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</sst>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0" xfId="0" applyFill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4" xfId="0" applyBorder="1"/>
    <xf numFmtId="2" fontId="0" fillId="0" borderId="4" xfId="0" applyNumberFormat="1" applyBorder="1"/>
    <xf numFmtId="2" fontId="0" fillId="0" borderId="0" xfId="0" applyNumberFormat="1" applyBorder="1"/>
    <xf numFmtId="2" fontId="0" fillId="0" borderId="5" xfId="0" applyNumberFormat="1" applyBorder="1"/>
    <xf numFmtId="2" fontId="0" fillId="2" borderId="6" xfId="0" applyNumberFormat="1" applyFill="1" applyBorder="1"/>
    <xf numFmtId="2" fontId="0" fillId="2" borderId="7" xfId="0" applyNumberFormat="1" applyFill="1" applyBorder="1"/>
    <xf numFmtId="2" fontId="0" fillId="2" borderId="8" xfId="0" applyNumberFormat="1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2" borderId="6" xfId="0" applyFill="1" applyBorder="1"/>
    <xf numFmtId="2" fontId="0" fillId="0" borderId="0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32CC6-41E1-4638-9130-84ED9FE5D781}">
  <dimension ref="A1:E5"/>
  <sheetViews>
    <sheetView workbookViewId="0">
      <selection activeCell="D12" sqref="D12"/>
    </sheetView>
  </sheetViews>
  <sheetFormatPr defaultRowHeight="14.4" x14ac:dyDescent="0.3"/>
  <cols>
    <col min="1" max="1" width="19.33203125" customWidth="1"/>
    <col min="2" max="5" width="10.77734375" bestFit="1" customWidth="1"/>
  </cols>
  <sheetData>
    <row r="1" spans="1:5" x14ac:dyDescent="0.3">
      <c r="A1" s="1" t="s">
        <v>9</v>
      </c>
      <c r="B1" s="1"/>
      <c r="C1" s="1"/>
      <c r="D1" s="1"/>
      <c r="E1" s="1"/>
    </row>
    <row r="2" spans="1:5" x14ac:dyDescent="0.3">
      <c r="B2" t="s">
        <v>4</v>
      </c>
      <c r="C2" t="s">
        <v>5</v>
      </c>
      <c r="D2" t="s">
        <v>6</v>
      </c>
      <c r="E2" t="s">
        <v>7</v>
      </c>
    </row>
    <row r="3" spans="1:5" x14ac:dyDescent="0.3">
      <c r="A3" t="s">
        <v>2</v>
      </c>
      <c r="B3">
        <v>34</v>
      </c>
      <c r="C3">
        <v>34</v>
      </c>
      <c r="D3">
        <v>45</v>
      </c>
      <c r="E3">
        <v>45</v>
      </c>
    </row>
    <row r="4" spans="1:5" x14ac:dyDescent="0.3">
      <c r="A4" t="s">
        <v>3</v>
      </c>
      <c r="B4">
        <v>0.03</v>
      </c>
      <c r="C4">
        <v>0.04</v>
      </c>
      <c r="D4">
        <v>0.03</v>
      </c>
      <c r="E4">
        <v>0.04</v>
      </c>
    </row>
    <row r="5" spans="1:5" x14ac:dyDescent="0.3">
      <c r="A5" t="s">
        <v>8</v>
      </c>
      <c r="B5" s="16">
        <v>6.98</v>
      </c>
      <c r="C5" s="16">
        <v>7.1970000000000001</v>
      </c>
      <c r="D5" s="16">
        <v>7.57</v>
      </c>
      <c r="E5" s="16">
        <v>7.9059999999999997</v>
      </c>
    </row>
  </sheetData>
  <mergeCells count="1">
    <mergeCell ref="A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9AF9F-F306-48A5-B2D9-2256B265501C}">
  <dimension ref="A1:I19"/>
  <sheetViews>
    <sheetView tabSelected="1" workbookViewId="0">
      <selection activeCell="Q19" sqref="Q19"/>
    </sheetView>
  </sheetViews>
  <sheetFormatPr defaultRowHeight="14.4" x14ac:dyDescent="0.3"/>
  <cols>
    <col min="1" max="1" width="14.44140625" bestFit="1" customWidth="1"/>
    <col min="2" max="2" width="10.77734375" customWidth="1"/>
    <col min="3" max="3" width="10.77734375" bestFit="1" customWidth="1"/>
    <col min="4" max="4" width="11.88671875" bestFit="1" customWidth="1"/>
    <col min="5" max="10" width="10.77734375" bestFit="1" customWidth="1"/>
  </cols>
  <sheetData>
    <row r="1" spans="1:9" ht="15" thickBot="1" x14ac:dyDescent="0.35">
      <c r="B1" s="2" t="s">
        <v>10</v>
      </c>
      <c r="C1" s="3"/>
      <c r="D1" s="3"/>
      <c r="E1" s="4"/>
      <c r="F1" s="2" t="s">
        <v>11</v>
      </c>
      <c r="G1" s="3"/>
      <c r="H1" s="3"/>
      <c r="I1" s="4"/>
    </row>
    <row r="2" spans="1:9" x14ac:dyDescent="0.3">
      <c r="A2" s="12" t="s">
        <v>0</v>
      </c>
      <c r="B2" s="12" t="s">
        <v>4</v>
      </c>
      <c r="C2" s="13" t="s">
        <v>5</v>
      </c>
      <c r="D2" s="13" t="s">
        <v>6</v>
      </c>
      <c r="E2" s="14" t="s">
        <v>7</v>
      </c>
      <c r="F2" s="12" t="s">
        <v>4</v>
      </c>
      <c r="G2" s="13" t="s">
        <v>5</v>
      </c>
      <c r="H2" s="13" t="s">
        <v>6</v>
      </c>
      <c r="I2" s="14" t="s">
        <v>7</v>
      </c>
    </row>
    <row r="3" spans="1:9" x14ac:dyDescent="0.3">
      <c r="A3" s="5">
        <v>0</v>
      </c>
      <c r="B3" s="6">
        <v>4.49999999999</v>
      </c>
      <c r="C3" s="7">
        <v>5.8409675130858503</v>
      </c>
      <c r="D3" s="7">
        <v>4.4999999999978</v>
      </c>
      <c r="E3" s="8">
        <v>5.9951455883365101</v>
      </c>
      <c r="F3" s="6">
        <f>B3*100/$B$19</f>
        <v>2.9999999999933333</v>
      </c>
      <c r="G3" s="7">
        <f>C3*100/$B$19</f>
        <v>3.8939783420572334</v>
      </c>
      <c r="H3" s="7">
        <f>D3*100/$B$19</f>
        <v>2.9999999999985336</v>
      </c>
      <c r="I3" s="8">
        <f>E3*100/$B$19</f>
        <v>3.9967637255576731</v>
      </c>
    </row>
    <row r="4" spans="1:9" x14ac:dyDescent="0.3">
      <c r="A4" s="5">
        <v>1</v>
      </c>
      <c r="B4" s="6">
        <v>4.6349999999878397</v>
      </c>
      <c r="C4" s="7">
        <v>6.2336387005223903</v>
      </c>
      <c r="D4" s="7">
        <v>4.6349999999983602</v>
      </c>
      <c r="E4" s="8">
        <v>6.2398058235273997</v>
      </c>
      <c r="F4" s="6">
        <f>B4*100/$B$19</f>
        <v>3.089999999991893</v>
      </c>
      <c r="G4" s="7">
        <f>C4*100/$B$19</f>
        <v>4.1557591336815936</v>
      </c>
      <c r="H4" s="7">
        <f>D4*100/$B$19</f>
        <v>3.0899999999989065</v>
      </c>
      <c r="I4" s="8">
        <f>E4*100/$B$19</f>
        <v>4.1598705490182661</v>
      </c>
    </row>
    <row r="5" spans="1:9" x14ac:dyDescent="0.3">
      <c r="A5" s="5">
        <v>2</v>
      </c>
      <c r="B5" s="6">
        <v>4.7740499999841797</v>
      </c>
      <c r="C5" s="7">
        <v>6.4829842485431399</v>
      </c>
      <c r="D5" s="7">
        <v>4.7740499999970396</v>
      </c>
      <c r="E5" s="8">
        <v>6.48939805647003</v>
      </c>
      <c r="F5" s="6">
        <f>B5*100/$B$19</f>
        <v>3.182699999989453</v>
      </c>
      <c r="G5" s="7">
        <f>C5*100/$B$19</f>
        <v>4.32198949902876</v>
      </c>
      <c r="H5" s="7">
        <f>D5*100/$B$19</f>
        <v>3.1826999999980261</v>
      </c>
      <c r="I5" s="8">
        <f>E5*100/$B$19</f>
        <v>4.3262653709800203</v>
      </c>
    </row>
    <row r="6" spans="1:9" x14ac:dyDescent="0.3">
      <c r="A6" s="5">
        <v>3</v>
      </c>
      <c r="B6" s="6">
        <v>4.9172714999833103</v>
      </c>
      <c r="C6" s="7">
        <v>6.6861022106282499</v>
      </c>
      <c r="D6" s="7">
        <v>4.9172714999955804</v>
      </c>
      <c r="E6" s="8">
        <v>6.7489739787293903</v>
      </c>
      <c r="F6" s="6">
        <f>B6*100/$B$19</f>
        <v>3.2781809999888734</v>
      </c>
      <c r="G6" s="7">
        <f>C6*100/$B$19</f>
        <v>4.4574014737521663</v>
      </c>
      <c r="H6" s="7">
        <f>D6*100/$B$19</f>
        <v>3.2781809999970535</v>
      </c>
      <c r="I6" s="8">
        <f>E6*100/$B$19</f>
        <v>4.4993159858195932</v>
      </c>
    </row>
    <row r="7" spans="1:9" x14ac:dyDescent="0.3">
      <c r="A7" s="5">
        <v>4</v>
      </c>
      <c r="B7" s="6">
        <v>5.0647896449834402</v>
      </c>
      <c r="C7" s="7">
        <v>6.4356459981346097</v>
      </c>
      <c r="D7" s="7">
        <v>5.0647896449957504</v>
      </c>
      <c r="E7" s="8">
        <v>7.0189329378793497</v>
      </c>
      <c r="F7" s="6">
        <f>B7*100/$B$19</f>
        <v>3.3765264299889601</v>
      </c>
      <c r="G7" s="7">
        <f>C7*100/$B$19</f>
        <v>4.2904306654230728</v>
      </c>
      <c r="H7" s="7">
        <f>D7*100/$B$19</f>
        <v>3.3765264299971669</v>
      </c>
      <c r="I7" s="8">
        <f>E7*100/$B$19</f>
        <v>4.6792886252528998</v>
      </c>
    </row>
    <row r="8" spans="1:9" x14ac:dyDescent="0.3">
      <c r="A8" s="5">
        <v>5</v>
      </c>
      <c r="B8" s="6">
        <v>5.2167333343366096</v>
      </c>
      <c r="C8" s="7">
        <v>5.8016115690566998</v>
      </c>
      <c r="D8" s="7">
        <v>5.2167333343474596</v>
      </c>
      <c r="E8" s="8">
        <v>7.1410675004643203</v>
      </c>
      <c r="F8" s="6">
        <f>B8*100/$B$19</f>
        <v>3.4778222228910725</v>
      </c>
      <c r="G8" s="7">
        <f>C8*100/$B$19</f>
        <v>3.8677410460377994</v>
      </c>
      <c r="H8" s="7">
        <f>D8*100/$B$19</f>
        <v>3.4778222228983062</v>
      </c>
      <c r="I8" s="8">
        <f>E8*100/$B$19</f>
        <v>4.7607116669762135</v>
      </c>
    </row>
    <row r="9" spans="1:9" x14ac:dyDescent="0.3">
      <c r="A9" s="5">
        <v>6</v>
      </c>
      <c r="B9" s="6">
        <v>5.1673006792227296</v>
      </c>
      <c r="C9" s="7">
        <v>4.8760316722777199</v>
      </c>
      <c r="D9" s="7">
        <v>5.3732353343783599</v>
      </c>
      <c r="E9" s="8">
        <v>6.8361645018433101</v>
      </c>
      <c r="F9" s="6">
        <f>B9*100/$B$19</f>
        <v>3.4448671194818199</v>
      </c>
      <c r="G9" s="7">
        <f>C9*100/$B$19</f>
        <v>3.2506877815184803</v>
      </c>
      <c r="H9" s="7">
        <f>D9*100/$B$19</f>
        <v>3.5821568895855731</v>
      </c>
      <c r="I9" s="8">
        <f>E9*100/$B$19</f>
        <v>4.5574430012288731</v>
      </c>
    </row>
    <row r="10" spans="1:9" x14ac:dyDescent="0.3">
      <c r="A10" s="5">
        <v>7</v>
      </c>
      <c r="B10" s="6">
        <v>4.77334195198251</v>
      </c>
      <c r="C10" s="7">
        <v>3.7678141502672902</v>
      </c>
      <c r="D10" s="7">
        <v>5.5344323944083804</v>
      </c>
      <c r="E10" s="8">
        <v>6.1666073160959796</v>
      </c>
      <c r="F10" s="6">
        <f>B10*100/$B$19</f>
        <v>3.1822279679883398</v>
      </c>
      <c r="G10" s="7">
        <f>C10*100/$B$19</f>
        <v>2.5118761001781933</v>
      </c>
      <c r="H10" s="7">
        <f>D10*100/$B$19</f>
        <v>3.6896215962722536</v>
      </c>
      <c r="I10" s="8">
        <f>E10*100/$B$19</f>
        <v>4.1110715440639867</v>
      </c>
    </row>
    <row r="11" spans="1:9" x14ac:dyDescent="0.3">
      <c r="A11" s="5">
        <v>8</v>
      </c>
      <c r="B11" s="6">
        <v>4.1099646971812298</v>
      </c>
      <c r="C11" s="7">
        <v>2.60446552910786</v>
      </c>
      <c r="D11" s="7">
        <v>5.7004653662407101</v>
      </c>
      <c r="E11" s="8">
        <v>5.2121688951239102</v>
      </c>
      <c r="F11" s="6">
        <f>B11*100/$B$19</f>
        <v>2.7399764647874862</v>
      </c>
      <c r="G11" s="7">
        <f>C11*100/$B$19</f>
        <v>1.7363103527385735</v>
      </c>
      <c r="H11" s="7">
        <f>D11*100/$B$19</f>
        <v>3.8003102441604732</v>
      </c>
      <c r="I11" s="8">
        <f>E11*100/$B$19</f>
        <v>3.4747792634159405</v>
      </c>
    </row>
    <row r="12" spans="1:9" x14ac:dyDescent="0.3">
      <c r="A12" s="5">
        <v>9</v>
      </c>
      <c r="B12" s="6">
        <v>3.2609422837584598</v>
      </c>
      <c r="C12" s="7">
        <v>1.52043477964882</v>
      </c>
      <c r="D12" s="7">
        <v>5.8714793272292098</v>
      </c>
      <c r="E12" s="8">
        <v>4.0704553242512196</v>
      </c>
      <c r="F12" s="6">
        <f>B12*100/$B$19</f>
        <v>2.1739615225056399</v>
      </c>
      <c r="G12" s="7">
        <f>C12*100/$B$19</f>
        <v>1.0136231864325467</v>
      </c>
      <c r="H12" s="7">
        <f>D12*100/$B$19</f>
        <v>3.9143195514861402</v>
      </c>
      <c r="I12" s="8">
        <f>E12*100/$B$19</f>
        <v>2.7136368828341464</v>
      </c>
    </row>
    <row r="13" spans="1:9" x14ac:dyDescent="0.3">
      <c r="A13" s="5">
        <v>10</v>
      </c>
      <c r="B13" s="6">
        <v>2.3308659538377499</v>
      </c>
      <c r="C13" s="7">
        <v>0.64588314215280396</v>
      </c>
      <c r="D13" s="7">
        <v>5.6093101671011203</v>
      </c>
      <c r="E13" s="8">
        <v>2.8693346021816102</v>
      </c>
      <c r="F13" s="6">
        <f>B13*100/$B$19</f>
        <v>1.5539106358918331</v>
      </c>
      <c r="G13" s="7">
        <f>C13*100/$B$19</f>
        <v>0.43058876143520258</v>
      </c>
      <c r="H13" s="7">
        <f>D13*100/$B$19</f>
        <v>3.7395401114007467</v>
      </c>
      <c r="I13" s="8">
        <f>E13*100/$B$19</f>
        <v>1.9128897347877403</v>
      </c>
    </row>
    <row r="14" spans="1:9" x14ac:dyDescent="0.3">
      <c r="A14" s="5">
        <v>11</v>
      </c>
      <c r="B14" s="6">
        <v>1.4279868008360901</v>
      </c>
      <c r="C14" s="7">
        <v>0.104420100168423</v>
      </c>
      <c r="D14" s="7">
        <v>4.8229080435282699</v>
      </c>
      <c r="E14" s="8">
        <v>1.7357257498758401</v>
      </c>
      <c r="F14" s="6">
        <f>B14*100/$B$19</f>
        <v>0.95199120055739339</v>
      </c>
      <c r="G14" s="7">
        <f>C14*100/$B$19</f>
        <v>6.9613400112281995E-2</v>
      </c>
      <c r="H14" s="7">
        <f>D14*100/$B$19</f>
        <v>3.2152720290188466</v>
      </c>
      <c r="I14" s="8">
        <f>E14*100/$B$19</f>
        <v>1.1571504999172266</v>
      </c>
    </row>
    <row r="15" spans="1:9" x14ac:dyDescent="0.3">
      <c r="A15" s="5">
        <v>12</v>
      </c>
      <c r="B15" s="6">
        <v>0.66582734060378002</v>
      </c>
      <c r="C15" s="7">
        <v>0</v>
      </c>
      <c r="D15" s="7">
        <v>3.56241703721158</v>
      </c>
      <c r="E15" s="8">
        <v>0.796410693420469</v>
      </c>
      <c r="F15" s="6">
        <f>B15*100/$B$19</f>
        <v>0.44388489373585333</v>
      </c>
      <c r="G15" s="7">
        <f>C15*100/$B$19</f>
        <v>0</v>
      </c>
      <c r="H15" s="7">
        <f>D15*100/$B$19</f>
        <v>2.3749446914743868</v>
      </c>
      <c r="I15" s="8">
        <f>E15*100/$B$19</f>
        <v>0.53094046228031266</v>
      </c>
    </row>
    <row r="16" spans="1:9" x14ac:dyDescent="0.3">
      <c r="A16" s="5">
        <v>13</v>
      </c>
      <c r="B16" s="6">
        <v>0.155925466395962</v>
      </c>
      <c r="C16" s="7">
        <v>0</v>
      </c>
      <c r="D16" s="7">
        <v>1.91790751925744</v>
      </c>
      <c r="E16" s="8">
        <v>0.179808205225684</v>
      </c>
      <c r="F16" s="6">
        <f>B16*100/$B$19</f>
        <v>0.10395031093064133</v>
      </c>
      <c r="G16" s="7">
        <f>C16*100/$B$19</f>
        <v>0</v>
      </c>
      <c r="H16" s="7">
        <f>D16*100/$B$19</f>
        <v>1.2786050128382933</v>
      </c>
      <c r="I16" s="8">
        <f>E16*100/$B$19</f>
        <v>0.11987213681712267</v>
      </c>
    </row>
    <row r="17" spans="1:9" ht="15" thickBot="1" x14ac:dyDescent="0.35">
      <c r="A17" s="15" t="s">
        <v>12</v>
      </c>
      <c r="B17" s="9">
        <f>SUM(B3:B16)</f>
        <v>50.999999653083883</v>
      </c>
      <c r="C17" s="10">
        <f t="shared" ref="C17:E17" si="0">SUM(C3:C16)</f>
        <v>50.999999613593864</v>
      </c>
      <c r="D17" s="10">
        <f t="shared" si="0"/>
        <v>67.499999668687053</v>
      </c>
      <c r="E17" s="11">
        <f t="shared" si="0"/>
        <v>67.499999173425024</v>
      </c>
      <c r="F17" s="9">
        <f>SUM(F3:F16)</f>
        <v>33.999999768722596</v>
      </c>
      <c r="G17" s="10">
        <f t="shared" ref="G17" si="1">SUM(G3:G16)</f>
        <v>33.9999997423959</v>
      </c>
      <c r="H17" s="10">
        <f t="shared" ref="H17" si="2">SUM(H3:H16)</f>
        <v>44.999999779124714</v>
      </c>
      <c r="I17" s="11">
        <f t="shared" ref="I17" si="3">SUM(I3:I16)</f>
        <v>44.999999448950014</v>
      </c>
    </row>
    <row r="19" spans="1:9" x14ac:dyDescent="0.3">
      <c r="A19" t="s">
        <v>1</v>
      </c>
      <c r="B19">
        <v>150</v>
      </c>
    </row>
  </sheetData>
  <mergeCells count="2">
    <mergeCell ref="F1:I1"/>
    <mergeCell ref="B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Conditions</vt:lpstr>
      <vt:lpstr>Feed Amounts</vt:lpstr>
    </vt:vector>
  </TitlesOfParts>
  <Company>GSK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Zach Hatzenbeller</dc:creator>
  <cp:lastModifiedBy>Zach Hatzenbeller</cp:lastModifiedBy>
  <dcterms:created xsi:type="dcterms:W3CDTF">2023-08-02T20:30:48Z</dcterms:created>
  <dcterms:modified xsi:type="dcterms:W3CDTF">2023-08-11T20:11:13Z</dcterms:modified>
</cp:coreProperties>
</file>