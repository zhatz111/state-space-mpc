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mr24-045-experiment\"/>
    </mc:Choice>
  </mc:AlternateContent>
  <xr:revisionPtr revIDLastSave="0" documentId="13_ncr:1_{8BBB21AB-086D-459E-AA70-B24BAED93C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sterDataTable" sheetId="1" r:id="rId1"/>
  </sheets>
  <definedNames>
    <definedName name="_xlnm._FilterDatabase" localSheetId="0" hidden="1">MasterDataTable!$A$2:$BP$314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0" i="1" l="1"/>
  <c r="AL79" i="1"/>
  <c r="AL78" i="1"/>
  <c r="AL77" i="1"/>
  <c r="AL76" i="1"/>
  <c r="AL75" i="1"/>
  <c r="AL74" i="1"/>
  <c r="AL73" i="1"/>
  <c r="AL72" i="1"/>
  <c r="AL71" i="1"/>
  <c r="AL70" i="1"/>
  <c r="AL69" i="1"/>
  <c r="AL68" i="1" l="1"/>
  <c r="AL67" i="1"/>
  <c r="AL66" i="1"/>
  <c r="AL65" i="1"/>
  <c r="AL64" i="1"/>
  <c r="AL63" i="1"/>
  <c r="AS68" i="1"/>
  <c r="AL62" i="1"/>
  <c r="AL61" i="1"/>
  <c r="AL60" i="1"/>
  <c r="AL59" i="1"/>
  <c r="AL58" i="1"/>
  <c r="AL57" i="1"/>
  <c r="AV9" i="1" l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S14" i="1" l="1"/>
  <c r="AS13" i="1"/>
  <c r="AS12" i="1"/>
  <c r="AS9" i="1"/>
  <c r="AS10" i="1"/>
  <c r="AS11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4" i="1"/>
  <c r="AS5" i="1"/>
  <c r="AS6" i="1"/>
  <c r="AS7" i="1"/>
  <c r="AS8" i="1"/>
  <c r="AS3" i="1"/>
  <c r="BO77" i="1" l="1"/>
  <c r="BO76" i="1"/>
  <c r="BO75" i="1"/>
  <c r="BO71" i="1"/>
  <c r="BO70" i="1"/>
  <c r="BO69" i="1"/>
  <c r="BO65" i="1"/>
  <c r="BO64" i="1"/>
  <c r="BO63" i="1"/>
  <c r="BO59" i="1"/>
  <c r="BO58" i="1"/>
  <c r="BO57" i="1"/>
  <c r="BO53" i="1"/>
  <c r="BO52" i="1"/>
  <c r="BO51" i="1"/>
  <c r="BO47" i="1"/>
  <c r="BO46" i="1"/>
  <c r="BO45" i="1"/>
  <c r="BO41" i="1"/>
  <c r="BO40" i="1"/>
  <c r="BO39" i="1"/>
  <c r="BO35" i="1"/>
  <c r="BO34" i="1"/>
  <c r="BO33" i="1"/>
  <c r="BO29" i="1"/>
  <c r="BO28" i="1"/>
  <c r="BO27" i="1"/>
  <c r="BO23" i="1"/>
  <c r="BO22" i="1"/>
  <c r="BO21" i="1"/>
  <c r="BS6" i="1" s="1"/>
  <c r="BO17" i="1"/>
  <c r="BO16" i="1"/>
  <c r="BO15" i="1"/>
  <c r="BO11" i="1"/>
  <c r="BO10" i="1"/>
  <c r="BO9" i="1"/>
  <c r="BO5" i="1"/>
  <c r="BO4" i="1"/>
  <c r="BO3" i="1"/>
  <c r="BN5" i="1"/>
  <c r="BN4" i="1"/>
  <c r="BN3" i="1"/>
  <c r="BH10" i="1"/>
  <c r="BH9" i="1"/>
  <c r="BH8" i="1"/>
  <c r="BL8" i="1" s="1"/>
  <c r="BH7" i="1"/>
  <c r="BL7" i="1" s="1"/>
  <c r="BH6" i="1"/>
  <c r="BI6" i="1" s="1"/>
  <c r="BH5" i="1"/>
  <c r="BH4" i="1"/>
  <c r="BH3" i="1"/>
  <c r="BL3" i="1"/>
  <c r="BL77" i="1"/>
  <c r="BL76" i="1"/>
  <c r="BL75" i="1"/>
  <c r="BL71" i="1"/>
  <c r="BL70" i="1"/>
  <c r="BL69" i="1"/>
  <c r="BL65" i="1"/>
  <c r="BL64" i="1"/>
  <c r="BL63" i="1"/>
  <c r="BL59" i="1"/>
  <c r="BL58" i="1"/>
  <c r="BL57" i="1"/>
  <c r="BL53" i="1"/>
  <c r="BL52" i="1"/>
  <c r="BL51" i="1"/>
  <c r="BL47" i="1"/>
  <c r="BL46" i="1"/>
  <c r="BL45" i="1"/>
  <c r="BL41" i="1"/>
  <c r="BL40" i="1"/>
  <c r="BL39" i="1"/>
  <c r="BL35" i="1"/>
  <c r="BL34" i="1"/>
  <c r="BL33" i="1"/>
  <c r="BL29" i="1"/>
  <c r="BL28" i="1"/>
  <c r="BL27" i="1"/>
  <c r="BL23" i="1"/>
  <c r="BL22" i="1"/>
  <c r="BL21" i="1"/>
  <c r="BL17" i="1"/>
  <c r="BL16" i="1"/>
  <c r="BL15" i="1"/>
  <c r="BL11" i="1"/>
  <c r="BL10" i="1"/>
  <c r="BL9" i="1"/>
  <c r="BL5" i="1"/>
  <c r="BL4" i="1"/>
  <c r="BP80" i="1"/>
  <c r="BP79" i="1"/>
  <c r="BP78" i="1"/>
  <c r="BP74" i="1"/>
  <c r="BP73" i="1"/>
  <c r="BP72" i="1"/>
  <c r="BP68" i="1"/>
  <c r="BP67" i="1"/>
  <c r="BP66" i="1"/>
  <c r="BP62" i="1"/>
  <c r="BP61" i="1"/>
  <c r="BP60" i="1"/>
  <c r="BP56" i="1"/>
  <c r="BP55" i="1"/>
  <c r="BP54" i="1"/>
  <c r="BP50" i="1"/>
  <c r="BP49" i="1"/>
  <c r="BP48" i="1"/>
  <c r="BP44" i="1"/>
  <c r="BP43" i="1"/>
  <c r="BP42" i="1"/>
  <c r="BP38" i="1"/>
  <c r="BP37" i="1"/>
  <c r="BP36" i="1"/>
  <c r="BP32" i="1"/>
  <c r="BP31" i="1"/>
  <c r="BP30" i="1"/>
  <c r="BP26" i="1"/>
  <c r="BP25" i="1"/>
  <c r="BP24" i="1"/>
  <c r="BP20" i="1"/>
  <c r="BP19" i="1"/>
  <c r="BP18" i="1"/>
  <c r="BP14" i="1"/>
  <c r="BP13" i="1"/>
  <c r="BP12" i="1"/>
  <c r="BP8" i="1"/>
  <c r="BP7" i="1"/>
  <c r="BP6" i="1"/>
  <c r="BM80" i="1"/>
  <c r="BM79" i="1"/>
  <c r="BM78" i="1"/>
  <c r="BM74" i="1"/>
  <c r="BM73" i="1"/>
  <c r="BM72" i="1"/>
  <c r="BM68" i="1"/>
  <c r="BM67" i="1"/>
  <c r="BM66" i="1"/>
  <c r="BM62" i="1"/>
  <c r="BM61" i="1"/>
  <c r="BM60" i="1"/>
  <c r="BM56" i="1"/>
  <c r="BM55" i="1"/>
  <c r="BM54" i="1"/>
  <c r="BM50" i="1"/>
  <c r="BM49" i="1"/>
  <c r="BM48" i="1"/>
  <c r="BM44" i="1"/>
  <c r="BM43" i="1"/>
  <c r="BM42" i="1"/>
  <c r="BM38" i="1"/>
  <c r="BM37" i="1"/>
  <c r="BM36" i="1"/>
  <c r="BM32" i="1"/>
  <c r="BM31" i="1"/>
  <c r="BM30" i="1"/>
  <c r="BM26" i="1"/>
  <c r="BM25" i="1"/>
  <c r="BM24" i="1"/>
  <c r="BM20" i="1"/>
  <c r="BM19" i="1"/>
  <c r="BM18" i="1"/>
  <c r="BM14" i="1"/>
  <c r="BM13" i="1"/>
  <c r="BM12" i="1"/>
  <c r="BM8" i="1"/>
  <c r="BM7" i="1"/>
  <c r="BM6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H80" i="1"/>
  <c r="BO80" i="1" s="1"/>
  <c r="BH79" i="1"/>
  <c r="BO79" i="1" s="1"/>
  <c r="BH78" i="1"/>
  <c r="BO78" i="1" s="1"/>
  <c r="BH77" i="1"/>
  <c r="BP77" i="1" s="1"/>
  <c r="BH76" i="1"/>
  <c r="BP76" i="1" s="1"/>
  <c r="BH75" i="1"/>
  <c r="BP75" i="1" s="1"/>
  <c r="BH74" i="1"/>
  <c r="BL74" i="1" s="1"/>
  <c r="BH73" i="1"/>
  <c r="BL73" i="1" s="1"/>
  <c r="BH72" i="1"/>
  <c r="BL72" i="1" s="1"/>
  <c r="BH71" i="1"/>
  <c r="BH70" i="1"/>
  <c r="BH69" i="1"/>
  <c r="BH68" i="1"/>
  <c r="BL68" i="1" s="1"/>
  <c r="BH67" i="1"/>
  <c r="BL67" i="1" s="1"/>
  <c r="BH66" i="1"/>
  <c r="BL66" i="1" s="1"/>
  <c r="BH65" i="1"/>
  <c r="BH64" i="1"/>
  <c r="BH63" i="1"/>
  <c r="BH62" i="1"/>
  <c r="BO62" i="1" s="1"/>
  <c r="BH61" i="1"/>
  <c r="BO61" i="1" s="1"/>
  <c r="BH60" i="1"/>
  <c r="BO60" i="1" s="1"/>
  <c r="BH59" i="1"/>
  <c r="BI59" i="1" s="1"/>
  <c r="BH58" i="1"/>
  <c r="BI58" i="1" s="1"/>
  <c r="BH57" i="1"/>
  <c r="BH56" i="1"/>
  <c r="BL56" i="1" s="1"/>
  <c r="BH55" i="1"/>
  <c r="BL55" i="1" s="1"/>
  <c r="BH54" i="1"/>
  <c r="BL54" i="1" s="1"/>
  <c r="BH53" i="1"/>
  <c r="BH52" i="1"/>
  <c r="BH51" i="1"/>
  <c r="BH50" i="1"/>
  <c r="BL50" i="1" s="1"/>
  <c r="BH49" i="1"/>
  <c r="BL49" i="1" s="1"/>
  <c r="BH48" i="1"/>
  <c r="BL48" i="1" s="1"/>
  <c r="BH47" i="1"/>
  <c r="BI47" i="1" s="1"/>
  <c r="BH46" i="1"/>
  <c r="BH45" i="1"/>
  <c r="BH44" i="1"/>
  <c r="BL44" i="1" s="1"/>
  <c r="BH43" i="1"/>
  <c r="BL43" i="1" s="1"/>
  <c r="BH42" i="1"/>
  <c r="BL42" i="1" s="1"/>
  <c r="BH41" i="1"/>
  <c r="BH40" i="1"/>
  <c r="BI40" i="1" s="1"/>
  <c r="BH39" i="1"/>
  <c r="BI39" i="1" s="1"/>
  <c r="BH38" i="1"/>
  <c r="BO38" i="1" s="1"/>
  <c r="BH37" i="1"/>
  <c r="BL37" i="1" s="1"/>
  <c r="BH36" i="1"/>
  <c r="BL36" i="1" s="1"/>
  <c r="BH35" i="1"/>
  <c r="BH34" i="1"/>
  <c r="BH33" i="1"/>
  <c r="BH32" i="1"/>
  <c r="BL32" i="1" s="1"/>
  <c r="BH31" i="1"/>
  <c r="BL31" i="1" s="1"/>
  <c r="BH30" i="1"/>
  <c r="BL30" i="1" s="1"/>
  <c r="BH29" i="1"/>
  <c r="BH28" i="1"/>
  <c r="BI28" i="1" s="1"/>
  <c r="BH27" i="1"/>
  <c r="BH26" i="1"/>
  <c r="BL26" i="1" s="1"/>
  <c r="BH25" i="1"/>
  <c r="BL25" i="1" s="1"/>
  <c r="BH24" i="1"/>
  <c r="BL24" i="1" s="1"/>
  <c r="BH23" i="1"/>
  <c r="BH22" i="1"/>
  <c r="BH21" i="1"/>
  <c r="BH20" i="1"/>
  <c r="BO20" i="1" s="1"/>
  <c r="BH19" i="1"/>
  <c r="BO19" i="1" s="1"/>
  <c r="BH18" i="1"/>
  <c r="BO18" i="1" s="1"/>
  <c r="BH17" i="1"/>
  <c r="BI17" i="1" s="1"/>
  <c r="BH16" i="1"/>
  <c r="BI16" i="1" s="1"/>
  <c r="BH15" i="1"/>
  <c r="BI15" i="1" s="1"/>
  <c r="BH14" i="1"/>
  <c r="BL14" i="1" s="1"/>
  <c r="BH13" i="1"/>
  <c r="BL13" i="1" s="1"/>
  <c r="BH12" i="1"/>
  <c r="BL12" i="1" s="1"/>
  <c r="BH1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T12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1" i="1"/>
  <c r="AT10" i="1"/>
  <c r="AT9" i="1"/>
  <c r="BE65" i="1" l="1"/>
  <c r="BD65" i="1"/>
  <c r="BI48" i="1"/>
  <c r="BD69" i="1"/>
  <c r="BE69" i="1"/>
  <c r="BI65" i="1"/>
  <c r="BE70" i="1"/>
  <c r="BD70" i="1"/>
  <c r="BE71" i="1"/>
  <c r="BD71" i="1"/>
  <c r="BE63" i="1"/>
  <c r="BD63" i="1"/>
  <c r="BE64" i="1"/>
  <c r="BD64" i="1"/>
  <c r="BI77" i="1"/>
  <c r="BI80" i="1"/>
  <c r="BI79" i="1"/>
  <c r="BI78" i="1"/>
  <c r="BI76" i="1"/>
  <c r="BI75" i="1"/>
  <c r="BI74" i="1"/>
  <c r="BI73" i="1"/>
  <c r="BI72" i="1"/>
  <c r="BI71" i="1"/>
  <c r="BI70" i="1"/>
  <c r="BI69" i="1"/>
  <c r="BE22" i="1"/>
  <c r="BD22" i="1"/>
  <c r="BI38" i="1"/>
  <c r="BD45" i="1"/>
  <c r="BE45" i="1"/>
  <c r="BE41" i="1"/>
  <c r="BD41" i="1"/>
  <c r="BE46" i="1"/>
  <c r="BD46" i="1"/>
  <c r="BL6" i="1"/>
  <c r="BD23" i="1"/>
  <c r="BE23" i="1"/>
  <c r="BD27" i="1"/>
  <c r="BE27" i="1"/>
  <c r="BD47" i="1"/>
  <c r="BE47" i="1"/>
  <c r="BF3" i="1"/>
  <c r="BD3" i="1"/>
  <c r="BD28" i="1"/>
  <c r="BE28" i="1"/>
  <c r="BP4" i="1"/>
  <c r="BS16" i="1" s="1"/>
  <c r="BD4" i="1"/>
  <c r="BE40" i="1"/>
  <c r="BD40" i="1"/>
  <c r="BE21" i="1"/>
  <c r="BD21" i="1"/>
  <c r="BE29" i="1"/>
  <c r="BD29" i="1"/>
  <c r="BI5" i="1"/>
  <c r="BD5" i="1"/>
  <c r="BE11" i="1"/>
  <c r="BD11" i="1"/>
  <c r="BD51" i="1"/>
  <c r="BE51" i="1"/>
  <c r="BI13" i="1"/>
  <c r="BI60" i="1"/>
  <c r="BD53" i="1"/>
  <c r="BE53" i="1"/>
  <c r="BE9" i="1"/>
  <c r="BD9" i="1"/>
  <c r="BD52" i="1"/>
  <c r="BE52" i="1"/>
  <c r="BE33" i="1"/>
  <c r="BD33" i="1"/>
  <c r="BD34" i="1"/>
  <c r="BE34" i="1"/>
  <c r="BI32" i="1"/>
  <c r="BI61" i="1"/>
  <c r="BE10" i="1"/>
  <c r="BD10" i="1"/>
  <c r="BE35" i="1"/>
  <c r="BD35" i="1"/>
  <c r="BO72" i="1"/>
  <c r="BS72" i="1" s="1"/>
  <c r="BI62" i="1"/>
  <c r="BO73" i="1"/>
  <c r="BS73" i="1" s="1"/>
  <c r="BE57" i="1"/>
  <c r="BD57" i="1"/>
  <c r="BI49" i="1"/>
  <c r="BO74" i="1"/>
  <c r="BE58" i="1"/>
  <c r="BD58" i="1"/>
  <c r="BD39" i="1"/>
  <c r="BE39" i="1"/>
  <c r="BE59" i="1"/>
  <c r="BD59" i="1"/>
  <c r="BI19" i="1"/>
  <c r="BI50" i="1"/>
  <c r="BI68" i="1"/>
  <c r="BO67" i="1"/>
  <c r="BI63" i="1"/>
  <c r="BI64" i="1"/>
  <c r="BI66" i="1"/>
  <c r="BI67" i="1"/>
  <c r="BI57" i="1"/>
  <c r="BI52" i="1"/>
  <c r="BI56" i="1"/>
  <c r="BI55" i="1"/>
  <c r="BI54" i="1"/>
  <c r="BI53" i="1"/>
  <c r="BI51" i="1"/>
  <c r="BO54" i="1"/>
  <c r="BS54" i="1" s="1"/>
  <c r="BI45" i="1"/>
  <c r="BI46" i="1"/>
  <c r="BI44" i="1"/>
  <c r="BI43" i="1"/>
  <c r="BI42" i="1"/>
  <c r="BI41" i="1"/>
  <c r="BI33" i="1"/>
  <c r="BI37" i="1"/>
  <c r="BI36" i="1"/>
  <c r="BI35" i="1"/>
  <c r="BI34" i="1"/>
  <c r="BO37" i="1"/>
  <c r="BS37" i="1" s="1"/>
  <c r="BI31" i="1"/>
  <c r="BI30" i="1"/>
  <c r="BI29" i="1"/>
  <c r="BI27" i="1"/>
  <c r="BO32" i="1"/>
  <c r="BS32" i="1" s="1"/>
  <c r="BI26" i="1"/>
  <c r="BI25" i="1"/>
  <c r="BI24" i="1"/>
  <c r="BI23" i="1"/>
  <c r="BI22" i="1"/>
  <c r="BI21" i="1"/>
  <c r="BI18" i="1"/>
  <c r="BE16" i="1"/>
  <c r="BD16" i="1"/>
  <c r="BI20" i="1"/>
  <c r="BD15" i="1"/>
  <c r="BE15" i="1"/>
  <c r="BE17" i="1"/>
  <c r="BD17" i="1"/>
  <c r="BI9" i="1"/>
  <c r="BI14" i="1"/>
  <c r="BI12" i="1"/>
  <c r="BI11" i="1"/>
  <c r="BI10" i="1"/>
  <c r="BI7" i="1"/>
  <c r="BO12" i="1"/>
  <c r="BS12" i="1" s="1"/>
  <c r="BO30" i="1"/>
  <c r="BS30" i="1" s="1"/>
  <c r="BO13" i="1"/>
  <c r="BS13" i="1" s="1"/>
  <c r="BO14" i="1"/>
  <c r="BS14" i="1" s="1"/>
  <c r="BO55" i="1"/>
  <c r="BS55" i="1" s="1"/>
  <c r="BO31" i="1"/>
  <c r="BS31" i="1" s="1"/>
  <c r="BO56" i="1"/>
  <c r="BS56" i="1" s="1"/>
  <c r="BO36" i="1"/>
  <c r="BS36" i="1" s="1"/>
  <c r="BO50" i="1"/>
  <c r="BO49" i="1"/>
  <c r="BL79" i="1"/>
  <c r="BL60" i="1"/>
  <c r="BR60" i="1" s="1"/>
  <c r="BL62" i="1"/>
  <c r="BO42" i="1"/>
  <c r="BS42" i="1" s="1"/>
  <c r="BO43" i="1"/>
  <c r="BS43" i="1" s="1"/>
  <c r="BL18" i="1"/>
  <c r="BL19" i="1"/>
  <c r="BO24" i="1"/>
  <c r="BS24" i="1" s="1"/>
  <c r="BL20" i="1"/>
  <c r="BO26" i="1"/>
  <c r="BS26" i="1" s="1"/>
  <c r="BO66" i="1"/>
  <c r="BS66" i="1" s="1"/>
  <c r="BL78" i="1"/>
  <c r="BO25" i="1"/>
  <c r="BS25" i="1" s="1"/>
  <c r="BL38" i="1"/>
  <c r="BL80" i="1"/>
  <c r="BO44" i="1"/>
  <c r="BS44" i="1" s="1"/>
  <c r="BO48" i="1"/>
  <c r="BO68" i="1"/>
  <c r="BS68" i="1" s="1"/>
  <c r="BL61" i="1"/>
  <c r="BI8" i="1"/>
  <c r="BI3" i="1"/>
  <c r="BI4" i="1"/>
  <c r="BR3" i="1"/>
  <c r="AM3" i="1" s="1"/>
  <c r="BP3" i="1"/>
  <c r="BS3" i="1" s="1"/>
  <c r="BN74" i="1"/>
  <c r="BF74" i="1"/>
  <c r="BG74" i="1" s="1"/>
  <c r="AH74" i="1"/>
  <c r="BN73" i="1"/>
  <c r="BR73" i="1"/>
  <c r="AH73" i="1"/>
  <c r="BN72" i="1"/>
  <c r="BQ72" i="1"/>
  <c r="BF72" i="1"/>
  <c r="BG72" i="1" s="1"/>
  <c r="AH72" i="1"/>
  <c r="BS71" i="1"/>
  <c r="BN71" i="1"/>
  <c r="AH71" i="1"/>
  <c r="BS70" i="1"/>
  <c r="BN70" i="1"/>
  <c r="AH70" i="1"/>
  <c r="BN69" i="1"/>
  <c r="BF69" i="1"/>
  <c r="BG69" i="1" s="1"/>
  <c r="AH69" i="1"/>
  <c r="BN68" i="1"/>
  <c r="AH68" i="1"/>
  <c r="BS67" i="1"/>
  <c r="BN67" i="1"/>
  <c r="BF67" i="1"/>
  <c r="BG67" i="1" s="1"/>
  <c r="AH67" i="1"/>
  <c r="BN66" i="1"/>
  <c r="AH66" i="1"/>
  <c r="BS65" i="1"/>
  <c r="BN65" i="1"/>
  <c r="BF65" i="1"/>
  <c r="BG65" i="1" s="1"/>
  <c r="AH65" i="1"/>
  <c r="BN64" i="1"/>
  <c r="BF64" i="1"/>
  <c r="BG64" i="1" s="1"/>
  <c r="AH64" i="1"/>
  <c r="BS63" i="1"/>
  <c r="BN63" i="1"/>
  <c r="AH63" i="1"/>
  <c r="BS62" i="1"/>
  <c r="BN62" i="1"/>
  <c r="BF62" i="1"/>
  <c r="BG62" i="1" s="1"/>
  <c r="AH62" i="1"/>
  <c r="BN61" i="1"/>
  <c r="BF61" i="1"/>
  <c r="BG61" i="1" s="1"/>
  <c r="AH61" i="1"/>
  <c r="BN60" i="1"/>
  <c r="BF60" i="1"/>
  <c r="BG60" i="1" s="1"/>
  <c r="AH60" i="1"/>
  <c r="BN59" i="1"/>
  <c r="BF59" i="1"/>
  <c r="BG59" i="1" s="1"/>
  <c r="AH59" i="1"/>
  <c r="BS58" i="1"/>
  <c r="BN58" i="1"/>
  <c r="AH58" i="1"/>
  <c r="BS57" i="1"/>
  <c r="BN57" i="1"/>
  <c r="BF57" i="1"/>
  <c r="BG57" i="1" s="1"/>
  <c r="AH57" i="1"/>
  <c r="BN56" i="1"/>
  <c r="AH56" i="1"/>
  <c r="BN55" i="1"/>
  <c r="AH55" i="1"/>
  <c r="BN54" i="1"/>
  <c r="BF54" i="1"/>
  <c r="BG54" i="1" s="1"/>
  <c r="AH54" i="1"/>
  <c r="BN53" i="1"/>
  <c r="AH53" i="1"/>
  <c r="BS52" i="1"/>
  <c r="BN52" i="1"/>
  <c r="BF52" i="1"/>
  <c r="BG52" i="1" s="1"/>
  <c r="AH52" i="1"/>
  <c r="BS51" i="1"/>
  <c r="BN51" i="1"/>
  <c r="AH51" i="1"/>
  <c r="BN50" i="1"/>
  <c r="AH50" i="1"/>
  <c r="BN49" i="1"/>
  <c r="AH49" i="1"/>
  <c r="BN48" i="1"/>
  <c r="AH48" i="1"/>
  <c r="BS47" i="1"/>
  <c r="BN47" i="1"/>
  <c r="AH47" i="1"/>
  <c r="BS46" i="1"/>
  <c r="BN46" i="1"/>
  <c r="BF46" i="1"/>
  <c r="BG46" i="1" s="1"/>
  <c r="AH46" i="1"/>
  <c r="BS45" i="1"/>
  <c r="BN45" i="1"/>
  <c r="AH45" i="1"/>
  <c r="BN44" i="1"/>
  <c r="AH44" i="1"/>
  <c r="BN43" i="1"/>
  <c r="AH43" i="1"/>
  <c r="BN42" i="1"/>
  <c r="AH42" i="1"/>
  <c r="BS41" i="1"/>
  <c r="BN41" i="1"/>
  <c r="BF41" i="1"/>
  <c r="BG41" i="1" s="1"/>
  <c r="AH41" i="1"/>
  <c r="BS40" i="1"/>
  <c r="BN40" i="1"/>
  <c r="AH40" i="1"/>
  <c r="BS39" i="1"/>
  <c r="BN39" i="1"/>
  <c r="BF39" i="1"/>
  <c r="BG39" i="1" s="1"/>
  <c r="AH39" i="1"/>
  <c r="BS38" i="1"/>
  <c r="BN38" i="1"/>
  <c r="AH38" i="1"/>
  <c r="BN37" i="1"/>
  <c r="AH37" i="1"/>
  <c r="BN36" i="1"/>
  <c r="AH36" i="1"/>
  <c r="BS35" i="1"/>
  <c r="BN35" i="1"/>
  <c r="AH35" i="1"/>
  <c r="BS34" i="1"/>
  <c r="BN34" i="1"/>
  <c r="BF34" i="1"/>
  <c r="BG34" i="1" s="1"/>
  <c r="AH34" i="1"/>
  <c r="BS33" i="1"/>
  <c r="BN33" i="1"/>
  <c r="BF33" i="1"/>
  <c r="BG33" i="1" s="1"/>
  <c r="AH33" i="1"/>
  <c r="BN32" i="1"/>
  <c r="AH32" i="1"/>
  <c r="BN31" i="1"/>
  <c r="AH31" i="1"/>
  <c r="BN30" i="1"/>
  <c r="AH30" i="1"/>
  <c r="BN29" i="1"/>
  <c r="BF29" i="1"/>
  <c r="BG29" i="1" s="1"/>
  <c r="AH29" i="1"/>
  <c r="BS28" i="1"/>
  <c r="BN28" i="1"/>
  <c r="BF28" i="1"/>
  <c r="BG28" i="1" s="1"/>
  <c r="AH28" i="1"/>
  <c r="BS27" i="1"/>
  <c r="BN27" i="1"/>
  <c r="AH27" i="1"/>
  <c r="BN26" i="1"/>
  <c r="AH26" i="1"/>
  <c r="BN25" i="1"/>
  <c r="AH25" i="1"/>
  <c r="BN24" i="1"/>
  <c r="AH24" i="1"/>
  <c r="BS23" i="1"/>
  <c r="BN23" i="1"/>
  <c r="AH23" i="1"/>
  <c r="BS22" i="1"/>
  <c r="BN22" i="1"/>
  <c r="BF22" i="1"/>
  <c r="BG22" i="1" s="1"/>
  <c r="AH22" i="1"/>
  <c r="BS21" i="1"/>
  <c r="BN21" i="1"/>
  <c r="BF21" i="1"/>
  <c r="BG21" i="1" s="1"/>
  <c r="AH21" i="1"/>
  <c r="BS20" i="1"/>
  <c r="BN20" i="1"/>
  <c r="AH20" i="1"/>
  <c r="BS19" i="1"/>
  <c r="BN19" i="1"/>
  <c r="AH19" i="1"/>
  <c r="BS18" i="1"/>
  <c r="BN18" i="1"/>
  <c r="AH18" i="1"/>
  <c r="BS17" i="1"/>
  <c r="BN17" i="1"/>
  <c r="BF17" i="1"/>
  <c r="BG17" i="1" s="1"/>
  <c r="AH17" i="1"/>
  <c r="BN16" i="1"/>
  <c r="AH16" i="1"/>
  <c r="BS15" i="1"/>
  <c r="BN15" i="1"/>
  <c r="AH15" i="1"/>
  <c r="BN14" i="1"/>
  <c r="AH14" i="1"/>
  <c r="BN13" i="1"/>
  <c r="AH13" i="1"/>
  <c r="BN12" i="1"/>
  <c r="AH12" i="1"/>
  <c r="BS11" i="1"/>
  <c r="BN11" i="1"/>
  <c r="BF11" i="1"/>
  <c r="BG11" i="1" s="1"/>
  <c r="AH11" i="1"/>
  <c r="BS10" i="1"/>
  <c r="BN10" i="1"/>
  <c r="AH10" i="1"/>
  <c r="BS9" i="1"/>
  <c r="BN9" i="1"/>
  <c r="AH9" i="1"/>
  <c r="BS80" i="1"/>
  <c r="BN80" i="1"/>
  <c r="AH80" i="1"/>
  <c r="BS79" i="1"/>
  <c r="BN79" i="1"/>
  <c r="AH79" i="1"/>
  <c r="BS78" i="1"/>
  <c r="BN78" i="1"/>
  <c r="AH78" i="1"/>
  <c r="BS77" i="1"/>
  <c r="BN77" i="1"/>
  <c r="BF77" i="1"/>
  <c r="BG77" i="1" s="1"/>
  <c r="AH77" i="1"/>
  <c r="BN76" i="1"/>
  <c r="AH76" i="1"/>
  <c r="BS75" i="1"/>
  <c r="BN75" i="1"/>
  <c r="AH75" i="1"/>
  <c r="BN6" i="1"/>
  <c r="AH6" i="1"/>
  <c r="BS4" i="1"/>
  <c r="AH4" i="1"/>
  <c r="BS59" i="1" l="1"/>
  <c r="BS69" i="1"/>
  <c r="BS76" i="1"/>
  <c r="BS61" i="1"/>
  <c r="BS48" i="1"/>
  <c r="BS49" i="1"/>
  <c r="BS50" i="1"/>
  <c r="BS74" i="1"/>
  <c r="BS53" i="1"/>
  <c r="BS60" i="1"/>
  <c r="BQ3" i="1"/>
  <c r="BR72" i="1"/>
  <c r="BR74" i="1"/>
  <c r="AM74" i="1" s="1"/>
  <c r="BK74" i="1" s="1"/>
  <c r="BQ74" i="1"/>
  <c r="BQ67" i="1"/>
  <c r="BR67" i="1"/>
  <c r="BF73" i="1"/>
  <c r="BG73" i="1" s="1"/>
  <c r="BF71" i="1"/>
  <c r="BG71" i="1" s="1"/>
  <c r="BF43" i="1"/>
  <c r="BG43" i="1" s="1"/>
  <c r="BF70" i="1"/>
  <c r="BG70" i="1" s="1"/>
  <c r="BF68" i="1"/>
  <c r="BG68" i="1" s="1"/>
  <c r="BQ73" i="1"/>
  <c r="BQ66" i="1"/>
  <c r="BR66" i="1"/>
  <c r="BR68" i="1"/>
  <c r="BQ68" i="1"/>
  <c r="BQ60" i="1"/>
  <c r="BF44" i="1"/>
  <c r="BG44" i="1" s="1"/>
  <c r="BF66" i="1"/>
  <c r="BG66" i="1" s="1"/>
  <c r="BF63" i="1"/>
  <c r="BG63" i="1" s="1"/>
  <c r="BR61" i="1"/>
  <c r="BQ61" i="1"/>
  <c r="BF40" i="1"/>
  <c r="BG40" i="1" s="1"/>
  <c r="BR49" i="1"/>
  <c r="BF55" i="1"/>
  <c r="BG55" i="1" s="1"/>
  <c r="BF58" i="1"/>
  <c r="BG58" i="1" s="1"/>
  <c r="BR55" i="1"/>
  <c r="BQ48" i="1"/>
  <c r="BR48" i="1"/>
  <c r="AM48" i="1" s="1"/>
  <c r="BK48" i="1" s="1"/>
  <c r="BQ54" i="1"/>
  <c r="BR54" i="1"/>
  <c r="BR56" i="1"/>
  <c r="BQ56" i="1"/>
  <c r="BF56" i="1"/>
  <c r="BG56" i="1" s="1"/>
  <c r="BF49" i="1"/>
  <c r="BG49" i="1" s="1"/>
  <c r="BF53" i="1"/>
  <c r="BG53" i="1" s="1"/>
  <c r="BF51" i="1"/>
  <c r="BG51" i="1" s="1"/>
  <c r="BF48" i="1"/>
  <c r="BG48" i="1" s="1"/>
  <c r="BR50" i="1"/>
  <c r="BQ50" i="1"/>
  <c r="BF50" i="1"/>
  <c r="BG50" i="1" s="1"/>
  <c r="BF30" i="1"/>
  <c r="BG30" i="1" s="1"/>
  <c r="BF36" i="1"/>
  <c r="BG36" i="1" s="1"/>
  <c r="BF47" i="1"/>
  <c r="BG47" i="1" s="1"/>
  <c r="BF45" i="1"/>
  <c r="BG45" i="1" s="1"/>
  <c r="BF31" i="1"/>
  <c r="BG31" i="1" s="1"/>
  <c r="BR43" i="1"/>
  <c r="BQ43" i="1"/>
  <c r="BQ42" i="1"/>
  <c r="BR42" i="1"/>
  <c r="AM42" i="1" s="1"/>
  <c r="BK42" i="1" s="1"/>
  <c r="BR44" i="1"/>
  <c r="AM44" i="1" s="1"/>
  <c r="BK44" i="1" s="1"/>
  <c r="BQ44" i="1"/>
  <c r="BF42" i="1"/>
  <c r="BG42" i="1" s="1"/>
  <c r="BF35" i="1"/>
  <c r="BG35" i="1" s="1"/>
  <c r="BF24" i="1"/>
  <c r="BG24" i="1" s="1"/>
  <c r="BR37" i="1"/>
  <c r="AM37" i="1" s="1"/>
  <c r="BK37" i="1" s="1"/>
  <c r="BQ37" i="1"/>
  <c r="BR38" i="1"/>
  <c r="AM38" i="1" s="1"/>
  <c r="BK38" i="1" s="1"/>
  <c r="BQ38" i="1"/>
  <c r="BQ36" i="1"/>
  <c r="BR36" i="1"/>
  <c r="BF38" i="1"/>
  <c r="BG38" i="1" s="1"/>
  <c r="BF37" i="1"/>
  <c r="BG37" i="1" s="1"/>
  <c r="BF32" i="1"/>
  <c r="BG32" i="1" s="1"/>
  <c r="BQ30" i="1"/>
  <c r="BR30" i="1"/>
  <c r="BR32" i="1"/>
  <c r="AM32" i="1" s="1"/>
  <c r="BK32" i="1" s="1"/>
  <c r="BQ32" i="1"/>
  <c r="BR31" i="1"/>
  <c r="BQ31" i="1"/>
  <c r="BF23" i="1"/>
  <c r="BG23" i="1" s="1"/>
  <c r="BF25" i="1"/>
  <c r="BG25" i="1" s="1"/>
  <c r="BF27" i="1"/>
  <c r="BG27" i="1" s="1"/>
  <c r="BQ24" i="1"/>
  <c r="BR24" i="1"/>
  <c r="BF19" i="1"/>
  <c r="BG19" i="1" s="1"/>
  <c r="BR25" i="1"/>
  <c r="BQ25" i="1"/>
  <c r="BR26" i="1"/>
  <c r="BQ26" i="1"/>
  <c r="BF76" i="1"/>
  <c r="BG76" i="1" s="1"/>
  <c r="BF26" i="1"/>
  <c r="BG26" i="1" s="1"/>
  <c r="BQ12" i="1"/>
  <c r="BR19" i="1"/>
  <c r="BF20" i="1"/>
  <c r="BG20" i="1" s="1"/>
  <c r="BF12" i="1"/>
  <c r="BG12" i="1" s="1"/>
  <c r="BR20" i="1"/>
  <c r="BF13" i="1"/>
  <c r="BG13" i="1" s="1"/>
  <c r="BF15" i="1"/>
  <c r="BG15" i="1" s="1"/>
  <c r="BF18" i="1"/>
  <c r="BG18" i="1" s="1"/>
  <c r="BQ18" i="1"/>
  <c r="BF6" i="1"/>
  <c r="BG6" i="1" s="1"/>
  <c r="BF16" i="1"/>
  <c r="BG16" i="1" s="1"/>
  <c r="BR80" i="1"/>
  <c r="AM80" i="1" s="1"/>
  <c r="BK80" i="1" s="1"/>
  <c r="BF14" i="1"/>
  <c r="BG14" i="1" s="1"/>
  <c r="BR14" i="1"/>
  <c r="BQ14" i="1"/>
  <c r="BR13" i="1"/>
  <c r="AM13" i="1" s="1"/>
  <c r="BK13" i="1" s="1"/>
  <c r="BQ13" i="1"/>
  <c r="BF10" i="1"/>
  <c r="BG10" i="1" s="1"/>
  <c r="BF78" i="1"/>
  <c r="BG78" i="1" s="1"/>
  <c r="BF9" i="1"/>
  <c r="BG9" i="1" s="1"/>
  <c r="BF80" i="1"/>
  <c r="BG80" i="1" s="1"/>
  <c r="BF75" i="1"/>
  <c r="BG75" i="1" s="1"/>
  <c r="BQ79" i="1"/>
  <c r="BR79" i="1"/>
  <c r="BF79" i="1"/>
  <c r="BG79" i="1" s="1"/>
  <c r="BR6" i="1"/>
  <c r="BQ6" i="1"/>
  <c r="BF4" i="1"/>
  <c r="BG4" i="1" s="1"/>
  <c r="BS7" i="1"/>
  <c r="BS8" i="1"/>
  <c r="AM73" i="1" l="1"/>
  <c r="BK73" i="1" s="1"/>
  <c r="AM54" i="1"/>
  <c r="BK54" i="1" s="1"/>
  <c r="AM6" i="1"/>
  <c r="BK6" i="1" s="1"/>
  <c r="AM79" i="1"/>
  <c r="BK79" i="1" s="1"/>
  <c r="AM43" i="1"/>
  <c r="BK43" i="1" s="1"/>
  <c r="BR62" i="1"/>
  <c r="BQ62" i="1"/>
  <c r="BQ55" i="1"/>
  <c r="BQ49" i="1"/>
  <c r="BQ19" i="1"/>
  <c r="BR12" i="1"/>
  <c r="AM12" i="1" s="1"/>
  <c r="BK12" i="1" s="1"/>
  <c r="BR18" i="1"/>
  <c r="AM18" i="1" s="1"/>
  <c r="BK18" i="1" s="1"/>
  <c r="BQ80" i="1"/>
  <c r="BQ20" i="1"/>
  <c r="BR78" i="1"/>
  <c r="AM78" i="1" s="1"/>
  <c r="BK78" i="1" s="1"/>
  <c r="BQ78" i="1"/>
  <c r="AH8" i="1"/>
  <c r="AH7" i="1"/>
  <c r="AH5" i="1"/>
  <c r="AH3" i="1"/>
  <c r="AM68" i="1" l="1"/>
  <c r="BK68" i="1" s="1"/>
  <c r="AM49" i="1"/>
  <c r="BK49" i="1" s="1"/>
  <c r="BN7" i="1"/>
  <c r="BN8" i="1"/>
  <c r="BG3" i="1" l="1"/>
  <c r="BF5" i="1"/>
  <c r="BG5" i="1" s="1"/>
  <c r="BF7" i="1" l="1"/>
  <c r="BG7" i="1" s="1"/>
  <c r="BF8" i="1"/>
  <c r="BG8" i="1" s="1"/>
  <c r="BQ8" i="1" l="1"/>
  <c r="BR8" i="1"/>
  <c r="AM8" i="1" s="1"/>
  <c r="BK8" i="1" s="1"/>
  <c r="BQ7" i="1"/>
  <c r="BR7" i="1"/>
  <c r="AM7" i="1" s="1"/>
  <c r="BK7" i="1" s="1"/>
  <c r="BQ29" i="1"/>
  <c r="BQ5" i="1"/>
  <c r="BK3" i="1"/>
  <c r="BR52" i="1"/>
  <c r="BR17" i="1"/>
  <c r="AM17" i="1" s="1"/>
  <c r="BK17" i="1" s="1"/>
  <c r="BQ17" i="1"/>
  <c r="BQ51" i="1"/>
  <c r="BR16" i="1"/>
  <c r="AM16" i="1" s="1"/>
  <c r="BK16" i="1" s="1"/>
  <c r="BQ16" i="1"/>
  <c r="BR4" i="1"/>
  <c r="AM4" i="1" s="1"/>
  <c r="BK4" i="1" s="1"/>
  <c r="BR63" i="1"/>
  <c r="BQ63" i="1"/>
  <c r="BR23" i="1"/>
  <c r="AM23" i="1" s="1"/>
  <c r="BK23" i="1" s="1"/>
  <c r="BQ65" i="1"/>
  <c r="BQ35" i="1"/>
  <c r="BQ45" i="1"/>
  <c r="BQ57" i="1"/>
  <c r="BQ22" i="1"/>
  <c r="BQ27" i="1"/>
  <c r="BR33" i="1"/>
  <c r="AM33" i="1" s="1"/>
  <c r="BK33" i="1" s="1"/>
  <c r="BR40" i="1"/>
  <c r="BM75" i="1"/>
  <c r="BR75" i="1" s="1"/>
  <c r="BR39" i="1"/>
  <c r="BQ69" i="1"/>
  <c r="BR71" i="1"/>
  <c r="BQ59" i="1"/>
  <c r="BR70" i="1"/>
  <c r="BQ34" i="1"/>
  <c r="BQ21" i="1"/>
  <c r="BM77" i="1"/>
  <c r="BR77" i="1" s="1"/>
  <c r="BR58" i="1"/>
  <c r="BM76" i="1"/>
  <c r="BQ76" i="1" s="1"/>
  <c r="BR46" i="1"/>
  <c r="BQ53" i="1"/>
  <c r="BR47" i="1"/>
  <c r="AM50" i="1" l="1"/>
  <c r="BK50" i="1" s="1"/>
  <c r="AM52" i="1"/>
  <c r="BK52" i="1" s="1"/>
  <c r="AM66" i="1"/>
  <c r="BK66" i="1" s="1"/>
  <c r="AM47" i="1"/>
  <c r="BK47" i="1" s="1"/>
  <c r="AM36" i="1"/>
  <c r="BK36" i="1" s="1"/>
  <c r="BQ15" i="1"/>
  <c r="AM62" i="1"/>
  <c r="BK62" i="1" s="1"/>
  <c r="BR41" i="1"/>
  <c r="AM41" i="1" s="1"/>
  <c r="BK41" i="1" s="1"/>
  <c r="AM70" i="1"/>
  <c r="BK70" i="1" s="1"/>
  <c r="AM20" i="1"/>
  <c r="BK20" i="1" s="1"/>
  <c r="BR15" i="1"/>
  <c r="AM15" i="1" s="1"/>
  <c r="BK15" i="1" s="1"/>
  <c r="AM46" i="1"/>
  <c r="BK46" i="1" s="1"/>
  <c r="AM30" i="1"/>
  <c r="BK30" i="1" s="1"/>
  <c r="AM58" i="1"/>
  <c r="BK58" i="1" s="1"/>
  <c r="AM25" i="1"/>
  <c r="BK25" i="1" s="1"/>
  <c r="BQ28" i="1"/>
  <c r="AM71" i="1"/>
  <c r="BK71" i="1" s="1"/>
  <c r="AM26" i="1"/>
  <c r="BK26" i="1" s="1"/>
  <c r="AM63" i="1"/>
  <c r="BK63" i="1" s="1"/>
  <c r="AM55" i="1"/>
  <c r="BK55" i="1" s="1"/>
  <c r="BQ77" i="1"/>
  <c r="BQ70" i="1"/>
  <c r="BR69" i="1"/>
  <c r="BQ71" i="1"/>
  <c r="BQ75" i="1"/>
  <c r="BQ58" i="1"/>
  <c r="BR53" i="1"/>
  <c r="BR51" i="1"/>
  <c r="BQ52" i="1"/>
  <c r="BQ47" i="1"/>
  <c r="BQ46" i="1"/>
  <c r="BQ40" i="1"/>
  <c r="BQ39" i="1"/>
  <c r="BQ33" i="1"/>
  <c r="BR35" i="1"/>
  <c r="BR28" i="1"/>
  <c r="AM28" i="1" s="1"/>
  <c r="BK28" i="1" s="1"/>
  <c r="BQ23" i="1"/>
  <c r="BR22" i="1"/>
  <c r="AM22" i="1" s="1"/>
  <c r="BK22" i="1" s="1"/>
  <c r="BR45" i="1"/>
  <c r="BR27" i="1"/>
  <c r="AM27" i="1" s="1"/>
  <c r="BK27" i="1" s="1"/>
  <c r="BQ41" i="1"/>
  <c r="BR65" i="1"/>
  <c r="BR21" i="1"/>
  <c r="AM21" i="1" s="1"/>
  <c r="BK21" i="1" s="1"/>
  <c r="BR59" i="1"/>
  <c r="BR29" i="1"/>
  <c r="AM29" i="1" s="1"/>
  <c r="BK29" i="1" s="1"/>
  <c r="BR34" i="1"/>
  <c r="BR76" i="1"/>
  <c r="BQ4" i="1"/>
  <c r="BR5" i="1"/>
  <c r="BR57" i="1"/>
  <c r="BP5" i="1"/>
  <c r="BR10" i="1"/>
  <c r="AM10" i="1" s="1"/>
  <c r="BK10" i="1" s="1"/>
  <c r="BR9" i="1"/>
  <c r="AM9" i="1" s="1"/>
  <c r="BK9" i="1" s="1"/>
  <c r="BR11" i="1"/>
  <c r="AM11" i="1" s="1"/>
  <c r="BK11" i="1" s="1"/>
  <c r="AM35" i="1" l="1"/>
  <c r="BK35" i="1" s="1"/>
  <c r="AM5" i="1"/>
  <c r="BK5" i="1" s="1"/>
  <c r="AM53" i="1"/>
  <c r="BK53" i="1" s="1"/>
  <c r="AM72" i="1"/>
  <c r="BK72" i="1" s="1"/>
  <c r="AM59" i="1"/>
  <c r="BK59" i="1" s="1"/>
  <c r="AM31" i="1"/>
  <c r="BK31" i="1" s="1"/>
  <c r="AM69" i="1"/>
  <c r="BK69" i="1" s="1"/>
  <c r="AM14" i="1"/>
  <c r="BK14" i="1" s="1"/>
  <c r="AM77" i="1"/>
  <c r="BK77" i="1" s="1"/>
  <c r="AM51" i="1"/>
  <c r="BK51" i="1" s="1"/>
  <c r="AM60" i="1"/>
  <c r="BK60" i="1" s="1"/>
  <c r="AM45" i="1"/>
  <c r="BK45" i="1" s="1"/>
  <c r="AM24" i="1"/>
  <c r="BK24" i="1" s="1"/>
  <c r="AM65" i="1"/>
  <c r="BK65" i="1" s="1"/>
  <c r="AM67" i="1"/>
  <c r="BK67" i="1" s="1"/>
  <c r="BS5" i="1"/>
  <c r="BS29" i="1"/>
  <c r="AM57" i="1"/>
  <c r="BK57" i="1" s="1"/>
  <c r="AM19" i="1"/>
  <c r="BK19" i="1" s="1"/>
  <c r="AM40" i="1"/>
  <c r="BK40" i="1" s="1"/>
  <c r="AM39" i="1"/>
  <c r="BK39" i="1" s="1"/>
  <c r="AM76" i="1"/>
  <c r="BK76" i="1" s="1"/>
  <c r="AM56" i="1"/>
  <c r="BK56" i="1" s="1"/>
  <c r="AM34" i="1"/>
  <c r="BK34" i="1" s="1"/>
  <c r="AM75" i="1"/>
  <c r="BK75" i="1" s="1"/>
  <c r="BQ11" i="1"/>
  <c r="BQ9" i="1"/>
  <c r="BQ10" i="1"/>
  <c r="BS64" i="1"/>
  <c r="BR64" i="1"/>
  <c r="BQ64" i="1"/>
  <c r="AM64" i="1" l="1"/>
  <c r="BK64" i="1" s="1"/>
  <c r="AM61" i="1"/>
  <c r="BK61" i="1" s="1"/>
</calcChain>
</file>

<file path=xl/sharedStrings.xml><?xml version="1.0" encoding="utf-8"?>
<sst xmlns="http://schemas.openxmlformats.org/spreadsheetml/2006/main" count="262" uniqueCount="100">
  <si>
    <t>Batch Data</t>
  </si>
  <si>
    <t>Offline Data</t>
  </si>
  <si>
    <t>Online Data</t>
  </si>
  <si>
    <t>Process Setpoints</t>
  </si>
  <si>
    <t>MPC Data</t>
  </si>
  <si>
    <t>Calculations</t>
  </si>
  <si>
    <t>Final Values</t>
  </si>
  <si>
    <t>Batch</t>
  </si>
  <si>
    <t>Controller</t>
  </si>
  <si>
    <t>iVCC</t>
  </si>
  <si>
    <t>Day</t>
  </si>
  <si>
    <t>Comments</t>
  </si>
  <si>
    <t>Sample Time</t>
  </si>
  <si>
    <t>Reference Titer</t>
  </si>
  <si>
    <t>HPLC Titer</t>
  </si>
  <si>
    <t>IGG</t>
  </si>
  <si>
    <t xml:space="preserve">TCC  </t>
  </si>
  <si>
    <t>VCC</t>
  </si>
  <si>
    <t>Viability</t>
  </si>
  <si>
    <t xml:space="preserve">Diam </t>
  </si>
  <si>
    <t>Osmolality</t>
  </si>
  <si>
    <t>Ammonium</t>
  </si>
  <si>
    <t>Calcium</t>
  </si>
  <si>
    <t>Glucose</t>
  </si>
  <si>
    <t>Used in Feed?</t>
  </si>
  <si>
    <t>Glutamine</t>
  </si>
  <si>
    <t>Glutamate</t>
  </si>
  <si>
    <t>Lactate</t>
  </si>
  <si>
    <t>pH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</si>
  <si>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</si>
  <si>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</si>
  <si>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</si>
  <si>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</si>
  <si>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</si>
  <si>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</si>
  <si>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</si>
  <si>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</si>
  <si>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</si>
  <si>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DO Raw</t>
  </si>
  <si>
    <t>Online pH</t>
  </si>
  <si>
    <t>DO</t>
  </si>
  <si>
    <t>Vessel Temp (*C)</t>
  </si>
  <si>
    <t>Base Pumped (mL)</t>
  </si>
  <si>
    <t>Acid Pumped (mL)</t>
  </si>
  <si>
    <t>Antifoam Amount (mL)</t>
  </si>
  <si>
    <t>Feed Flow Rate (mL/min)</t>
  </si>
  <si>
    <t>Cumulative Feed Amount (mL)</t>
  </si>
  <si>
    <t>Cumulative Glucose Amount (mL)</t>
  </si>
  <si>
    <t>Feed Bottle Weight (g)</t>
  </si>
  <si>
    <t>Daily Feed Amount (mL)</t>
  </si>
  <si>
    <t>Daily Glucose Amount (mL)</t>
  </si>
  <si>
    <t>Daily Feed Weight (g)</t>
  </si>
  <si>
    <t>Sample Volume</t>
  </si>
  <si>
    <t>Initial_Volume</t>
  </si>
  <si>
    <t>Temperature</t>
  </si>
  <si>
    <t>pH_setpoint</t>
  </si>
  <si>
    <t>CD96 CSFR Setpoint</t>
  </si>
  <si>
    <t>Model Feed Input Python</t>
  </si>
  <si>
    <t>Model Feed Input Julia</t>
  </si>
  <si>
    <t>Model Glucose Input Julia</t>
  </si>
  <si>
    <t>Feed Flow Rate based on CSFR (mL/min)</t>
  </si>
  <si>
    <t>Feed Fed based on CSFR (mL)</t>
  </si>
  <si>
    <t>Volume</t>
  </si>
  <si>
    <t>Cumulative_Normalized_Feed_Current WV</t>
  </si>
  <si>
    <t>Cumulative_Normalized_Feed_Initial WV</t>
  </si>
  <si>
    <t>Amount of Future Feed</t>
  </si>
  <si>
    <t>Feed Rate (mL/min) Python</t>
  </si>
  <si>
    <t>Feed Rate (mL/min) Julia</t>
  </si>
  <si>
    <t>Feed Rate based on CSFR (mL/min)</t>
  </si>
  <si>
    <t>Amount of Glucose to Feed (mL)</t>
  </si>
  <si>
    <t>Amount of Glucose (mL) Julia</t>
  </si>
  <si>
    <t>Pump RPM</t>
  </si>
  <si>
    <t>Flow Rates to Copy to System</t>
  </si>
  <si>
    <t>Glucose to Copy to System</t>
  </si>
  <si>
    <t>Julia</t>
  </si>
  <si>
    <t>Python</t>
  </si>
  <si>
    <t>Glucose Strategy: feed up to 5g/L</t>
  </si>
  <si>
    <t>Reactor Scale Weight (g)</t>
  </si>
  <si>
    <t>Reactor Scale Offset (g)</t>
  </si>
  <si>
    <t>Reactor Scale True Weight (g)</t>
  </si>
  <si>
    <t>Glucose Strategy: feed up to 3g/L if under 1.5 g/L, CSFR was used since model predicted low feed</t>
  </si>
  <si>
    <t>pH, pCO2, pO2, bicarb, pCO2 at temp, pO2 at temp, and pH at temp were not measured in BR05's first sample</t>
  </si>
  <si>
    <t>Switched to optical DO probe</t>
  </si>
  <si>
    <t>MR24-045-801</t>
  </si>
  <si>
    <t>MR24-045-802</t>
  </si>
  <si>
    <t>MR24-045-803</t>
  </si>
  <si>
    <t>MR24-045-804</t>
  </si>
  <si>
    <t>MR24-045-805</t>
  </si>
  <si>
    <t>MR24-045-806</t>
  </si>
  <si>
    <t>Antifoam totalizer reset due to schedule restart</t>
  </si>
  <si>
    <t>801 DO probe was switched back to probe 1 due to large fluctuations in probe 2</t>
  </si>
  <si>
    <t>Cedex Sample was concentrated due to being left over night. Samples were re-run but the original value used for modeling was: 5803.62</t>
  </si>
  <si>
    <t>Cedex Sample was concentrated due to being left over night. Samples were re-run but the original value used for modeling was: 5945.67</t>
  </si>
  <si>
    <t>Cedex Sample was concentrated due to being left over night. Samples were re-run but the original value used for modeling was: 5235.63</t>
  </si>
  <si>
    <t>Cedex Sample was concentrated due to being left over night. Samples were re-run but the original value used for modeling was: 5350.905</t>
  </si>
  <si>
    <t>Cedex Sample was concentrated due to being left over night. Samples were re-run but the original value used for modeling was: 2975.505</t>
  </si>
  <si>
    <t>Cedex Sample was concentrated due to being left over night. Samples were re-run but the original value used for modeling was: 5979</t>
  </si>
  <si>
    <t>805 was considered dead 2 days before this so feed was turned off, lactate was run on cedex since it was out of range</t>
  </si>
  <si>
    <t>Antifoam totalizer reset due to schedule restart, lactate was run on cedex since it was out of range</t>
  </si>
  <si>
    <t>Lactate was run on cedex since it was 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</si>
</sst>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[$-409]m/d/yy\ h:mm\ AM/PM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2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2" fontId="0" fillId="0" borderId="11" xfId="0" applyNumberForma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8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8" borderId="16" xfId="0" applyNumberFormat="1" applyFill="1" applyBorder="1"/>
    <xf numFmtId="0" fontId="20" fillId="0" borderId="14" xfId="0" applyFont="1" applyBorder="1" applyAlignment="1">
      <alignment horizontal="center" vertical="center" wrapText="1"/>
    </xf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20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7" xfId="0" applyNumberFormat="1" applyBorder="1"/>
    <xf numFmtId="165" fontId="0" fillId="39" borderId="10" xfId="0" applyNumberFormat="1" applyFill="1" applyBorder="1"/>
    <xf numFmtId="165" fontId="0" fillId="39" borderId="13" xfId="0" applyNumberFormat="1" applyFill="1" applyBorder="1"/>
    <xf numFmtId="165" fontId="0" fillId="39" borderId="15" xfId="0" applyNumberFormat="1" applyFill="1" applyBorder="1"/>
    <xf numFmtId="165" fontId="0" fillId="39" borderId="14" xfId="0" applyNumberFormat="1" applyFill="1" applyBorder="1"/>
    <xf numFmtId="165" fontId="0" fillId="39" borderId="17" xfId="0" applyNumberFormat="1" applyFill="1" applyBorder="1"/>
    <xf numFmtId="165" fontId="0" fillId="39" borderId="12" xfId="0" applyNumberFormat="1" applyFill="1" applyBorder="1"/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6" fontId="0" fillId="38" borderId="11" xfId="0" applyNumberFormat="1" applyFill="1" applyBorder="1"/>
    <xf numFmtId="166" fontId="0" fillId="38" borderId="16" xfId="0" applyNumberFormat="1" applyFill="1" applyBorder="1"/>
    <xf numFmtId="166" fontId="0" fillId="39" borderId="11" xfId="0" applyNumberFormat="1" applyFill="1" applyBorder="1"/>
    <xf numFmtId="166" fontId="0" fillId="39" borderId="16" xfId="0" applyNumberFormat="1" applyFill="1" applyBorder="1"/>
    <xf numFmtId="167" fontId="0" fillId="0" borderId="0" xfId="0" applyNumberFormat="1"/>
    <xf numFmtId="2" fontId="0" fillId="41" borderId="11" xfId="0" applyNumberFormat="1" applyFill="1" applyBorder="1"/>
    <xf numFmtId="2" fontId="0" fillId="41" borderId="16" xfId="0" applyNumberFormat="1" applyFill="1" applyBorder="1"/>
    <xf numFmtId="164" fontId="0" fillId="41" borderId="11" xfId="0" applyNumberFormat="1" applyFill="1" applyBorder="1"/>
    <xf numFmtId="0" fontId="20" fillId="0" borderId="0" xfId="0" applyFont="1" applyAlignment="1">
      <alignment horizontal="center" vertical="center"/>
    </xf>
    <xf numFmtId="2" fontId="0" fillId="0" borderId="0" xfId="0" applyNumberFormat="1"/>
    <xf numFmtId="2" fontId="0" fillId="41" borderId="0" xfId="0" applyNumberFormat="1" applyFill="1"/>
    <xf numFmtId="164" fontId="0" fillId="0" borderId="0" xfId="0" applyNumberFormat="1"/>
    <xf numFmtId="164" fontId="0" fillId="38" borderId="0" xfId="0" applyNumberFormat="1" applyFill="1"/>
    <xf numFmtId="166" fontId="0" fillId="38" borderId="0" xfId="0" applyNumberFormat="1" applyFill="1"/>
    <xf numFmtId="166" fontId="0" fillId="39" borderId="0" xfId="0" applyNumberFormat="1" applyFill="1"/>
    <xf numFmtId="164" fontId="0" fillId="38" borderId="12" xfId="0" applyNumberFormat="1" applyFill="1" applyBorder="1"/>
    <xf numFmtId="164" fontId="0" fillId="38" borderId="14" xfId="0" applyNumberFormat="1" applyFill="1" applyBorder="1"/>
    <xf numFmtId="164" fontId="0" fillId="38" borderId="17" xfId="0" applyNumberFormat="1" applyFill="1" applyBorder="1"/>
    <xf numFmtId="1" fontId="0" fillId="0" borderId="10" xfId="0" applyNumberFormat="1" applyBorder="1"/>
    <xf numFmtId="1" fontId="0" fillId="0" borderId="13" xfId="0" applyNumberFormat="1" applyBorder="1"/>
    <xf numFmtId="1" fontId="0" fillId="0" borderId="15" xfId="0" applyNumberFormat="1" applyBorder="1"/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8" fontId="0" fillId="0" borderId="0" xfId="0" applyNumberFormat="1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164" fontId="24" fillId="0" borderId="13" xfId="0" applyNumberFormat="1" applyFont="1" applyBorder="1"/>
    <xf numFmtId="164" fontId="24" fillId="0" borderId="15" xfId="0" applyNumberFormat="1" applyFont="1" applyBorder="1"/>
    <xf numFmtId="2" fontId="25" fillId="0" borderId="11" xfId="0" applyNumberFormat="1" applyFont="1" applyBorder="1"/>
    <xf numFmtId="2" fontId="25" fillId="0" borderId="0" xfId="0" applyNumberFormat="1" applyFont="1"/>
    <xf numFmtId="2" fontId="25" fillId="0" borderId="16" xfId="0" applyNumberFormat="1" applyFont="1" applyBorder="1"/>
    <xf numFmtId="2" fontId="14" fillId="0" borderId="11" xfId="0" applyNumberFormat="1" applyFont="1" applyBorder="1"/>
    <xf numFmtId="2" fontId="14" fillId="0" borderId="0" xfId="0" applyNumberFormat="1" applyFont="1"/>
    <xf numFmtId="2" fontId="14" fillId="0" borderId="16" xfId="0" applyNumberFormat="1" applyFont="1" applyBorder="1"/>
    <xf numFmtId="0" fontId="0" fillId="0" borderId="0" xfId="0" applyBorder="1"/>
    <xf numFmtId="2" fontId="0" fillId="0" borderId="0" xfId="0" applyNumberFormat="1" applyBorder="1"/>
    <xf numFmtId="2" fontId="14" fillId="0" borderId="0" xfId="0" applyNumberFormat="1" applyFont="1" applyBorder="1"/>
    <xf numFmtId="2" fontId="0" fillId="41" borderId="0" xfId="0" applyNumberFormat="1" applyFill="1" applyBorder="1"/>
    <xf numFmtId="2" fontId="25" fillId="0" borderId="0" xfId="0" applyNumberFormat="1" applyFont="1" applyBorder="1"/>
    <xf numFmtId="164" fontId="0" fillId="0" borderId="0" xfId="0" applyNumberFormat="1" applyBorder="1"/>
    <xf numFmtId="164" fontId="0" fillId="38" borderId="0" xfId="0" applyNumberFormat="1" applyFill="1" applyBorder="1"/>
    <xf numFmtId="166" fontId="0" fillId="38" borderId="0" xfId="0" applyNumberFormat="1" applyFill="1" applyBorder="1"/>
    <xf numFmtId="0" fontId="19" fillId="40" borderId="0" xfId="0" applyFont="1" applyFill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39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26" fillId="0" borderId="11" xfId="0" applyFont="1" applyBorder="1"/>
    <xf numFmtId="0" fontId="26" fillId="0" borderId="0" xfId="0" applyFont="1" applyBorder="1"/>
    <xf numFmtId="0" fontId="26" fillId="0" borderId="0" xfId="0" applyFont="1"/>
    <xf numFmtId="0" fontId="26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FF0000"/>
      </font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7"/>
  <sheetViews>
    <sheetView tabSelected="1" zoomScaleNormal="100" workbookViewId="0">
      <pane xSplit="6" ySplit="2" topLeftCell="G52" activePane="bottomRight" state="frozen"/>
      <selection pane="topRight" activeCell="H1" sqref="H1"/>
      <selection pane="bottomLeft" activeCell="A3" sqref="A3"/>
      <selection pane="bottomRight" activeCell="H71" sqref="H71"/>
    </sheetView>
  </sheetViews>
  <sheetFormatPr defaultColWidth="14.7109375" defaultRowHeight="15" x14ac:dyDescent="0.25"/>
  <cols>
    <col min="2" max="4" width="10.7109375" customWidth="1"/>
    <col min="5" max="5" width="20.42578125" customWidth="1"/>
    <col min="6" max="6" width="14.85546875" customWidth="1"/>
    <col min="7" max="18" width="12.7109375" customWidth="1"/>
    <col min="19" max="19" width="15.140625" customWidth="1"/>
    <col min="20" max="20" width="16.140625" customWidth="1"/>
    <col min="21" max="43" width="12.7109375" customWidth="1"/>
    <col min="44" max="44" width="12.7109375" hidden="1" customWidth="1"/>
    <col min="45" max="68" width="12.7109375" customWidth="1"/>
    <col min="69" max="69" width="16.28515625" bestFit="1" customWidth="1"/>
    <col min="70" max="71" width="16.28515625" customWidth="1"/>
  </cols>
  <sheetData>
    <row r="1" spans="1:71" ht="21" x14ac:dyDescent="0.35">
      <c r="A1" s="79" t="s">
        <v>0</v>
      </c>
      <c r="B1" s="79"/>
      <c r="C1" s="79"/>
      <c r="D1" s="79"/>
      <c r="E1" s="79"/>
      <c r="F1" s="79"/>
      <c r="G1" s="80" t="s">
        <v>1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2"/>
      <c r="AE1" s="95" t="s">
        <v>2</v>
      </c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7"/>
      <c r="AX1" s="89" t="s">
        <v>3</v>
      </c>
      <c r="AY1" s="90"/>
      <c r="AZ1" s="90"/>
      <c r="BA1" s="90"/>
      <c r="BB1" s="91"/>
      <c r="BC1" s="92" t="s">
        <v>4</v>
      </c>
      <c r="BD1" s="93"/>
      <c r="BE1" s="94"/>
      <c r="BF1" s="86" t="s">
        <v>5</v>
      </c>
      <c r="BG1" s="87"/>
      <c r="BH1" s="87"/>
      <c r="BI1" s="87"/>
      <c r="BJ1" s="87"/>
      <c r="BK1" s="87"/>
      <c r="BL1" s="87"/>
      <c r="BM1" s="87"/>
      <c r="BN1" s="87"/>
      <c r="BO1" s="87"/>
      <c r="BP1" s="88"/>
      <c r="BQ1" s="83" t="s">
        <v>6</v>
      </c>
      <c r="BR1" s="84"/>
      <c r="BS1" s="85"/>
    </row>
    <row r="2" spans="1:71" ht="60.75" thickBot="1" x14ac:dyDescent="0.3">
      <c r="A2" s="19" t="s">
        <v>7</v>
      </c>
      <c r="B2" s="19" t="s">
        <v>8</v>
      </c>
      <c r="C2" s="19" t="s">
        <v>9</v>
      </c>
      <c r="D2" s="19" t="s">
        <v>10</v>
      </c>
      <c r="E2" s="43" t="s">
        <v>11</v>
      </c>
      <c r="F2" s="19" t="s">
        <v>12</v>
      </c>
      <c r="G2" s="33" t="s">
        <v>13</v>
      </c>
      <c r="H2" s="57" t="s">
        <v>14</v>
      </c>
      <c r="I2" s="57" t="s">
        <v>15</v>
      </c>
      <c r="J2" s="58" t="s">
        <v>16</v>
      </c>
      <c r="K2" s="58" t="s">
        <v>17</v>
      </c>
      <c r="L2" s="58" t="s">
        <v>18</v>
      </c>
      <c r="M2" s="58" t="s">
        <v>19</v>
      </c>
      <c r="N2" s="56" t="s">
        <v>20</v>
      </c>
      <c r="O2" s="56" t="s">
        <v>21</v>
      </c>
      <c r="P2" s="56" t="s">
        <v>22</v>
      </c>
      <c r="Q2" s="56" t="s">
        <v>23</v>
      </c>
      <c r="R2" s="56" t="s">
        <v>24</v>
      </c>
      <c r="S2" s="56" t="s">
        <v>25</v>
      </c>
      <c r="T2" s="56" t="s">
        <v>26</v>
      </c>
      <c r="U2" s="56" t="s">
        <v>27</v>
      </c>
      <c r="V2" s="56" t="s">
        <v>28</v>
      </c>
      <c r="W2" s="56" t="s">
        <v>29</v>
      </c>
      <c r="X2" s="56" t="s">
        <v>30</v>
      </c>
      <c r="Y2" s="56" t="s">
        <v>31</v>
      </c>
      <c r="Z2" s="56" t="s">
        <v>32</v>
      </c>
      <c r="AA2" s="56" t="s">
        <v>33</v>
      </c>
      <c r="AB2" s="56" t="s">
        <v>34</v>
      </c>
      <c r="AC2" s="56" t="s">
        <v>35</v>
      </c>
      <c r="AD2" s="34" t="s">
        <v>36</v>
      </c>
      <c r="AE2" s="20" t="s">
        <v>37</v>
      </c>
      <c r="AF2" s="19" t="s">
        <v>38</v>
      </c>
      <c r="AG2" s="19" t="s">
        <v>39</v>
      </c>
      <c r="AH2" s="19" t="s">
        <v>40</v>
      </c>
      <c r="AI2" s="19" t="s">
        <v>41</v>
      </c>
      <c r="AJ2" s="19" t="s">
        <v>42</v>
      </c>
      <c r="AK2" s="19" t="s">
        <v>43</v>
      </c>
      <c r="AL2" s="19" t="s">
        <v>44</v>
      </c>
      <c r="AM2" s="19" t="s">
        <v>45</v>
      </c>
      <c r="AN2" s="19" t="s">
        <v>46</v>
      </c>
      <c r="AO2" s="19" t="s">
        <v>47</v>
      </c>
      <c r="AP2" s="19" t="s">
        <v>48</v>
      </c>
      <c r="AQ2" s="19" t="s">
        <v>77</v>
      </c>
      <c r="AR2" s="19" t="s">
        <v>78</v>
      </c>
      <c r="AS2" s="19" t="s">
        <v>79</v>
      </c>
      <c r="AT2" s="19" t="s">
        <v>49</v>
      </c>
      <c r="AU2" s="19" t="s">
        <v>50</v>
      </c>
      <c r="AV2" s="19" t="s">
        <v>51</v>
      </c>
      <c r="AW2" s="15" t="s">
        <v>52</v>
      </c>
      <c r="AX2" s="20" t="s">
        <v>53</v>
      </c>
      <c r="AY2" s="19" t="s">
        <v>54</v>
      </c>
      <c r="AZ2" s="19" t="s">
        <v>55</v>
      </c>
      <c r="BA2" s="19" t="s">
        <v>40</v>
      </c>
      <c r="BB2" s="15" t="s">
        <v>56</v>
      </c>
      <c r="BC2" s="20" t="s">
        <v>57</v>
      </c>
      <c r="BD2" s="19" t="s">
        <v>58</v>
      </c>
      <c r="BE2" s="15" t="s">
        <v>59</v>
      </c>
      <c r="BF2" s="20" t="s">
        <v>60</v>
      </c>
      <c r="BG2" s="19" t="s">
        <v>61</v>
      </c>
      <c r="BH2" s="19" t="s">
        <v>62</v>
      </c>
      <c r="BI2" s="19" t="s">
        <v>63</v>
      </c>
      <c r="BJ2" s="19" t="s">
        <v>64</v>
      </c>
      <c r="BK2" s="19" t="s">
        <v>65</v>
      </c>
      <c r="BL2" s="19" t="s">
        <v>66</v>
      </c>
      <c r="BM2" s="19" t="s">
        <v>67</v>
      </c>
      <c r="BN2" s="19" t="s">
        <v>68</v>
      </c>
      <c r="BO2" s="19" t="s">
        <v>69</v>
      </c>
      <c r="BP2" s="15" t="s">
        <v>70</v>
      </c>
      <c r="BQ2" s="20" t="s">
        <v>71</v>
      </c>
      <c r="BR2" s="19" t="s">
        <v>72</v>
      </c>
      <c r="BS2" s="15" t="s">
        <v>73</v>
      </c>
    </row>
    <row r="3" spans="1:71" x14ac:dyDescent="0.25">
      <c r="A3" s="2" t="s">
        <v>83</v>
      </c>
      <c r="B3" s="3" t="s">
        <v>74</v>
      </c>
      <c r="C3" s="3">
        <v>12</v>
      </c>
      <c r="D3" s="3">
        <v>0</v>
      </c>
      <c r="E3" s="3"/>
      <c r="F3" s="60">
        <v>45533.530428240701</v>
      </c>
      <c r="G3" s="3">
        <v>146.51</v>
      </c>
      <c r="H3" s="6"/>
      <c r="I3" s="6">
        <v>121.7636</v>
      </c>
      <c r="J3" s="6">
        <v>12.8</v>
      </c>
      <c r="K3" s="6">
        <v>12.6</v>
      </c>
      <c r="L3" s="6">
        <v>99.2</v>
      </c>
      <c r="M3" s="6">
        <v>17.2</v>
      </c>
      <c r="N3" s="6">
        <v>320</v>
      </c>
      <c r="O3" s="6">
        <v>0.67</v>
      </c>
      <c r="P3" s="6">
        <v>0.7</v>
      </c>
      <c r="Q3" s="6">
        <v>6.03</v>
      </c>
      <c r="R3" s="6"/>
      <c r="S3" s="6">
        <v>0.72</v>
      </c>
      <c r="T3" s="6">
        <v>2.4500000000000002</v>
      </c>
      <c r="U3" s="6">
        <v>0.95</v>
      </c>
      <c r="V3" s="6">
        <v>7.2160000000000002</v>
      </c>
      <c r="W3" s="6">
        <v>64</v>
      </c>
      <c r="X3" s="6">
        <v>34.4</v>
      </c>
      <c r="Y3" s="6">
        <v>6.93</v>
      </c>
      <c r="Z3" s="6">
        <v>112.2</v>
      </c>
      <c r="AA3" s="6">
        <v>25.2</v>
      </c>
      <c r="AB3" s="6">
        <v>56.1</v>
      </c>
      <c r="AC3" s="6">
        <v>27.8</v>
      </c>
      <c r="AD3" s="16">
        <v>7.2560000000000002</v>
      </c>
      <c r="AE3" s="6">
        <v>299</v>
      </c>
      <c r="AF3" s="6">
        <v>50.4</v>
      </c>
      <c r="AG3" s="6">
        <v>7.09</v>
      </c>
      <c r="AH3" s="40">
        <f t="shared" ref="AH3:AH34" si="0">AF3/100</f>
        <v>0.504</v>
      </c>
      <c r="AI3" s="6">
        <v>34</v>
      </c>
      <c r="AJ3" s="6">
        <v>2.88</v>
      </c>
      <c r="AK3" s="44">
        <v>0</v>
      </c>
      <c r="AL3" s="6">
        <v>0</v>
      </c>
      <c r="AM3" s="42">
        <f t="shared" ref="AM3:AM34" si="1">BR3</f>
        <v>4.9734010316631501E-3</v>
      </c>
      <c r="AN3" s="6">
        <v>0</v>
      </c>
      <c r="AO3" s="6">
        <v>0</v>
      </c>
      <c r="AP3" s="6">
        <v>685</v>
      </c>
      <c r="AQ3" s="6">
        <v>1830</v>
      </c>
      <c r="AR3" s="40">
        <v>137.11999999999989</v>
      </c>
      <c r="AS3" s="40">
        <f t="shared" ref="AS3:AS34" si="2">AQ3-AR3</f>
        <v>1692.88</v>
      </c>
      <c r="AT3" s="40">
        <v>0</v>
      </c>
      <c r="AU3" s="40">
        <v>0</v>
      </c>
      <c r="AV3" s="40">
        <v>0</v>
      </c>
      <c r="AW3" s="24">
        <v>10</v>
      </c>
      <c r="AX3" s="53">
        <v>1700</v>
      </c>
      <c r="AY3" s="6">
        <v>34</v>
      </c>
      <c r="AZ3" s="6">
        <v>7.2</v>
      </c>
      <c r="BA3" s="6">
        <v>50</v>
      </c>
      <c r="BB3" s="21">
        <v>2.9999999999999997E-4</v>
      </c>
      <c r="BC3" s="8"/>
      <c r="BD3" s="9">
        <f>BM3*24*60/BH3</f>
        <v>4.2304814786605872E-3</v>
      </c>
      <c r="BE3" s="21">
        <v>0</v>
      </c>
      <c r="BF3" s="8">
        <f t="shared" ref="BF3:BF34" si="3">BB3*K3*BH3/1000</f>
        <v>6.3990864000000001E-3</v>
      </c>
      <c r="BG3" s="9">
        <f t="shared" ref="BG3:BG34" si="4">BF3*24*60</f>
        <v>9.2146844160000008</v>
      </c>
      <c r="BH3" s="9">
        <f t="shared" ref="BH3:BH34" si="5">AX3+SUM(AJ3:AL3,AN3:AO3)-(AW3*(D3+1))</f>
        <v>1692.88</v>
      </c>
      <c r="BI3" s="10">
        <f t="shared" ref="BI3:BI34" si="6">IF(ISBLANK(AN3),"",IFERROR(AN3/BH3,0))</f>
        <v>0</v>
      </c>
      <c r="BJ3" s="10">
        <f t="shared" ref="BJ3:BJ34" si="7">IF(ISBLANK(AN3),"",AN3/AX3)</f>
        <v>0</v>
      </c>
      <c r="BK3" s="10">
        <f t="shared" ref="BK3:BK34" si="8">AM3*24*60</f>
        <v>7.161697485594936</v>
      </c>
      <c r="BL3" s="10" t="str">
        <f t="shared" ref="BL3:BL34" si="9">IF(B3="Python",BC3*BH3/24/60,"")</f>
        <v/>
      </c>
      <c r="BM3" s="10">
        <v>4.9734010316631501E-3</v>
      </c>
      <c r="BN3" s="35" t="str">
        <f t="shared" ref="BN3:BN34" si="10">IF(B3="No MPC", BB3*K3*BH3/1000,"")</f>
        <v/>
      </c>
      <c r="BO3" s="10" t="str">
        <f>IF(B3="Python",BC3*BH3,"")</f>
        <v/>
      </c>
      <c r="BP3" s="50">
        <f t="shared" ref="BP3:BP8" si="11">IF(B3="Julia",BE3*BH3,"")</f>
        <v>0</v>
      </c>
      <c r="BQ3" s="27">
        <f>IF(BL3&lt;&gt;"",BL3/0.000385,IF(BM3&lt;&gt;"",BM3/0.000385,BN3/0.000385))</f>
        <v>12.917924757566624</v>
      </c>
      <c r="BR3" s="37">
        <f>IF(BL3&lt;&gt;"",BL3,IF(BM3&lt;&gt;"",BM3,BN3))</f>
        <v>4.9734010316631501E-3</v>
      </c>
      <c r="BS3" s="32">
        <f>IF(BO3&lt;&gt;"",BO3,BP3)</f>
        <v>0</v>
      </c>
    </row>
    <row r="4" spans="1:71" x14ac:dyDescent="0.25">
      <c r="A4" s="1" t="s">
        <v>84</v>
      </c>
      <c r="B4" t="s">
        <v>74</v>
      </c>
      <c r="C4">
        <v>12</v>
      </c>
      <c r="D4">
        <v>0</v>
      </c>
      <c r="F4" s="61">
        <v>45533.540613425903</v>
      </c>
      <c r="G4">
        <v>146.51</v>
      </c>
      <c r="H4" s="44"/>
      <c r="I4" s="44">
        <v>124.4211</v>
      </c>
      <c r="J4" s="44">
        <v>12.1</v>
      </c>
      <c r="K4" s="44">
        <v>11.9</v>
      </c>
      <c r="L4" s="44">
        <v>97.9</v>
      </c>
      <c r="M4" s="44">
        <v>16.7</v>
      </c>
      <c r="N4" s="44">
        <v>323</v>
      </c>
      <c r="O4" s="44">
        <v>0.64</v>
      </c>
      <c r="P4" s="44">
        <v>0.61</v>
      </c>
      <c r="Q4" s="44">
        <v>5.86</v>
      </c>
      <c r="R4" s="44"/>
      <c r="S4" s="44">
        <v>0.97</v>
      </c>
      <c r="T4" s="44">
        <v>2.4900000000000002</v>
      </c>
      <c r="U4" s="44">
        <v>1.02</v>
      </c>
      <c r="V4" s="44">
        <v>7.2439999999999998</v>
      </c>
      <c r="W4" s="44">
        <v>72.8</v>
      </c>
      <c r="X4" s="44">
        <v>68.5</v>
      </c>
      <c r="Y4" s="44">
        <v>6.59</v>
      </c>
      <c r="Z4" s="44">
        <v>109.1</v>
      </c>
      <c r="AA4" s="44">
        <v>30.7</v>
      </c>
      <c r="AB4" s="44">
        <v>63.9</v>
      </c>
      <c r="AC4" s="44">
        <v>55.9</v>
      </c>
      <c r="AD4" s="17">
        <v>7.2850000000000001</v>
      </c>
      <c r="AE4" s="44">
        <v>299</v>
      </c>
      <c r="AF4" s="44">
        <v>49.6</v>
      </c>
      <c r="AG4" s="44">
        <v>7.09</v>
      </c>
      <c r="AH4" s="45">
        <f t="shared" si="0"/>
        <v>0.496</v>
      </c>
      <c r="AI4" s="44">
        <v>34</v>
      </c>
      <c r="AJ4" s="44">
        <v>4.2300000000000004</v>
      </c>
      <c r="AK4" s="44">
        <v>0</v>
      </c>
      <c r="AL4" s="44">
        <v>0</v>
      </c>
      <c r="AM4" s="45">
        <f t="shared" si="1"/>
        <v>5.0826556046544499E-3</v>
      </c>
      <c r="AN4" s="44">
        <v>0</v>
      </c>
      <c r="AO4" s="44">
        <v>0</v>
      </c>
      <c r="AP4" s="44">
        <v>692</v>
      </c>
      <c r="AQ4" s="44">
        <v>1740</v>
      </c>
      <c r="AR4" s="45">
        <v>45.769999999999982</v>
      </c>
      <c r="AS4" s="45">
        <f t="shared" si="2"/>
        <v>1694.23</v>
      </c>
      <c r="AT4" s="45">
        <v>0</v>
      </c>
      <c r="AU4" s="45">
        <v>0</v>
      </c>
      <c r="AV4" s="45">
        <v>0</v>
      </c>
      <c r="AW4" s="25">
        <v>10</v>
      </c>
      <c r="AX4" s="54">
        <v>1700</v>
      </c>
      <c r="AY4" s="44">
        <v>34</v>
      </c>
      <c r="AZ4" s="44">
        <v>7.2</v>
      </c>
      <c r="BA4" s="44">
        <v>50</v>
      </c>
      <c r="BB4" s="22">
        <v>2.9999999999999997E-4</v>
      </c>
      <c r="BC4" s="11"/>
      <c r="BD4" s="46">
        <f>BM4*24*60/BH4</f>
        <v>4.3199707658950724E-3</v>
      </c>
      <c r="BE4" s="22">
        <v>0</v>
      </c>
      <c r="BF4" s="11">
        <f t="shared" si="3"/>
        <v>6.0484010999999997E-3</v>
      </c>
      <c r="BG4" s="46">
        <f t="shared" si="4"/>
        <v>8.7096975839999988</v>
      </c>
      <c r="BH4" s="46">
        <f t="shared" si="5"/>
        <v>1694.23</v>
      </c>
      <c r="BI4" s="47">
        <f t="shared" si="6"/>
        <v>0</v>
      </c>
      <c r="BJ4" s="47">
        <f t="shared" si="7"/>
        <v>0</v>
      </c>
      <c r="BK4" s="47">
        <f t="shared" si="8"/>
        <v>7.3190240707024081</v>
      </c>
      <c r="BL4" s="47" t="str">
        <f t="shared" si="9"/>
        <v/>
      </c>
      <c r="BM4" s="47">
        <v>5.0826556046544499E-3</v>
      </c>
      <c r="BN4" s="48" t="str">
        <f t="shared" si="10"/>
        <v/>
      </c>
      <c r="BO4" s="47" t="str">
        <f>IF(B4="Python",BC4*BH4,"")</f>
        <v/>
      </c>
      <c r="BP4" s="51">
        <f t="shared" si="11"/>
        <v>0</v>
      </c>
      <c r="BQ4" s="28">
        <f t="shared" ref="BQ4" si="12">IF(BL4&lt;&gt;"",BL4/0.000385,IF(BM4&lt;&gt;"",BM4/0.000385,BN4/0.000385))</f>
        <v>13.201702869232339</v>
      </c>
      <c r="BR4" s="49">
        <f t="shared" ref="BR4" si="13">IF(BL4&lt;&gt;"",BL4,IF(BM4&lt;&gt;"",BM4,BN4))</f>
        <v>5.0826556046544499E-3</v>
      </c>
      <c r="BS4" s="30">
        <f t="shared" ref="BS4" si="14">IF(BO4&lt;&gt;"",BO4,BP4)</f>
        <v>0</v>
      </c>
    </row>
    <row r="5" spans="1:71" x14ac:dyDescent="0.25">
      <c r="A5" s="1" t="s">
        <v>85</v>
      </c>
      <c r="B5" t="s">
        <v>74</v>
      </c>
      <c r="C5">
        <v>12</v>
      </c>
      <c r="D5">
        <v>0</v>
      </c>
      <c r="F5" s="61">
        <v>45533.546666666698</v>
      </c>
      <c r="G5">
        <v>146.51</v>
      </c>
      <c r="H5" s="44"/>
      <c r="I5" s="44">
        <v>124.04219999999999</v>
      </c>
      <c r="J5" s="44">
        <v>12.6</v>
      </c>
      <c r="K5" s="44">
        <v>12.4</v>
      </c>
      <c r="L5" s="44">
        <v>97.9</v>
      </c>
      <c r="M5" s="44">
        <v>16.7</v>
      </c>
      <c r="N5" s="44">
        <v>322</v>
      </c>
      <c r="O5" s="44">
        <v>0.66</v>
      </c>
      <c r="P5" s="44">
        <v>0.61</v>
      </c>
      <c r="Q5" s="44">
        <v>5.81</v>
      </c>
      <c r="R5" s="44"/>
      <c r="S5" s="44">
        <v>0.99</v>
      </c>
      <c r="T5" s="44">
        <v>2.44</v>
      </c>
      <c r="U5" s="44">
        <v>1.03</v>
      </c>
      <c r="V5" s="44">
        <v>7.3230000000000004</v>
      </c>
      <c r="W5" s="44">
        <v>54</v>
      </c>
      <c r="X5" s="44">
        <v>77.099999999999994</v>
      </c>
      <c r="Y5" s="44">
        <v>6.62</v>
      </c>
      <c r="Z5" s="44">
        <v>108.8</v>
      </c>
      <c r="AA5" s="44">
        <v>27.3</v>
      </c>
      <c r="AB5" s="44">
        <v>47.3</v>
      </c>
      <c r="AC5" s="44">
        <v>63.2</v>
      </c>
      <c r="AD5" s="17">
        <v>7.3659999999999997</v>
      </c>
      <c r="AE5" s="44">
        <v>301</v>
      </c>
      <c r="AF5" s="44">
        <v>49.9</v>
      </c>
      <c r="AG5" s="44">
        <v>7.09</v>
      </c>
      <c r="AH5" s="45">
        <f t="shared" si="0"/>
        <v>0.499</v>
      </c>
      <c r="AI5" s="44">
        <v>34</v>
      </c>
      <c r="AJ5" s="44">
        <v>4.3</v>
      </c>
      <c r="AK5" s="44">
        <v>0</v>
      </c>
      <c r="AL5" s="44">
        <v>0</v>
      </c>
      <c r="AM5" s="45">
        <f t="shared" si="1"/>
        <v>5.1296020625802704E-3</v>
      </c>
      <c r="AN5" s="44">
        <v>0</v>
      </c>
      <c r="AO5" s="44">
        <v>0</v>
      </c>
      <c r="AP5" s="44">
        <v>683</v>
      </c>
      <c r="AQ5" s="44">
        <v>1779</v>
      </c>
      <c r="AR5" s="45">
        <v>84.700000000000045</v>
      </c>
      <c r="AS5" s="45">
        <f t="shared" si="2"/>
        <v>1694.3</v>
      </c>
      <c r="AT5" s="45">
        <v>0</v>
      </c>
      <c r="AU5" s="45">
        <v>0</v>
      </c>
      <c r="AV5" s="45">
        <v>0</v>
      </c>
      <c r="AW5" s="25">
        <v>10</v>
      </c>
      <c r="AX5" s="54">
        <v>1700</v>
      </c>
      <c r="AY5" s="44">
        <v>34</v>
      </c>
      <c r="AZ5" s="44">
        <v>7.2</v>
      </c>
      <c r="BA5" s="44">
        <v>50</v>
      </c>
      <c r="BB5" s="22">
        <v>2.9999999999999997E-4</v>
      </c>
      <c r="BC5" s="11"/>
      <c r="BD5" s="46">
        <f>BM5*24*60/BH5</f>
        <v>4.3596924807387059E-3</v>
      </c>
      <c r="BE5" s="22">
        <v>0</v>
      </c>
      <c r="BF5" s="11">
        <f t="shared" si="3"/>
        <v>6.3027960000000003E-3</v>
      </c>
      <c r="BG5" s="46">
        <f t="shared" si="4"/>
        <v>9.0760262400000009</v>
      </c>
      <c r="BH5" s="46">
        <f t="shared" si="5"/>
        <v>1694.3</v>
      </c>
      <c r="BI5" s="47">
        <f t="shared" si="6"/>
        <v>0</v>
      </c>
      <c r="BJ5" s="47">
        <f t="shared" si="7"/>
        <v>0</v>
      </c>
      <c r="BK5" s="47">
        <f t="shared" si="8"/>
        <v>7.3866269701155893</v>
      </c>
      <c r="BL5" s="47" t="str">
        <f t="shared" si="9"/>
        <v/>
      </c>
      <c r="BM5" s="47">
        <v>5.1296020625802704E-3</v>
      </c>
      <c r="BN5" s="48" t="str">
        <f t="shared" si="10"/>
        <v/>
      </c>
      <c r="BO5" s="47" t="str">
        <f>IF(B5="Python",BC5*BH5,"")</f>
        <v/>
      </c>
      <c r="BP5" s="51">
        <f t="shared" si="11"/>
        <v>0</v>
      </c>
      <c r="BQ5" s="28">
        <f t="shared" ref="BQ5:BQ8" si="15">IF(BL5&lt;&gt;"",BL5/0.000385,IF(BM5&lt;&gt;"",BM5/0.000385,BN5/0.000385))</f>
        <v>13.323641720987716</v>
      </c>
      <c r="BR5" s="49">
        <f t="shared" ref="BR5:BR8" si="16">IF(BL5&lt;&gt;"",BL5,IF(BM5&lt;&gt;"",BM5,BN5))</f>
        <v>5.1296020625802704E-3</v>
      </c>
      <c r="BS5" s="30">
        <f t="shared" ref="BS5:BS66" si="17">IF(BO5&lt;&gt;"",BO5,BP5)</f>
        <v>0</v>
      </c>
    </row>
    <row r="6" spans="1:71" x14ac:dyDescent="0.25">
      <c r="A6" s="1" t="s">
        <v>86</v>
      </c>
      <c r="B6" t="s">
        <v>75</v>
      </c>
      <c r="C6">
        <v>12</v>
      </c>
      <c r="D6">
        <v>0</v>
      </c>
      <c r="F6" s="61">
        <v>45533.574027777802</v>
      </c>
      <c r="G6">
        <v>146.51</v>
      </c>
      <c r="H6" s="44"/>
      <c r="I6" s="44">
        <v>134.7627</v>
      </c>
      <c r="J6" s="44">
        <v>13.5</v>
      </c>
      <c r="K6" s="44">
        <v>13.3</v>
      </c>
      <c r="L6" s="44">
        <v>98.3</v>
      </c>
      <c r="M6" s="44">
        <v>17</v>
      </c>
      <c r="N6" s="44">
        <v>324</v>
      </c>
      <c r="O6" s="44">
        <v>0.74</v>
      </c>
      <c r="P6" s="44">
        <v>0.69</v>
      </c>
      <c r="Q6" s="44">
        <v>5.67</v>
      </c>
      <c r="R6" s="44"/>
      <c r="S6" s="44">
        <v>0.72</v>
      </c>
      <c r="T6" s="44">
        <v>2.42</v>
      </c>
      <c r="U6" s="44">
        <v>1.1299999999999999</v>
      </c>
      <c r="V6" s="44">
        <v>7.2439999999999998</v>
      </c>
      <c r="W6" s="44">
        <v>70.099999999999994</v>
      </c>
      <c r="X6" s="44">
        <v>52.8</v>
      </c>
      <c r="Y6" s="44">
        <v>6.79</v>
      </c>
      <c r="Z6" s="44">
        <v>115.2</v>
      </c>
      <c r="AA6" s="44">
        <v>29.5</v>
      </c>
      <c r="AB6" s="44">
        <v>61.5</v>
      </c>
      <c r="AC6" s="44">
        <v>42.8</v>
      </c>
      <c r="AD6" s="17">
        <v>7.2850000000000001</v>
      </c>
      <c r="AE6" s="44">
        <v>299</v>
      </c>
      <c r="AF6" s="44">
        <v>50.2</v>
      </c>
      <c r="AG6" s="44">
        <v>7.09</v>
      </c>
      <c r="AH6" s="45">
        <f t="shared" si="0"/>
        <v>0.502</v>
      </c>
      <c r="AI6" s="44">
        <v>34</v>
      </c>
      <c r="AJ6" s="44">
        <v>5.58</v>
      </c>
      <c r="AK6" s="44">
        <v>0</v>
      </c>
      <c r="AL6" s="44">
        <v>0</v>
      </c>
      <c r="AM6" s="45">
        <f t="shared" si="1"/>
        <v>6.8294194444444437E-3</v>
      </c>
      <c r="AN6" s="44">
        <v>0</v>
      </c>
      <c r="AO6" s="44">
        <v>0</v>
      </c>
      <c r="AP6" s="44">
        <v>680</v>
      </c>
      <c r="AQ6" s="44">
        <v>1743</v>
      </c>
      <c r="AR6" s="45">
        <v>47.420000000000073</v>
      </c>
      <c r="AS6" s="45">
        <f t="shared" si="2"/>
        <v>1695.58</v>
      </c>
      <c r="AT6" s="45">
        <v>0</v>
      </c>
      <c r="AU6" s="45">
        <v>0</v>
      </c>
      <c r="AV6" s="45">
        <v>0</v>
      </c>
      <c r="AW6" s="25">
        <v>10</v>
      </c>
      <c r="AX6" s="54">
        <v>1700</v>
      </c>
      <c r="AY6" s="44">
        <v>34</v>
      </c>
      <c r="AZ6" s="44">
        <v>7.2</v>
      </c>
      <c r="BA6" s="44">
        <v>50</v>
      </c>
      <c r="BB6" s="22">
        <v>2.9999999999999997E-4</v>
      </c>
      <c r="BC6" s="11">
        <v>5.7999999999999996E-3</v>
      </c>
      <c r="BE6" s="22"/>
      <c r="BF6" s="11">
        <f t="shared" si="3"/>
        <v>6.7653641999999986E-3</v>
      </c>
      <c r="BG6" s="46">
        <f t="shared" si="4"/>
        <v>9.7421244479999984</v>
      </c>
      <c r="BH6" s="46">
        <f t="shared" si="5"/>
        <v>1695.58</v>
      </c>
      <c r="BI6" s="47">
        <f t="shared" si="6"/>
        <v>0</v>
      </c>
      <c r="BJ6" s="47">
        <f t="shared" si="7"/>
        <v>0</v>
      </c>
      <c r="BK6" s="47">
        <f t="shared" si="8"/>
        <v>9.834363999999999</v>
      </c>
      <c r="BL6" s="47">
        <f t="shared" si="9"/>
        <v>6.8294194444444437E-3</v>
      </c>
      <c r="BM6" s="48" t="str">
        <f>IF(B6="Julia",BD6*BH6/24/60,"")</f>
        <v/>
      </c>
      <c r="BN6" s="48" t="str">
        <f t="shared" si="10"/>
        <v/>
      </c>
      <c r="BO6" s="47">
        <v>0</v>
      </c>
      <c r="BP6" s="51" t="str">
        <f t="shared" si="11"/>
        <v/>
      </c>
      <c r="BQ6" s="28">
        <f t="shared" ref="BQ6" si="18">IF(BL6&lt;&gt;"",BL6/0.000385,IF(BM6&lt;&gt;"",BM6/0.000385,BN6/0.000385))</f>
        <v>17.738751803751803</v>
      </c>
      <c r="BR6" s="49">
        <f t="shared" ref="BR6" si="19">IF(BL6&lt;&gt;"",BL6,IF(BM6&lt;&gt;"",BM6,BN6))</f>
        <v>6.8294194444444437E-3</v>
      </c>
      <c r="BS6" s="30">
        <f>IF(BO6&lt;&gt;"",BO6,BP6)</f>
        <v>0</v>
      </c>
    </row>
    <row r="7" spans="1:71" x14ac:dyDescent="0.25">
      <c r="A7" s="1" t="s">
        <v>87</v>
      </c>
      <c r="B7" t="s">
        <v>75</v>
      </c>
      <c r="C7">
        <v>12</v>
      </c>
      <c r="D7">
        <v>0</v>
      </c>
      <c r="F7" s="61">
        <v>45533.582581018498</v>
      </c>
      <c r="G7">
        <v>146.51</v>
      </c>
      <c r="H7" s="44"/>
      <c r="I7" s="44">
        <v>128.94479999999999</v>
      </c>
      <c r="J7" s="44">
        <v>12.7</v>
      </c>
      <c r="K7" s="44">
        <v>12.5</v>
      </c>
      <c r="L7" s="44">
        <v>98.1</v>
      </c>
      <c r="M7" s="44">
        <v>17</v>
      </c>
      <c r="N7" s="44">
        <v>324</v>
      </c>
      <c r="O7" s="44">
        <v>0.75</v>
      </c>
      <c r="P7" s="44">
        <v>0.65</v>
      </c>
      <c r="Q7" s="44">
        <v>5.71</v>
      </c>
      <c r="R7" s="44"/>
      <c r="S7" s="44">
        <v>0.71</v>
      </c>
      <c r="T7" s="44">
        <v>2.41</v>
      </c>
      <c r="U7" s="44">
        <v>1.1299999999999999</v>
      </c>
      <c r="V7" s="44">
        <v>7.2309999999999999</v>
      </c>
      <c r="W7" s="44">
        <v>71.5</v>
      </c>
      <c r="X7" s="44">
        <v>49.5</v>
      </c>
      <c r="Y7" s="44">
        <v>6.69</v>
      </c>
      <c r="Z7" s="44">
        <v>111.9</v>
      </c>
      <c r="AA7" s="44">
        <v>29.2</v>
      </c>
      <c r="AB7" s="44">
        <v>62.7</v>
      </c>
      <c r="AC7" s="44">
        <v>40.1</v>
      </c>
      <c r="AD7" s="17">
        <v>7.2720000000000002</v>
      </c>
      <c r="AE7" s="44">
        <v>302</v>
      </c>
      <c r="AF7" s="44">
        <v>50.2</v>
      </c>
      <c r="AG7" s="44">
        <v>7.09</v>
      </c>
      <c r="AH7" s="45">
        <f t="shared" si="0"/>
        <v>0.502</v>
      </c>
      <c r="AI7" s="44">
        <v>34</v>
      </c>
      <c r="AJ7" s="44">
        <v>5.44</v>
      </c>
      <c r="AK7" s="44">
        <v>0</v>
      </c>
      <c r="AL7" s="44">
        <v>0</v>
      </c>
      <c r="AM7" s="45">
        <f t="shared" si="1"/>
        <v>9.3013722222222237E-3</v>
      </c>
      <c r="AN7" s="44">
        <v>0</v>
      </c>
      <c r="AO7" s="44">
        <v>0</v>
      </c>
      <c r="AP7" s="44">
        <v>661</v>
      </c>
      <c r="AQ7" s="44">
        <v>1829</v>
      </c>
      <c r="AR7" s="45">
        <v>133.55999999999995</v>
      </c>
      <c r="AS7" s="45">
        <f t="shared" si="2"/>
        <v>1695.44</v>
      </c>
      <c r="AT7" s="45">
        <v>0</v>
      </c>
      <c r="AU7" s="45">
        <v>0</v>
      </c>
      <c r="AV7" s="45">
        <v>0</v>
      </c>
      <c r="AW7" s="25">
        <v>10</v>
      </c>
      <c r="AX7" s="54">
        <v>1700</v>
      </c>
      <c r="AY7" s="44">
        <v>34</v>
      </c>
      <c r="AZ7" s="44">
        <v>7.2</v>
      </c>
      <c r="BA7" s="44">
        <v>50</v>
      </c>
      <c r="BB7" s="22">
        <v>2.9999999999999997E-4</v>
      </c>
      <c r="BC7" s="11">
        <v>7.9000000000000008E-3</v>
      </c>
      <c r="BE7" s="22"/>
      <c r="BF7" s="11">
        <f t="shared" si="3"/>
        <v>6.3578999999999997E-3</v>
      </c>
      <c r="BG7" s="46">
        <f t="shared" si="4"/>
        <v>9.1553760000000004</v>
      </c>
      <c r="BH7" s="46">
        <f t="shared" si="5"/>
        <v>1695.44</v>
      </c>
      <c r="BI7" s="47">
        <f t="shared" si="6"/>
        <v>0</v>
      </c>
      <c r="BJ7" s="47">
        <f t="shared" si="7"/>
        <v>0</v>
      </c>
      <c r="BK7" s="47">
        <f t="shared" si="8"/>
        <v>13.393976000000002</v>
      </c>
      <c r="BL7" s="47">
        <f t="shared" si="9"/>
        <v>9.3013722222222237E-3</v>
      </c>
      <c r="BM7" s="48" t="str">
        <f>IF(B7="Julia",BD7*BH7/24/60,"")</f>
        <v/>
      </c>
      <c r="BN7" s="48" t="str">
        <f t="shared" si="10"/>
        <v/>
      </c>
      <c r="BO7" s="47">
        <v>0</v>
      </c>
      <c r="BP7" s="51" t="str">
        <f t="shared" si="11"/>
        <v/>
      </c>
      <c r="BQ7" s="28">
        <f t="shared" si="15"/>
        <v>24.159408369408375</v>
      </c>
      <c r="BR7" s="49">
        <f t="shared" si="16"/>
        <v>9.3013722222222237E-3</v>
      </c>
      <c r="BS7" s="30">
        <f t="shared" si="17"/>
        <v>0</v>
      </c>
    </row>
    <row r="8" spans="1:71" ht="15.75" thickBot="1" x14ac:dyDescent="0.3">
      <c r="A8" s="4" t="s">
        <v>88</v>
      </c>
      <c r="B8" s="5" t="s">
        <v>75</v>
      </c>
      <c r="C8" s="5">
        <v>12</v>
      </c>
      <c r="D8" s="5">
        <v>0</v>
      </c>
      <c r="E8" s="5"/>
      <c r="F8" s="62">
        <v>45533.587789351899</v>
      </c>
      <c r="G8" s="5">
        <v>146.51</v>
      </c>
      <c r="H8" s="7"/>
      <c r="I8" s="7">
        <v>129.18170000000001</v>
      </c>
      <c r="J8" s="7">
        <v>12.2</v>
      </c>
      <c r="K8" s="7">
        <v>12</v>
      </c>
      <c r="L8" s="7">
        <v>98.2</v>
      </c>
      <c r="M8" s="7">
        <v>17</v>
      </c>
      <c r="N8" s="7">
        <v>325</v>
      </c>
      <c r="O8" s="7">
        <v>0.76</v>
      </c>
      <c r="P8" s="7">
        <v>0.66</v>
      </c>
      <c r="Q8" s="7">
        <v>5.66</v>
      </c>
      <c r="R8" s="7"/>
      <c r="S8" s="7">
        <v>0.63</v>
      </c>
      <c r="T8" s="7">
        <v>2.4300000000000002</v>
      </c>
      <c r="U8" s="7">
        <v>1.18</v>
      </c>
      <c r="V8" s="7">
        <v>7.266</v>
      </c>
      <c r="W8" s="7">
        <v>67.8</v>
      </c>
      <c r="X8" s="7">
        <v>61.7</v>
      </c>
      <c r="Y8" s="7">
        <v>6.66</v>
      </c>
      <c r="Z8" s="7">
        <v>112.3</v>
      </c>
      <c r="AA8" s="7">
        <v>30</v>
      </c>
      <c r="AB8" s="7">
        <v>59.5</v>
      </c>
      <c r="AC8" s="7">
        <v>50.2</v>
      </c>
      <c r="AD8" s="18">
        <v>7.3070000000000004</v>
      </c>
      <c r="AE8" s="7">
        <v>300</v>
      </c>
      <c r="AF8" s="7">
        <v>49.6</v>
      </c>
      <c r="AG8" s="7">
        <v>7.08</v>
      </c>
      <c r="AH8" s="41">
        <f t="shared" si="0"/>
        <v>0.496</v>
      </c>
      <c r="AI8" s="7">
        <v>34</v>
      </c>
      <c r="AJ8" s="7">
        <v>6.34</v>
      </c>
      <c r="AK8" s="7">
        <v>0</v>
      </c>
      <c r="AL8" s="7">
        <v>0</v>
      </c>
      <c r="AM8" s="41">
        <f t="shared" si="1"/>
        <v>8.8351041666666647E-3</v>
      </c>
      <c r="AN8" s="7">
        <v>0</v>
      </c>
      <c r="AO8" s="7">
        <v>0</v>
      </c>
      <c r="AP8" s="7">
        <v>689</v>
      </c>
      <c r="AQ8" s="7">
        <v>1748</v>
      </c>
      <c r="AR8" s="41">
        <v>51.660000000000082</v>
      </c>
      <c r="AS8" s="41">
        <f t="shared" si="2"/>
        <v>1696.34</v>
      </c>
      <c r="AT8" s="41">
        <v>0</v>
      </c>
      <c r="AU8" s="41">
        <v>0</v>
      </c>
      <c r="AV8" s="41">
        <v>0</v>
      </c>
      <c r="AW8" s="26">
        <v>10</v>
      </c>
      <c r="AX8" s="55">
        <v>1700</v>
      </c>
      <c r="AY8" s="7">
        <v>34</v>
      </c>
      <c r="AZ8" s="7">
        <v>7.2</v>
      </c>
      <c r="BA8" s="7">
        <v>50</v>
      </c>
      <c r="BB8" s="23">
        <v>2.9999999999999997E-4</v>
      </c>
      <c r="BC8" s="12">
        <v>7.4999999999999997E-3</v>
      </c>
      <c r="BD8" s="5"/>
      <c r="BE8" s="23"/>
      <c r="BF8" s="12">
        <f t="shared" si="3"/>
        <v>6.1068239999999994E-3</v>
      </c>
      <c r="BG8" s="13">
        <f t="shared" si="4"/>
        <v>8.7938265599999994</v>
      </c>
      <c r="BH8" s="13">
        <f t="shared" si="5"/>
        <v>1696.34</v>
      </c>
      <c r="BI8" s="14">
        <f t="shared" si="6"/>
        <v>0</v>
      </c>
      <c r="BJ8" s="14">
        <f t="shared" si="7"/>
        <v>0</v>
      </c>
      <c r="BK8" s="14">
        <f t="shared" si="8"/>
        <v>12.722549999999998</v>
      </c>
      <c r="BL8" s="14">
        <f t="shared" si="9"/>
        <v>8.8351041666666647E-3</v>
      </c>
      <c r="BM8" s="48" t="str">
        <f>IF(B8="Julia",BD8*BH8/24/60,"")</f>
        <v/>
      </c>
      <c r="BN8" s="36" t="str">
        <f t="shared" si="10"/>
        <v/>
      </c>
      <c r="BO8" s="14">
        <v>0</v>
      </c>
      <c r="BP8" s="52" t="str">
        <f t="shared" si="11"/>
        <v/>
      </c>
      <c r="BQ8" s="29">
        <f t="shared" si="15"/>
        <v>22.948322510822507</v>
      </c>
      <c r="BR8" s="38">
        <f t="shared" si="16"/>
        <v>8.8351041666666647E-3</v>
      </c>
      <c r="BS8" s="31">
        <f t="shared" si="17"/>
        <v>0</v>
      </c>
    </row>
    <row r="9" spans="1:71" x14ac:dyDescent="0.25">
      <c r="A9" s="2" t="s">
        <v>83</v>
      </c>
      <c r="B9" s="3" t="s">
        <v>74</v>
      </c>
      <c r="C9" s="3">
        <v>12</v>
      </c>
      <c r="D9" s="3">
        <v>1</v>
      </c>
      <c r="E9" s="3"/>
      <c r="F9" s="60">
        <v>45534.369583333297</v>
      </c>
      <c r="G9" s="3">
        <v>509.83</v>
      </c>
      <c r="H9" s="6"/>
      <c r="I9" s="6">
        <v>456.71940000000001</v>
      </c>
      <c r="J9" s="6">
        <v>18.899999999999999</v>
      </c>
      <c r="K9" s="6">
        <v>18.600000000000001</v>
      </c>
      <c r="L9" s="6">
        <v>98.1</v>
      </c>
      <c r="M9" s="6">
        <v>17.2</v>
      </c>
      <c r="N9" s="6">
        <v>319</v>
      </c>
      <c r="O9" s="6">
        <v>1.85</v>
      </c>
      <c r="P9" s="6">
        <v>0.66</v>
      </c>
      <c r="Q9" s="6">
        <v>0.78</v>
      </c>
      <c r="R9" s="6"/>
      <c r="S9" s="6">
        <v>0.46</v>
      </c>
      <c r="T9" s="6">
        <v>2.6</v>
      </c>
      <c r="U9" s="6">
        <v>3.06</v>
      </c>
      <c r="V9" s="6">
        <v>7.0359999999999996</v>
      </c>
      <c r="W9" s="6">
        <v>102.5</v>
      </c>
      <c r="X9" s="6">
        <v>0</v>
      </c>
      <c r="Y9" s="6">
        <v>5.32</v>
      </c>
      <c r="Z9" s="6">
        <v>143.80000000000001</v>
      </c>
      <c r="AA9" s="6">
        <v>26.5</v>
      </c>
      <c r="AB9" s="6">
        <v>89.9</v>
      </c>
      <c r="AC9" s="6">
        <v>0</v>
      </c>
      <c r="AD9" s="16">
        <v>7.0730000000000004</v>
      </c>
      <c r="AE9" s="6">
        <v>301</v>
      </c>
      <c r="AF9" s="6">
        <v>50.4</v>
      </c>
      <c r="AG9" s="6">
        <v>7.1</v>
      </c>
      <c r="AH9" s="40">
        <f t="shared" si="0"/>
        <v>0.504</v>
      </c>
      <c r="AI9" s="6">
        <v>34</v>
      </c>
      <c r="AJ9" s="6">
        <v>15.95</v>
      </c>
      <c r="AK9" s="44">
        <v>0</v>
      </c>
      <c r="AL9" s="6">
        <v>0</v>
      </c>
      <c r="AM9" s="42">
        <f t="shared" si="1"/>
        <v>7.3138663723423701E-3</v>
      </c>
      <c r="AN9" s="6">
        <v>5</v>
      </c>
      <c r="AO9" s="6">
        <v>0</v>
      </c>
      <c r="AP9" s="6">
        <v>680</v>
      </c>
      <c r="AQ9" s="6">
        <v>1820</v>
      </c>
      <c r="AR9" s="40">
        <v>137.11999999999989</v>
      </c>
      <c r="AS9" s="40">
        <f t="shared" si="2"/>
        <v>1682.88</v>
      </c>
      <c r="AT9" s="40">
        <f t="shared" ref="AT9:AT40" si="20">AN9-AN3</f>
        <v>5</v>
      </c>
      <c r="AU9" s="40">
        <f t="shared" ref="AU9:AU40" si="21">AO9-AO3</f>
        <v>0</v>
      </c>
      <c r="AV9" s="40">
        <f t="shared" ref="AV9:AV40" si="22">AP3-AP9</f>
        <v>5</v>
      </c>
      <c r="AW9" s="24">
        <v>15</v>
      </c>
      <c r="AX9" s="53">
        <v>1700</v>
      </c>
      <c r="AY9" s="6">
        <v>34</v>
      </c>
      <c r="AZ9" s="6">
        <v>7.2</v>
      </c>
      <c r="BA9" s="6">
        <v>50</v>
      </c>
      <c r="BB9" s="21">
        <v>2.9999999999999997E-4</v>
      </c>
      <c r="BC9" s="8"/>
      <c r="BD9" s="9">
        <f>BM9*24*60/BH9</f>
        <v>6.2284322872781647E-3</v>
      </c>
      <c r="BE9" s="21">
        <f>BP9/BH9</f>
        <v>1.0181939428244833E-2</v>
      </c>
      <c r="BF9" s="8">
        <f t="shared" si="3"/>
        <v>9.4355010000000007E-3</v>
      </c>
      <c r="BG9" s="9">
        <f t="shared" si="4"/>
        <v>13.587121440000002</v>
      </c>
      <c r="BH9" s="9">
        <f t="shared" si="5"/>
        <v>1690.95</v>
      </c>
      <c r="BI9" s="10">
        <f t="shared" si="6"/>
        <v>2.9569177089801592E-3</v>
      </c>
      <c r="BJ9" s="10">
        <f t="shared" si="7"/>
        <v>2.9411764705882353E-3</v>
      </c>
      <c r="BK9" s="10">
        <f t="shared" si="8"/>
        <v>10.531967576173013</v>
      </c>
      <c r="BL9" s="10" t="str">
        <f t="shared" si="9"/>
        <v/>
      </c>
      <c r="BM9" s="10">
        <v>7.3138663723423701E-3</v>
      </c>
      <c r="BN9" s="35" t="str">
        <f t="shared" si="10"/>
        <v/>
      </c>
      <c r="BO9" s="10" t="str">
        <f t="shared" ref="BO9:BO14" si="23">IF(IF(B9&lt;&gt;"Julia",((5-Q9)*BH9)/400, "")&lt;0,0,IF(B9&lt;&gt;"Julia",((5-Q9)*BH9)/400, ""))</f>
        <v/>
      </c>
      <c r="BP9" s="50">
        <v>17.2171504761906</v>
      </c>
      <c r="BQ9" s="27">
        <f>IF(BL9&lt;&gt;"",BL9/0.000385,IF(BM9&lt;&gt;"",BM9/0.000385,BN9/0.000385))</f>
        <v>18.997055512577585</v>
      </c>
      <c r="BR9" s="37">
        <f>IF(BL9&lt;&gt;"",BL9,IF(BM9&lt;&gt;"",BM9,BN9))</f>
        <v>7.3138663723423701E-3</v>
      </c>
      <c r="BS9" s="32">
        <f t="shared" si="17"/>
        <v>17.2171504761906</v>
      </c>
    </row>
    <row r="10" spans="1:71" x14ac:dyDescent="0.25">
      <c r="A10" s="1" t="s">
        <v>84</v>
      </c>
      <c r="B10" t="s">
        <v>74</v>
      </c>
      <c r="C10">
        <v>12</v>
      </c>
      <c r="D10">
        <v>1</v>
      </c>
      <c r="F10" s="61">
        <v>45534.376597222203</v>
      </c>
      <c r="G10">
        <v>509.83</v>
      </c>
      <c r="H10" s="44"/>
      <c r="I10" s="44">
        <v>450.46109999999999</v>
      </c>
      <c r="J10" s="44">
        <v>18.399999999999999</v>
      </c>
      <c r="K10" s="44">
        <v>18.100000000000001</v>
      </c>
      <c r="L10" s="44">
        <v>98.7</v>
      </c>
      <c r="M10" s="44">
        <v>17.3</v>
      </c>
      <c r="N10" s="44">
        <v>325</v>
      </c>
      <c r="O10" s="44">
        <v>1.73</v>
      </c>
      <c r="P10" s="44">
        <v>0.56000000000000005</v>
      </c>
      <c r="Q10" s="44">
        <v>0.86</v>
      </c>
      <c r="R10" s="44"/>
      <c r="S10" s="44">
        <v>0.47</v>
      </c>
      <c r="T10" s="44">
        <v>2.57</v>
      </c>
      <c r="U10" s="44">
        <v>3.06</v>
      </c>
      <c r="V10" s="44">
        <v>7.0389999999999997</v>
      </c>
      <c r="W10" s="44">
        <v>110.8</v>
      </c>
      <c r="X10" s="44">
        <v>40.6</v>
      </c>
      <c r="Y10" s="44">
        <v>4.93</v>
      </c>
      <c r="Z10" s="44">
        <v>130.9</v>
      </c>
      <c r="AA10" s="44">
        <v>28.8</v>
      </c>
      <c r="AB10" s="44">
        <v>97.2</v>
      </c>
      <c r="AC10" s="44">
        <v>32.9</v>
      </c>
      <c r="AD10" s="17">
        <v>7.0759999999999996</v>
      </c>
      <c r="AE10" s="44">
        <v>301</v>
      </c>
      <c r="AF10" s="44">
        <v>50</v>
      </c>
      <c r="AG10" s="44">
        <v>7.1</v>
      </c>
      <c r="AH10" s="45">
        <f t="shared" si="0"/>
        <v>0.5</v>
      </c>
      <c r="AI10" s="44">
        <v>34</v>
      </c>
      <c r="AJ10" s="44">
        <v>17.3</v>
      </c>
      <c r="AK10" s="44">
        <v>0</v>
      </c>
      <c r="AL10" s="44">
        <v>0</v>
      </c>
      <c r="AM10" s="45">
        <f t="shared" si="1"/>
        <v>7.4155433071382898E-3</v>
      </c>
      <c r="AN10" s="44">
        <v>5</v>
      </c>
      <c r="AO10" s="44">
        <v>0</v>
      </c>
      <c r="AP10" s="44">
        <v>687</v>
      </c>
      <c r="AQ10" s="44">
        <v>1733</v>
      </c>
      <c r="AR10" s="45">
        <v>45.769999999999982</v>
      </c>
      <c r="AS10" s="45">
        <f t="shared" si="2"/>
        <v>1687.23</v>
      </c>
      <c r="AT10" s="45">
        <f t="shared" si="20"/>
        <v>5</v>
      </c>
      <c r="AU10" s="45">
        <f t="shared" si="21"/>
        <v>0</v>
      </c>
      <c r="AV10" s="45">
        <f t="shared" si="22"/>
        <v>5</v>
      </c>
      <c r="AW10" s="25">
        <v>15</v>
      </c>
      <c r="AX10" s="54">
        <v>1700</v>
      </c>
      <c r="AY10" s="44">
        <v>34</v>
      </c>
      <c r="AZ10" s="44">
        <v>7.2</v>
      </c>
      <c r="BA10" s="44">
        <v>50</v>
      </c>
      <c r="BB10" s="22">
        <v>2.9999999999999997E-4</v>
      </c>
      <c r="BC10" s="11"/>
      <c r="BD10" s="46">
        <f>BM10*24*60/BH10</f>
        <v>6.3099818958099263E-3</v>
      </c>
      <c r="BE10" s="22">
        <f>BP10/BH10</f>
        <v>9.9387398805143891E-3</v>
      </c>
      <c r="BF10" s="11">
        <f t="shared" si="3"/>
        <v>9.1891889999999986E-3</v>
      </c>
      <c r="BG10" s="46">
        <f t="shared" si="4"/>
        <v>13.232432159999997</v>
      </c>
      <c r="BH10" s="46">
        <f t="shared" si="5"/>
        <v>1692.3</v>
      </c>
      <c r="BI10" s="47">
        <f t="shared" si="6"/>
        <v>2.9545588843585655E-3</v>
      </c>
      <c r="BJ10" s="47">
        <f t="shared" si="7"/>
        <v>2.9411764705882353E-3</v>
      </c>
      <c r="BK10" s="47">
        <f t="shared" si="8"/>
        <v>10.678382362279137</v>
      </c>
      <c r="BL10" s="47" t="str">
        <f t="shared" si="9"/>
        <v/>
      </c>
      <c r="BM10" s="47">
        <v>7.4155433071382898E-3</v>
      </c>
      <c r="BN10" s="48" t="str">
        <f t="shared" si="10"/>
        <v/>
      </c>
      <c r="BO10" s="47" t="str">
        <f t="shared" si="23"/>
        <v/>
      </c>
      <c r="BP10" s="51">
        <v>16.819329499794499</v>
      </c>
      <c r="BQ10" s="28">
        <f t="shared" ref="BQ10:BQ14" si="24">IF(BL10&lt;&gt;"",BL10/0.000385,IF(BM10&lt;&gt;"",BM10/0.000385,BN10/0.000385))</f>
        <v>19.261151447112443</v>
      </c>
      <c r="BR10" s="49">
        <f t="shared" ref="BR10:BR14" si="25">IF(BL10&lt;&gt;"",BL10,IF(BM10&lt;&gt;"",BM10,BN10))</f>
        <v>7.4155433071382898E-3</v>
      </c>
      <c r="BS10" s="30">
        <f t="shared" si="17"/>
        <v>16.819329499794499</v>
      </c>
    </row>
    <row r="11" spans="1:71" x14ac:dyDescent="0.25">
      <c r="A11" s="1" t="s">
        <v>85</v>
      </c>
      <c r="B11" t="s">
        <v>74</v>
      </c>
      <c r="C11">
        <v>12</v>
      </c>
      <c r="D11">
        <v>1</v>
      </c>
      <c r="F11" s="61">
        <v>45534.381574074097</v>
      </c>
      <c r="G11">
        <v>509.83</v>
      </c>
      <c r="H11" s="44"/>
      <c r="I11" s="44">
        <v>444.04739999999998</v>
      </c>
      <c r="J11" s="44">
        <v>18.600000000000001</v>
      </c>
      <c r="K11" s="44">
        <v>18.3</v>
      </c>
      <c r="L11" s="44">
        <v>98.5</v>
      </c>
      <c r="M11" s="44">
        <v>17.3</v>
      </c>
      <c r="N11" s="44">
        <v>305</v>
      </c>
      <c r="O11" s="44">
        <v>1.78</v>
      </c>
      <c r="P11" s="44">
        <v>0.6</v>
      </c>
      <c r="Q11" s="44">
        <v>1.49</v>
      </c>
      <c r="R11" s="44"/>
      <c r="S11" s="44">
        <v>0.49</v>
      </c>
      <c r="T11" s="44">
        <v>2.52</v>
      </c>
      <c r="U11" s="44">
        <v>2.56</v>
      </c>
      <c r="V11" s="44">
        <v>6.9790000000000001</v>
      </c>
      <c r="W11" s="44">
        <v>89.9</v>
      </c>
      <c r="X11" s="44">
        <v>32.799999999999997</v>
      </c>
      <c r="Y11" s="44">
        <v>5.0599999999999996</v>
      </c>
      <c r="Z11" s="44">
        <v>122.7</v>
      </c>
      <c r="AA11" s="44">
        <v>20.3</v>
      </c>
      <c r="AB11" s="44">
        <v>78.8</v>
      </c>
      <c r="AC11" s="44">
        <v>26.6</v>
      </c>
      <c r="AD11" s="17">
        <v>7.0140000000000002</v>
      </c>
      <c r="AE11" s="44">
        <v>299</v>
      </c>
      <c r="AF11" s="44">
        <v>47.4</v>
      </c>
      <c r="AG11" s="44">
        <v>7.1</v>
      </c>
      <c r="AH11" s="45">
        <f t="shared" si="0"/>
        <v>0.47399999999999998</v>
      </c>
      <c r="AI11" s="44">
        <v>34</v>
      </c>
      <c r="AJ11" s="44">
        <v>10.66</v>
      </c>
      <c r="AK11" s="44">
        <v>0.65</v>
      </c>
      <c r="AL11" s="44">
        <v>0</v>
      </c>
      <c r="AM11" s="45">
        <f t="shared" si="1"/>
        <v>6.7023138508712403E-3</v>
      </c>
      <c r="AN11" s="44">
        <v>5</v>
      </c>
      <c r="AO11" s="44">
        <v>0</v>
      </c>
      <c r="AP11" s="44">
        <v>676</v>
      </c>
      <c r="AQ11" s="44">
        <v>1770</v>
      </c>
      <c r="AR11" s="45">
        <v>84.700000000000045</v>
      </c>
      <c r="AS11" s="45">
        <f t="shared" si="2"/>
        <v>1685.3</v>
      </c>
      <c r="AT11" s="45">
        <f t="shared" si="20"/>
        <v>5</v>
      </c>
      <c r="AU11" s="45">
        <f t="shared" si="21"/>
        <v>0</v>
      </c>
      <c r="AV11" s="45">
        <f t="shared" si="22"/>
        <v>7</v>
      </c>
      <c r="AW11" s="25">
        <v>15</v>
      </c>
      <c r="AX11" s="54">
        <v>1700</v>
      </c>
      <c r="AY11" s="44">
        <v>34</v>
      </c>
      <c r="AZ11" s="44">
        <v>7.2</v>
      </c>
      <c r="BA11" s="44">
        <v>50</v>
      </c>
      <c r="BB11" s="22">
        <v>2.9999999999999997E-4</v>
      </c>
      <c r="BC11" s="11"/>
      <c r="BD11" s="46">
        <f>BM11*24*60/BH11</f>
        <v>5.7233438366934824E-3</v>
      </c>
      <c r="BE11" s="22">
        <f>BP11/BH11</f>
        <v>8.6286073507802243E-3</v>
      </c>
      <c r="BF11" s="11">
        <f t="shared" si="3"/>
        <v>9.2578419000000009E-3</v>
      </c>
      <c r="BG11" s="46">
        <f t="shared" si="4"/>
        <v>13.331292336000001</v>
      </c>
      <c r="BH11" s="46">
        <f t="shared" si="5"/>
        <v>1686.31</v>
      </c>
      <c r="BI11" s="47">
        <f t="shared" si="6"/>
        <v>2.9650538750289092E-3</v>
      </c>
      <c r="BJ11" s="47">
        <f t="shared" si="7"/>
        <v>2.9411764705882353E-3</v>
      </c>
      <c r="BK11" s="47">
        <f t="shared" si="8"/>
        <v>9.6513319452545865</v>
      </c>
      <c r="BL11" s="47" t="str">
        <f t="shared" si="9"/>
        <v/>
      </c>
      <c r="BM11" s="47">
        <v>6.7023138508712403E-3</v>
      </c>
      <c r="BN11" s="48" t="str">
        <f t="shared" si="10"/>
        <v/>
      </c>
      <c r="BO11" s="47" t="str">
        <f t="shared" si="23"/>
        <v/>
      </c>
      <c r="BP11" s="51">
        <v>14.550506861694201</v>
      </c>
      <c r="BQ11" s="28">
        <f t="shared" si="24"/>
        <v>17.408607404860366</v>
      </c>
      <c r="BR11" s="49">
        <f t="shared" si="25"/>
        <v>6.7023138508712403E-3</v>
      </c>
      <c r="BS11" s="30">
        <f t="shared" si="17"/>
        <v>14.550506861694201</v>
      </c>
    </row>
    <row r="12" spans="1:71" x14ac:dyDescent="0.25">
      <c r="A12" s="1" t="s">
        <v>86</v>
      </c>
      <c r="B12" t="s">
        <v>75</v>
      </c>
      <c r="C12">
        <v>12</v>
      </c>
      <c r="D12">
        <v>1</v>
      </c>
      <c r="E12" t="s">
        <v>76</v>
      </c>
      <c r="F12" s="61">
        <v>45534.389444444401</v>
      </c>
      <c r="G12">
        <v>509.83</v>
      </c>
      <c r="H12" s="44"/>
      <c r="I12" s="44">
        <v>463.05059999999997</v>
      </c>
      <c r="J12" s="44">
        <v>18.2</v>
      </c>
      <c r="K12" s="44">
        <v>17.899999999999999</v>
      </c>
      <c r="L12" s="44">
        <v>98.6</v>
      </c>
      <c r="M12" s="44">
        <v>17.5</v>
      </c>
      <c r="N12" s="44">
        <v>323</v>
      </c>
      <c r="O12" s="44">
        <v>1.77</v>
      </c>
      <c r="P12" s="44">
        <v>0.57999999999999996</v>
      </c>
      <c r="Q12" s="44">
        <v>1.1499999999999999</v>
      </c>
      <c r="R12" s="44"/>
      <c r="S12" s="44">
        <v>0.49</v>
      </c>
      <c r="T12" s="44">
        <v>2.62</v>
      </c>
      <c r="U12" s="44">
        <v>2.99</v>
      </c>
      <c r="V12" s="44">
        <v>7.0460000000000003</v>
      </c>
      <c r="W12" s="44">
        <v>103.5</v>
      </c>
      <c r="X12" s="44">
        <v>35.4</v>
      </c>
      <c r="Y12" s="44">
        <v>4.91</v>
      </c>
      <c r="Z12" s="44">
        <v>131.5</v>
      </c>
      <c r="AA12" s="44">
        <v>27.3</v>
      </c>
      <c r="AB12" s="44">
        <v>90.7</v>
      </c>
      <c r="AC12" s="44">
        <v>28.6</v>
      </c>
      <c r="AD12" s="17">
        <v>7.0830000000000002</v>
      </c>
      <c r="AE12" s="44">
        <v>299</v>
      </c>
      <c r="AF12" s="44">
        <v>53</v>
      </c>
      <c r="AG12" s="44">
        <v>7.1</v>
      </c>
      <c r="AH12" s="45">
        <f t="shared" si="0"/>
        <v>0.53</v>
      </c>
      <c r="AI12" s="44">
        <v>34</v>
      </c>
      <c r="AJ12" s="44">
        <v>16.100000000000001</v>
      </c>
      <c r="AK12" s="44">
        <v>0.01</v>
      </c>
      <c r="AL12" s="44">
        <v>0</v>
      </c>
      <c r="AM12" s="45">
        <f t="shared" si="1"/>
        <v>5.2940937500000002E-3</v>
      </c>
      <c r="AN12" s="44">
        <v>8</v>
      </c>
      <c r="AO12" s="44">
        <v>0</v>
      </c>
      <c r="AP12" s="44">
        <v>671</v>
      </c>
      <c r="AQ12" s="44">
        <v>1739</v>
      </c>
      <c r="AR12" s="45">
        <v>47.420000000000073</v>
      </c>
      <c r="AS12" s="45">
        <f t="shared" si="2"/>
        <v>1691.58</v>
      </c>
      <c r="AT12" s="45">
        <f t="shared" si="20"/>
        <v>8</v>
      </c>
      <c r="AU12" s="45">
        <f t="shared" si="21"/>
        <v>0</v>
      </c>
      <c r="AV12" s="45">
        <f t="shared" si="22"/>
        <v>9</v>
      </c>
      <c r="AW12" s="25">
        <v>15</v>
      </c>
      <c r="AX12" s="54">
        <v>1700</v>
      </c>
      <c r="AY12" s="44">
        <v>34</v>
      </c>
      <c r="AZ12" s="44">
        <v>7.2</v>
      </c>
      <c r="BA12" s="44">
        <v>50</v>
      </c>
      <c r="BB12" s="22">
        <v>2.9999999999999997E-4</v>
      </c>
      <c r="BC12" s="11">
        <v>4.4999999999999997E-3</v>
      </c>
      <c r="BE12" s="22"/>
      <c r="BF12" s="11">
        <f t="shared" si="3"/>
        <v>9.0973706999999977E-3</v>
      </c>
      <c r="BG12" s="46">
        <f t="shared" si="4"/>
        <v>13.100213807999998</v>
      </c>
      <c r="BH12" s="46">
        <f t="shared" si="5"/>
        <v>1694.11</v>
      </c>
      <c r="BI12" s="47">
        <f t="shared" si="6"/>
        <v>4.7222435379048588E-3</v>
      </c>
      <c r="BJ12" s="47">
        <f t="shared" si="7"/>
        <v>4.7058823529411761E-3</v>
      </c>
      <c r="BK12" s="47">
        <f t="shared" si="8"/>
        <v>7.623495000000001</v>
      </c>
      <c r="BL12" s="47">
        <f t="shared" si="9"/>
        <v>5.2940937500000002E-3</v>
      </c>
      <c r="BM12" s="48" t="str">
        <f>IF(B12="Julia",BD12*BH12/24/60,"")</f>
        <v/>
      </c>
      <c r="BN12" s="48" t="str">
        <f t="shared" si="10"/>
        <v/>
      </c>
      <c r="BO12" s="47">
        <f t="shared" si="23"/>
        <v>16.305808749999997</v>
      </c>
      <c r="BP12" s="51" t="str">
        <f>IF(B12="Julia",BE12*BH12,"")</f>
        <v/>
      </c>
      <c r="BQ12" s="28">
        <f t="shared" si="24"/>
        <v>13.750892857142858</v>
      </c>
      <c r="BR12" s="49">
        <f t="shared" si="25"/>
        <v>5.2940937500000002E-3</v>
      </c>
      <c r="BS12" s="30">
        <f>IF(BO12&lt;&gt;"",BO12,BP12)</f>
        <v>16.305808749999997</v>
      </c>
    </row>
    <row r="13" spans="1:71" x14ac:dyDescent="0.25">
      <c r="A13" s="1" t="s">
        <v>87</v>
      </c>
      <c r="B13" s="71" t="s">
        <v>75</v>
      </c>
      <c r="C13" s="71">
        <v>12</v>
      </c>
      <c r="D13" s="71">
        <v>1</v>
      </c>
      <c r="E13" s="71" t="s">
        <v>76</v>
      </c>
      <c r="F13" s="61">
        <v>45534.406238425901</v>
      </c>
      <c r="G13" s="71">
        <v>509.83</v>
      </c>
      <c r="H13" s="72"/>
      <c r="I13" s="72">
        <v>447.83280000000002</v>
      </c>
      <c r="J13" s="72">
        <v>17.399999999999999</v>
      </c>
      <c r="K13" s="72">
        <v>17.100000000000001</v>
      </c>
      <c r="L13" s="72">
        <v>98.4</v>
      </c>
      <c r="M13" s="72">
        <v>17.600000000000001</v>
      </c>
      <c r="N13" s="72">
        <v>334</v>
      </c>
      <c r="O13" s="72">
        <v>2.04</v>
      </c>
      <c r="P13" s="72">
        <v>0.56999999999999995</v>
      </c>
      <c r="Q13" s="72">
        <v>1.65</v>
      </c>
      <c r="R13" s="72"/>
      <c r="S13" s="72">
        <v>0.56000000000000005</v>
      </c>
      <c r="T13" s="72">
        <v>2.76</v>
      </c>
      <c r="U13" s="72">
        <v>3.07</v>
      </c>
      <c r="V13" s="72">
        <v>7.0519999999999996</v>
      </c>
      <c r="W13" s="72">
        <v>110.1</v>
      </c>
      <c r="X13" s="72">
        <v>38.6</v>
      </c>
      <c r="Y13" s="72">
        <v>4.96</v>
      </c>
      <c r="Z13" s="72">
        <v>134.6</v>
      </c>
      <c r="AA13" s="72">
        <v>29.5</v>
      </c>
      <c r="AB13" s="72">
        <v>96.5</v>
      </c>
      <c r="AC13" s="72">
        <v>31.2</v>
      </c>
      <c r="AD13" s="17">
        <v>7.0890000000000004</v>
      </c>
      <c r="AE13" s="72">
        <v>301</v>
      </c>
      <c r="AF13" s="72">
        <v>49.7</v>
      </c>
      <c r="AG13" s="72">
        <v>7.1</v>
      </c>
      <c r="AH13" s="74">
        <f t="shared" si="0"/>
        <v>0.49700000000000005</v>
      </c>
      <c r="AI13" s="72">
        <v>34</v>
      </c>
      <c r="AJ13" s="72">
        <v>17.739999999999998</v>
      </c>
      <c r="AK13" s="72">
        <v>0</v>
      </c>
      <c r="AL13" s="72">
        <v>0</v>
      </c>
      <c r="AM13" s="74">
        <f t="shared" si="1"/>
        <v>7.0780833333333329E-3</v>
      </c>
      <c r="AN13" s="72">
        <v>11</v>
      </c>
      <c r="AO13" s="72">
        <v>0</v>
      </c>
      <c r="AP13" s="72">
        <v>651</v>
      </c>
      <c r="AQ13" s="72">
        <v>1836</v>
      </c>
      <c r="AR13" s="74">
        <v>133.55999999999995</v>
      </c>
      <c r="AS13" s="74">
        <f t="shared" si="2"/>
        <v>1702.44</v>
      </c>
      <c r="AT13" s="74">
        <f t="shared" si="20"/>
        <v>11</v>
      </c>
      <c r="AU13" s="74">
        <f t="shared" si="21"/>
        <v>0</v>
      </c>
      <c r="AV13" s="74">
        <f t="shared" si="22"/>
        <v>10</v>
      </c>
      <c r="AW13" s="25">
        <v>15</v>
      </c>
      <c r="AX13" s="54">
        <v>1700</v>
      </c>
      <c r="AY13" s="72">
        <v>34</v>
      </c>
      <c r="AZ13" s="72">
        <v>7.2</v>
      </c>
      <c r="BA13" s="72">
        <v>50</v>
      </c>
      <c r="BB13" s="22">
        <v>2.9999999999999997E-4</v>
      </c>
      <c r="BC13" s="11">
        <v>6.0000000000000001E-3</v>
      </c>
      <c r="BD13" s="71"/>
      <c r="BE13" s="22"/>
      <c r="BF13" s="11">
        <f t="shared" si="3"/>
        <v>8.7145361999999994E-3</v>
      </c>
      <c r="BG13" s="76">
        <f t="shared" si="4"/>
        <v>12.548932128000001</v>
      </c>
      <c r="BH13" s="76">
        <f t="shared" si="5"/>
        <v>1698.74</v>
      </c>
      <c r="BI13" s="77">
        <f t="shared" si="6"/>
        <v>6.4753876402510093E-3</v>
      </c>
      <c r="BJ13" s="77">
        <f t="shared" si="7"/>
        <v>6.4705882352941177E-3</v>
      </c>
      <c r="BK13" s="77">
        <f t="shared" si="8"/>
        <v>10.19244</v>
      </c>
      <c r="BL13" s="77">
        <f t="shared" si="9"/>
        <v>7.0780833333333329E-3</v>
      </c>
      <c r="BM13" s="48" t="str">
        <f>IF(B13="Julia",BD13*BH13/24/60,"")</f>
        <v/>
      </c>
      <c r="BN13" s="78" t="str">
        <f t="shared" si="10"/>
        <v/>
      </c>
      <c r="BO13" s="77">
        <f t="shared" si="23"/>
        <v>14.226947500000001</v>
      </c>
      <c r="BP13" s="51" t="str">
        <f>IF(B13="Julia",BE13*BH13,"")</f>
        <v/>
      </c>
      <c r="BQ13" s="28">
        <f t="shared" si="24"/>
        <v>18.384632034632034</v>
      </c>
      <c r="BR13" s="49">
        <f t="shared" si="25"/>
        <v>7.0780833333333329E-3</v>
      </c>
      <c r="BS13" s="30">
        <f t="shared" si="17"/>
        <v>14.226947500000001</v>
      </c>
    </row>
    <row r="14" spans="1:71" ht="15.75" thickBot="1" x14ac:dyDescent="0.3">
      <c r="A14" s="4" t="s">
        <v>88</v>
      </c>
      <c r="B14" s="5" t="s">
        <v>75</v>
      </c>
      <c r="C14" s="5">
        <v>12</v>
      </c>
      <c r="D14" s="5">
        <v>1</v>
      </c>
      <c r="E14" s="5" t="s">
        <v>76</v>
      </c>
      <c r="F14" s="62">
        <v>45534.411597222199</v>
      </c>
      <c r="G14" s="5">
        <v>509.83</v>
      </c>
      <c r="H14" s="7"/>
      <c r="I14" s="7">
        <v>447.05189999999999</v>
      </c>
      <c r="J14" s="7">
        <v>17.100000000000001</v>
      </c>
      <c r="K14" s="7">
        <v>16.8</v>
      </c>
      <c r="L14" s="7">
        <v>98.2</v>
      </c>
      <c r="M14" s="7">
        <v>17.5</v>
      </c>
      <c r="N14" s="7">
        <v>331</v>
      </c>
      <c r="O14" s="7">
        <v>1.84</v>
      </c>
      <c r="P14" s="7">
        <v>0.56999999999999995</v>
      </c>
      <c r="Q14" s="7">
        <v>1.34</v>
      </c>
      <c r="R14" s="7"/>
      <c r="S14" s="7">
        <v>0.53</v>
      </c>
      <c r="T14" s="7">
        <v>2.72</v>
      </c>
      <c r="U14" s="7">
        <v>3.19</v>
      </c>
      <c r="V14" s="7">
        <v>7.0490000000000004</v>
      </c>
      <c r="W14" s="7">
        <v>100.7</v>
      </c>
      <c r="X14" s="7">
        <v>35.700000000000003</v>
      </c>
      <c r="Y14" s="7">
        <v>4.91</v>
      </c>
      <c r="Z14" s="7">
        <v>133.5</v>
      </c>
      <c r="AA14" s="7">
        <v>26.8</v>
      </c>
      <c r="AB14" s="7">
        <v>88.3</v>
      </c>
      <c r="AC14" s="7">
        <v>28.8</v>
      </c>
      <c r="AD14" s="18">
        <v>7.0860000000000003</v>
      </c>
      <c r="AE14" s="7">
        <v>301</v>
      </c>
      <c r="AF14" s="7">
        <v>49.5</v>
      </c>
      <c r="AG14" s="7">
        <v>7.1</v>
      </c>
      <c r="AH14" s="41">
        <f t="shared" si="0"/>
        <v>0.495</v>
      </c>
      <c r="AI14" s="7">
        <v>34</v>
      </c>
      <c r="AJ14" s="7">
        <v>17.43</v>
      </c>
      <c r="AK14" s="7">
        <v>0.23</v>
      </c>
      <c r="AL14" s="7">
        <v>0</v>
      </c>
      <c r="AM14" s="41">
        <f t="shared" si="1"/>
        <v>7.0777499999999998E-3</v>
      </c>
      <c r="AN14" s="7">
        <v>11</v>
      </c>
      <c r="AO14" s="7">
        <v>0</v>
      </c>
      <c r="AP14" s="7">
        <v>680</v>
      </c>
      <c r="AQ14" s="7">
        <v>1752</v>
      </c>
      <c r="AR14" s="41">
        <v>51.660000000000082</v>
      </c>
      <c r="AS14" s="41">
        <f t="shared" si="2"/>
        <v>1700.34</v>
      </c>
      <c r="AT14" s="41">
        <f t="shared" si="20"/>
        <v>11</v>
      </c>
      <c r="AU14" s="41">
        <f t="shared" si="21"/>
        <v>0</v>
      </c>
      <c r="AV14" s="41">
        <f t="shared" si="22"/>
        <v>9</v>
      </c>
      <c r="AW14" s="26">
        <v>15</v>
      </c>
      <c r="AX14" s="55">
        <v>1700</v>
      </c>
      <c r="AY14" s="7">
        <v>34</v>
      </c>
      <c r="AZ14" s="7">
        <v>7.2</v>
      </c>
      <c r="BA14" s="7">
        <v>50</v>
      </c>
      <c r="BB14" s="23">
        <v>2.9999999999999997E-4</v>
      </c>
      <c r="BC14" s="12">
        <v>6.0000000000000001E-3</v>
      </c>
      <c r="BD14" s="5"/>
      <c r="BE14" s="23"/>
      <c r="BF14" s="12">
        <f t="shared" si="3"/>
        <v>8.5612463999999999E-3</v>
      </c>
      <c r="BG14" s="13">
        <f t="shared" si="4"/>
        <v>12.328194816</v>
      </c>
      <c r="BH14" s="13">
        <f t="shared" si="5"/>
        <v>1698.66</v>
      </c>
      <c r="BI14" s="14">
        <f t="shared" si="6"/>
        <v>6.4756926047590448E-3</v>
      </c>
      <c r="BJ14" s="14">
        <f t="shared" si="7"/>
        <v>6.4705882352941177E-3</v>
      </c>
      <c r="BK14" s="14">
        <f t="shared" si="8"/>
        <v>10.19196</v>
      </c>
      <c r="BL14" s="14">
        <f t="shared" si="9"/>
        <v>7.0777499999999998E-3</v>
      </c>
      <c r="BM14" s="78" t="str">
        <f>IF(B14="Julia",BD14*BH14/24/60,"")</f>
        <v/>
      </c>
      <c r="BN14" s="36" t="str">
        <f t="shared" si="10"/>
        <v/>
      </c>
      <c r="BO14" s="14">
        <f t="shared" si="23"/>
        <v>15.542739000000001</v>
      </c>
      <c r="BP14" s="52" t="str">
        <f>IF(B14="Julia",BE14*BH14,"")</f>
        <v/>
      </c>
      <c r="BQ14" s="29">
        <f t="shared" si="24"/>
        <v>18.383766233766234</v>
      </c>
      <c r="BR14" s="38">
        <f t="shared" si="25"/>
        <v>7.0777499999999998E-3</v>
      </c>
      <c r="BS14" s="31">
        <f t="shared" si="17"/>
        <v>15.542739000000001</v>
      </c>
    </row>
    <row r="15" spans="1:71" x14ac:dyDescent="0.25">
      <c r="A15" s="2" t="s">
        <v>83</v>
      </c>
      <c r="B15" s="3" t="s">
        <v>74</v>
      </c>
      <c r="C15" s="3">
        <v>12</v>
      </c>
      <c r="D15" s="3">
        <v>2</v>
      </c>
      <c r="E15" s="3"/>
      <c r="F15" s="60">
        <v>45535.483865740702</v>
      </c>
      <c r="G15">
        <v>997.91</v>
      </c>
      <c r="H15" s="6"/>
      <c r="I15" s="6">
        <v>981.64</v>
      </c>
      <c r="J15" s="6">
        <v>24.9</v>
      </c>
      <c r="K15" s="6">
        <v>24.2</v>
      </c>
      <c r="L15" s="6">
        <v>97.2</v>
      </c>
      <c r="M15" s="6">
        <v>16.899999999999999</v>
      </c>
      <c r="N15" s="6">
        <v>310</v>
      </c>
      <c r="O15" s="6">
        <v>1.1100000000000001</v>
      </c>
      <c r="P15" s="6">
        <v>0.47</v>
      </c>
      <c r="Q15" s="6">
        <v>0.26</v>
      </c>
      <c r="R15" s="6"/>
      <c r="S15" s="6">
        <v>0.08</v>
      </c>
      <c r="T15" s="6">
        <v>0.09</v>
      </c>
      <c r="U15" s="6">
        <v>3.28</v>
      </c>
      <c r="V15" s="6">
        <v>7.11</v>
      </c>
      <c r="W15" s="6">
        <v>112.4</v>
      </c>
      <c r="X15" s="6">
        <v>0</v>
      </c>
      <c r="Y15" s="6">
        <v>3</v>
      </c>
      <c r="Z15" s="6">
        <v>134.6</v>
      </c>
      <c r="AA15" s="6">
        <v>34.5</v>
      </c>
      <c r="AB15" s="6">
        <v>98.6</v>
      </c>
      <c r="AC15" s="6">
        <v>0</v>
      </c>
      <c r="AD15" s="16">
        <v>7.1479999999999997</v>
      </c>
      <c r="AE15" s="6">
        <v>301</v>
      </c>
      <c r="AF15" s="6">
        <v>54.9</v>
      </c>
      <c r="AG15" s="6">
        <v>7.14</v>
      </c>
      <c r="AH15" s="40">
        <f t="shared" si="0"/>
        <v>0.54899999999999993</v>
      </c>
      <c r="AI15" s="6">
        <v>34</v>
      </c>
      <c r="AJ15" s="6">
        <v>18.97</v>
      </c>
      <c r="AK15" s="44">
        <v>0</v>
      </c>
      <c r="AL15" s="6">
        <v>1</v>
      </c>
      <c r="AM15" s="42">
        <f t="shared" si="1"/>
        <v>1.5982715000000002E-2</v>
      </c>
      <c r="AN15" s="6">
        <v>16</v>
      </c>
      <c r="AO15" s="6">
        <v>18</v>
      </c>
      <c r="AP15" s="6">
        <v>669</v>
      </c>
      <c r="AQ15" s="6">
        <v>1807</v>
      </c>
      <c r="AR15" s="40">
        <v>137.11999999999989</v>
      </c>
      <c r="AS15" s="40">
        <f t="shared" si="2"/>
        <v>1669.88</v>
      </c>
      <c r="AT15" s="40">
        <f t="shared" si="20"/>
        <v>11</v>
      </c>
      <c r="AU15" s="40">
        <f t="shared" si="21"/>
        <v>18</v>
      </c>
      <c r="AV15" s="40">
        <f t="shared" si="22"/>
        <v>11</v>
      </c>
      <c r="AW15" s="24">
        <v>15</v>
      </c>
      <c r="AX15" s="53">
        <v>1700</v>
      </c>
      <c r="AY15" s="6">
        <v>34</v>
      </c>
      <c r="AZ15" s="6">
        <v>7.2</v>
      </c>
      <c r="BA15" s="6">
        <v>50</v>
      </c>
      <c r="BB15" s="21">
        <v>2.9999999999999997E-4</v>
      </c>
      <c r="BC15" s="8"/>
      <c r="BD15" s="46">
        <f>BM15*24*60/BH15</f>
        <v>1.3467240267529566E-2</v>
      </c>
      <c r="BE15" s="22">
        <f>BP15/BH15</f>
        <v>7.9374506866709185E-3</v>
      </c>
      <c r="BF15" s="8">
        <f t="shared" si="3"/>
        <v>1.2407122199999999E-2</v>
      </c>
      <c r="BG15" s="9">
        <f t="shared" si="4"/>
        <v>17.866255968000001</v>
      </c>
      <c r="BH15" s="9">
        <f t="shared" si="5"/>
        <v>1708.97</v>
      </c>
      <c r="BI15" s="10">
        <f t="shared" si="6"/>
        <v>9.3623644651456717E-3</v>
      </c>
      <c r="BJ15" s="10">
        <f t="shared" si="7"/>
        <v>9.4117647058823521E-3</v>
      </c>
      <c r="BK15" s="10">
        <f t="shared" si="8"/>
        <v>23.015109600000002</v>
      </c>
      <c r="BL15" s="10" t="str">
        <f t="shared" si="9"/>
        <v/>
      </c>
      <c r="BM15" s="10">
        <v>1.5982715000000002E-2</v>
      </c>
      <c r="BN15" s="35" t="str">
        <f t="shared" si="10"/>
        <v/>
      </c>
      <c r="BO15" s="10" t="str">
        <f t="shared" ref="BO15:BO46" si="26">IF(IF(B15&lt;&gt;"Julia",((1.5-Q15)*BH15)/400, "")&lt;0,0,IF(B15&lt;&gt;"Julia",((3-Q15)*BH15)/400, ""))</f>
        <v/>
      </c>
      <c r="BP15" s="50">
        <v>13.5648651</v>
      </c>
      <c r="BQ15" s="27">
        <f>IF(BL15&lt;&gt;"",BL15/0.000385,IF(BM15&lt;&gt;"",BM15/0.000385,BN15/0.000385))</f>
        <v>41.513545454545458</v>
      </c>
      <c r="BR15" s="37">
        <f>IF(BL15&lt;&gt;"",BL15,IF(BM15&lt;&gt;"",BM15,BN15))</f>
        <v>1.5982715000000002E-2</v>
      </c>
      <c r="BS15" s="32">
        <f t="shared" si="17"/>
        <v>13.5648651</v>
      </c>
    </row>
    <row r="16" spans="1:71" x14ac:dyDescent="0.25">
      <c r="A16" s="1" t="s">
        <v>84</v>
      </c>
      <c r="B16" t="s">
        <v>74</v>
      </c>
      <c r="C16">
        <v>12</v>
      </c>
      <c r="D16">
        <v>2</v>
      </c>
      <c r="F16" s="61">
        <v>45535.486967592602</v>
      </c>
      <c r="G16">
        <v>997.91</v>
      </c>
      <c r="H16" s="44"/>
      <c r="I16" s="44">
        <v>975.91</v>
      </c>
      <c r="J16" s="44">
        <v>23.9</v>
      </c>
      <c r="K16" s="44">
        <v>23.3</v>
      </c>
      <c r="L16" s="44">
        <v>97.7</v>
      </c>
      <c r="M16" s="44">
        <v>17</v>
      </c>
      <c r="N16" s="44">
        <v>314</v>
      </c>
      <c r="O16" s="44">
        <v>1.02</v>
      </c>
      <c r="P16" s="44">
        <v>0.46</v>
      </c>
      <c r="Q16" s="44">
        <v>0.09</v>
      </c>
      <c r="R16" s="44"/>
      <c r="S16" s="44">
        <v>0.1</v>
      </c>
      <c r="T16" s="44">
        <v>0.08</v>
      </c>
      <c r="U16" s="44">
        <v>3.29</v>
      </c>
      <c r="V16" s="44">
        <v>7.1589999999999998</v>
      </c>
      <c r="W16" s="44">
        <v>112.7</v>
      </c>
      <c r="X16" s="44">
        <v>38.4</v>
      </c>
      <c r="Y16" s="44">
        <v>2.94</v>
      </c>
      <c r="Z16" s="44">
        <v>138.69999999999999</v>
      </c>
      <c r="AA16" s="44">
        <v>38.799999999999997</v>
      </c>
      <c r="AB16" s="44">
        <v>98.9</v>
      </c>
      <c r="AC16" s="44">
        <v>31.1</v>
      </c>
      <c r="AD16" s="17">
        <v>7.1980000000000004</v>
      </c>
      <c r="AE16" s="44">
        <v>300</v>
      </c>
      <c r="AF16" s="44">
        <v>57.4</v>
      </c>
      <c r="AG16" s="44">
        <v>7.19</v>
      </c>
      <c r="AH16" s="45">
        <f t="shared" si="0"/>
        <v>0.57399999999999995</v>
      </c>
      <c r="AI16" s="44">
        <v>34</v>
      </c>
      <c r="AJ16" s="44">
        <v>21.172000000000001</v>
      </c>
      <c r="AK16" s="44">
        <v>0</v>
      </c>
      <c r="AL16" s="44">
        <v>1</v>
      </c>
      <c r="AM16" s="45">
        <f t="shared" si="1"/>
        <v>1.6062493000000001E-2</v>
      </c>
      <c r="AN16" s="44">
        <v>16</v>
      </c>
      <c r="AO16" s="44">
        <v>17</v>
      </c>
      <c r="AP16" s="44">
        <v>675</v>
      </c>
      <c r="AQ16" s="44">
        <v>1717</v>
      </c>
      <c r="AR16" s="45">
        <v>45.769999999999982</v>
      </c>
      <c r="AS16" s="45">
        <f t="shared" si="2"/>
        <v>1671.23</v>
      </c>
      <c r="AT16" s="45">
        <f t="shared" si="20"/>
        <v>11</v>
      </c>
      <c r="AU16" s="45">
        <f t="shared" si="21"/>
        <v>17</v>
      </c>
      <c r="AV16" s="45">
        <f t="shared" si="22"/>
        <v>12</v>
      </c>
      <c r="AW16" s="25">
        <v>15</v>
      </c>
      <c r="AX16" s="54">
        <v>1700</v>
      </c>
      <c r="AY16" s="44">
        <v>34</v>
      </c>
      <c r="AZ16" s="44">
        <v>7.2</v>
      </c>
      <c r="BA16" s="44">
        <v>50</v>
      </c>
      <c r="BB16" s="22">
        <v>2.9999999999999997E-4</v>
      </c>
      <c r="BC16" s="11"/>
      <c r="BD16" s="46">
        <f>BM16*24*60/BH16</f>
        <v>1.3524949490460611E-2</v>
      </c>
      <c r="BE16" s="22">
        <f>BP16/BH16</f>
        <v>8.3405070834980336E-3</v>
      </c>
      <c r="BF16" s="11">
        <f t="shared" si="3"/>
        <v>1.1954102279999998E-2</v>
      </c>
      <c r="BG16" s="46">
        <f t="shared" si="4"/>
        <v>17.213907283199998</v>
      </c>
      <c r="BH16" s="46">
        <f t="shared" si="5"/>
        <v>1710.172</v>
      </c>
      <c r="BI16" s="47">
        <f t="shared" si="6"/>
        <v>9.3557840965704034E-3</v>
      </c>
      <c r="BJ16" s="47">
        <f t="shared" si="7"/>
        <v>9.4117647058823521E-3</v>
      </c>
      <c r="BK16" s="47">
        <f t="shared" si="8"/>
        <v>23.129989920000003</v>
      </c>
      <c r="BL16" s="47" t="str">
        <f t="shared" si="9"/>
        <v/>
      </c>
      <c r="BM16" s="47">
        <v>1.6062493000000001E-2</v>
      </c>
      <c r="BN16" s="48" t="str">
        <f t="shared" si="10"/>
        <v/>
      </c>
      <c r="BO16" s="47" t="str">
        <f t="shared" si="26"/>
        <v/>
      </c>
      <c r="BP16" s="51">
        <v>14.26370168</v>
      </c>
      <c r="BQ16" s="28">
        <f t="shared" ref="BQ16:BQ20" si="27">IF(BL16&lt;&gt;"",BL16/0.000385,IF(BM16&lt;&gt;"",BM16/0.000385,BN16/0.000385))</f>
        <v>41.720761038961044</v>
      </c>
      <c r="BR16" s="49">
        <f t="shared" ref="BR16:BR20" si="28">IF(BL16&lt;&gt;"",BL16,IF(BM16&lt;&gt;"",BM16,BN16))</f>
        <v>1.6062493000000001E-2</v>
      </c>
      <c r="BS16" s="30">
        <f t="shared" si="17"/>
        <v>14.26370168</v>
      </c>
    </row>
    <row r="17" spans="1:71" x14ac:dyDescent="0.25">
      <c r="A17" s="1" t="s">
        <v>85</v>
      </c>
      <c r="B17" t="s">
        <v>74</v>
      </c>
      <c r="C17">
        <v>12</v>
      </c>
      <c r="D17">
        <v>2</v>
      </c>
      <c r="F17" s="61">
        <v>45535.490289351903</v>
      </c>
      <c r="G17">
        <v>997.91</v>
      </c>
      <c r="H17" s="44"/>
      <c r="I17" s="44">
        <v>979.04</v>
      </c>
      <c r="J17" s="44">
        <v>23.1</v>
      </c>
      <c r="K17" s="44">
        <v>22.6</v>
      </c>
      <c r="L17" s="44">
        <v>97.6</v>
      </c>
      <c r="M17" s="44">
        <v>16.600000000000001</v>
      </c>
      <c r="N17" s="44"/>
      <c r="O17" s="44">
        <v>0.87</v>
      </c>
      <c r="P17" s="44">
        <v>0.47</v>
      </c>
      <c r="Q17" s="44">
        <v>0.41</v>
      </c>
      <c r="R17" s="44"/>
      <c r="S17" s="44">
        <v>0.19</v>
      </c>
      <c r="T17" s="44">
        <v>0.22</v>
      </c>
      <c r="U17" s="44">
        <v>2.36</v>
      </c>
      <c r="V17" s="44">
        <v>7.15</v>
      </c>
      <c r="W17" s="44">
        <v>96.2</v>
      </c>
      <c r="X17" s="44">
        <v>19.8</v>
      </c>
      <c r="Y17" s="44">
        <v>3.22</v>
      </c>
      <c r="Z17" s="44">
        <v>126.8</v>
      </c>
      <c r="AA17" s="44">
        <v>32.5</v>
      </c>
      <c r="AB17" s="44">
        <v>84.3</v>
      </c>
      <c r="AC17" s="44">
        <v>16</v>
      </c>
      <c r="AD17" s="17">
        <v>7.19</v>
      </c>
      <c r="AE17" s="44">
        <v>299</v>
      </c>
      <c r="AF17" s="44">
        <v>50.3</v>
      </c>
      <c r="AG17" s="44">
        <v>7.24</v>
      </c>
      <c r="AH17" s="45">
        <f t="shared" si="0"/>
        <v>0.503</v>
      </c>
      <c r="AI17" s="44">
        <v>34</v>
      </c>
      <c r="AJ17" s="44">
        <v>13.597</v>
      </c>
      <c r="AK17" s="44">
        <v>0.64649999999999996</v>
      </c>
      <c r="AL17" s="44">
        <v>1</v>
      </c>
      <c r="AM17" s="45">
        <f t="shared" si="1"/>
        <v>1.0283611999999999E-2</v>
      </c>
      <c r="AN17" s="44">
        <v>15</v>
      </c>
      <c r="AO17" s="44">
        <v>15</v>
      </c>
      <c r="AP17" s="44">
        <v>664</v>
      </c>
      <c r="AQ17" s="44">
        <v>1733</v>
      </c>
      <c r="AR17" s="45">
        <v>84.700000000000045</v>
      </c>
      <c r="AS17" s="45">
        <f t="shared" si="2"/>
        <v>1648.3</v>
      </c>
      <c r="AT17" s="45">
        <f t="shared" si="20"/>
        <v>10</v>
      </c>
      <c r="AU17" s="45">
        <f t="shared" si="21"/>
        <v>15</v>
      </c>
      <c r="AV17" s="45">
        <f t="shared" si="22"/>
        <v>12</v>
      </c>
      <c r="AW17" s="25">
        <v>15</v>
      </c>
      <c r="AX17" s="54">
        <v>1700</v>
      </c>
      <c r="AY17" s="44">
        <v>34</v>
      </c>
      <c r="AZ17" s="44">
        <v>7.2</v>
      </c>
      <c r="BA17" s="44">
        <v>50</v>
      </c>
      <c r="BB17" s="22">
        <v>2.9999999999999997E-4</v>
      </c>
      <c r="BC17" s="11"/>
      <c r="BD17" s="46">
        <f>BM17*24*60/BH17</f>
        <v>8.7095767635635719E-3</v>
      </c>
      <c r="BE17" s="22">
        <f>BP17/BH17</f>
        <v>9.8993463171598642E-3</v>
      </c>
      <c r="BF17" s="11">
        <f t="shared" si="3"/>
        <v>1.1527650929999999E-2</v>
      </c>
      <c r="BG17" s="46">
        <f t="shared" si="4"/>
        <v>16.599817339199998</v>
      </c>
      <c r="BH17" s="46">
        <f t="shared" si="5"/>
        <v>1700.2435</v>
      </c>
      <c r="BI17" s="47">
        <f t="shared" si="6"/>
        <v>8.8222657519349424E-3</v>
      </c>
      <c r="BJ17" s="47">
        <f t="shared" si="7"/>
        <v>8.8235294117647058E-3</v>
      </c>
      <c r="BK17" s="47">
        <f t="shared" si="8"/>
        <v>14.80840128</v>
      </c>
      <c r="BL17" s="47" t="str">
        <f t="shared" si="9"/>
        <v/>
      </c>
      <c r="BM17" s="47">
        <v>1.0283611999999999E-2</v>
      </c>
      <c r="BN17" s="48" t="str">
        <f t="shared" si="10"/>
        <v/>
      </c>
      <c r="BO17" s="47" t="str">
        <f t="shared" si="26"/>
        <v/>
      </c>
      <c r="BP17" s="51">
        <v>16.831299229999999</v>
      </c>
      <c r="BQ17" s="28">
        <f t="shared" si="27"/>
        <v>26.710680519480519</v>
      </c>
      <c r="BR17" s="49">
        <f t="shared" si="28"/>
        <v>1.0283611999999999E-2</v>
      </c>
      <c r="BS17" s="30">
        <f t="shared" si="17"/>
        <v>16.831299229999999</v>
      </c>
    </row>
    <row r="18" spans="1:71" x14ac:dyDescent="0.25">
      <c r="A18" s="1" t="s">
        <v>86</v>
      </c>
      <c r="B18" s="71" t="s">
        <v>75</v>
      </c>
      <c r="C18" s="71">
        <v>12</v>
      </c>
      <c r="D18" s="71">
        <v>2</v>
      </c>
      <c r="E18" s="71" t="s">
        <v>80</v>
      </c>
      <c r="F18" s="61">
        <v>45535.493217592601</v>
      </c>
      <c r="G18" s="71">
        <v>997.91</v>
      </c>
      <c r="H18" s="72"/>
      <c r="I18" s="72">
        <v>963.83</v>
      </c>
      <c r="J18" s="72">
        <v>21.9</v>
      </c>
      <c r="K18" s="72">
        <v>21.3</v>
      </c>
      <c r="L18" s="72">
        <v>97.4</v>
      </c>
      <c r="M18" s="72">
        <v>17</v>
      </c>
      <c r="N18" s="72">
        <v>318</v>
      </c>
      <c r="O18" s="72">
        <v>0.95</v>
      </c>
      <c r="P18" s="72">
        <v>0.45</v>
      </c>
      <c r="Q18" s="72">
        <v>0.3</v>
      </c>
      <c r="R18" s="72"/>
      <c r="S18" s="72">
        <v>0.13</v>
      </c>
      <c r="T18" s="72">
        <v>0.09</v>
      </c>
      <c r="U18" s="72">
        <v>3.19</v>
      </c>
      <c r="V18" s="72">
        <v>7.1529999999999996</v>
      </c>
      <c r="W18" s="72">
        <v>113.8</v>
      </c>
      <c r="X18" s="72">
        <v>39.4</v>
      </c>
      <c r="Y18" s="72">
        <v>3.09</v>
      </c>
      <c r="Z18" s="72">
        <v>137.69999999999999</v>
      </c>
      <c r="AA18" s="72">
        <v>38.700000000000003</v>
      </c>
      <c r="AB18" s="72">
        <v>99.8</v>
      </c>
      <c r="AC18" s="72">
        <v>31.9</v>
      </c>
      <c r="AD18" s="17">
        <v>7.1929999999999996</v>
      </c>
      <c r="AE18" s="72">
        <v>300</v>
      </c>
      <c r="AF18" s="72">
        <v>52.1</v>
      </c>
      <c r="AG18" s="72">
        <v>7.19</v>
      </c>
      <c r="AH18" s="74">
        <f t="shared" si="0"/>
        <v>0.52100000000000002</v>
      </c>
      <c r="AI18" s="72">
        <v>34</v>
      </c>
      <c r="AJ18" s="72">
        <v>20.530999999999999</v>
      </c>
      <c r="AK18" s="72">
        <v>1.44E-2</v>
      </c>
      <c r="AL18" s="72">
        <v>1</v>
      </c>
      <c r="AM18" s="74">
        <f t="shared" si="1"/>
        <v>0</v>
      </c>
      <c r="AN18" s="72">
        <v>16</v>
      </c>
      <c r="AO18" s="72">
        <v>17</v>
      </c>
      <c r="AP18" s="72">
        <v>662</v>
      </c>
      <c r="AQ18" s="72">
        <v>1727</v>
      </c>
      <c r="AR18" s="74">
        <v>47.420000000000073</v>
      </c>
      <c r="AS18" s="74">
        <f t="shared" si="2"/>
        <v>1679.58</v>
      </c>
      <c r="AT18" s="74">
        <f t="shared" si="20"/>
        <v>8</v>
      </c>
      <c r="AU18" s="74">
        <f t="shared" si="21"/>
        <v>17</v>
      </c>
      <c r="AV18" s="74">
        <f t="shared" si="22"/>
        <v>9</v>
      </c>
      <c r="AW18" s="25">
        <v>15</v>
      </c>
      <c r="AX18" s="54">
        <v>1700</v>
      </c>
      <c r="AY18" s="72">
        <v>34</v>
      </c>
      <c r="AZ18" s="72">
        <v>7.2</v>
      </c>
      <c r="BA18" s="72">
        <v>50</v>
      </c>
      <c r="BB18" s="22">
        <v>2.9999999999999997E-4</v>
      </c>
      <c r="BC18" s="11"/>
      <c r="BD18" s="71"/>
      <c r="BE18" s="22"/>
      <c r="BF18" s="63">
        <f t="shared" si="3"/>
        <v>1.0923995105999999E-2</v>
      </c>
      <c r="BG18" s="76">
        <f t="shared" si="4"/>
        <v>15.730552952639998</v>
      </c>
      <c r="BH18" s="76">
        <f t="shared" si="5"/>
        <v>1709.5454</v>
      </c>
      <c r="BI18" s="77">
        <f t="shared" si="6"/>
        <v>9.3592132738914095E-3</v>
      </c>
      <c r="BJ18" s="77">
        <f t="shared" si="7"/>
        <v>9.4117647058823521E-3</v>
      </c>
      <c r="BK18" s="77">
        <f t="shared" si="8"/>
        <v>0</v>
      </c>
      <c r="BL18" s="77">
        <f t="shared" si="9"/>
        <v>0</v>
      </c>
      <c r="BM18" s="48" t="str">
        <f>IF(B18="Julia",BD18*BH18/24/60,"")</f>
        <v/>
      </c>
      <c r="BN18" s="78" t="str">
        <f t="shared" si="10"/>
        <v/>
      </c>
      <c r="BO18" s="77">
        <f t="shared" si="26"/>
        <v>11.53943145</v>
      </c>
      <c r="BP18" s="51" t="str">
        <f>IF(B18="Julia",BE18*BH18,"")</f>
        <v/>
      </c>
      <c r="BQ18" s="28">
        <f t="shared" si="27"/>
        <v>0</v>
      </c>
      <c r="BR18" s="49">
        <f t="shared" si="28"/>
        <v>0</v>
      </c>
      <c r="BS18" s="30">
        <f t="shared" si="17"/>
        <v>11.53943145</v>
      </c>
    </row>
    <row r="19" spans="1:71" x14ac:dyDescent="0.25">
      <c r="A19" s="1" t="s">
        <v>87</v>
      </c>
      <c r="B19" s="71" t="s">
        <v>75</v>
      </c>
      <c r="C19" s="71">
        <v>12</v>
      </c>
      <c r="D19" s="71">
        <v>2</v>
      </c>
      <c r="E19" s="71" t="s">
        <v>80</v>
      </c>
      <c r="F19" s="61">
        <v>45535.496261574102</v>
      </c>
      <c r="G19" s="71">
        <v>997.91</v>
      </c>
      <c r="H19" s="72"/>
      <c r="I19" s="72">
        <v>933.7</v>
      </c>
      <c r="J19" s="72">
        <v>22</v>
      </c>
      <c r="K19" s="72">
        <v>21.4</v>
      </c>
      <c r="L19" s="72">
        <v>97.6</v>
      </c>
      <c r="M19" s="72">
        <v>17.399999999999999</v>
      </c>
      <c r="N19" s="72">
        <v>329</v>
      </c>
      <c r="O19" s="72">
        <v>0.96</v>
      </c>
      <c r="P19" s="72">
        <v>0.46</v>
      </c>
      <c r="Q19" s="72">
        <v>0.35</v>
      </c>
      <c r="R19" s="72"/>
      <c r="S19" s="72">
        <v>0.22</v>
      </c>
      <c r="T19" s="72">
        <v>0.62</v>
      </c>
      <c r="U19" s="72">
        <v>3.56</v>
      </c>
      <c r="V19" s="72">
        <v>7.1559999999999997</v>
      </c>
      <c r="W19" s="72">
        <v>113</v>
      </c>
      <c r="X19" s="72">
        <v>58.1</v>
      </c>
      <c r="Y19" s="72">
        <v>3.03</v>
      </c>
      <c r="Z19" s="72">
        <v>144.9</v>
      </c>
      <c r="AA19" s="72">
        <v>38.700000000000003</v>
      </c>
      <c r="AB19" s="72">
        <v>99.1</v>
      </c>
      <c r="AC19" s="72">
        <v>47.2</v>
      </c>
      <c r="AD19" s="17">
        <v>7.1950000000000003</v>
      </c>
      <c r="AE19" s="72">
        <v>302</v>
      </c>
      <c r="AF19" s="72">
        <v>51.8</v>
      </c>
      <c r="AG19" s="72">
        <v>7.16</v>
      </c>
      <c r="AH19" s="74">
        <f t="shared" si="0"/>
        <v>0.51800000000000002</v>
      </c>
      <c r="AI19" s="72">
        <v>34</v>
      </c>
      <c r="AJ19" s="72">
        <v>22.977</v>
      </c>
      <c r="AK19" s="44">
        <v>0</v>
      </c>
      <c r="AL19" s="72">
        <v>1</v>
      </c>
      <c r="AM19" s="74">
        <f t="shared" si="1"/>
        <v>0</v>
      </c>
      <c r="AN19" s="72">
        <v>22</v>
      </c>
      <c r="AO19" s="72">
        <v>15</v>
      </c>
      <c r="AP19" s="72">
        <v>636</v>
      </c>
      <c r="AQ19" s="72">
        <v>1770</v>
      </c>
      <c r="AR19" s="74">
        <v>133.55999999999995</v>
      </c>
      <c r="AS19" s="74">
        <f t="shared" si="2"/>
        <v>1636.44</v>
      </c>
      <c r="AT19" s="74">
        <f t="shared" si="20"/>
        <v>11</v>
      </c>
      <c r="AU19" s="74">
        <f t="shared" si="21"/>
        <v>15</v>
      </c>
      <c r="AV19" s="74">
        <f t="shared" si="22"/>
        <v>15</v>
      </c>
      <c r="AW19" s="25">
        <v>15</v>
      </c>
      <c r="AX19" s="54">
        <v>1700</v>
      </c>
      <c r="AY19" s="72">
        <v>34</v>
      </c>
      <c r="AZ19" s="72">
        <v>7.2</v>
      </c>
      <c r="BA19" s="72">
        <v>50</v>
      </c>
      <c r="BB19" s="22">
        <v>2.9999999999999997E-4</v>
      </c>
      <c r="BC19" s="11"/>
      <c r="BE19" s="22"/>
      <c r="BF19" s="63">
        <f t="shared" si="3"/>
        <v>1.1016572339999997E-2</v>
      </c>
      <c r="BG19" s="76">
        <f t="shared" si="4"/>
        <v>15.863864169599998</v>
      </c>
      <c r="BH19" s="76">
        <f t="shared" si="5"/>
        <v>1715.9770000000001</v>
      </c>
      <c r="BI19" s="77">
        <f t="shared" si="6"/>
        <v>1.2820684659526321E-2</v>
      </c>
      <c r="BJ19" s="77">
        <f t="shared" si="7"/>
        <v>1.2941176470588235E-2</v>
      </c>
      <c r="BK19" s="77">
        <f t="shared" si="8"/>
        <v>0</v>
      </c>
      <c r="BL19" s="77">
        <f t="shared" si="9"/>
        <v>0</v>
      </c>
      <c r="BM19" s="78" t="str">
        <f>IF(B19="Julia",BD19*BH19/24/60,"")</f>
        <v/>
      </c>
      <c r="BN19" s="78" t="str">
        <f t="shared" si="10"/>
        <v/>
      </c>
      <c r="BO19" s="77">
        <f t="shared" si="26"/>
        <v>11.368347625000002</v>
      </c>
      <c r="BP19" s="51" t="str">
        <f>IF(B19="Julia",BE19*BH19,"")</f>
        <v/>
      </c>
      <c r="BQ19" s="28">
        <f t="shared" si="27"/>
        <v>0</v>
      </c>
      <c r="BR19" s="49">
        <f t="shared" si="28"/>
        <v>0</v>
      </c>
      <c r="BS19" s="30">
        <f t="shared" si="17"/>
        <v>11.368347625000002</v>
      </c>
    </row>
    <row r="20" spans="1:71" ht="15.75" thickBot="1" x14ac:dyDescent="0.3">
      <c r="A20" s="4" t="s">
        <v>88</v>
      </c>
      <c r="B20" s="5" t="s">
        <v>75</v>
      </c>
      <c r="C20" s="5">
        <v>12</v>
      </c>
      <c r="D20" s="5">
        <v>2</v>
      </c>
      <c r="E20" s="5" t="s">
        <v>80</v>
      </c>
      <c r="F20" s="62">
        <v>45535.499872685199</v>
      </c>
      <c r="G20">
        <v>997.91</v>
      </c>
      <c r="H20" s="7"/>
      <c r="I20" s="7">
        <v>957.65</v>
      </c>
      <c r="J20" s="7">
        <v>22.6</v>
      </c>
      <c r="K20" s="7">
        <v>22</v>
      </c>
      <c r="L20" s="7">
        <v>97.3</v>
      </c>
      <c r="M20" s="7">
        <v>17.2</v>
      </c>
      <c r="N20" s="7">
        <v>322</v>
      </c>
      <c r="O20" s="7">
        <v>0.85</v>
      </c>
      <c r="P20" s="7">
        <v>0.45</v>
      </c>
      <c r="Q20" s="7">
        <v>0.22</v>
      </c>
      <c r="R20" s="7"/>
      <c r="S20" s="7">
        <v>0.2</v>
      </c>
      <c r="T20" s="7">
        <v>0.44</v>
      </c>
      <c r="U20" s="7">
        <v>3.7</v>
      </c>
      <c r="V20" s="7">
        <v>7.1689999999999996</v>
      </c>
      <c r="W20" s="7">
        <v>96.3</v>
      </c>
      <c r="X20" s="7">
        <v>44.2</v>
      </c>
      <c r="Y20" s="7">
        <v>3.04</v>
      </c>
      <c r="Z20" s="7">
        <v>141</v>
      </c>
      <c r="AA20" s="7">
        <v>34</v>
      </c>
      <c r="AB20" s="7">
        <v>84.5</v>
      </c>
      <c r="AC20" s="7">
        <v>35.799999999999997</v>
      </c>
      <c r="AD20" s="18">
        <v>7.2089999999999996</v>
      </c>
      <c r="AE20" s="7">
        <v>301</v>
      </c>
      <c r="AF20" s="7">
        <v>48.4</v>
      </c>
      <c r="AG20" s="7">
        <v>7.2</v>
      </c>
      <c r="AH20" s="41">
        <f t="shared" si="0"/>
        <v>0.48399999999999999</v>
      </c>
      <c r="AI20" s="7">
        <v>34</v>
      </c>
      <c r="AJ20" s="7">
        <v>22.199000000000002</v>
      </c>
      <c r="AK20" s="7">
        <v>2.299E-2</v>
      </c>
      <c r="AL20" s="7">
        <v>1</v>
      </c>
      <c r="AM20" s="41">
        <f t="shared" si="1"/>
        <v>0</v>
      </c>
      <c r="AN20" s="7">
        <v>21</v>
      </c>
      <c r="AO20" s="7">
        <v>16</v>
      </c>
      <c r="AP20" s="7">
        <v>668</v>
      </c>
      <c r="AQ20" s="7">
        <v>1731</v>
      </c>
      <c r="AR20" s="41">
        <v>51.660000000000082</v>
      </c>
      <c r="AS20" s="41">
        <f t="shared" si="2"/>
        <v>1679.34</v>
      </c>
      <c r="AT20" s="41">
        <f t="shared" si="20"/>
        <v>10</v>
      </c>
      <c r="AU20" s="41">
        <f t="shared" si="21"/>
        <v>16</v>
      </c>
      <c r="AV20" s="41">
        <f t="shared" si="22"/>
        <v>12</v>
      </c>
      <c r="AW20" s="26">
        <v>15</v>
      </c>
      <c r="AX20" s="55">
        <v>1700</v>
      </c>
      <c r="AY20" s="7">
        <v>34</v>
      </c>
      <c r="AZ20" s="7">
        <v>7.2</v>
      </c>
      <c r="BA20" s="7">
        <v>50</v>
      </c>
      <c r="BB20" s="23">
        <v>2.9999999999999997E-4</v>
      </c>
      <c r="BC20" s="12"/>
      <c r="BD20" s="5"/>
      <c r="BE20" s="23"/>
      <c r="BF20" s="64">
        <f t="shared" si="3"/>
        <v>1.1320465133999999E-2</v>
      </c>
      <c r="BG20" s="13">
        <f t="shared" si="4"/>
        <v>16.301469792959999</v>
      </c>
      <c r="BH20" s="13">
        <f t="shared" si="5"/>
        <v>1715.22199</v>
      </c>
      <c r="BI20" s="14">
        <f t="shared" si="6"/>
        <v>1.2243313181869829E-2</v>
      </c>
      <c r="BJ20" s="14">
        <f t="shared" si="7"/>
        <v>1.2352941176470587E-2</v>
      </c>
      <c r="BK20" s="14">
        <f t="shared" si="8"/>
        <v>0</v>
      </c>
      <c r="BL20" s="14">
        <f t="shared" si="9"/>
        <v>0</v>
      </c>
      <c r="BM20" s="48" t="str">
        <f>IF(B20="Julia",BD20*BH20/24/60,"")</f>
        <v/>
      </c>
      <c r="BN20" s="36" t="str">
        <f t="shared" si="10"/>
        <v/>
      </c>
      <c r="BO20" s="14">
        <f t="shared" si="26"/>
        <v>11.9207928305</v>
      </c>
      <c r="BP20" s="52" t="str">
        <f>IF(B20="Julia",BE20*BH20,"")</f>
        <v/>
      </c>
      <c r="BQ20" s="29">
        <f t="shared" si="27"/>
        <v>0</v>
      </c>
      <c r="BR20" s="38">
        <f t="shared" si="28"/>
        <v>0</v>
      </c>
      <c r="BS20" s="31">
        <f t="shared" si="17"/>
        <v>11.9207928305</v>
      </c>
    </row>
    <row r="21" spans="1:71" x14ac:dyDescent="0.25">
      <c r="A21" s="2" t="s">
        <v>83</v>
      </c>
      <c r="B21" s="3" t="s">
        <v>74</v>
      </c>
      <c r="C21" s="3">
        <v>12</v>
      </c>
      <c r="D21" s="3">
        <v>3</v>
      </c>
      <c r="E21" s="3"/>
      <c r="F21" s="60">
        <v>45536.578854166699</v>
      </c>
      <c r="G21" s="3">
        <v>1505.08</v>
      </c>
      <c r="H21" s="6"/>
      <c r="I21" s="6">
        <v>1585.94</v>
      </c>
      <c r="J21" s="6">
        <v>22</v>
      </c>
      <c r="K21" s="6">
        <v>21</v>
      </c>
      <c r="L21" s="6">
        <v>95.7</v>
      </c>
      <c r="M21" s="6">
        <v>16.600000000000001</v>
      </c>
      <c r="N21" s="6">
        <v>333</v>
      </c>
      <c r="O21" s="6">
        <v>1.43</v>
      </c>
      <c r="P21" s="6">
        <v>0.4</v>
      </c>
      <c r="Q21" s="6">
        <v>1.31</v>
      </c>
      <c r="R21" s="6"/>
      <c r="S21" s="6">
        <v>0.15</v>
      </c>
      <c r="T21" s="6">
        <v>0.04</v>
      </c>
      <c r="U21" s="6">
        <v>2.75</v>
      </c>
      <c r="V21" s="6">
        <v>7.2539999999999996</v>
      </c>
      <c r="W21" s="6">
        <v>104.4</v>
      </c>
      <c r="X21" s="6">
        <v>0</v>
      </c>
      <c r="Y21" s="6">
        <v>2.88</v>
      </c>
      <c r="Z21" s="6">
        <v>141</v>
      </c>
      <c r="AA21" s="6">
        <v>44.9</v>
      </c>
      <c r="AB21" s="6">
        <v>91.5</v>
      </c>
      <c r="AC21" s="6">
        <v>0</v>
      </c>
      <c r="AD21" s="16">
        <v>7.2949999999999999</v>
      </c>
      <c r="AE21" s="6">
        <v>301</v>
      </c>
      <c r="AF21" s="6">
        <v>50.9</v>
      </c>
      <c r="AG21" s="6">
        <v>7.29</v>
      </c>
      <c r="AH21" s="40">
        <f t="shared" si="0"/>
        <v>0.50900000000000001</v>
      </c>
      <c r="AI21" s="6">
        <v>34</v>
      </c>
      <c r="AJ21" s="6">
        <v>22.065000000000001</v>
      </c>
      <c r="AK21" s="44">
        <v>0.4597</v>
      </c>
      <c r="AL21" s="6">
        <v>1.7</v>
      </c>
      <c r="AM21" s="42">
        <f t="shared" si="1"/>
        <v>9.7818429790420998E-3</v>
      </c>
      <c r="AN21" s="6">
        <v>39.340000000000003</v>
      </c>
      <c r="AO21" s="6">
        <v>31.99</v>
      </c>
      <c r="AP21" s="6">
        <v>642</v>
      </c>
      <c r="AQ21" s="6">
        <v>1805</v>
      </c>
      <c r="AR21" s="40">
        <v>137.11999999999989</v>
      </c>
      <c r="AS21" s="40">
        <f t="shared" si="2"/>
        <v>1667.88</v>
      </c>
      <c r="AT21" s="40">
        <f t="shared" si="20"/>
        <v>23.340000000000003</v>
      </c>
      <c r="AU21" s="40">
        <f t="shared" si="21"/>
        <v>13.989999999999998</v>
      </c>
      <c r="AV21" s="40">
        <f t="shared" si="22"/>
        <v>27</v>
      </c>
      <c r="AW21" s="24">
        <v>15</v>
      </c>
      <c r="AX21" s="53">
        <v>1700</v>
      </c>
      <c r="AY21" s="6">
        <v>34</v>
      </c>
      <c r="AZ21" s="6">
        <v>7.2</v>
      </c>
      <c r="BA21" s="6">
        <v>50</v>
      </c>
      <c r="BB21" s="21">
        <v>2.9999999999999997E-4</v>
      </c>
      <c r="BC21" s="8"/>
      <c r="BD21" s="46">
        <f>BM21*24*60/BH21</f>
        <v>8.1160529770802521E-3</v>
      </c>
      <c r="BE21" s="22">
        <f>BP21/BH21</f>
        <v>7.907325656743288E-3</v>
      </c>
      <c r="BF21" s="8">
        <f t="shared" si="3"/>
        <v>1.0933994609999997E-2</v>
      </c>
      <c r="BG21" s="9">
        <f t="shared" si="4"/>
        <v>15.744952238399996</v>
      </c>
      <c r="BH21" s="9">
        <f t="shared" si="5"/>
        <v>1735.5546999999999</v>
      </c>
      <c r="BI21" s="10">
        <f t="shared" si="6"/>
        <v>2.2667104643835197E-2</v>
      </c>
      <c r="BJ21" s="10">
        <f t="shared" si="7"/>
        <v>2.3141176470588238E-2</v>
      </c>
      <c r="BK21" s="10">
        <f t="shared" si="8"/>
        <v>14.085853889820624</v>
      </c>
      <c r="BL21" s="10" t="str">
        <f t="shared" si="9"/>
        <v/>
      </c>
      <c r="BM21" s="10">
        <v>9.7818429790420998E-3</v>
      </c>
      <c r="BN21" s="35" t="str">
        <f t="shared" si="10"/>
        <v/>
      </c>
      <c r="BO21" s="10" t="str">
        <f t="shared" si="26"/>
        <v/>
      </c>
      <c r="BP21" s="50">
        <v>13.723596207991401</v>
      </c>
      <c r="BQ21" s="27">
        <f>IF(BL21&lt;&gt;"",BL21/0.000385,IF(BM21&lt;&gt;"",BM21/0.000385,BN21/0.000385))</f>
        <v>25.407384361148313</v>
      </c>
      <c r="BR21" s="37">
        <f>IF(BL21&lt;&gt;"",BL21,IF(BM21&lt;&gt;"",BM21,BN21))</f>
        <v>9.7818429790420998E-3</v>
      </c>
      <c r="BS21" s="32">
        <f t="shared" si="17"/>
        <v>13.723596207991401</v>
      </c>
    </row>
    <row r="22" spans="1:71" x14ac:dyDescent="0.25">
      <c r="A22" s="1" t="s">
        <v>84</v>
      </c>
      <c r="B22" t="s">
        <v>74</v>
      </c>
      <c r="C22">
        <v>12</v>
      </c>
      <c r="D22">
        <v>3</v>
      </c>
      <c r="F22" s="61">
        <v>45536.582280092603</v>
      </c>
      <c r="G22">
        <v>1505.08</v>
      </c>
      <c r="H22" s="44"/>
      <c r="I22" s="44">
        <v>1561.79</v>
      </c>
      <c r="J22" s="44">
        <v>25.7</v>
      </c>
      <c r="K22" s="44">
        <v>24.7</v>
      </c>
      <c r="L22" s="44">
        <v>96.2</v>
      </c>
      <c r="M22" s="44">
        <v>16.899999999999999</v>
      </c>
      <c r="N22" s="44">
        <v>333</v>
      </c>
      <c r="O22" s="44">
        <v>1.45</v>
      </c>
      <c r="P22" s="44">
        <v>0.39</v>
      </c>
      <c r="Q22" s="44">
        <v>1.22</v>
      </c>
      <c r="R22" s="44"/>
      <c r="S22" s="44">
        <v>0.17</v>
      </c>
      <c r="T22" s="44">
        <v>0.03</v>
      </c>
      <c r="U22" s="44">
        <v>2.86</v>
      </c>
      <c r="V22" s="44">
        <v>7.2460000000000004</v>
      </c>
      <c r="W22" s="44">
        <v>114.6</v>
      </c>
      <c r="X22" s="44">
        <v>27.3</v>
      </c>
      <c r="Y22" s="44">
        <v>2.7</v>
      </c>
      <c r="Z22" s="44">
        <v>145.6</v>
      </c>
      <c r="AA22" s="44">
        <v>48.5</v>
      </c>
      <c r="AB22" s="44">
        <v>100.5</v>
      </c>
      <c r="AC22" s="44">
        <v>22.1</v>
      </c>
      <c r="AD22" s="17">
        <v>7.2869999999999999</v>
      </c>
      <c r="AE22" s="44">
        <v>301</v>
      </c>
      <c r="AF22" s="44">
        <v>48.1</v>
      </c>
      <c r="AG22" s="44">
        <v>7.27</v>
      </c>
      <c r="AH22" s="45">
        <f t="shared" si="0"/>
        <v>0.48100000000000004</v>
      </c>
      <c r="AI22" s="44">
        <v>34</v>
      </c>
      <c r="AJ22" s="44">
        <v>24.568000000000001</v>
      </c>
      <c r="AK22" s="44">
        <v>0.89070000000000005</v>
      </c>
      <c r="AL22" s="44">
        <v>1.08</v>
      </c>
      <c r="AM22" s="45">
        <f t="shared" si="1"/>
        <v>1.09245133137067E-2</v>
      </c>
      <c r="AN22" s="44">
        <v>39.74</v>
      </c>
      <c r="AO22" s="44">
        <v>32.46</v>
      </c>
      <c r="AP22" s="44">
        <v>647</v>
      </c>
      <c r="AQ22" s="44">
        <v>1733</v>
      </c>
      <c r="AR22" s="45">
        <v>45.769999999999982</v>
      </c>
      <c r="AS22" s="45">
        <f t="shared" si="2"/>
        <v>1687.23</v>
      </c>
      <c r="AT22" s="45">
        <f t="shared" si="20"/>
        <v>23.740000000000002</v>
      </c>
      <c r="AU22" s="45">
        <f t="shared" si="21"/>
        <v>15.46</v>
      </c>
      <c r="AV22" s="45">
        <f t="shared" si="22"/>
        <v>28</v>
      </c>
      <c r="AW22" s="25">
        <v>15</v>
      </c>
      <c r="AX22" s="54">
        <v>1700</v>
      </c>
      <c r="AY22" s="44">
        <v>34</v>
      </c>
      <c r="AZ22" s="44">
        <v>7.2</v>
      </c>
      <c r="BA22" s="44">
        <v>50</v>
      </c>
      <c r="BB22" s="22">
        <v>2.9999999999999997E-4</v>
      </c>
      <c r="BC22" s="11"/>
      <c r="BD22" s="46">
        <f>BM22*24*60/BH22</f>
        <v>9.0475349583796875E-3</v>
      </c>
      <c r="BE22" s="22">
        <f>BP22/BH22</f>
        <v>7.6771012137581696E-3</v>
      </c>
      <c r="BF22" s="11">
        <f t="shared" si="3"/>
        <v>1.2884053766999998E-2</v>
      </c>
      <c r="BG22" s="46">
        <f t="shared" si="4"/>
        <v>18.553037424479996</v>
      </c>
      <c r="BH22" s="46">
        <f t="shared" si="5"/>
        <v>1738.7386999999999</v>
      </c>
      <c r="BI22" s="47">
        <f t="shared" si="6"/>
        <v>2.2855648177612889E-2</v>
      </c>
      <c r="BJ22" s="47">
        <f t="shared" si="7"/>
        <v>2.3376470588235294E-2</v>
      </c>
      <c r="BK22" s="47">
        <f t="shared" si="8"/>
        <v>15.73129917173765</v>
      </c>
      <c r="BL22" s="47" t="str">
        <f t="shared" si="9"/>
        <v/>
      </c>
      <c r="BM22" s="47">
        <v>1.09245133137067E-2</v>
      </c>
      <c r="BN22" s="48" t="str">
        <f t="shared" si="10"/>
        <v/>
      </c>
      <c r="BO22" s="47" t="str">
        <f t="shared" si="26"/>
        <v/>
      </c>
      <c r="BP22" s="51">
        <v>13.348472984178301</v>
      </c>
      <c r="BQ22" s="28">
        <f t="shared" ref="BQ22:BQ26" si="29">IF(BL22&lt;&gt;"",BL22/0.000385,IF(BM22&lt;&gt;"",BM22/0.000385,BN22/0.000385))</f>
        <v>28.375359256381039</v>
      </c>
      <c r="BR22" s="49">
        <f t="shared" ref="BR22:BR26" si="30">IF(BL22&lt;&gt;"",BL22,IF(BM22&lt;&gt;"",BM22,BN22))</f>
        <v>1.09245133137067E-2</v>
      </c>
      <c r="BS22" s="30">
        <f t="shared" si="17"/>
        <v>13.348472984178301</v>
      </c>
    </row>
    <row r="23" spans="1:71" x14ac:dyDescent="0.25">
      <c r="A23" s="1" t="s">
        <v>85</v>
      </c>
      <c r="B23" s="71" t="s">
        <v>74</v>
      </c>
      <c r="C23" s="71">
        <v>12</v>
      </c>
      <c r="D23" s="71">
        <v>3</v>
      </c>
      <c r="E23" s="71"/>
      <c r="F23" s="61">
        <v>45536.586863425902</v>
      </c>
      <c r="G23" s="71">
        <v>1505.08</v>
      </c>
      <c r="H23" s="72"/>
      <c r="I23" s="72">
        <v>1559.4</v>
      </c>
      <c r="J23" s="72">
        <v>27.6</v>
      </c>
      <c r="K23" s="72">
        <v>26.3</v>
      </c>
      <c r="L23" s="72">
        <v>95.5</v>
      </c>
      <c r="M23" s="72">
        <v>16</v>
      </c>
      <c r="N23" s="72">
        <v>314</v>
      </c>
      <c r="O23" s="72">
        <v>1.7</v>
      </c>
      <c r="P23" s="72">
        <v>0.41</v>
      </c>
      <c r="Q23" s="72">
        <v>0.4</v>
      </c>
      <c r="R23" s="72"/>
      <c r="S23" s="72">
        <v>0.16</v>
      </c>
      <c r="T23" s="72">
        <v>0.04</v>
      </c>
      <c r="U23" s="72">
        <v>2.72</v>
      </c>
      <c r="V23" s="72">
        <v>7.2809999999999997</v>
      </c>
      <c r="W23" s="72">
        <v>92.1</v>
      </c>
      <c r="X23" s="72">
        <v>42.7</v>
      </c>
      <c r="Y23" s="72">
        <v>3.41</v>
      </c>
      <c r="Z23" s="72">
        <v>138.1</v>
      </c>
      <c r="AA23" s="72">
        <v>42.3</v>
      </c>
      <c r="AB23" s="72">
        <v>80.7</v>
      </c>
      <c r="AC23" s="72">
        <v>34.5</v>
      </c>
      <c r="AD23" s="17">
        <v>7.3230000000000004</v>
      </c>
      <c r="AE23" s="72">
        <v>299</v>
      </c>
      <c r="AF23" s="72">
        <v>50.1</v>
      </c>
      <c r="AG23" s="72">
        <v>7.3</v>
      </c>
      <c r="AH23" s="74">
        <f t="shared" si="0"/>
        <v>0.501</v>
      </c>
      <c r="AI23" s="72">
        <v>34</v>
      </c>
      <c r="AJ23" s="72">
        <v>20.34</v>
      </c>
      <c r="AK23" s="72">
        <v>0.77580000000000005</v>
      </c>
      <c r="AL23" s="72">
        <v>2.2200000000000002</v>
      </c>
      <c r="AM23" s="74">
        <f t="shared" si="1"/>
        <v>1.7280784666155399E-2</v>
      </c>
      <c r="AN23" s="72">
        <v>30.62</v>
      </c>
      <c r="AO23" s="72">
        <v>32.630000000000003</v>
      </c>
      <c r="AP23" s="72">
        <v>646</v>
      </c>
      <c r="AQ23" s="72">
        <v>1756</v>
      </c>
      <c r="AR23" s="74">
        <v>84.700000000000045</v>
      </c>
      <c r="AS23" s="74">
        <f t="shared" si="2"/>
        <v>1671.3</v>
      </c>
      <c r="AT23" s="74">
        <f t="shared" si="20"/>
        <v>15.620000000000001</v>
      </c>
      <c r="AU23" s="74">
        <f t="shared" si="21"/>
        <v>17.630000000000003</v>
      </c>
      <c r="AV23" s="74">
        <f t="shared" si="22"/>
        <v>18</v>
      </c>
      <c r="AW23" s="25">
        <v>15</v>
      </c>
      <c r="AX23" s="54">
        <v>1700</v>
      </c>
      <c r="AY23" s="72">
        <v>34</v>
      </c>
      <c r="AZ23" s="72">
        <v>7.2</v>
      </c>
      <c r="BA23" s="72">
        <v>50</v>
      </c>
      <c r="BB23" s="22">
        <v>2.9999999999999997E-4</v>
      </c>
      <c r="BC23" s="11"/>
      <c r="BD23" s="76">
        <f>BM23*24*60/BH23</f>
        <v>1.4412449076821883E-2</v>
      </c>
      <c r="BE23" s="22">
        <f>BP23/BH23</f>
        <v>7.1167129289496063E-3</v>
      </c>
      <c r="BF23" s="11">
        <f t="shared" si="3"/>
        <v>1.3622761962000001E-2</v>
      </c>
      <c r="BG23" s="76">
        <f t="shared" si="4"/>
        <v>19.61677722528</v>
      </c>
      <c r="BH23" s="76">
        <f t="shared" si="5"/>
        <v>1726.5858000000001</v>
      </c>
      <c r="BI23" s="77">
        <f t="shared" si="6"/>
        <v>1.7734421307067393E-2</v>
      </c>
      <c r="BJ23" s="77">
        <f t="shared" si="7"/>
        <v>1.8011764705882352E-2</v>
      </c>
      <c r="BK23" s="77">
        <f t="shared" si="8"/>
        <v>24.884329919263774</v>
      </c>
      <c r="BL23" s="77" t="str">
        <f t="shared" si="9"/>
        <v/>
      </c>
      <c r="BM23" s="47">
        <v>1.7280784666155399E-2</v>
      </c>
      <c r="BN23" s="78" t="str">
        <f t="shared" si="10"/>
        <v/>
      </c>
      <c r="BO23" s="77" t="str">
        <f t="shared" si="26"/>
        <v/>
      </c>
      <c r="BP23" s="51">
        <v>12.287615485800799</v>
      </c>
      <c r="BQ23" s="28">
        <f t="shared" si="29"/>
        <v>44.885154977027014</v>
      </c>
      <c r="BR23" s="49">
        <f t="shared" si="30"/>
        <v>1.7280784666155399E-2</v>
      </c>
      <c r="BS23" s="30">
        <f t="shared" si="17"/>
        <v>12.287615485800799</v>
      </c>
    </row>
    <row r="24" spans="1:71" x14ac:dyDescent="0.25">
      <c r="A24" s="1" t="s">
        <v>86</v>
      </c>
      <c r="B24" s="71" t="s">
        <v>75</v>
      </c>
      <c r="C24" s="71">
        <v>12</v>
      </c>
      <c r="D24" s="71">
        <v>3</v>
      </c>
      <c r="E24" s="71"/>
      <c r="F24" s="61">
        <v>45536.592604166697</v>
      </c>
      <c r="G24" s="71">
        <v>1505.08</v>
      </c>
      <c r="H24" s="72"/>
      <c r="I24" s="72">
        <v>1532.5</v>
      </c>
      <c r="J24" s="72">
        <v>22</v>
      </c>
      <c r="K24" s="72">
        <v>20.5</v>
      </c>
      <c r="L24" s="72">
        <v>93.3</v>
      </c>
      <c r="M24" s="72">
        <v>16.5</v>
      </c>
      <c r="N24" s="72">
        <v>340</v>
      </c>
      <c r="O24" s="72">
        <v>2.78</v>
      </c>
      <c r="P24" s="72">
        <v>0.42</v>
      </c>
      <c r="Q24" s="72">
        <v>0.05</v>
      </c>
      <c r="R24" s="72"/>
      <c r="S24" s="72">
        <v>0.12</v>
      </c>
      <c r="T24" s="72">
        <v>0.04</v>
      </c>
      <c r="U24" s="72">
        <v>4.18</v>
      </c>
      <c r="V24" s="72">
        <v>7.2880000000000003</v>
      </c>
      <c r="W24" s="72">
        <v>100.1</v>
      </c>
      <c r="X24" s="72">
        <v>40</v>
      </c>
      <c r="Y24" s="72">
        <v>3.34</v>
      </c>
      <c r="Z24" s="72">
        <v>152.69999999999999</v>
      </c>
      <c r="AA24" s="72">
        <v>46.7</v>
      </c>
      <c r="AB24" s="72">
        <v>87.8</v>
      </c>
      <c r="AC24" s="72">
        <v>32.299999999999997</v>
      </c>
      <c r="AD24" s="17">
        <v>7.33</v>
      </c>
      <c r="AE24" s="72">
        <v>300</v>
      </c>
      <c r="AF24" s="72">
        <v>49</v>
      </c>
      <c r="AG24" s="72">
        <v>7.29</v>
      </c>
      <c r="AH24" s="74">
        <f t="shared" si="0"/>
        <v>0.49</v>
      </c>
      <c r="AI24" s="72">
        <v>34</v>
      </c>
      <c r="AJ24" s="72">
        <v>28.350999999999999</v>
      </c>
      <c r="AK24" s="44">
        <v>3.0745</v>
      </c>
      <c r="AL24" s="72">
        <v>2.2400000000000002</v>
      </c>
      <c r="AM24" s="74">
        <f t="shared" si="1"/>
        <v>9.5190912847222236E-3</v>
      </c>
      <c r="AN24" s="72">
        <v>32.28</v>
      </c>
      <c r="AO24" s="72">
        <v>29.18</v>
      </c>
      <c r="AP24" s="72">
        <v>644</v>
      </c>
      <c r="AQ24" s="72">
        <v>1750</v>
      </c>
      <c r="AR24" s="74">
        <v>47.420000000000073</v>
      </c>
      <c r="AS24" s="74">
        <f t="shared" si="2"/>
        <v>1702.58</v>
      </c>
      <c r="AT24" s="74">
        <f t="shared" si="20"/>
        <v>16.28</v>
      </c>
      <c r="AU24" s="74">
        <f t="shared" si="21"/>
        <v>12.18</v>
      </c>
      <c r="AV24" s="74">
        <f t="shared" si="22"/>
        <v>18</v>
      </c>
      <c r="AW24" s="25">
        <v>15</v>
      </c>
      <c r="AX24" s="54">
        <v>1700</v>
      </c>
      <c r="AY24" s="72">
        <v>34</v>
      </c>
      <c r="AZ24" s="72">
        <v>7.2</v>
      </c>
      <c r="BA24" s="72">
        <v>50</v>
      </c>
      <c r="BB24" s="22">
        <v>2.9999999999999997E-4</v>
      </c>
      <c r="BC24" s="11">
        <v>7.9000000000000008E-3</v>
      </c>
      <c r="BE24" s="22"/>
      <c r="BF24" s="11">
        <f t="shared" si="3"/>
        <v>1.0671021824999998E-2</v>
      </c>
      <c r="BG24" s="76">
        <f t="shared" si="4"/>
        <v>15.366271427999996</v>
      </c>
      <c r="BH24" s="76">
        <f t="shared" si="5"/>
        <v>1735.1255000000001</v>
      </c>
      <c r="BI24" s="77">
        <f t="shared" si="6"/>
        <v>1.8603841624136121E-2</v>
      </c>
      <c r="BJ24" s="77">
        <f t="shared" si="7"/>
        <v>1.8988235294117646E-2</v>
      </c>
      <c r="BK24" s="77">
        <f t="shared" si="8"/>
        <v>13.707491450000001</v>
      </c>
      <c r="BL24" s="77">
        <f t="shared" si="9"/>
        <v>9.5190912847222236E-3</v>
      </c>
      <c r="BM24" s="78" t="str">
        <f>IF(B24="Julia",BD24*BH24/24/60,"")</f>
        <v/>
      </c>
      <c r="BN24" s="78" t="str">
        <f t="shared" si="10"/>
        <v/>
      </c>
      <c r="BO24" s="77">
        <f t="shared" si="26"/>
        <v>12.796550562500002</v>
      </c>
      <c r="BP24" s="51" t="str">
        <f>IF(B24="Julia",BE24*BH24,"")</f>
        <v/>
      </c>
      <c r="BQ24" s="28">
        <f t="shared" si="29"/>
        <v>24.724912427849933</v>
      </c>
      <c r="BR24" s="49">
        <f t="shared" si="30"/>
        <v>9.5190912847222236E-3</v>
      </c>
      <c r="BS24" s="30">
        <f t="shared" si="17"/>
        <v>12.796550562500002</v>
      </c>
    </row>
    <row r="25" spans="1:71" x14ac:dyDescent="0.25">
      <c r="A25" s="1" t="s">
        <v>87</v>
      </c>
      <c r="B25" t="s">
        <v>75</v>
      </c>
      <c r="C25">
        <v>12</v>
      </c>
      <c r="D25">
        <v>3</v>
      </c>
      <c r="F25" s="61">
        <v>45536.596238425896</v>
      </c>
      <c r="G25">
        <v>1505.08</v>
      </c>
      <c r="H25" s="44"/>
      <c r="I25" s="44">
        <v>1485.02</v>
      </c>
      <c r="J25" s="44">
        <v>22.9</v>
      </c>
      <c r="K25" s="44">
        <v>21.6</v>
      </c>
      <c r="L25" s="44">
        <v>94.6</v>
      </c>
      <c r="M25" s="44">
        <v>16.600000000000001</v>
      </c>
      <c r="N25" s="44">
        <v>341</v>
      </c>
      <c r="O25" s="44">
        <v>2.96</v>
      </c>
      <c r="P25" s="44">
        <v>0.41</v>
      </c>
      <c r="Q25" s="44">
        <v>0.05</v>
      </c>
      <c r="R25" s="44"/>
      <c r="S25" s="44">
        <v>0.13</v>
      </c>
      <c r="T25" s="44">
        <v>0.03</v>
      </c>
      <c r="U25" s="44">
        <v>3.81</v>
      </c>
      <c r="V25" s="44">
        <v>7.2549999999999999</v>
      </c>
      <c r="W25" s="44">
        <v>114.5</v>
      </c>
      <c r="X25" s="44">
        <v>26.2</v>
      </c>
      <c r="Y25" s="44">
        <v>3.13</v>
      </c>
      <c r="Z25" s="44">
        <v>152.9</v>
      </c>
      <c r="AA25" s="44">
        <v>49.5</v>
      </c>
      <c r="AB25" s="44">
        <v>100.4</v>
      </c>
      <c r="AC25" s="44">
        <v>21.2</v>
      </c>
      <c r="AD25" s="17">
        <v>7.2969999999999997</v>
      </c>
      <c r="AE25" s="44">
        <v>302</v>
      </c>
      <c r="AF25" s="44">
        <v>49.5</v>
      </c>
      <c r="AG25" s="44">
        <v>7.3</v>
      </c>
      <c r="AH25" s="45">
        <f t="shared" si="0"/>
        <v>0.495</v>
      </c>
      <c r="AI25" s="44">
        <v>34</v>
      </c>
      <c r="AJ25" s="44">
        <v>27.696000000000002</v>
      </c>
      <c r="AK25" s="44">
        <v>1.8246</v>
      </c>
      <c r="AL25" s="44">
        <v>2.08</v>
      </c>
      <c r="AM25" s="45">
        <f t="shared" si="1"/>
        <v>1.2907771124999998E-2</v>
      </c>
      <c r="AN25" s="44">
        <v>38.58</v>
      </c>
      <c r="AO25" s="44">
        <v>26.94</v>
      </c>
      <c r="AP25" s="44">
        <v>618</v>
      </c>
      <c r="AQ25" s="44">
        <v>1773</v>
      </c>
      <c r="AR25" s="45">
        <v>133.55999999999995</v>
      </c>
      <c r="AS25" s="45">
        <f t="shared" si="2"/>
        <v>1639.44</v>
      </c>
      <c r="AT25" s="45">
        <f t="shared" si="20"/>
        <v>16.579999999999998</v>
      </c>
      <c r="AU25" s="45">
        <f t="shared" si="21"/>
        <v>11.940000000000001</v>
      </c>
      <c r="AV25" s="45">
        <f t="shared" si="22"/>
        <v>18</v>
      </c>
      <c r="AW25" s="25">
        <v>15</v>
      </c>
      <c r="AX25" s="54">
        <v>1700</v>
      </c>
      <c r="AY25" s="44">
        <v>34</v>
      </c>
      <c r="AZ25" s="44">
        <v>7.2</v>
      </c>
      <c r="BA25" s="44">
        <v>50</v>
      </c>
      <c r="BB25" s="22">
        <v>2.9999999999999997E-4</v>
      </c>
      <c r="BC25" s="11">
        <v>1.0699999999999999E-2</v>
      </c>
      <c r="BE25" s="22"/>
      <c r="BF25" s="11">
        <f t="shared" si="3"/>
        <v>1.1256541488E-2</v>
      </c>
      <c r="BG25" s="46">
        <f t="shared" si="4"/>
        <v>16.209419742720002</v>
      </c>
      <c r="BH25" s="46">
        <f t="shared" si="5"/>
        <v>1737.1206</v>
      </c>
      <c r="BI25" s="47">
        <f t="shared" si="6"/>
        <v>2.2209166133888458E-2</v>
      </c>
      <c r="BJ25" s="47">
        <f t="shared" si="7"/>
        <v>2.2694117647058823E-2</v>
      </c>
      <c r="BK25" s="47">
        <f t="shared" si="8"/>
        <v>18.587190419999999</v>
      </c>
      <c r="BL25" s="47">
        <f t="shared" si="9"/>
        <v>1.2907771124999998E-2</v>
      </c>
      <c r="BM25" s="48" t="str">
        <f>IF(B25="Julia",BD25*BH25/24/60,"")</f>
        <v/>
      </c>
      <c r="BN25" s="48" t="str">
        <f t="shared" si="10"/>
        <v/>
      </c>
      <c r="BO25" s="47">
        <f t="shared" si="26"/>
        <v>12.811264425000001</v>
      </c>
      <c r="BP25" s="51" t="str">
        <f>IF(B25="Julia",BE25*BH25,"")</f>
        <v/>
      </c>
      <c r="BQ25" s="28">
        <f t="shared" si="29"/>
        <v>33.526678246753242</v>
      </c>
      <c r="BR25" s="49">
        <f t="shared" si="30"/>
        <v>1.2907771124999998E-2</v>
      </c>
      <c r="BS25" s="30">
        <f t="shared" si="17"/>
        <v>12.811264425000001</v>
      </c>
    </row>
    <row r="26" spans="1:71" ht="15.75" thickBot="1" x14ac:dyDescent="0.3">
      <c r="A26" s="4" t="s">
        <v>88</v>
      </c>
      <c r="B26" s="5" t="s">
        <v>75</v>
      </c>
      <c r="C26" s="5">
        <v>12</v>
      </c>
      <c r="D26" s="5">
        <v>3</v>
      </c>
      <c r="E26" s="5"/>
      <c r="F26" s="62">
        <v>45536.599247685197</v>
      </c>
      <c r="G26" s="5">
        <v>1505.08</v>
      </c>
      <c r="H26" s="7"/>
      <c r="I26" s="7">
        <v>1508.78</v>
      </c>
      <c r="J26" s="7">
        <v>24.8</v>
      </c>
      <c r="K26" s="7">
        <v>23.6</v>
      </c>
      <c r="L26" s="7">
        <v>94.9</v>
      </c>
      <c r="M26" s="7">
        <v>16.600000000000001</v>
      </c>
      <c r="N26" s="7">
        <v>340</v>
      </c>
      <c r="O26" s="7">
        <v>2.36</v>
      </c>
      <c r="P26" s="7">
        <v>0.4</v>
      </c>
      <c r="Q26" s="7">
        <v>0.09</v>
      </c>
      <c r="R26" s="7"/>
      <c r="S26" s="7">
        <v>0.18</v>
      </c>
      <c r="T26" s="7">
        <v>0.04</v>
      </c>
      <c r="U26" s="7">
        <v>4.01</v>
      </c>
      <c r="V26" s="7">
        <v>7.2919999999999998</v>
      </c>
      <c r="W26" s="7">
        <v>97.6</v>
      </c>
      <c r="X26" s="7">
        <v>53.9</v>
      </c>
      <c r="Y26" s="7">
        <v>3.26</v>
      </c>
      <c r="Z26" s="7">
        <v>152.69999999999999</v>
      </c>
      <c r="AA26" s="7">
        <v>46</v>
      </c>
      <c r="AB26" s="7">
        <v>85.6</v>
      </c>
      <c r="AC26" s="7">
        <v>43.7</v>
      </c>
      <c r="AD26" s="18">
        <v>7.3339999999999996</v>
      </c>
      <c r="AE26" s="7">
        <v>300</v>
      </c>
      <c r="AF26" s="7">
        <v>53</v>
      </c>
      <c r="AG26" s="7">
        <v>7.3</v>
      </c>
      <c r="AH26" s="41">
        <f t="shared" si="0"/>
        <v>0.53</v>
      </c>
      <c r="AI26" s="7">
        <v>34</v>
      </c>
      <c r="AJ26" s="7">
        <v>28.271000000000001</v>
      </c>
      <c r="AK26" s="7">
        <v>3.0888</v>
      </c>
      <c r="AL26" s="7">
        <v>2.1</v>
      </c>
      <c r="AM26" s="41">
        <f t="shared" si="1"/>
        <v>1.1483651458333331E-2</v>
      </c>
      <c r="AN26" s="7">
        <v>38.42</v>
      </c>
      <c r="AO26" s="7">
        <v>28.8</v>
      </c>
      <c r="AP26" s="7">
        <v>648</v>
      </c>
      <c r="AQ26" s="7">
        <v>1759</v>
      </c>
      <c r="AR26" s="41">
        <v>51.660000000000082</v>
      </c>
      <c r="AS26" s="41">
        <f t="shared" si="2"/>
        <v>1707.34</v>
      </c>
      <c r="AT26" s="41">
        <f t="shared" si="20"/>
        <v>17.420000000000002</v>
      </c>
      <c r="AU26" s="41">
        <f t="shared" si="21"/>
        <v>12.8</v>
      </c>
      <c r="AV26" s="41">
        <f t="shared" si="22"/>
        <v>20</v>
      </c>
      <c r="AW26" s="26">
        <v>15</v>
      </c>
      <c r="AX26" s="55">
        <v>1700</v>
      </c>
      <c r="AY26" s="7">
        <v>34</v>
      </c>
      <c r="AZ26" s="7">
        <v>7.2</v>
      </c>
      <c r="BA26" s="7">
        <v>50</v>
      </c>
      <c r="BB26" s="23">
        <v>2.9999999999999997E-4</v>
      </c>
      <c r="BC26" s="12">
        <v>9.4999999999999998E-3</v>
      </c>
      <c r="BD26" s="5"/>
      <c r="BE26" s="23"/>
      <c r="BF26" s="12">
        <f t="shared" si="3"/>
        <v>1.2324012983999998E-2</v>
      </c>
      <c r="BG26" s="13">
        <f t="shared" si="4"/>
        <v>17.746578696959997</v>
      </c>
      <c r="BH26" s="13">
        <f t="shared" si="5"/>
        <v>1740.6797999999999</v>
      </c>
      <c r="BI26" s="14">
        <f t="shared" si="6"/>
        <v>2.2071836531911269E-2</v>
      </c>
      <c r="BJ26" s="14">
        <f t="shared" si="7"/>
        <v>2.2600000000000002E-2</v>
      </c>
      <c r="BK26" s="14">
        <f t="shared" si="8"/>
        <v>16.536458099999997</v>
      </c>
      <c r="BL26" s="14">
        <f t="shared" si="9"/>
        <v>1.1483651458333331E-2</v>
      </c>
      <c r="BM26" s="48" t="str">
        <f>IF(B26="Julia",BD26*BH26/24/60,"")</f>
        <v/>
      </c>
      <c r="BN26" s="36" t="str">
        <f t="shared" si="10"/>
        <v/>
      </c>
      <c r="BO26" s="14">
        <f t="shared" si="26"/>
        <v>12.663445545</v>
      </c>
      <c r="BP26" s="52" t="str">
        <f>IF(B26="Julia",BE26*BH26,"")</f>
        <v/>
      </c>
      <c r="BQ26" s="29">
        <f t="shared" si="29"/>
        <v>29.827666125541121</v>
      </c>
      <c r="BR26" s="38">
        <f t="shared" si="30"/>
        <v>1.1483651458333331E-2</v>
      </c>
      <c r="BS26" s="31">
        <f t="shared" si="17"/>
        <v>12.663445545</v>
      </c>
    </row>
    <row r="27" spans="1:71" x14ac:dyDescent="0.25">
      <c r="A27" s="2" t="s">
        <v>83</v>
      </c>
      <c r="B27" s="3" t="s">
        <v>74</v>
      </c>
      <c r="C27" s="3">
        <v>12</v>
      </c>
      <c r="D27" s="3">
        <v>4</v>
      </c>
      <c r="E27" s="3"/>
      <c r="F27" s="60">
        <v>45537.435821759304</v>
      </c>
      <c r="G27" s="3">
        <v>2119.61</v>
      </c>
      <c r="H27" s="6"/>
      <c r="I27" s="6">
        <v>1925.0550000000001</v>
      </c>
      <c r="J27" s="6">
        <v>24.3</v>
      </c>
      <c r="K27" s="6">
        <v>23.1</v>
      </c>
      <c r="L27" s="6">
        <v>95.3</v>
      </c>
      <c r="M27" s="6">
        <v>16.5</v>
      </c>
      <c r="N27" s="6">
        <v>335</v>
      </c>
      <c r="O27" s="6">
        <v>1.32</v>
      </c>
      <c r="P27" s="6">
        <v>0.36</v>
      </c>
      <c r="Q27" s="6">
        <v>2.97</v>
      </c>
      <c r="R27" s="6"/>
      <c r="S27" s="6">
        <v>0.13</v>
      </c>
      <c r="T27" s="6">
        <v>0.05</v>
      </c>
      <c r="U27" s="6">
        <v>2.34</v>
      </c>
      <c r="V27" s="6">
        <v>7.24</v>
      </c>
      <c r="W27" s="6">
        <v>112</v>
      </c>
      <c r="X27" s="6">
        <v>16.399999999999999</v>
      </c>
      <c r="Y27" s="6">
        <v>2.97</v>
      </c>
      <c r="Z27" s="6">
        <v>142.9</v>
      </c>
      <c r="AA27" s="6">
        <v>46.7</v>
      </c>
      <c r="AB27" s="6">
        <v>98.2</v>
      </c>
      <c r="AC27" s="6">
        <v>13.2</v>
      </c>
      <c r="AD27" s="16">
        <v>7.2809999999999997</v>
      </c>
      <c r="AE27" s="6">
        <v>301</v>
      </c>
      <c r="AF27" s="6">
        <v>50.3</v>
      </c>
      <c r="AG27" s="6">
        <v>7.27</v>
      </c>
      <c r="AH27" s="40">
        <f t="shared" si="0"/>
        <v>0.503</v>
      </c>
      <c r="AI27" s="6">
        <v>34</v>
      </c>
      <c r="AJ27" s="6">
        <v>22.065000000000001</v>
      </c>
      <c r="AK27" s="44">
        <v>4.6547999999999998</v>
      </c>
      <c r="AL27" s="6">
        <v>2.27</v>
      </c>
      <c r="AM27" s="42">
        <f t="shared" si="1"/>
        <v>2.03306636472439E-2</v>
      </c>
      <c r="AN27" s="6">
        <v>51.88</v>
      </c>
      <c r="AO27" s="6">
        <v>46.32</v>
      </c>
      <c r="AP27" s="6">
        <v>629.08000000000004</v>
      </c>
      <c r="AQ27" s="6">
        <v>1822</v>
      </c>
      <c r="AR27" s="40">
        <v>137.11999999999989</v>
      </c>
      <c r="AS27" s="40">
        <f t="shared" si="2"/>
        <v>1684.88</v>
      </c>
      <c r="AT27" s="40">
        <f t="shared" si="20"/>
        <v>12.54</v>
      </c>
      <c r="AU27" s="40">
        <f t="shared" si="21"/>
        <v>14.330000000000002</v>
      </c>
      <c r="AV27" s="40">
        <f t="shared" si="22"/>
        <v>12.919999999999959</v>
      </c>
      <c r="AW27" s="24">
        <v>15</v>
      </c>
      <c r="AX27" s="53">
        <v>1700</v>
      </c>
      <c r="AY27" s="6">
        <v>34</v>
      </c>
      <c r="AZ27" s="6">
        <v>7.2</v>
      </c>
      <c r="BA27" s="6">
        <v>50</v>
      </c>
      <c r="BB27" s="21">
        <v>2.9999999999999997E-4</v>
      </c>
      <c r="BC27" s="8"/>
      <c r="BD27" s="46">
        <f>BM27*24*60/BH27</f>
        <v>1.6708324436103449E-2</v>
      </c>
      <c r="BE27" s="22">
        <f>BP27/BH27</f>
        <v>3.1248605606522366E-3</v>
      </c>
      <c r="BF27" s="8">
        <f t="shared" si="3"/>
        <v>1.2142675314E-2</v>
      </c>
      <c r="BG27" s="9">
        <f t="shared" si="4"/>
        <v>17.485452452160001</v>
      </c>
      <c r="BH27" s="9">
        <f t="shared" si="5"/>
        <v>1752.1898000000001</v>
      </c>
      <c r="BI27" s="10">
        <f t="shared" si="6"/>
        <v>2.9608664540793469E-2</v>
      </c>
      <c r="BJ27" s="10">
        <f t="shared" si="7"/>
        <v>3.0517647058823531E-2</v>
      </c>
      <c r="BK27" s="10">
        <f t="shared" si="8"/>
        <v>29.276155652031218</v>
      </c>
      <c r="BL27" s="10" t="str">
        <f t="shared" si="9"/>
        <v/>
      </c>
      <c r="BM27" s="10">
        <v>2.03306636472439E-2</v>
      </c>
      <c r="BN27" s="35" t="str">
        <f t="shared" si="10"/>
        <v/>
      </c>
      <c r="BO27" s="10" t="str">
        <f t="shared" si="26"/>
        <v/>
      </c>
      <c r="BP27" s="50">
        <v>5.4753488007971303</v>
      </c>
      <c r="BQ27" s="27">
        <f>IF(BL27&lt;&gt;"",BL27/0.000385,IF(BM27&lt;&gt;"",BM27/0.000385,BN27/0.000385))</f>
        <v>52.806918564269871</v>
      </c>
      <c r="BR27" s="37">
        <f>IF(BL27&lt;&gt;"",BL27,IF(BM27&lt;&gt;"",BM27,BN27))</f>
        <v>2.03306636472439E-2</v>
      </c>
      <c r="BS27" s="32">
        <f t="shared" si="17"/>
        <v>5.4753488007971303</v>
      </c>
    </row>
    <row r="28" spans="1:71" x14ac:dyDescent="0.25">
      <c r="A28" s="1" t="s">
        <v>84</v>
      </c>
      <c r="B28" s="71" t="s">
        <v>74</v>
      </c>
      <c r="C28" s="71">
        <v>12</v>
      </c>
      <c r="D28" s="71">
        <v>4</v>
      </c>
      <c r="E28" s="71"/>
      <c r="F28" s="61">
        <v>45537.4385763889</v>
      </c>
      <c r="G28">
        <v>2119.61</v>
      </c>
      <c r="H28" s="72"/>
      <c r="I28" s="72">
        <v>1966.86</v>
      </c>
      <c r="J28" s="72">
        <v>25.1</v>
      </c>
      <c r="K28" s="72">
        <v>24</v>
      </c>
      <c r="L28" s="72">
        <v>95.6</v>
      </c>
      <c r="M28" s="72">
        <v>16.7</v>
      </c>
      <c r="N28" s="72">
        <v>338</v>
      </c>
      <c r="O28" s="72">
        <v>1.28</v>
      </c>
      <c r="P28" s="72">
        <v>0.34</v>
      </c>
      <c r="Q28" s="72">
        <v>2.62</v>
      </c>
      <c r="R28" s="72"/>
      <c r="S28" s="72">
        <v>0.14000000000000001</v>
      </c>
      <c r="T28" s="72">
        <v>0.04</v>
      </c>
      <c r="U28" s="72">
        <v>2.15</v>
      </c>
      <c r="V28" s="72">
        <v>7.2809999999999997</v>
      </c>
      <c r="W28" s="72">
        <v>121.3</v>
      </c>
      <c r="X28" s="72">
        <v>31.7</v>
      </c>
      <c r="Y28" s="72">
        <v>2.82</v>
      </c>
      <c r="Z28" s="72">
        <v>145.5</v>
      </c>
      <c r="AA28" s="72">
        <v>55.7</v>
      </c>
      <c r="AB28" s="72">
        <v>106.4</v>
      </c>
      <c r="AC28" s="72">
        <v>25.6</v>
      </c>
      <c r="AD28" s="17">
        <v>7.3230000000000004</v>
      </c>
      <c r="AE28" s="72">
        <v>301</v>
      </c>
      <c r="AF28" s="72">
        <v>52.8</v>
      </c>
      <c r="AG28" s="72">
        <v>7.29</v>
      </c>
      <c r="AH28" s="74">
        <f t="shared" si="0"/>
        <v>0.52800000000000002</v>
      </c>
      <c r="AI28" s="72">
        <v>34</v>
      </c>
      <c r="AJ28" s="72">
        <v>24.568000000000001</v>
      </c>
      <c r="AK28" s="72">
        <v>3.2469000000000001</v>
      </c>
      <c r="AL28" s="72">
        <v>1.38</v>
      </c>
      <c r="AM28" s="74">
        <f t="shared" si="1"/>
        <v>1.81470467977842E-2</v>
      </c>
      <c r="AN28" s="72">
        <v>53.59</v>
      </c>
      <c r="AO28" s="72">
        <v>46.45</v>
      </c>
      <c r="AP28" s="72">
        <v>632.23</v>
      </c>
      <c r="AQ28" s="72">
        <v>1763</v>
      </c>
      <c r="AR28" s="74">
        <v>45.769999999999982</v>
      </c>
      <c r="AS28" s="74">
        <f t="shared" si="2"/>
        <v>1717.23</v>
      </c>
      <c r="AT28" s="74">
        <f t="shared" si="20"/>
        <v>13.850000000000001</v>
      </c>
      <c r="AU28" s="74">
        <f t="shared" si="21"/>
        <v>13.990000000000002</v>
      </c>
      <c r="AV28" s="74">
        <f t="shared" si="22"/>
        <v>14.769999999999982</v>
      </c>
      <c r="AW28" s="25">
        <v>15</v>
      </c>
      <c r="AX28" s="54">
        <v>1700</v>
      </c>
      <c r="AY28" s="72">
        <v>34</v>
      </c>
      <c r="AZ28" s="72">
        <v>7.2</v>
      </c>
      <c r="BA28" s="72">
        <v>50</v>
      </c>
      <c r="BB28" s="22">
        <v>2.9999999999999997E-4</v>
      </c>
      <c r="BC28" s="11"/>
      <c r="BD28" s="76">
        <f>BM28*24*60/BH28</f>
        <v>1.4896378694101485E-2</v>
      </c>
      <c r="BE28" s="22">
        <f>BP28/BH28</f>
        <v>2.389137326932978E-3</v>
      </c>
      <c r="BF28" s="11">
        <f t="shared" si="3"/>
        <v>1.263049128E-2</v>
      </c>
      <c r="BG28" s="76">
        <f t="shared" si="4"/>
        <v>18.187907443199997</v>
      </c>
      <c r="BH28" s="76">
        <f t="shared" si="5"/>
        <v>1754.2348999999999</v>
      </c>
      <c r="BI28" s="77">
        <f t="shared" si="6"/>
        <v>3.0548930476756567E-2</v>
      </c>
      <c r="BJ28" s="77">
        <f t="shared" si="7"/>
        <v>3.1523529411764707E-2</v>
      </c>
      <c r="BK28" s="77">
        <f t="shared" si="8"/>
        <v>26.131747388809249</v>
      </c>
      <c r="BL28" s="77" t="str">
        <f t="shared" si="9"/>
        <v/>
      </c>
      <c r="BM28" s="47">
        <v>1.81470467977842E-2</v>
      </c>
      <c r="BN28" s="78" t="str">
        <f t="shared" si="10"/>
        <v/>
      </c>
      <c r="BO28" s="77" t="str">
        <f t="shared" si="26"/>
        <v/>
      </c>
      <c r="BP28" s="51">
        <v>4.1911080797985401</v>
      </c>
      <c r="BQ28" s="28">
        <f t="shared" ref="BQ28:BQ32" si="31">IF(BL28&lt;&gt;"",BL28/0.000385,IF(BM28&lt;&gt;"",BM28/0.000385,BN28/0.000385))</f>
        <v>47.13518648775117</v>
      </c>
      <c r="BR28" s="49">
        <f t="shared" ref="BR28:BR32" si="32">IF(BL28&lt;&gt;"",BL28,IF(BM28&lt;&gt;"",BM28,BN28))</f>
        <v>1.81470467977842E-2</v>
      </c>
      <c r="BS28" s="30">
        <f t="shared" si="17"/>
        <v>4.1911080797985401</v>
      </c>
    </row>
    <row r="29" spans="1:71" x14ac:dyDescent="0.25">
      <c r="A29" s="1" t="s">
        <v>85</v>
      </c>
      <c r="B29" s="71" t="s">
        <v>74</v>
      </c>
      <c r="C29" s="71">
        <v>12</v>
      </c>
      <c r="D29" s="71">
        <v>4</v>
      </c>
      <c r="E29" t="s">
        <v>82</v>
      </c>
      <c r="F29" s="61">
        <v>45537.441435185203</v>
      </c>
      <c r="G29" s="71">
        <v>2119.61</v>
      </c>
      <c r="H29" s="72"/>
      <c r="I29" s="72">
        <v>1661.28</v>
      </c>
      <c r="J29" s="72">
        <v>28.4</v>
      </c>
      <c r="K29" s="72">
        <v>26.2</v>
      </c>
      <c r="L29" s="72">
        <v>92.5</v>
      </c>
      <c r="M29" s="72">
        <v>15.6</v>
      </c>
      <c r="N29" s="72">
        <v>373</v>
      </c>
      <c r="O29" s="72">
        <v>1.94</v>
      </c>
      <c r="P29" s="72">
        <v>0.37</v>
      </c>
      <c r="Q29" s="72">
        <v>0.03</v>
      </c>
      <c r="R29" s="72"/>
      <c r="S29" s="72">
        <v>0.28000000000000003</v>
      </c>
      <c r="T29" s="72">
        <v>0.98</v>
      </c>
      <c r="U29" s="72">
        <v>6.46</v>
      </c>
      <c r="V29" s="72">
        <v>7.1040000000000001</v>
      </c>
      <c r="W29" s="72">
        <v>52.1</v>
      </c>
      <c r="X29" s="72">
        <v>25.9</v>
      </c>
      <c r="Y29" s="72">
        <v>5.14</v>
      </c>
      <c r="Z29" s="72">
        <v>157.1</v>
      </c>
      <c r="AA29" s="72">
        <v>15.8</v>
      </c>
      <c r="AB29" s="72">
        <v>45.7</v>
      </c>
      <c r="AC29" s="72">
        <v>20.9</v>
      </c>
      <c r="AD29" s="17">
        <v>7.1420000000000003</v>
      </c>
      <c r="AE29" s="72">
        <v>298</v>
      </c>
      <c r="AF29" s="72">
        <v>64.3</v>
      </c>
      <c r="AG29" s="72">
        <v>7.17</v>
      </c>
      <c r="AH29" s="74">
        <f t="shared" si="0"/>
        <v>0.64300000000000002</v>
      </c>
      <c r="AI29" s="72">
        <v>34</v>
      </c>
      <c r="AJ29" s="72">
        <v>34.698999999999998</v>
      </c>
      <c r="AK29" s="44">
        <v>1.2355</v>
      </c>
      <c r="AL29" s="72">
        <v>2.92</v>
      </c>
      <c r="AM29" s="74">
        <f t="shared" si="1"/>
        <v>2.93434083333333E-2</v>
      </c>
      <c r="AN29" s="72">
        <v>51.12</v>
      </c>
      <c r="AO29" s="72">
        <v>45.63</v>
      </c>
      <c r="AP29" s="72">
        <v>621.55999999999995</v>
      </c>
      <c r="AQ29" s="72">
        <v>1791</v>
      </c>
      <c r="AR29" s="74">
        <v>84.700000000000045</v>
      </c>
      <c r="AS29" s="74">
        <f t="shared" si="2"/>
        <v>1706.3</v>
      </c>
      <c r="AT29" s="74">
        <f t="shared" si="20"/>
        <v>20.499999999999996</v>
      </c>
      <c r="AU29" s="74">
        <f t="shared" si="21"/>
        <v>13</v>
      </c>
      <c r="AV29" s="74">
        <f t="shared" si="22"/>
        <v>24.440000000000055</v>
      </c>
      <c r="AW29" s="25">
        <v>15</v>
      </c>
      <c r="AX29" s="54">
        <v>1700</v>
      </c>
      <c r="AY29" s="72">
        <v>34</v>
      </c>
      <c r="AZ29" s="72">
        <v>7.2</v>
      </c>
      <c r="BA29" s="72">
        <v>50</v>
      </c>
      <c r="BB29" s="22">
        <v>2.9999999999999997E-4</v>
      </c>
      <c r="BC29" s="11"/>
      <c r="BD29" s="46">
        <f>BM29*24*60/BH29</f>
        <v>2.3999999999999976E-2</v>
      </c>
      <c r="BE29" s="22">
        <f>BP29/BH29</f>
        <v>8.502714696423018E-3</v>
      </c>
      <c r="BF29" s="11">
        <f t="shared" si="3"/>
        <v>1.3838351369999998E-2</v>
      </c>
      <c r="BG29" s="76">
        <f t="shared" si="4"/>
        <v>19.927225972799995</v>
      </c>
      <c r="BH29" s="76">
        <f t="shared" si="5"/>
        <v>1760.6044999999999</v>
      </c>
      <c r="BI29" s="77">
        <f t="shared" si="6"/>
        <v>2.9035481847285976E-2</v>
      </c>
      <c r="BJ29" s="77">
        <f t="shared" si="7"/>
        <v>3.0070588235294116E-2</v>
      </c>
      <c r="BK29" s="77">
        <f t="shared" si="8"/>
        <v>42.254507999999959</v>
      </c>
      <c r="BL29" s="77" t="str">
        <f t="shared" si="9"/>
        <v/>
      </c>
      <c r="BM29" s="77">
        <v>2.93434083333333E-2</v>
      </c>
      <c r="BN29" s="78" t="str">
        <f t="shared" si="10"/>
        <v/>
      </c>
      <c r="BO29" s="77" t="str">
        <f t="shared" si="26"/>
        <v/>
      </c>
      <c r="BP29" s="51">
        <v>14.9699177567385</v>
      </c>
      <c r="BQ29" s="28">
        <f t="shared" si="31"/>
        <v>76.216645021644936</v>
      </c>
      <c r="BR29" s="49">
        <f t="shared" si="32"/>
        <v>2.93434083333333E-2</v>
      </c>
      <c r="BS29" s="30">
        <f t="shared" si="17"/>
        <v>14.9699177567385</v>
      </c>
    </row>
    <row r="30" spans="1:71" x14ac:dyDescent="0.25">
      <c r="A30" s="1" t="s">
        <v>86</v>
      </c>
      <c r="B30" t="s">
        <v>75</v>
      </c>
      <c r="C30">
        <v>12</v>
      </c>
      <c r="D30">
        <v>4</v>
      </c>
      <c r="F30" s="61">
        <v>45537.446064814802</v>
      </c>
      <c r="G30">
        <v>2119.61</v>
      </c>
      <c r="H30" s="44"/>
      <c r="I30" s="44">
        <v>1852.2</v>
      </c>
      <c r="J30" s="44">
        <v>23.4</v>
      </c>
      <c r="K30" s="44">
        <v>21.7</v>
      </c>
      <c r="L30" s="44">
        <v>92.8</v>
      </c>
      <c r="M30" s="44">
        <v>17</v>
      </c>
      <c r="N30" s="44">
        <v>338</v>
      </c>
      <c r="O30" s="44">
        <v>1.47</v>
      </c>
      <c r="P30" s="44">
        <v>0.37</v>
      </c>
      <c r="Q30" s="44">
        <v>1.04</v>
      </c>
      <c r="R30" s="44"/>
      <c r="S30" s="44">
        <v>0.15</v>
      </c>
      <c r="T30" s="44">
        <v>0.04</v>
      </c>
      <c r="U30" s="44">
        <v>4.01</v>
      </c>
      <c r="V30" s="44">
        <v>7.1879999999999997</v>
      </c>
      <c r="W30" s="44">
        <v>104.1</v>
      </c>
      <c r="X30" s="44">
        <v>0</v>
      </c>
      <c r="Y30" s="44">
        <v>3.22</v>
      </c>
      <c r="Z30" s="44">
        <v>149.1</v>
      </c>
      <c r="AA30" s="44">
        <v>38.4</v>
      </c>
      <c r="AB30" s="44">
        <v>91.3</v>
      </c>
      <c r="AC30" s="44">
        <v>0</v>
      </c>
      <c r="AD30" s="17">
        <v>7.2279999999999998</v>
      </c>
      <c r="AE30" s="44">
        <v>302</v>
      </c>
      <c r="AF30" s="44">
        <v>46.6</v>
      </c>
      <c r="AG30" s="44">
        <v>7.22</v>
      </c>
      <c r="AH30" s="45">
        <f t="shared" si="0"/>
        <v>0.46600000000000003</v>
      </c>
      <c r="AI30" s="44">
        <v>34</v>
      </c>
      <c r="AJ30" s="44">
        <v>28.350999999999999</v>
      </c>
      <c r="AK30" s="44">
        <v>6.8529</v>
      </c>
      <c r="AL30" s="44">
        <v>2.95</v>
      </c>
      <c r="AM30" s="45">
        <f t="shared" si="1"/>
        <v>8.9943603194444447E-3</v>
      </c>
      <c r="AN30" s="44">
        <v>44.08</v>
      </c>
      <c r="AO30" s="44">
        <v>43.02</v>
      </c>
      <c r="AP30" s="44">
        <v>629.41999999999996</v>
      </c>
      <c r="AQ30" s="44">
        <v>1763</v>
      </c>
      <c r="AR30" s="45">
        <v>47.420000000000073</v>
      </c>
      <c r="AS30" s="45">
        <f t="shared" si="2"/>
        <v>1715.58</v>
      </c>
      <c r="AT30" s="45">
        <f t="shared" si="20"/>
        <v>11.799999999999997</v>
      </c>
      <c r="AU30" s="45">
        <f t="shared" si="21"/>
        <v>13.840000000000003</v>
      </c>
      <c r="AV30" s="45">
        <f t="shared" si="22"/>
        <v>14.580000000000041</v>
      </c>
      <c r="AW30" s="25">
        <v>15</v>
      </c>
      <c r="AX30" s="54">
        <v>1700</v>
      </c>
      <c r="AY30" s="44">
        <v>34</v>
      </c>
      <c r="AZ30" s="44">
        <v>7.2</v>
      </c>
      <c r="BA30" s="44">
        <v>50</v>
      </c>
      <c r="BB30" s="22">
        <v>2.9999999999999997E-4</v>
      </c>
      <c r="BC30" s="11">
        <v>7.4000000000000003E-3</v>
      </c>
      <c r="BE30" s="22"/>
      <c r="BF30" s="11">
        <f t="shared" si="3"/>
        <v>1.1394152889E-2</v>
      </c>
      <c r="BG30" s="46">
        <f t="shared" si="4"/>
        <v>16.407580160159998</v>
      </c>
      <c r="BH30" s="46">
        <f t="shared" si="5"/>
        <v>1750.2538999999999</v>
      </c>
      <c r="BI30" s="47">
        <f t="shared" si="6"/>
        <v>2.5184917456832979E-2</v>
      </c>
      <c r="BJ30" s="47">
        <f t="shared" si="7"/>
        <v>2.5929411764705881E-2</v>
      </c>
      <c r="BK30" s="47">
        <f t="shared" si="8"/>
        <v>12.951878860000001</v>
      </c>
      <c r="BL30" s="47">
        <f t="shared" si="9"/>
        <v>8.9943603194444447E-3</v>
      </c>
      <c r="BM30" s="48" t="str">
        <f>IF(B30="Julia",BD30*BH30/24/60,"")</f>
        <v/>
      </c>
      <c r="BN30" s="48" t="str">
        <f t="shared" si="10"/>
        <v/>
      </c>
      <c r="BO30" s="47">
        <f t="shared" si="26"/>
        <v>8.5762441099999993</v>
      </c>
      <c r="BP30" s="51" t="str">
        <f>IF(B30="Julia",BE30*BH30,"")</f>
        <v/>
      </c>
      <c r="BQ30" s="28">
        <f t="shared" si="31"/>
        <v>23.361974855699856</v>
      </c>
      <c r="BR30" s="49">
        <f t="shared" si="32"/>
        <v>8.9943603194444447E-3</v>
      </c>
      <c r="BS30" s="30">
        <f t="shared" si="17"/>
        <v>8.5762441099999993</v>
      </c>
    </row>
    <row r="31" spans="1:71" x14ac:dyDescent="0.25">
      <c r="A31" s="1" t="s">
        <v>87</v>
      </c>
      <c r="B31" t="s">
        <v>75</v>
      </c>
      <c r="C31">
        <v>12</v>
      </c>
      <c r="D31">
        <v>4</v>
      </c>
      <c r="E31" t="s">
        <v>81</v>
      </c>
      <c r="F31" s="61">
        <v>45537.449282407397</v>
      </c>
      <c r="G31">
        <v>2119.61</v>
      </c>
      <c r="H31" s="44"/>
      <c r="I31" s="44">
        <v>1875.4649999999999</v>
      </c>
      <c r="J31" s="44">
        <v>23</v>
      </c>
      <c r="K31" s="44">
        <v>21.6</v>
      </c>
      <c r="L31" s="44">
        <v>93.8</v>
      </c>
      <c r="M31" s="44">
        <v>17</v>
      </c>
      <c r="N31" s="44">
        <v>351</v>
      </c>
      <c r="O31" s="44">
        <v>1.47</v>
      </c>
      <c r="P31" s="44">
        <v>0.36</v>
      </c>
      <c r="Q31" s="44">
        <v>1.58</v>
      </c>
      <c r="R31" s="44"/>
      <c r="S31" s="44">
        <v>0.17</v>
      </c>
      <c r="T31" s="44">
        <v>0.03</v>
      </c>
      <c r="U31" s="44">
        <v>2.94</v>
      </c>
      <c r="V31" s="44">
        <v>7.2830000000000004</v>
      </c>
      <c r="W31" s="44">
        <v>116.1</v>
      </c>
      <c r="X31" s="44">
        <v>17.7</v>
      </c>
      <c r="Y31" s="44">
        <v>2.74</v>
      </c>
      <c r="Z31" s="44">
        <v>154.6</v>
      </c>
      <c r="AA31" s="44">
        <v>53.6</v>
      </c>
      <c r="AB31" s="44">
        <v>101.8</v>
      </c>
      <c r="AC31" s="44">
        <v>14.3</v>
      </c>
      <c r="AD31" s="17">
        <v>7.3250000000000002</v>
      </c>
      <c r="AE31" s="44">
        <v>299</v>
      </c>
      <c r="AF31" s="44">
        <v>50.1</v>
      </c>
      <c r="AG31" s="44">
        <v>7.3</v>
      </c>
      <c r="AH31" s="45">
        <f t="shared" si="0"/>
        <v>0.501</v>
      </c>
      <c r="AI31" s="44">
        <v>34</v>
      </c>
      <c r="AJ31" s="44">
        <v>27.696000000000002</v>
      </c>
      <c r="AK31" s="44">
        <v>5.5312000000000001</v>
      </c>
      <c r="AL31" s="44">
        <v>2.77</v>
      </c>
      <c r="AM31" s="45">
        <f t="shared" si="1"/>
        <v>2.4387877777777778E-2</v>
      </c>
      <c r="AN31" s="44">
        <v>54.19</v>
      </c>
      <c r="AO31" s="44">
        <v>40.74</v>
      </c>
      <c r="AP31" s="44">
        <v>597.16</v>
      </c>
      <c r="AQ31" s="44">
        <v>1790</v>
      </c>
      <c r="AR31" s="45">
        <v>133.55999999999995</v>
      </c>
      <c r="AS31" s="45">
        <f t="shared" si="2"/>
        <v>1656.44</v>
      </c>
      <c r="AT31" s="45">
        <f t="shared" si="20"/>
        <v>15.61</v>
      </c>
      <c r="AU31" s="45">
        <f t="shared" si="21"/>
        <v>13.8</v>
      </c>
      <c r="AV31" s="45">
        <f t="shared" si="22"/>
        <v>20.840000000000032</v>
      </c>
      <c r="AW31" s="25">
        <v>15</v>
      </c>
      <c r="AX31" s="54">
        <v>1700</v>
      </c>
      <c r="AY31" s="44">
        <v>34</v>
      </c>
      <c r="AZ31" s="44">
        <v>7.2</v>
      </c>
      <c r="BA31" s="44">
        <v>50</v>
      </c>
      <c r="BB31" s="22">
        <v>2.9999999999999997E-4</v>
      </c>
      <c r="BC31" s="11">
        <v>0.02</v>
      </c>
      <c r="BE31" s="22"/>
      <c r="BF31" s="11">
        <f t="shared" si="3"/>
        <v>1.1378408256E-2</v>
      </c>
      <c r="BG31" s="46">
        <f t="shared" si="4"/>
        <v>16.384907888640001</v>
      </c>
      <c r="BH31" s="46">
        <f t="shared" si="5"/>
        <v>1755.9272000000001</v>
      </c>
      <c r="BI31" s="47">
        <f t="shared" si="6"/>
        <v>3.0861188322613829E-2</v>
      </c>
      <c r="BJ31" s="47">
        <f t="shared" si="7"/>
        <v>3.1876470588235291E-2</v>
      </c>
      <c r="BK31" s="47">
        <f t="shared" si="8"/>
        <v>35.118544</v>
      </c>
      <c r="BL31" s="47">
        <f t="shared" si="9"/>
        <v>2.4387877777777778E-2</v>
      </c>
      <c r="BM31" s="48" t="str">
        <f>IF(B31="Julia",BD31*BH31/24/60,"")</f>
        <v/>
      </c>
      <c r="BN31" s="48" t="str">
        <f t="shared" si="10"/>
        <v/>
      </c>
      <c r="BO31" s="47">
        <f t="shared" si="26"/>
        <v>0</v>
      </c>
      <c r="BP31" s="51" t="str">
        <f>IF(B31="Julia",BE31*BH31,"")</f>
        <v/>
      </c>
      <c r="BQ31" s="28">
        <f t="shared" si="31"/>
        <v>63.34513708513709</v>
      </c>
      <c r="BR31" s="49">
        <f t="shared" si="32"/>
        <v>2.4387877777777778E-2</v>
      </c>
      <c r="BS31" s="30">
        <f t="shared" si="17"/>
        <v>0</v>
      </c>
    </row>
    <row r="32" spans="1:71" ht="15.75" thickBot="1" x14ac:dyDescent="0.3">
      <c r="A32" s="4" t="s">
        <v>88</v>
      </c>
      <c r="B32" s="5" t="s">
        <v>75</v>
      </c>
      <c r="C32" s="5">
        <v>12</v>
      </c>
      <c r="D32" s="5">
        <v>4</v>
      </c>
      <c r="E32" s="5"/>
      <c r="F32" s="62">
        <v>45537.452534722201</v>
      </c>
      <c r="G32" s="5">
        <v>2119.61</v>
      </c>
      <c r="H32" s="7"/>
      <c r="I32" s="7">
        <v>1929.885</v>
      </c>
      <c r="J32" s="7">
        <v>24.6</v>
      </c>
      <c r="K32" s="7">
        <v>23</v>
      </c>
      <c r="L32" s="7">
        <v>93.2</v>
      </c>
      <c r="M32" s="7">
        <v>16.600000000000001</v>
      </c>
      <c r="N32" s="7">
        <v>345</v>
      </c>
      <c r="O32" s="7">
        <v>1.31</v>
      </c>
      <c r="P32" s="7">
        <v>0.35</v>
      </c>
      <c r="Q32" s="7">
        <v>1.59</v>
      </c>
      <c r="R32" s="7"/>
      <c r="S32" s="7">
        <v>0.11</v>
      </c>
      <c r="T32" s="7">
        <v>0.01</v>
      </c>
      <c r="U32" s="7">
        <v>3.07</v>
      </c>
      <c r="V32" s="7">
        <v>7.3159999999999998</v>
      </c>
      <c r="W32" s="7">
        <v>98.5</v>
      </c>
      <c r="X32" s="7">
        <v>51</v>
      </c>
      <c r="Y32" s="7">
        <v>2.91</v>
      </c>
      <c r="Z32" s="7">
        <v>149.6</v>
      </c>
      <c r="AA32" s="7">
        <v>49.1</v>
      </c>
      <c r="AB32" s="7">
        <v>86.4</v>
      </c>
      <c r="AC32" s="7">
        <v>41.4</v>
      </c>
      <c r="AD32" s="18">
        <v>7.359</v>
      </c>
      <c r="AE32" s="7">
        <v>301</v>
      </c>
      <c r="AF32" s="7">
        <v>49.1</v>
      </c>
      <c r="AG32" s="7">
        <v>7.3</v>
      </c>
      <c r="AH32" s="41">
        <f t="shared" si="0"/>
        <v>0.49099999999999999</v>
      </c>
      <c r="AI32" s="7">
        <v>34</v>
      </c>
      <c r="AJ32" s="7">
        <v>28.271000000000001</v>
      </c>
      <c r="AK32" s="7">
        <v>7.8441999999999998</v>
      </c>
      <c r="AL32" s="7">
        <v>2.8</v>
      </c>
      <c r="AM32" s="41">
        <f t="shared" si="1"/>
        <v>2.2596018194444442E-2</v>
      </c>
      <c r="AN32" s="7">
        <v>52.46</v>
      </c>
      <c r="AO32" s="7">
        <v>42.45</v>
      </c>
      <c r="AP32" s="7">
        <v>633.13</v>
      </c>
      <c r="AQ32" s="7">
        <v>1784</v>
      </c>
      <c r="AR32" s="41">
        <v>51.660000000000082</v>
      </c>
      <c r="AS32" s="41">
        <f t="shared" si="2"/>
        <v>1732.34</v>
      </c>
      <c r="AT32" s="41">
        <f t="shared" si="20"/>
        <v>14.04</v>
      </c>
      <c r="AU32" s="41">
        <f t="shared" si="21"/>
        <v>13.650000000000002</v>
      </c>
      <c r="AV32" s="41">
        <f t="shared" si="22"/>
        <v>14.870000000000005</v>
      </c>
      <c r="AW32" s="26">
        <v>15</v>
      </c>
      <c r="AX32" s="55">
        <v>1700</v>
      </c>
      <c r="AY32" s="7">
        <v>34</v>
      </c>
      <c r="AZ32" s="7">
        <v>7.2</v>
      </c>
      <c r="BA32" s="7">
        <v>50</v>
      </c>
      <c r="BB32" s="23">
        <v>2.9999999999999997E-4</v>
      </c>
      <c r="BC32" s="12">
        <v>1.8499999999999999E-2</v>
      </c>
      <c r="BD32" s="5"/>
      <c r="BE32" s="23"/>
      <c r="BF32" s="12">
        <f t="shared" si="3"/>
        <v>1.2135893879999998E-2</v>
      </c>
      <c r="BG32" s="13">
        <f t="shared" si="4"/>
        <v>17.475687187199998</v>
      </c>
      <c r="BH32" s="13">
        <f t="shared" si="5"/>
        <v>1758.8252</v>
      </c>
      <c r="BI32" s="14">
        <f t="shared" si="6"/>
        <v>2.9826727522439412E-2</v>
      </c>
      <c r="BJ32" s="14">
        <f t="shared" si="7"/>
        <v>3.0858823529411765E-2</v>
      </c>
      <c r="BK32" s="14">
        <f t="shared" si="8"/>
        <v>32.538266199999995</v>
      </c>
      <c r="BL32" s="14">
        <f t="shared" si="9"/>
        <v>2.2596018194444442E-2</v>
      </c>
      <c r="BM32" s="48" t="str">
        <f>IF(B32="Julia",BD32*BH32/24/60,"")</f>
        <v/>
      </c>
      <c r="BN32" s="36" t="str">
        <f t="shared" si="10"/>
        <v/>
      </c>
      <c r="BO32" s="14">
        <f t="shared" si="26"/>
        <v>0</v>
      </c>
      <c r="BP32" s="52" t="str">
        <f>IF(B32="Julia",BE32*BH32,"")</f>
        <v/>
      </c>
      <c r="BQ32" s="29">
        <f t="shared" si="31"/>
        <v>58.690956349206346</v>
      </c>
      <c r="BR32" s="38">
        <f t="shared" si="32"/>
        <v>2.2596018194444442E-2</v>
      </c>
      <c r="BS32" s="31">
        <f t="shared" si="17"/>
        <v>0</v>
      </c>
    </row>
    <row r="33" spans="1:71" x14ac:dyDescent="0.25">
      <c r="A33" s="2" t="s">
        <v>83</v>
      </c>
      <c r="B33" s="3" t="s">
        <v>74</v>
      </c>
      <c r="C33" s="3">
        <v>12</v>
      </c>
      <c r="D33" s="3">
        <v>5</v>
      </c>
      <c r="E33" s="71" t="s">
        <v>82</v>
      </c>
      <c r="F33" s="60">
        <v>45538.412222222199</v>
      </c>
      <c r="G33" s="3">
        <v>2716.05</v>
      </c>
      <c r="H33" s="6"/>
      <c r="I33" s="6">
        <v>2667.585</v>
      </c>
      <c r="J33" s="6">
        <v>24</v>
      </c>
      <c r="K33" s="6">
        <v>22.9</v>
      </c>
      <c r="L33" s="6">
        <v>95.6</v>
      </c>
      <c r="M33" s="6">
        <v>16.8</v>
      </c>
      <c r="N33" s="6">
        <v>340</v>
      </c>
      <c r="O33" s="6">
        <v>1.19</v>
      </c>
      <c r="P33" s="6">
        <v>0.3</v>
      </c>
      <c r="Q33" s="6">
        <v>4.21</v>
      </c>
      <c r="R33" s="6"/>
      <c r="S33" s="6">
        <v>0.15</v>
      </c>
      <c r="T33" s="6">
        <v>0.06</v>
      </c>
      <c r="U33" s="6">
        <v>1.35</v>
      </c>
      <c r="V33" s="6">
        <v>7.3150000000000004</v>
      </c>
      <c r="W33" s="6">
        <v>116.6</v>
      </c>
      <c r="X33" s="6">
        <v>11.2</v>
      </c>
      <c r="Y33" s="6">
        <v>2.67</v>
      </c>
      <c r="Z33" s="6">
        <v>142.4</v>
      </c>
      <c r="AA33" s="6">
        <v>57.9</v>
      </c>
      <c r="AB33" s="6">
        <v>102.2</v>
      </c>
      <c r="AC33" s="6">
        <v>9</v>
      </c>
      <c r="AD33" s="16">
        <v>7.3570000000000002</v>
      </c>
      <c r="AE33" s="6">
        <v>301</v>
      </c>
      <c r="AF33" s="6">
        <v>51.5</v>
      </c>
      <c r="AG33" s="6">
        <v>7.3</v>
      </c>
      <c r="AH33" s="40">
        <f t="shared" si="0"/>
        <v>0.51500000000000001</v>
      </c>
      <c r="AI33" s="6">
        <v>34</v>
      </c>
      <c r="AJ33" s="6">
        <v>22.07</v>
      </c>
      <c r="AK33" s="72">
        <v>7.36</v>
      </c>
      <c r="AL33" s="6">
        <v>3.02</v>
      </c>
      <c r="AM33" s="42">
        <f t="shared" si="1"/>
        <v>1.5867559989560302E-2</v>
      </c>
      <c r="AN33" s="6">
        <v>77.8</v>
      </c>
      <c r="AO33" s="6">
        <v>52.48</v>
      </c>
      <c r="AP33" s="6">
        <v>598</v>
      </c>
      <c r="AQ33" s="6">
        <v>1853</v>
      </c>
      <c r="AR33" s="40">
        <v>137.11999999999989</v>
      </c>
      <c r="AS33" s="40">
        <f t="shared" si="2"/>
        <v>1715.88</v>
      </c>
      <c r="AT33" s="40">
        <f t="shared" si="20"/>
        <v>25.919999999999995</v>
      </c>
      <c r="AU33" s="40">
        <f t="shared" si="21"/>
        <v>6.1599999999999966</v>
      </c>
      <c r="AV33" s="40">
        <f t="shared" si="22"/>
        <v>31.080000000000041</v>
      </c>
      <c r="AW33" s="24">
        <v>15</v>
      </c>
      <c r="AX33" s="53">
        <v>1700</v>
      </c>
      <c r="AY33" s="6">
        <v>34</v>
      </c>
      <c r="AZ33" s="6">
        <v>7.2</v>
      </c>
      <c r="BA33" s="6">
        <v>50</v>
      </c>
      <c r="BB33" s="21">
        <v>2.9999999999999997E-4</v>
      </c>
      <c r="BC33" s="8"/>
      <c r="BD33" s="76">
        <f>BM33*24*60/BH33</f>
        <v>1.2889321207948664E-2</v>
      </c>
      <c r="BE33" s="22">
        <f>BP33/BH33</f>
        <v>2.1914951019571392E-3</v>
      </c>
      <c r="BF33" s="8">
        <f t="shared" si="3"/>
        <v>1.2178655099999998E-2</v>
      </c>
      <c r="BG33" s="9">
        <f t="shared" si="4"/>
        <v>17.537263343999996</v>
      </c>
      <c r="BH33" s="9">
        <f t="shared" si="5"/>
        <v>1772.73</v>
      </c>
      <c r="BI33" s="10">
        <f t="shared" si="6"/>
        <v>4.3887111968545688E-2</v>
      </c>
      <c r="BJ33" s="10">
        <f t="shared" si="7"/>
        <v>4.5764705882352937E-2</v>
      </c>
      <c r="BK33" s="10">
        <f t="shared" si="8"/>
        <v>22.849286384966835</v>
      </c>
      <c r="BL33" s="10" t="str">
        <f t="shared" si="9"/>
        <v/>
      </c>
      <c r="BM33" s="10">
        <v>1.5867559989560302E-2</v>
      </c>
      <c r="BN33" s="35" t="str">
        <f t="shared" si="10"/>
        <v/>
      </c>
      <c r="BO33" s="10" t="str">
        <f t="shared" si="26"/>
        <v/>
      </c>
      <c r="BP33" s="50">
        <v>3.8849291120924798</v>
      </c>
      <c r="BQ33" s="27">
        <f>IF(BL33&lt;&gt;"",BL33/0.000385,IF(BM33&lt;&gt;"",BM33/0.000385,BN33/0.000385))</f>
        <v>41.214441531325463</v>
      </c>
      <c r="BR33" s="37">
        <f>IF(BL33&lt;&gt;"",BL33,IF(BM33&lt;&gt;"",BM33,BN33))</f>
        <v>1.5867559989560302E-2</v>
      </c>
      <c r="BS33" s="32">
        <f t="shared" si="17"/>
        <v>3.8849291120924798</v>
      </c>
    </row>
    <row r="34" spans="1:71" x14ac:dyDescent="0.25">
      <c r="A34" s="1" t="s">
        <v>84</v>
      </c>
      <c r="B34" s="71" t="s">
        <v>74</v>
      </c>
      <c r="C34" s="71">
        <v>12</v>
      </c>
      <c r="D34" s="71">
        <v>5</v>
      </c>
      <c r="E34" s="71"/>
      <c r="F34" s="61">
        <v>45538.419768518499</v>
      </c>
      <c r="G34" s="71">
        <v>2716.05</v>
      </c>
      <c r="H34" s="72"/>
      <c r="I34" s="72">
        <v>2629.92</v>
      </c>
      <c r="J34" s="72">
        <v>26.2</v>
      </c>
      <c r="K34" s="72">
        <v>25</v>
      </c>
      <c r="L34" s="72">
        <v>95.3</v>
      </c>
      <c r="M34" s="72">
        <v>17</v>
      </c>
      <c r="N34" s="72">
        <v>344</v>
      </c>
      <c r="O34" s="72">
        <v>1.19</v>
      </c>
      <c r="P34" s="72">
        <v>0.3</v>
      </c>
      <c r="Q34" s="72">
        <v>3.43</v>
      </c>
      <c r="R34" s="72"/>
      <c r="S34" s="72">
        <v>0.16</v>
      </c>
      <c r="T34" s="72">
        <v>7.0000000000000007E-2</v>
      </c>
      <c r="U34" s="72">
        <v>1.42</v>
      </c>
      <c r="V34" s="72">
        <v>7.298</v>
      </c>
      <c r="W34" s="72">
        <v>126.9</v>
      </c>
      <c r="X34" s="72">
        <v>36.799999999999997</v>
      </c>
      <c r="Y34" s="72">
        <v>2.5499999999999998</v>
      </c>
      <c r="Z34" s="72">
        <v>147.5</v>
      </c>
      <c r="AA34" s="72">
        <v>60.6</v>
      </c>
      <c r="AB34" s="72">
        <v>111.3</v>
      </c>
      <c r="AC34" s="72">
        <v>29.8</v>
      </c>
      <c r="AD34" s="17">
        <v>7.34</v>
      </c>
      <c r="AE34" s="72">
        <v>300</v>
      </c>
      <c r="AF34" s="72">
        <v>49.2</v>
      </c>
      <c r="AG34" s="72">
        <v>7.3</v>
      </c>
      <c r="AH34" s="74">
        <f t="shared" si="0"/>
        <v>0.49200000000000005</v>
      </c>
      <c r="AI34" s="72">
        <v>34</v>
      </c>
      <c r="AJ34" s="72">
        <v>24.57</v>
      </c>
      <c r="AK34" s="44">
        <v>9.2100000000000009</v>
      </c>
      <c r="AL34" s="72">
        <v>1.79</v>
      </c>
      <c r="AM34" s="74">
        <f t="shared" si="1"/>
        <v>1.8262915191301601E-2</v>
      </c>
      <c r="AN34" s="72">
        <v>77.14</v>
      </c>
      <c r="AO34" s="72">
        <v>51.28</v>
      </c>
      <c r="AP34" s="72">
        <v>604</v>
      </c>
      <c r="AQ34" s="72">
        <v>1776</v>
      </c>
      <c r="AR34" s="74">
        <v>45.769999999999982</v>
      </c>
      <c r="AS34" s="74">
        <f t="shared" si="2"/>
        <v>1730.23</v>
      </c>
      <c r="AT34" s="74">
        <f t="shared" si="20"/>
        <v>23.549999999999997</v>
      </c>
      <c r="AU34" s="74">
        <f t="shared" si="21"/>
        <v>4.8299999999999983</v>
      </c>
      <c r="AV34" s="74">
        <f t="shared" si="22"/>
        <v>28.230000000000018</v>
      </c>
      <c r="AW34" s="25">
        <v>15</v>
      </c>
      <c r="AX34" s="54">
        <v>1700</v>
      </c>
      <c r="AY34" s="72">
        <v>34</v>
      </c>
      <c r="AZ34" s="72">
        <v>7.2</v>
      </c>
      <c r="BA34" s="72">
        <v>50</v>
      </c>
      <c r="BB34" s="22">
        <v>2.9999999999999997E-4</v>
      </c>
      <c r="BC34" s="11"/>
      <c r="BD34" s="46">
        <f>BM34*24*60/BH34</f>
        <v>1.4824546855097438E-2</v>
      </c>
      <c r="BE34" s="22">
        <f>BP34/BH34</f>
        <v>3.4044862839259353E-3</v>
      </c>
      <c r="BF34" s="11">
        <f t="shared" si="3"/>
        <v>1.3304924999999999E-2</v>
      </c>
      <c r="BG34" s="76">
        <f t="shared" si="4"/>
        <v>19.159092000000001</v>
      </c>
      <c r="BH34" s="76">
        <f t="shared" si="5"/>
        <v>1773.99</v>
      </c>
      <c r="BI34" s="77">
        <f t="shared" si="6"/>
        <v>4.3483897879920408E-2</v>
      </c>
      <c r="BJ34" s="77">
        <f t="shared" si="7"/>
        <v>4.5376470588235296E-2</v>
      </c>
      <c r="BK34" s="77">
        <f t="shared" si="8"/>
        <v>26.298597875474304</v>
      </c>
      <c r="BL34" s="77" t="str">
        <f t="shared" si="9"/>
        <v/>
      </c>
      <c r="BM34" s="77">
        <v>1.8262915191301601E-2</v>
      </c>
      <c r="BN34" s="78" t="str">
        <f t="shared" si="10"/>
        <v/>
      </c>
      <c r="BO34" s="77" t="str">
        <f t="shared" si="26"/>
        <v/>
      </c>
      <c r="BP34" s="51">
        <v>6.0395246228217703</v>
      </c>
      <c r="BQ34" s="28">
        <f t="shared" ref="BQ34:BQ38" si="33">IF(BL34&lt;&gt;"",BL34/0.000385,IF(BM34&lt;&gt;"",BM34/0.000385,BN34/0.000385))</f>
        <v>47.436143354030136</v>
      </c>
      <c r="BR34" s="49">
        <f t="shared" ref="BR34:BR38" si="34">IF(BL34&lt;&gt;"",BL34,IF(BM34&lt;&gt;"",BM34,BN34))</f>
        <v>1.8262915191301601E-2</v>
      </c>
      <c r="BS34" s="30">
        <f t="shared" si="17"/>
        <v>6.0395246228217703</v>
      </c>
    </row>
    <row r="35" spans="1:71" x14ac:dyDescent="0.25">
      <c r="A35" s="1" t="s">
        <v>85</v>
      </c>
      <c r="B35" t="s">
        <v>74</v>
      </c>
      <c r="C35">
        <v>12</v>
      </c>
      <c r="D35">
        <v>5</v>
      </c>
      <c r="F35" s="61">
        <v>45538.424803240698</v>
      </c>
      <c r="G35">
        <v>2716.05</v>
      </c>
      <c r="H35" s="44"/>
      <c r="I35" s="44">
        <v>2112.0749999999998</v>
      </c>
      <c r="J35" s="44">
        <v>23.7</v>
      </c>
      <c r="K35" s="44">
        <v>19.2</v>
      </c>
      <c r="L35" s="44">
        <v>80.900000000000006</v>
      </c>
      <c r="M35" s="44">
        <v>16.899999999999999</v>
      </c>
      <c r="N35" s="44"/>
      <c r="O35" s="44">
        <v>1.33</v>
      </c>
      <c r="P35" s="44">
        <v>0.34</v>
      </c>
      <c r="Q35" s="44">
        <v>5.19</v>
      </c>
      <c r="R35" s="44"/>
      <c r="S35" s="44">
        <v>0.41</v>
      </c>
      <c r="T35" s="44">
        <v>0.77</v>
      </c>
      <c r="U35" s="44">
        <v>5.15</v>
      </c>
      <c r="V35" s="44">
        <v>7.181</v>
      </c>
      <c r="W35" s="44">
        <v>94</v>
      </c>
      <c r="X35" s="44">
        <v>60.6</v>
      </c>
      <c r="Y35" s="44">
        <v>2.7</v>
      </c>
      <c r="Z35" s="44">
        <v>167.4</v>
      </c>
      <c r="AA35" s="44">
        <v>34.200000000000003</v>
      </c>
      <c r="AB35" s="44">
        <v>82.5</v>
      </c>
      <c r="AC35" s="44">
        <v>49.2</v>
      </c>
      <c r="AD35" s="17">
        <v>7.2210000000000001</v>
      </c>
      <c r="AE35" s="44">
        <v>299</v>
      </c>
      <c r="AF35" s="44">
        <v>49.5</v>
      </c>
      <c r="AG35" s="44">
        <v>7.17</v>
      </c>
      <c r="AH35" s="45">
        <f t="shared" ref="AH35:AH66" si="35">AF35/100</f>
        <v>0.495</v>
      </c>
      <c r="AI35" s="44">
        <v>34</v>
      </c>
      <c r="AJ35" s="44">
        <v>38.049999999999997</v>
      </c>
      <c r="AK35" s="44">
        <v>1.26</v>
      </c>
      <c r="AL35" s="44">
        <v>3.86</v>
      </c>
      <c r="AM35" s="45">
        <f t="shared" ref="AM35:AM66" si="36">BR35</f>
        <v>1.47762479948186E-2</v>
      </c>
      <c r="AN35" s="44">
        <v>89.1</v>
      </c>
      <c r="AO35" s="44">
        <v>61.29</v>
      </c>
      <c r="AP35" s="44">
        <v>574</v>
      </c>
      <c r="AQ35" s="44">
        <v>1840</v>
      </c>
      <c r="AR35" s="45">
        <v>84.700000000000045</v>
      </c>
      <c r="AS35" s="45">
        <f t="shared" ref="AS35:AS66" si="37">AQ35-AR35</f>
        <v>1755.3</v>
      </c>
      <c r="AT35" s="45">
        <f t="shared" si="20"/>
        <v>37.979999999999997</v>
      </c>
      <c r="AU35" s="45">
        <f t="shared" si="21"/>
        <v>15.659999999999997</v>
      </c>
      <c r="AV35" s="45">
        <f t="shared" si="22"/>
        <v>47.559999999999945</v>
      </c>
      <c r="AW35" s="25">
        <v>15</v>
      </c>
      <c r="AX35" s="54">
        <v>1700</v>
      </c>
      <c r="AY35" s="44">
        <v>34</v>
      </c>
      <c r="AZ35" s="44">
        <v>7.2</v>
      </c>
      <c r="BA35" s="44">
        <v>50</v>
      </c>
      <c r="BB35" s="22">
        <v>2.9999999999999997E-4</v>
      </c>
      <c r="BC35" s="11"/>
      <c r="BD35" s="46">
        <f>BM35*24*60/BH35</f>
        <v>1.1797665235722008E-2</v>
      </c>
      <c r="BE35" s="22">
        <f>BP35/BH35</f>
        <v>5.0807161037590871E-3</v>
      </c>
      <c r="BF35" s="11">
        <f t="shared" ref="BF35:BF66" si="38">BB35*K35*BH35/1000</f>
        <v>1.0388505599999999E-2</v>
      </c>
      <c r="BG35" s="46">
        <f t="shared" ref="BG35:BG66" si="39">BF35*24*60</f>
        <v>14.959448063999996</v>
      </c>
      <c r="BH35" s="46">
        <f t="shared" ref="BH35:BH66" si="40">AX35+SUM(AJ35:AL35,AN35:AO35)-(AW35*(D35+1))</f>
        <v>1803.56</v>
      </c>
      <c r="BI35" s="47">
        <f t="shared" ref="BI35:BI66" si="41">IF(ISBLANK(AN35),"",IFERROR(AN35/BH35,0))</f>
        <v>4.940229324225421E-2</v>
      </c>
      <c r="BJ35" s="47">
        <f t="shared" ref="BJ35:BJ66" si="42">IF(ISBLANK(AN35),"",AN35/AX35)</f>
        <v>5.2411764705882352E-2</v>
      </c>
      <c r="BK35" s="47">
        <f t="shared" ref="BK35:BK66" si="43">AM35*24*60</f>
        <v>21.277797112538785</v>
      </c>
      <c r="BL35" s="47" t="str">
        <f t="shared" ref="BL35:BL66" si="44">IF(B35="Python",BC35*BH35/24/60,"")</f>
        <v/>
      </c>
      <c r="BM35" s="47">
        <v>1.47762479948186E-2</v>
      </c>
      <c r="BN35" s="48" t="str">
        <f t="shared" ref="BN35:BN66" si="45">IF(B35="No MPC", BB35*K35*BH35/1000,"")</f>
        <v/>
      </c>
      <c r="BO35" s="47" t="str">
        <f t="shared" si="26"/>
        <v/>
      </c>
      <c r="BP35" s="51">
        <v>9.1633763360957392</v>
      </c>
      <c r="BQ35" s="28">
        <f t="shared" si="33"/>
        <v>38.379864921606753</v>
      </c>
      <c r="BR35" s="49">
        <f t="shared" si="34"/>
        <v>1.47762479948186E-2</v>
      </c>
      <c r="BS35" s="30">
        <f t="shared" si="17"/>
        <v>9.1633763360957392</v>
      </c>
    </row>
    <row r="36" spans="1:71" x14ac:dyDescent="0.25">
      <c r="A36" s="1" t="s">
        <v>86</v>
      </c>
      <c r="B36" t="s">
        <v>75</v>
      </c>
      <c r="C36">
        <v>12</v>
      </c>
      <c r="D36">
        <v>5</v>
      </c>
      <c r="E36" t="s">
        <v>82</v>
      </c>
      <c r="F36" s="61">
        <v>45538.430219907401</v>
      </c>
      <c r="G36">
        <v>2716.05</v>
      </c>
      <c r="H36" s="44"/>
      <c r="I36" s="44">
        <v>2211.7800000000002</v>
      </c>
      <c r="J36" s="44">
        <v>23.6</v>
      </c>
      <c r="K36" s="44">
        <v>21.3</v>
      </c>
      <c r="L36" s="44">
        <v>90.2</v>
      </c>
      <c r="M36" s="44">
        <v>16.899999999999999</v>
      </c>
      <c r="N36" s="44">
        <v>382</v>
      </c>
      <c r="O36" s="44">
        <v>1.48</v>
      </c>
      <c r="P36" s="44">
        <v>0.34</v>
      </c>
      <c r="Q36" s="44">
        <v>0.04</v>
      </c>
      <c r="R36" s="44"/>
      <c r="S36" s="44">
        <v>0.24</v>
      </c>
      <c r="T36" s="44">
        <v>0.12</v>
      </c>
      <c r="U36" s="44">
        <v>7.2</v>
      </c>
      <c r="V36" s="44">
        <v>7.2439999999999998</v>
      </c>
      <c r="W36" s="44">
        <v>52.9</v>
      </c>
      <c r="X36" s="44">
        <v>43.9</v>
      </c>
      <c r="Y36" s="44">
        <v>3.32</v>
      </c>
      <c r="Z36" s="44">
        <v>172.1</v>
      </c>
      <c r="AA36" s="44">
        <v>22.3</v>
      </c>
      <c r="AB36" s="44">
        <v>46.4</v>
      </c>
      <c r="AC36" s="44">
        <v>35.5</v>
      </c>
      <c r="AD36" s="17">
        <v>7.2850000000000001</v>
      </c>
      <c r="AE36" s="44">
        <v>299</v>
      </c>
      <c r="AF36" s="44">
        <v>54.9</v>
      </c>
      <c r="AG36" s="44">
        <v>7.3</v>
      </c>
      <c r="AH36" s="45">
        <f t="shared" si="35"/>
        <v>0.54899999999999993</v>
      </c>
      <c r="AI36" s="44">
        <v>34</v>
      </c>
      <c r="AJ36" s="44">
        <v>43.09</v>
      </c>
      <c r="AK36" s="44">
        <v>7.28</v>
      </c>
      <c r="AL36" s="44">
        <v>3.9</v>
      </c>
      <c r="AM36" s="45">
        <f t="shared" si="36"/>
        <v>2.469208333333333E-2</v>
      </c>
      <c r="AN36" s="44">
        <v>56.53</v>
      </c>
      <c r="AO36" s="44">
        <v>57.03</v>
      </c>
      <c r="AP36" s="44">
        <v>615</v>
      </c>
      <c r="AQ36" s="44">
        <v>1788</v>
      </c>
      <c r="AR36" s="45">
        <v>47.420000000000073</v>
      </c>
      <c r="AS36" s="45">
        <f t="shared" si="37"/>
        <v>1740.58</v>
      </c>
      <c r="AT36" s="45">
        <f t="shared" si="20"/>
        <v>12.450000000000003</v>
      </c>
      <c r="AU36" s="45">
        <f t="shared" si="21"/>
        <v>14.009999999999998</v>
      </c>
      <c r="AV36" s="45">
        <f t="shared" si="22"/>
        <v>14.419999999999959</v>
      </c>
      <c r="AW36" s="25">
        <v>15</v>
      </c>
      <c r="AX36" s="54">
        <v>1700</v>
      </c>
      <c r="AY36" s="44">
        <v>34</v>
      </c>
      <c r="AZ36" s="44">
        <v>7.2</v>
      </c>
      <c r="BA36" s="44">
        <v>50</v>
      </c>
      <c r="BB36" s="22">
        <v>2.9999999999999997E-4</v>
      </c>
      <c r="BC36" s="11">
        <v>0.02</v>
      </c>
      <c r="BE36" s="22"/>
      <c r="BF36" s="11">
        <f t="shared" si="38"/>
        <v>1.1360333699999999E-2</v>
      </c>
      <c r="BG36" s="46">
        <f t="shared" si="39"/>
        <v>16.358880527999997</v>
      </c>
      <c r="BH36" s="46">
        <f t="shared" si="40"/>
        <v>1777.83</v>
      </c>
      <c r="BI36" s="47">
        <f t="shared" si="41"/>
        <v>3.1797190957515625E-2</v>
      </c>
      <c r="BJ36" s="47">
        <f t="shared" si="42"/>
        <v>3.3252941176470589E-2</v>
      </c>
      <c r="BK36" s="47">
        <f t="shared" si="43"/>
        <v>35.556599999999989</v>
      </c>
      <c r="BL36" s="47">
        <f t="shared" si="44"/>
        <v>2.469208333333333E-2</v>
      </c>
      <c r="BM36" s="48" t="str">
        <f>IF(B36="Julia",BD36*BH36/24/60,"")</f>
        <v/>
      </c>
      <c r="BN36" s="48" t="str">
        <f t="shared" si="45"/>
        <v/>
      </c>
      <c r="BO36" s="47">
        <f t="shared" si="26"/>
        <v>13.155942</v>
      </c>
      <c r="BP36" s="51" t="str">
        <f>IF(B36="Julia",BE36*BH36,"")</f>
        <v/>
      </c>
      <c r="BQ36" s="28">
        <f t="shared" si="33"/>
        <v>64.135281385281374</v>
      </c>
      <c r="BR36" s="49">
        <f t="shared" si="34"/>
        <v>2.469208333333333E-2</v>
      </c>
      <c r="BS36" s="30">
        <f t="shared" si="17"/>
        <v>13.155942</v>
      </c>
    </row>
    <row r="37" spans="1:71" x14ac:dyDescent="0.25">
      <c r="A37" s="1" t="s">
        <v>87</v>
      </c>
      <c r="B37" t="s">
        <v>75</v>
      </c>
      <c r="C37">
        <v>12</v>
      </c>
      <c r="D37">
        <v>5</v>
      </c>
      <c r="F37" s="61">
        <v>45538.436261574097</v>
      </c>
      <c r="G37">
        <v>2716.05</v>
      </c>
      <c r="H37" s="44"/>
      <c r="I37" s="44">
        <v>2474.67</v>
      </c>
      <c r="J37" s="44">
        <v>22.5</v>
      </c>
      <c r="K37" s="44">
        <v>21.4</v>
      </c>
      <c r="L37" s="44">
        <v>95.1</v>
      </c>
      <c r="M37" s="44">
        <v>18.100000000000001</v>
      </c>
      <c r="N37" s="44">
        <v>371</v>
      </c>
      <c r="O37" s="44">
        <v>1.42</v>
      </c>
      <c r="P37" s="44">
        <v>0.32</v>
      </c>
      <c r="Q37" s="44">
        <v>3.13</v>
      </c>
      <c r="R37" s="44"/>
      <c r="S37" s="44">
        <v>0.37</v>
      </c>
      <c r="T37" s="44">
        <v>0.08</v>
      </c>
      <c r="U37" s="44">
        <v>4.29</v>
      </c>
      <c r="V37" s="44">
        <v>7.032</v>
      </c>
      <c r="W37" s="44">
        <v>120.8</v>
      </c>
      <c r="X37" s="44">
        <v>0</v>
      </c>
      <c r="Y37" s="44">
        <v>2.17</v>
      </c>
      <c r="Z37" s="44">
        <v>158.4</v>
      </c>
      <c r="AA37" s="44">
        <v>30.9</v>
      </c>
      <c r="AB37" s="44">
        <v>105.9</v>
      </c>
      <c r="AC37" s="44">
        <v>0</v>
      </c>
      <c r="AD37" s="17">
        <v>7.069</v>
      </c>
      <c r="AE37" s="44">
        <v>298</v>
      </c>
      <c r="AF37" s="44">
        <v>47.9</v>
      </c>
      <c r="AG37" s="44">
        <v>7.1</v>
      </c>
      <c r="AH37" s="45">
        <f t="shared" si="35"/>
        <v>0.47899999999999998</v>
      </c>
      <c r="AI37" s="44">
        <v>34</v>
      </c>
      <c r="AJ37" s="44">
        <v>30.4</v>
      </c>
      <c r="AK37" s="44">
        <v>7.31</v>
      </c>
      <c r="AL37" s="44">
        <v>3.7</v>
      </c>
      <c r="AM37" s="45">
        <f t="shared" si="36"/>
        <v>1.6795874999999998E-2</v>
      </c>
      <c r="AN37" s="44">
        <v>85.27</v>
      </c>
      <c r="AO37" s="44">
        <v>54.88</v>
      </c>
      <c r="AP37" s="44">
        <v>560</v>
      </c>
      <c r="AQ37" s="44">
        <v>1834</v>
      </c>
      <c r="AR37" s="45">
        <v>133.55999999999995</v>
      </c>
      <c r="AS37" s="45">
        <f t="shared" si="37"/>
        <v>1700.44</v>
      </c>
      <c r="AT37" s="45">
        <f t="shared" si="20"/>
        <v>31.08</v>
      </c>
      <c r="AU37" s="45">
        <f t="shared" si="21"/>
        <v>14.14</v>
      </c>
      <c r="AV37" s="45">
        <f t="shared" si="22"/>
        <v>37.159999999999968</v>
      </c>
      <c r="AW37" s="25">
        <v>15</v>
      </c>
      <c r="AX37" s="54">
        <v>1700</v>
      </c>
      <c r="AY37" s="44">
        <v>34</v>
      </c>
      <c r="AZ37" s="44">
        <v>7.2</v>
      </c>
      <c r="BA37" s="44">
        <v>50</v>
      </c>
      <c r="BB37" s="22">
        <v>2.9999999999999997E-4</v>
      </c>
      <c r="BC37" s="11">
        <v>1.35E-2</v>
      </c>
      <c r="BE37" s="22"/>
      <c r="BF37" s="11">
        <f t="shared" si="38"/>
        <v>1.1501815199999998E-2</v>
      </c>
      <c r="BG37" s="46">
        <f t="shared" si="39"/>
        <v>16.562613887999994</v>
      </c>
      <c r="BH37" s="46">
        <f t="shared" si="40"/>
        <v>1791.56</v>
      </c>
      <c r="BI37" s="47">
        <f t="shared" si="41"/>
        <v>4.7595391725646918E-2</v>
      </c>
      <c r="BJ37" s="47">
        <f t="shared" si="42"/>
        <v>5.0158823529411763E-2</v>
      </c>
      <c r="BK37" s="47">
        <f t="shared" si="43"/>
        <v>24.186059999999998</v>
      </c>
      <c r="BL37" s="47">
        <f t="shared" si="44"/>
        <v>1.6795874999999998E-2</v>
      </c>
      <c r="BM37" s="48" t="str">
        <f>IF(B37="Julia",BD37*BH37/24/60,"")</f>
        <v/>
      </c>
      <c r="BN37" s="48" t="str">
        <f t="shared" si="45"/>
        <v/>
      </c>
      <c r="BO37" s="47">
        <f t="shared" si="26"/>
        <v>0</v>
      </c>
      <c r="BP37" s="51" t="str">
        <f>IF(B37="Julia",BE37*BH37,"")</f>
        <v/>
      </c>
      <c r="BQ37" s="28">
        <f t="shared" si="33"/>
        <v>43.625649350649347</v>
      </c>
      <c r="BR37" s="49">
        <f t="shared" si="34"/>
        <v>1.6795874999999998E-2</v>
      </c>
      <c r="BS37" s="30">
        <f t="shared" si="17"/>
        <v>0</v>
      </c>
    </row>
    <row r="38" spans="1:71" ht="15.75" thickBot="1" x14ac:dyDescent="0.3">
      <c r="A38" s="4" t="s">
        <v>88</v>
      </c>
      <c r="B38" s="5" t="s">
        <v>75</v>
      </c>
      <c r="C38" s="5">
        <v>12</v>
      </c>
      <c r="D38" s="5">
        <v>5</v>
      </c>
      <c r="E38" s="5"/>
      <c r="F38" s="62">
        <v>45538.440740740698</v>
      </c>
      <c r="G38" s="5">
        <v>2716.05</v>
      </c>
      <c r="H38" s="7"/>
      <c r="I38" s="7">
        <v>2568.7950000000001</v>
      </c>
      <c r="J38" s="7">
        <v>23.6</v>
      </c>
      <c r="K38" s="7">
        <v>22.1</v>
      </c>
      <c r="L38" s="7">
        <v>93.6</v>
      </c>
      <c r="M38" s="7">
        <v>17.100000000000001</v>
      </c>
      <c r="N38" s="7">
        <v>362</v>
      </c>
      <c r="O38" s="7">
        <v>1.1299999999999999</v>
      </c>
      <c r="P38" s="7">
        <v>0.3</v>
      </c>
      <c r="Q38" s="7">
        <v>4.75</v>
      </c>
      <c r="R38" s="7"/>
      <c r="S38" s="7">
        <v>0.16</v>
      </c>
      <c r="T38" s="7">
        <v>0.06</v>
      </c>
      <c r="U38" s="7">
        <v>2.42</v>
      </c>
      <c r="V38" s="7">
        <v>7.2969999999999997</v>
      </c>
      <c r="W38" s="7">
        <v>115.7</v>
      </c>
      <c r="X38" s="7">
        <v>35.4</v>
      </c>
      <c r="Y38" s="7">
        <v>2.38</v>
      </c>
      <c r="Z38" s="7">
        <v>153</v>
      </c>
      <c r="AA38" s="7">
        <v>55.1</v>
      </c>
      <c r="AB38" s="7">
        <v>101.5</v>
      </c>
      <c r="AC38" s="7">
        <v>28.6</v>
      </c>
      <c r="AD38" s="18">
        <v>7.3390000000000004</v>
      </c>
      <c r="AE38" s="7">
        <v>298</v>
      </c>
      <c r="AF38" s="7">
        <v>47.6</v>
      </c>
      <c r="AG38" s="7">
        <v>7.3</v>
      </c>
      <c r="AH38" s="41">
        <f t="shared" si="35"/>
        <v>0.47600000000000003</v>
      </c>
      <c r="AI38" s="7">
        <v>34</v>
      </c>
      <c r="AJ38" s="7">
        <v>28.27</v>
      </c>
      <c r="AK38" s="7">
        <v>12.15</v>
      </c>
      <c r="AL38" s="7">
        <v>3.73</v>
      </c>
      <c r="AM38" s="41">
        <f t="shared" si="36"/>
        <v>2.48875E-2</v>
      </c>
      <c r="AN38" s="7">
        <v>81.16</v>
      </c>
      <c r="AO38" s="7">
        <v>56.59</v>
      </c>
      <c r="AP38" s="7">
        <v>598</v>
      </c>
      <c r="AQ38" s="7">
        <v>1805</v>
      </c>
      <c r="AR38" s="41">
        <v>51.660000000000082</v>
      </c>
      <c r="AS38" s="41">
        <f t="shared" si="37"/>
        <v>1753.34</v>
      </c>
      <c r="AT38" s="41">
        <f t="shared" si="20"/>
        <v>28.699999999999996</v>
      </c>
      <c r="AU38" s="41">
        <f t="shared" si="21"/>
        <v>14.14</v>
      </c>
      <c r="AV38" s="41">
        <f t="shared" si="22"/>
        <v>35.129999999999995</v>
      </c>
      <c r="AW38" s="26">
        <v>15</v>
      </c>
      <c r="AX38" s="55">
        <v>1700</v>
      </c>
      <c r="AY38" s="7">
        <v>34</v>
      </c>
      <c r="AZ38" s="7">
        <v>7.2</v>
      </c>
      <c r="BA38" s="7">
        <v>50</v>
      </c>
      <c r="BB38" s="23">
        <v>2.9999999999999997E-4</v>
      </c>
      <c r="BC38" s="12">
        <v>0.02</v>
      </c>
      <c r="BD38" s="5"/>
      <c r="BE38" s="23"/>
      <c r="BF38" s="12">
        <f t="shared" si="38"/>
        <v>1.1880297E-2</v>
      </c>
      <c r="BG38" s="13">
        <f t="shared" si="39"/>
        <v>17.10762768</v>
      </c>
      <c r="BH38" s="13">
        <f t="shared" si="40"/>
        <v>1791.9</v>
      </c>
      <c r="BI38" s="14">
        <f t="shared" si="41"/>
        <v>4.5292706066186725E-2</v>
      </c>
      <c r="BJ38" s="14">
        <f t="shared" si="42"/>
        <v>4.7741176470588231E-2</v>
      </c>
      <c r="BK38" s="14">
        <f t="shared" si="43"/>
        <v>35.837999999999994</v>
      </c>
      <c r="BL38" s="14">
        <f t="shared" si="44"/>
        <v>2.48875E-2</v>
      </c>
      <c r="BM38" s="48" t="str">
        <f>IF(B38="Julia",BD38*BH38/24/60,"")</f>
        <v/>
      </c>
      <c r="BN38" s="36" t="str">
        <f t="shared" si="45"/>
        <v/>
      </c>
      <c r="BO38" s="14">
        <f t="shared" si="26"/>
        <v>0</v>
      </c>
      <c r="BP38" s="52" t="str">
        <f>IF(B38="Julia",BE38*BH38,"")</f>
        <v/>
      </c>
      <c r="BQ38" s="29">
        <f t="shared" si="33"/>
        <v>64.642857142857153</v>
      </c>
      <c r="BR38" s="38">
        <f t="shared" si="34"/>
        <v>2.48875E-2</v>
      </c>
      <c r="BS38" s="31">
        <f t="shared" si="17"/>
        <v>0</v>
      </c>
    </row>
    <row r="39" spans="1:71" x14ac:dyDescent="0.25">
      <c r="A39" s="2" t="s">
        <v>83</v>
      </c>
      <c r="B39" s="3" t="s">
        <v>74</v>
      </c>
      <c r="C39" s="3">
        <v>12</v>
      </c>
      <c r="D39" s="3">
        <v>6</v>
      </c>
      <c r="E39" s="3"/>
      <c r="F39" s="60">
        <v>45539.380868055603</v>
      </c>
      <c r="G39" s="3">
        <v>3307.9</v>
      </c>
      <c r="H39" s="6"/>
      <c r="I39" s="6">
        <v>3281.3249999999998</v>
      </c>
      <c r="J39" s="6">
        <v>24.8</v>
      </c>
      <c r="K39" s="6">
        <v>23.7</v>
      </c>
      <c r="L39" s="6">
        <v>95.4</v>
      </c>
      <c r="M39" s="6">
        <v>17.100000000000001</v>
      </c>
      <c r="N39" s="6">
        <v>349</v>
      </c>
      <c r="O39" s="6">
        <v>1.21</v>
      </c>
      <c r="P39" s="6">
        <v>0.28999999999999998</v>
      </c>
      <c r="Q39" s="6">
        <v>4.84</v>
      </c>
      <c r="R39" s="6"/>
      <c r="S39" s="6">
        <v>0.15</v>
      </c>
      <c r="T39" s="6">
        <v>0.09</v>
      </c>
      <c r="U39" s="6">
        <v>1.31</v>
      </c>
      <c r="V39" s="6">
        <v>7.2489999999999997</v>
      </c>
      <c r="W39" s="6">
        <v>120.8</v>
      </c>
      <c r="X39" s="6">
        <v>24.1</v>
      </c>
      <c r="Y39" s="6">
        <v>2.33</v>
      </c>
      <c r="Z39" s="6">
        <v>143.80000000000001</v>
      </c>
      <c r="AA39" s="6">
        <v>51.4</v>
      </c>
      <c r="AB39" s="6">
        <v>105.9</v>
      </c>
      <c r="AC39" s="6">
        <v>19.5</v>
      </c>
      <c r="AD39" s="16">
        <v>7.29</v>
      </c>
      <c r="AE39" s="6">
        <v>299</v>
      </c>
      <c r="AF39" s="6">
        <v>50.9</v>
      </c>
      <c r="AG39" s="6">
        <v>7.3</v>
      </c>
      <c r="AH39" s="40">
        <f t="shared" si="35"/>
        <v>0.50900000000000001</v>
      </c>
      <c r="AI39" s="6">
        <v>34</v>
      </c>
      <c r="AJ39" s="6">
        <v>22.07</v>
      </c>
      <c r="AK39" s="44">
        <v>17.079999999999998</v>
      </c>
      <c r="AL39" s="6">
        <v>3.78</v>
      </c>
      <c r="AM39" s="42">
        <f t="shared" si="36"/>
        <v>7.8356545194428005E-3</v>
      </c>
      <c r="AN39" s="6">
        <v>101.83</v>
      </c>
      <c r="AO39" s="6">
        <v>56.98</v>
      </c>
      <c r="AP39" s="6">
        <v>572</v>
      </c>
      <c r="AQ39" s="6">
        <v>1873</v>
      </c>
      <c r="AR39" s="40">
        <v>137.11999999999989</v>
      </c>
      <c r="AS39" s="40">
        <f t="shared" si="37"/>
        <v>1735.88</v>
      </c>
      <c r="AT39" s="40">
        <f t="shared" si="20"/>
        <v>24.03</v>
      </c>
      <c r="AU39" s="40">
        <f t="shared" si="21"/>
        <v>4.5</v>
      </c>
      <c r="AV39" s="40">
        <f t="shared" si="22"/>
        <v>26</v>
      </c>
      <c r="AW39" s="24">
        <v>15</v>
      </c>
      <c r="AX39" s="53">
        <v>1700</v>
      </c>
      <c r="AY39" s="6">
        <v>34</v>
      </c>
      <c r="AZ39" s="6">
        <v>7.2</v>
      </c>
      <c r="BA39" s="6">
        <v>50</v>
      </c>
      <c r="BB39" s="21">
        <v>2.9999999999999997E-4</v>
      </c>
      <c r="BC39" s="8"/>
      <c r="BD39" s="76">
        <f>BM39*24*60/BH39</f>
        <v>6.2798972071627691E-3</v>
      </c>
      <c r="BE39" s="22">
        <f>BP39/BH39</f>
        <v>8.5936872387829075E-4</v>
      </c>
      <c r="BF39" s="8">
        <f t="shared" si="38"/>
        <v>1.2774821399999999E-2</v>
      </c>
      <c r="BG39" s="9">
        <f t="shared" si="39"/>
        <v>18.395742815999998</v>
      </c>
      <c r="BH39" s="9">
        <f t="shared" si="40"/>
        <v>1796.74</v>
      </c>
      <c r="BI39" s="10">
        <f t="shared" si="41"/>
        <v>5.667486670302882E-2</v>
      </c>
      <c r="BJ39" s="10">
        <f t="shared" si="42"/>
        <v>5.9900000000000002E-2</v>
      </c>
      <c r="BK39" s="10">
        <f t="shared" si="43"/>
        <v>11.283342507997634</v>
      </c>
      <c r="BL39" s="10" t="str">
        <f t="shared" si="44"/>
        <v/>
      </c>
      <c r="BM39" s="10">
        <v>7.8356545194428005E-3</v>
      </c>
      <c r="BN39" s="35" t="str">
        <f t="shared" si="45"/>
        <v/>
      </c>
      <c r="BO39" s="10" t="str">
        <f t="shared" si="26"/>
        <v/>
      </c>
      <c r="BP39" s="50">
        <v>1.5440621609410801</v>
      </c>
      <c r="BQ39" s="27">
        <f>IF(BL39&lt;&gt;"",BL39/0.000385,IF(BM39&lt;&gt;"",BM39/0.000385,BN39/0.000385))</f>
        <v>20.352349401150132</v>
      </c>
      <c r="BR39" s="37">
        <f>IF(BL39&lt;&gt;"",BL39,IF(BM39&lt;&gt;"",BM39,BN39))</f>
        <v>7.8356545194428005E-3</v>
      </c>
      <c r="BS39" s="32">
        <f t="shared" si="17"/>
        <v>1.5440621609410801</v>
      </c>
    </row>
    <row r="40" spans="1:71" x14ac:dyDescent="0.25">
      <c r="A40" s="1" t="s">
        <v>84</v>
      </c>
      <c r="B40" t="s">
        <v>74</v>
      </c>
      <c r="C40">
        <v>12</v>
      </c>
      <c r="D40">
        <v>6</v>
      </c>
      <c r="F40" s="61">
        <v>45539.3855555556</v>
      </c>
      <c r="G40">
        <v>3307.9</v>
      </c>
      <c r="H40" s="44"/>
      <c r="I40" s="44">
        <v>3228.69</v>
      </c>
      <c r="J40" s="44">
        <v>22.5</v>
      </c>
      <c r="K40" s="44">
        <v>21.3</v>
      </c>
      <c r="L40" s="44">
        <v>94.8</v>
      </c>
      <c r="M40" s="44">
        <v>17.3</v>
      </c>
      <c r="N40" s="44">
        <v>352</v>
      </c>
      <c r="O40" s="44">
        <v>1.24</v>
      </c>
      <c r="P40" s="44">
        <v>0.27</v>
      </c>
      <c r="Q40" s="44">
        <v>4.63</v>
      </c>
      <c r="R40" s="44"/>
      <c r="S40" s="44">
        <v>0.19</v>
      </c>
      <c r="T40" s="44">
        <v>7.0000000000000007E-2</v>
      </c>
      <c r="U40" s="44">
        <v>1.24</v>
      </c>
      <c r="V40" s="44">
        <v>7.26</v>
      </c>
      <c r="W40" s="44">
        <v>131.30000000000001</v>
      </c>
      <c r="X40" s="44">
        <v>32.799999999999997</v>
      </c>
      <c r="Y40" s="44">
        <v>2.16</v>
      </c>
      <c r="Z40" s="44">
        <v>148.80000000000001</v>
      </c>
      <c r="AA40" s="44">
        <v>57.3</v>
      </c>
      <c r="AB40" s="44">
        <v>115.2</v>
      </c>
      <c r="AC40" s="44">
        <v>26.5</v>
      </c>
      <c r="AD40" s="17">
        <v>7.3010000000000002</v>
      </c>
      <c r="AE40" s="44">
        <v>300</v>
      </c>
      <c r="AF40" s="44">
        <v>49.1</v>
      </c>
      <c r="AG40" s="44">
        <v>7.3</v>
      </c>
      <c r="AH40" s="45">
        <f t="shared" si="35"/>
        <v>0.49099999999999999</v>
      </c>
      <c r="AI40" s="44">
        <v>34</v>
      </c>
      <c r="AJ40" s="44">
        <v>24.57</v>
      </c>
      <c r="AK40" s="44">
        <v>17.100000000000001</v>
      </c>
      <c r="AL40" s="44">
        <v>2.19</v>
      </c>
      <c r="AM40" s="45">
        <f t="shared" si="36"/>
        <v>1.24636201409791E-2</v>
      </c>
      <c r="AN40" s="44">
        <v>103.58</v>
      </c>
      <c r="AO40" s="44">
        <v>57.93</v>
      </c>
      <c r="AP40" s="44">
        <v>576</v>
      </c>
      <c r="AQ40" s="44">
        <v>1800</v>
      </c>
      <c r="AR40" s="45">
        <v>45.769999999999982</v>
      </c>
      <c r="AS40" s="45">
        <f t="shared" si="37"/>
        <v>1754.23</v>
      </c>
      <c r="AT40" s="45">
        <f t="shared" si="20"/>
        <v>26.439999999999998</v>
      </c>
      <c r="AU40" s="45">
        <f t="shared" si="21"/>
        <v>6.6499999999999986</v>
      </c>
      <c r="AV40" s="45">
        <f t="shared" si="22"/>
        <v>28</v>
      </c>
      <c r="AW40" s="25">
        <v>15</v>
      </c>
      <c r="AX40" s="54">
        <v>1700</v>
      </c>
      <c r="AY40" s="44">
        <v>34</v>
      </c>
      <c r="AZ40" s="44">
        <v>7.2</v>
      </c>
      <c r="BA40" s="44">
        <v>50</v>
      </c>
      <c r="BB40" s="22">
        <v>2.9999999999999997E-4</v>
      </c>
      <c r="BC40" s="11"/>
      <c r="BD40" s="46">
        <f>BM40*24*60/BH40</f>
        <v>9.9688469609079833E-3</v>
      </c>
      <c r="BE40" s="22">
        <f>BP40/BH40</f>
        <v>1.0000000000000001E-7</v>
      </c>
      <c r="BF40" s="11">
        <f t="shared" si="38"/>
        <v>1.1504364299999998E-2</v>
      </c>
      <c r="BG40" s="46">
        <f t="shared" si="39"/>
        <v>16.566284591999995</v>
      </c>
      <c r="BH40" s="46">
        <f t="shared" si="40"/>
        <v>1800.37</v>
      </c>
      <c r="BI40" s="47">
        <f t="shared" si="41"/>
        <v>5.7532618295128228E-2</v>
      </c>
      <c r="BJ40" s="47">
        <f t="shared" si="42"/>
        <v>6.0929411764705885E-2</v>
      </c>
      <c r="BK40" s="47">
        <f t="shared" si="43"/>
        <v>17.947613003009906</v>
      </c>
      <c r="BL40" s="47" t="str">
        <f t="shared" si="44"/>
        <v/>
      </c>
      <c r="BM40" s="47">
        <v>1.24636201409791E-2</v>
      </c>
      <c r="BN40" s="48" t="str">
        <f t="shared" si="45"/>
        <v/>
      </c>
      <c r="BO40" s="47" t="str">
        <f t="shared" si="26"/>
        <v/>
      </c>
      <c r="BP40" s="51">
        <v>1.80037E-4</v>
      </c>
      <c r="BQ40" s="28">
        <f t="shared" ref="BQ40:BQ44" si="46">IF(BL40&lt;&gt;"",BL40/0.000385,IF(BM40&lt;&gt;"",BM40/0.000385,BN40/0.000385))</f>
        <v>32.373039327218443</v>
      </c>
      <c r="BR40" s="49">
        <f t="shared" ref="BR40:BR44" si="47">IF(BL40&lt;&gt;"",BL40,IF(BM40&lt;&gt;"",BM40,BN40))</f>
        <v>1.24636201409791E-2</v>
      </c>
      <c r="BS40" s="30">
        <f t="shared" si="17"/>
        <v>1.80037E-4</v>
      </c>
    </row>
    <row r="41" spans="1:71" x14ac:dyDescent="0.25">
      <c r="A41" s="1" t="s">
        <v>85</v>
      </c>
      <c r="B41" t="s">
        <v>74</v>
      </c>
      <c r="C41">
        <v>12</v>
      </c>
      <c r="D41">
        <v>6</v>
      </c>
      <c r="F41" s="61">
        <v>45539.395648148202</v>
      </c>
      <c r="G41">
        <v>3307.9</v>
      </c>
      <c r="H41" s="44"/>
      <c r="I41" s="44">
        <v>2691.27</v>
      </c>
      <c r="J41" s="44">
        <v>23.5</v>
      </c>
      <c r="K41" s="44">
        <v>18.8</v>
      </c>
      <c r="L41" s="44">
        <v>80.099999999999994</v>
      </c>
      <c r="M41" s="44">
        <v>17.7</v>
      </c>
      <c r="N41" s="44">
        <v>415</v>
      </c>
      <c r="O41" s="44">
        <v>1.75</v>
      </c>
      <c r="P41" s="44">
        <v>0.3</v>
      </c>
      <c r="Q41" s="44">
        <v>5.42</v>
      </c>
      <c r="R41" s="44"/>
      <c r="S41" s="44">
        <v>0.22</v>
      </c>
      <c r="T41" s="44">
        <v>0.11</v>
      </c>
      <c r="U41" s="44">
        <v>4.7</v>
      </c>
      <c r="V41" s="44">
        <v>7.1950000000000003</v>
      </c>
      <c r="W41" s="44">
        <v>105.3</v>
      </c>
      <c r="X41" s="44">
        <v>38.200000000000003</v>
      </c>
      <c r="Y41" s="44">
        <v>2.12</v>
      </c>
      <c r="Z41" s="44">
        <v>167</v>
      </c>
      <c r="AA41" s="44">
        <v>39.4</v>
      </c>
      <c r="AB41" s="44">
        <v>92.3</v>
      </c>
      <c r="AC41" s="44">
        <v>30.9</v>
      </c>
      <c r="AD41" s="17">
        <v>7.2350000000000003</v>
      </c>
      <c r="AE41" s="44">
        <v>298</v>
      </c>
      <c r="AF41" s="44">
        <v>49.2</v>
      </c>
      <c r="AG41" s="44">
        <v>7.22</v>
      </c>
      <c r="AH41" s="45">
        <f t="shared" si="35"/>
        <v>0.49200000000000005</v>
      </c>
      <c r="AI41" s="44">
        <v>34</v>
      </c>
      <c r="AJ41" s="44">
        <v>38.049999999999997</v>
      </c>
      <c r="AK41" s="44">
        <v>1.24</v>
      </c>
      <c r="AL41" s="44">
        <v>4.79</v>
      </c>
      <c r="AM41" s="45">
        <f t="shared" si="36"/>
        <v>2.7129539122498301E-2</v>
      </c>
      <c r="AN41" s="44">
        <v>113.88</v>
      </c>
      <c r="AO41" s="44">
        <v>71.12</v>
      </c>
      <c r="AP41" s="44">
        <v>547</v>
      </c>
      <c r="AQ41" s="44">
        <v>1857</v>
      </c>
      <c r="AR41" s="45">
        <v>84.700000000000045</v>
      </c>
      <c r="AS41" s="45">
        <f t="shared" si="37"/>
        <v>1772.3</v>
      </c>
      <c r="AT41" s="45">
        <f t="shared" ref="AT41:AT72" si="48">AN41-AN35</f>
        <v>24.78</v>
      </c>
      <c r="AU41" s="45">
        <f t="shared" ref="AU41:AU72" si="49">AO41-AO35</f>
        <v>9.8300000000000054</v>
      </c>
      <c r="AV41" s="45">
        <f t="shared" ref="AV41:AV72" si="50">AP35-AP41</f>
        <v>27</v>
      </c>
      <c r="AW41" s="25">
        <v>15</v>
      </c>
      <c r="AX41" s="54">
        <v>1700</v>
      </c>
      <c r="AY41" s="44">
        <v>34</v>
      </c>
      <c r="AZ41" s="44">
        <v>7.2</v>
      </c>
      <c r="BA41" s="44">
        <v>50</v>
      </c>
      <c r="BB41" s="22">
        <v>2.9999999999999997E-4</v>
      </c>
      <c r="BC41" s="11"/>
      <c r="BD41" s="46">
        <f>BM41*24*60/BH41</f>
        <v>2.1417117854698017E-2</v>
      </c>
      <c r="BE41" s="22">
        <f>BP41/BH41</f>
        <v>1.0000000000000001E-7</v>
      </c>
      <c r="BF41" s="11">
        <f t="shared" si="38"/>
        <v>1.02878112E-2</v>
      </c>
      <c r="BG41" s="46">
        <f t="shared" si="39"/>
        <v>14.814448128</v>
      </c>
      <c r="BH41" s="46">
        <f t="shared" si="40"/>
        <v>1824.08</v>
      </c>
      <c r="BI41" s="47">
        <f t="shared" si="41"/>
        <v>6.2431472303846325E-2</v>
      </c>
      <c r="BJ41" s="47">
        <f t="shared" si="42"/>
        <v>6.698823529411764E-2</v>
      </c>
      <c r="BK41" s="47">
        <f t="shared" si="43"/>
        <v>39.066536336397554</v>
      </c>
      <c r="BL41" s="47" t="str">
        <f t="shared" si="44"/>
        <v/>
      </c>
      <c r="BM41" s="47">
        <v>2.7129539122498301E-2</v>
      </c>
      <c r="BN41" s="48" t="str">
        <f t="shared" si="45"/>
        <v/>
      </c>
      <c r="BO41" s="47" t="str">
        <f t="shared" si="26"/>
        <v/>
      </c>
      <c r="BP41" s="51">
        <v>1.8240800000000001E-4</v>
      </c>
      <c r="BQ41" s="28">
        <f t="shared" si="46"/>
        <v>70.466335383112479</v>
      </c>
      <c r="BR41" s="49">
        <f t="shared" si="47"/>
        <v>2.7129539122498301E-2</v>
      </c>
      <c r="BS41" s="30">
        <f t="shared" si="17"/>
        <v>1.8240800000000001E-4</v>
      </c>
    </row>
    <row r="42" spans="1:71" x14ac:dyDescent="0.25">
      <c r="A42" s="1" t="s">
        <v>86</v>
      </c>
      <c r="B42" t="s">
        <v>75</v>
      </c>
      <c r="C42">
        <v>12</v>
      </c>
      <c r="D42">
        <v>6</v>
      </c>
      <c r="F42" s="61">
        <v>45539.400208333303</v>
      </c>
      <c r="G42">
        <v>3307.9</v>
      </c>
      <c r="H42" s="44"/>
      <c r="I42" s="44">
        <v>2749.875</v>
      </c>
      <c r="J42" s="44">
        <v>21.1</v>
      </c>
      <c r="K42" s="44">
        <v>18.5</v>
      </c>
      <c r="L42" s="44">
        <v>87.6</v>
      </c>
      <c r="M42" s="44">
        <v>17.600000000000001</v>
      </c>
      <c r="N42" s="44">
        <v>409</v>
      </c>
      <c r="O42" s="44">
        <v>1</v>
      </c>
      <c r="P42" s="44">
        <v>0.3</v>
      </c>
      <c r="Q42" s="44">
        <v>4.26</v>
      </c>
      <c r="R42" s="44"/>
      <c r="S42" s="44">
        <v>0.2</v>
      </c>
      <c r="T42" s="44">
        <v>0.09</v>
      </c>
      <c r="U42" s="44">
        <v>5.07</v>
      </c>
      <c r="V42" s="44">
        <v>7.2649999999999997</v>
      </c>
      <c r="W42" s="44">
        <v>104.6</v>
      </c>
      <c r="X42" s="44">
        <v>22.8</v>
      </c>
      <c r="Y42" s="44">
        <v>2.44</v>
      </c>
      <c r="Z42" s="44">
        <v>171.4</v>
      </c>
      <c r="AA42" s="44">
        <v>46.3</v>
      </c>
      <c r="AB42" s="44">
        <v>91.8</v>
      </c>
      <c r="AC42" s="44">
        <v>18.5</v>
      </c>
      <c r="AD42" s="17">
        <v>7.306</v>
      </c>
      <c r="AE42" s="44">
        <v>301</v>
      </c>
      <c r="AF42" s="44">
        <v>50.3</v>
      </c>
      <c r="AG42" s="44">
        <v>7.29</v>
      </c>
      <c r="AH42" s="45">
        <f t="shared" si="35"/>
        <v>0.503</v>
      </c>
      <c r="AI42" s="44">
        <v>34</v>
      </c>
      <c r="AJ42" s="44">
        <v>43.09</v>
      </c>
      <c r="AK42" s="44">
        <v>7.3</v>
      </c>
      <c r="AL42" s="44">
        <v>4.8600000000000003</v>
      </c>
      <c r="AM42" s="45">
        <f t="shared" si="36"/>
        <v>2.5274999999999999E-2</v>
      </c>
      <c r="AN42" s="44">
        <v>88.68</v>
      </c>
      <c r="AO42" s="44">
        <v>80.87</v>
      </c>
      <c r="AP42" s="44">
        <v>580</v>
      </c>
      <c r="AQ42" s="44">
        <v>1823</v>
      </c>
      <c r="AR42" s="45">
        <v>47.420000000000073</v>
      </c>
      <c r="AS42" s="45">
        <f t="shared" si="37"/>
        <v>1775.58</v>
      </c>
      <c r="AT42" s="45">
        <f t="shared" si="48"/>
        <v>32.150000000000006</v>
      </c>
      <c r="AU42" s="45">
        <f t="shared" si="49"/>
        <v>23.840000000000003</v>
      </c>
      <c r="AV42" s="45">
        <f t="shared" si="50"/>
        <v>35</v>
      </c>
      <c r="AW42" s="25">
        <v>15</v>
      </c>
      <c r="AX42" s="54">
        <v>1700</v>
      </c>
      <c r="AY42" s="44">
        <v>34</v>
      </c>
      <c r="AZ42" s="44">
        <v>7.2</v>
      </c>
      <c r="BA42" s="44">
        <v>50</v>
      </c>
      <c r="BB42" s="22">
        <v>2.9999999999999997E-4</v>
      </c>
      <c r="BC42" s="11">
        <v>0.02</v>
      </c>
      <c r="BE42" s="22"/>
      <c r="BF42" s="11">
        <f t="shared" si="38"/>
        <v>1.0099889999999999E-2</v>
      </c>
      <c r="BG42" s="46">
        <f t="shared" si="39"/>
        <v>14.543841599999997</v>
      </c>
      <c r="BH42" s="46">
        <f t="shared" si="40"/>
        <v>1819.8</v>
      </c>
      <c r="BI42" s="47">
        <f t="shared" si="41"/>
        <v>4.8730629739531822E-2</v>
      </c>
      <c r="BJ42" s="47">
        <f t="shared" si="42"/>
        <v>5.2164705882352946E-2</v>
      </c>
      <c r="BK42" s="47">
        <f t="shared" si="43"/>
        <v>36.396000000000001</v>
      </c>
      <c r="BL42" s="47">
        <f t="shared" si="44"/>
        <v>2.5274999999999999E-2</v>
      </c>
      <c r="BM42" s="48" t="str">
        <f>IF(B42="Julia",BD42*BH42/24/60,"")</f>
        <v/>
      </c>
      <c r="BN42" s="48" t="str">
        <f t="shared" si="45"/>
        <v/>
      </c>
      <c r="BO42" s="47">
        <f t="shared" si="26"/>
        <v>0</v>
      </c>
      <c r="BP42" s="51" t="str">
        <f>IF(B42="Julia",BE42*BH42,"")</f>
        <v/>
      </c>
      <c r="BQ42" s="28">
        <f t="shared" si="46"/>
        <v>65.649350649350652</v>
      </c>
      <c r="BR42" s="49">
        <f t="shared" si="47"/>
        <v>2.5274999999999999E-2</v>
      </c>
      <c r="BS42" s="30">
        <f t="shared" si="17"/>
        <v>0</v>
      </c>
    </row>
    <row r="43" spans="1:71" x14ac:dyDescent="0.25">
      <c r="A43" s="1" t="s">
        <v>87</v>
      </c>
      <c r="B43" t="s">
        <v>75</v>
      </c>
      <c r="C43">
        <v>12</v>
      </c>
      <c r="D43">
        <v>6</v>
      </c>
      <c r="E43" s="71" t="s">
        <v>99</v>
      </c>
      <c r="F43" s="61">
        <v>45539.404884259297</v>
      </c>
      <c r="G43">
        <v>3307.9</v>
      </c>
      <c r="H43" s="44"/>
      <c r="I43" s="44">
        <v>2520.75</v>
      </c>
      <c r="J43" s="44">
        <v>22.5</v>
      </c>
      <c r="K43" s="44">
        <v>18.3</v>
      </c>
      <c r="L43" s="44">
        <v>81.099999999999994</v>
      </c>
      <c r="M43" s="44">
        <v>17.600000000000001</v>
      </c>
      <c r="N43" s="44">
        <v>451</v>
      </c>
      <c r="O43" s="44">
        <v>2.66</v>
      </c>
      <c r="P43" s="44">
        <v>0.33</v>
      </c>
      <c r="Q43" s="44">
        <v>0.04</v>
      </c>
      <c r="R43" s="44"/>
      <c r="S43" s="44">
        <v>0.68</v>
      </c>
      <c r="T43" s="44">
        <v>1.76</v>
      </c>
      <c r="U43" s="69">
        <v>8.9726219999999994</v>
      </c>
      <c r="V43" s="44">
        <v>6.9939999999999998</v>
      </c>
      <c r="W43" s="44">
        <v>57.5</v>
      </c>
      <c r="X43" s="44">
        <v>0</v>
      </c>
      <c r="Y43" s="44">
        <v>3.83</v>
      </c>
      <c r="Z43" s="44">
        <v>193.9</v>
      </c>
      <c r="AA43" s="44">
        <v>13.5</v>
      </c>
      <c r="AB43" s="44">
        <v>50.4</v>
      </c>
      <c r="AC43" s="44">
        <v>0</v>
      </c>
      <c r="AD43" s="17">
        <v>7.03</v>
      </c>
      <c r="AE43" s="44">
        <v>299</v>
      </c>
      <c r="AF43" s="44">
        <v>49.1</v>
      </c>
      <c r="AG43" s="44">
        <v>7.1</v>
      </c>
      <c r="AH43" s="45">
        <f t="shared" si="35"/>
        <v>0.49099999999999999</v>
      </c>
      <c r="AI43" s="44">
        <v>34</v>
      </c>
      <c r="AJ43" s="44">
        <v>53.46</v>
      </c>
      <c r="AK43" s="44">
        <v>7.31</v>
      </c>
      <c r="AL43" s="44">
        <v>4.6100000000000003</v>
      </c>
      <c r="AM43" s="45">
        <f t="shared" si="36"/>
        <v>2.537013888888889E-2</v>
      </c>
      <c r="AN43" s="44">
        <v>111.39</v>
      </c>
      <c r="AO43" s="44">
        <v>54.88</v>
      </c>
      <c r="AP43" s="44">
        <v>531</v>
      </c>
      <c r="AQ43" s="44">
        <v>1854</v>
      </c>
      <c r="AR43" s="45">
        <v>133.55999999999995</v>
      </c>
      <c r="AS43" s="45">
        <f t="shared" si="37"/>
        <v>1720.44</v>
      </c>
      <c r="AT43" s="45">
        <f t="shared" si="48"/>
        <v>26.120000000000005</v>
      </c>
      <c r="AU43" s="45">
        <f t="shared" si="49"/>
        <v>0</v>
      </c>
      <c r="AV43" s="45">
        <f t="shared" si="50"/>
        <v>29</v>
      </c>
      <c r="AW43" s="25">
        <v>15</v>
      </c>
      <c r="AX43" s="54">
        <v>1700</v>
      </c>
      <c r="AY43" s="44">
        <v>34</v>
      </c>
      <c r="AZ43" s="44">
        <v>7.2</v>
      </c>
      <c r="BA43" s="44">
        <v>50</v>
      </c>
      <c r="BB43" s="22">
        <v>2.9999999999999997E-4</v>
      </c>
      <c r="BC43" s="11">
        <v>0.02</v>
      </c>
      <c r="BE43" s="22"/>
      <c r="BF43" s="11">
        <f t="shared" si="38"/>
        <v>1.0028308500000001E-2</v>
      </c>
      <c r="BG43" s="46">
        <f t="shared" si="39"/>
        <v>14.440764240000002</v>
      </c>
      <c r="BH43" s="46">
        <f t="shared" si="40"/>
        <v>1826.65</v>
      </c>
      <c r="BI43" s="47">
        <f t="shared" si="41"/>
        <v>6.098048339857115E-2</v>
      </c>
      <c r="BJ43" s="47">
        <f t="shared" si="42"/>
        <v>6.5523529411764703E-2</v>
      </c>
      <c r="BK43" s="47">
        <f t="shared" si="43"/>
        <v>36.533000000000001</v>
      </c>
      <c r="BL43" s="47">
        <f t="shared" si="44"/>
        <v>2.537013888888889E-2</v>
      </c>
      <c r="BM43" s="48" t="str">
        <f>IF(B43="Julia",BD43*BH43/24/60,"")</f>
        <v/>
      </c>
      <c r="BN43" s="48" t="str">
        <f t="shared" si="45"/>
        <v/>
      </c>
      <c r="BO43" s="47">
        <f t="shared" si="26"/>
        <v>13.51721</v>
      </c>
      <c r="BP43" s="51" t="str">
        <f>IF(B43="Julia",BE43*BH43,"")</f>
        <v/>
      </c>
      <c r="BQ43" s="28">
        <f t="shared" si="46"/>
        <v>65.896464646464651</v>
      </c>
      <c r="BR43" s="49">
        <f t="shared" si="47"/>
        <v>2.537013888888889E-2</v>
      </c>
      <c r="BS43" s="30">
        <f t="shared" si="17"/>
        <v>13.51721</v>
      </c>
    </row>
    <row r="44" spans="1:71" ht="15.75" thickBot="1" x14ac:dyDescent="0.3">
      <c r="A44" s="4" t="s">
        <v>88</v>
      </c>
      <c r="B44" s="5" t="s">
        <v>75</v>
      </c>
      <c r="C44" s="5">
        <v>12</v>
      </c>
      <c r="D44" s="5">
        <v>6</v>
      </c>
      <c r="E44" s="5"/>
      <c r="F44" s="62">
        <v>45539.410046296303</v>
      </c>
      <c r="G44" s="5">
        <v>3307.9</v>
      </c>
      <c r="H44" s="7"/>
      <c r="I44" s="7">
        <v>3281.13</v>
      </c>
      <c r="J44" s="7">
        <v>21.3</v>
      </c>
      <c r="K44" s="7">
        <v>20</v>
      </c>
      <c r="L44" s="7">
        <v>94.2</v>
      </c>
      <c r="M44" s="7">
        <v>17.600000000000001</v>
      </c>
      <c r="N44" s="7">
        <v>370</v>
      </c>
      <c r="O44" s="7">
        <v>1.1399999999999999</v>
      </c>
      <c r="P44" s="7">
        <v>0.27</v>
      </c>
      <c r="Q44" s="7">
        <v>4.78</v>
      </c>
      <c r="R44" s="7"/>
      <c r="S44" s="7">
        <v>0.2</v>
      </c>
      <c r="T44" s="7">
        <v>7.0000000000000007E-2</v>
      </c>
      <c r="U44" s="7">
        <v>2.19</v>
      </c>
      <c r="V44" s="7">
        <v>7.2569999999999997</v>
      </c>
      <c r="W44" s="7">
        <v>117.5</v>
      </c>
      <c r="X44" s="7">
        <v>23</v>
      </c>
      <c r="Y44" s="7">
        <v>1.92</v>
      </c>
      <c r="Z44" s="7">
        <v>154.9</v>
      </c>
      <c r="AA44" s="7">
        <v>51</v>
      </c>
      <c r="AB44" s="7">
        <v>103.1</v>
      </c>
      <c r="AC44" s="7">
        <v>18.600000000000001</v>
      </c>
      <c r="AD44" s="18">
        <v>7.2990000000000004</v>
      </c>
      <c r="AE44" s="7">
        <v>300</v>
      </c>
      <c r="AF44" s="7">
        <v>50.1</v>
      </c>
      <c r="AG44" s="7">
        <v>7.3</v>
      </c>
      <c r="AH44" s="41">
        <f t="shared" si="35"/>
        <v>0.501</v>
      </c>
      <c r="AI44" s="7">
        <v>34</v>
      </c>
      <c r="AJ44" s="7">
        <v>28.27</v>
      </c>
      <c r="AK44" s="7">
        <v>18.29</v>
      </c>
      <c r="AL44" s="7">
        <v>4.66</v>
      </c>
      <c r="AM44" s="41">
        <f t="shared" si="36"/>
        <v>1.8700519444444445E-2</v>
      </c>
      <c r="AN44" s="7">
        <v>116.7</v>
      </c>
      <c r="AO44" s="7">
        <v>56.59</v>
      </c>
      <c r="AP44" s="7">
        <v>558</v>
      </c>
      <c r="AQ44" s="7">
        <v>1843</v>
      </c>
      <c r="AR44" s="41">
        <v>51.660000000000082</v>
      </c>
      <c r="AS44" s="41">
        <f t="shared" si="37"/>
        <v>1791.34</v>
      </c>
      <c r="AT44" s="41">
        <f t="shared" si="48"/>
        <v>35.540000000000006</v>
      </c>
      <c r="AU44" s="41">
        <f t="shared" si="49"/>
        <v>0</v>
      </c>
      <c r="AV44" s="41">
        <f t="shared" si="50"/>
        <v>40</v>
      </c>
      <c r="AW44" s="26">
        <v>15</v>
      </c>
      <c r="AX44" s="55">
        <v>1700</v>
      </c>
      <c r="AY44" s="7">
        <v>34</v>
      </c>
      <c r="AZ44" s="7">
        <v>7.2</v>
      </c>
      <c r="BA44" s="7">
        <v>50</v>
      </c>
      <c r="BB44" s="23">
        <v>2.9999999999999997E-4</v>
      </c>
      <c r="BC44" s="12">
        <v>1.4800000000000001E-2</v>
      </c>
      <c r="BD44" s="5"/>
      <c r="BE44" s="23"/>
      <c r="BF44" s="12">
        <f t="shared" si="38"/>
        <v>1.0917059999999999E-2</v>
      </c>
      <c r="BG44" s="13">
        <f t="shared" si="39"/>
        <v>15.720566399999999</v>
      </c>
      <c r="BH44" s="13">
        <f t="shared" si="40"/>
        <v>1819.51</v>
      </c>
      <c r="BI44" s="14">
        <f t="shared" si="41"/>
        <v>6.4138147083555461E-2</v>
      </c>
      <c r="BJ44" s="14">
        <f t="shared" si="42"/>
        <v>6.8647058823529408E-2</v>
      </c>
      <c r="BK44" s="14">
        <f t="shared" si="43"/>
        <v>26.928748000000002</v>
      </c>
      <c r="BL44" s="14">
        <f t="shared" si="44"/>
        <v>1.8700519444444445E-2</v>
      </c>
      <c r="BM44" s="48" t="str">
        <f>IF(B44="Julia",BD44*BH44/24/60,"")</f>
        <v/>
      </c>
      <c r="BN44" s="36" t="str">
        <f t="shared" si="45"/>
        <v/>
      </c>
      <c r="BO44" s="14">
        <f t="shared" si="26"/>
        <v>0</v>
      </c>
      <c r="BP44" s="52" t="str">
        <f>IF(B44="Julia",BE44*BH44,"")</f>
        <v/>
      </c>
      <c r="BQ44" s="29">
        <f t="shared" si="46"/>
        <v>48.57277777777778</v>
      </c>
      <c r="BR44" s="38">
        <f t="shared" si="47"/>
        <v>1.8700519444444445E-2</v>
      </c>
      <c r="BS44" s="31">
        <f t="shared" si="17"/>
        <v>0</v>
      </c>
    </row>
    <row r="45" spans="1:71" x14ac:dyDescent="0.25">
      <c r="A45" s="2" t="s">
        <v>83</v>
      </c>
      <c r="B45" s="3" t="s">
        <v>74</v>
      </c>
      <c r="C45" s="3">
        <v>12</v>
      </c>
      <c r="D45" s="3">
        <v>7</v>
      </c>
      <c r="E45" s="3"/>
      <c r="F45" s="60">
        <v>45540.387222222198</v>
      </c>
      <c r="G45" s="3">
        <v>3888.32</v>
      </c>
      <c r="H45" s="6"/>
      <c r="I45" s="6">
        <v>3899.9850000000001</v>
      </c>
      <c r="J45" s="6">
        <v>23.9</v>
      </c>
      <c r="K45" s="6">
        <v>22.6</v>
      </c>
      <c r="L45" s="6">
        <v>94.8</v>
      </c>
      <c r="M45" s="6">
        <v>17.2</v>
      </c>
      <c r="N45" s="6">
        <v>343</v>
      </c>
      <c r="O45" s="6">
        <v>1.26</v>
      </c>
      <c r="P45" s="6">
        <v>0.26</v>
      </c>
      <c r="Q45" s="6">
        <v>3.8</v>
      </c>
      <c r="R45" s="6"/>
      <c r="S45" s="6">
        <v>0.15</v>
      </c>
      <c r="T45" s="6">
        <v>0.11</v>
      </c>
      <c r="U45" s="6">
        <v>1.08</v>
      </c>
      <c r="V45" s="6">
        <v>7.258</v>
      </c>
      <c r="W45" s="6">
        <v>112</v>
      </c>
      <c r="X45" s="6">
        <v>28.6</v>
      </c>
      <c r="Y45" s="6">
        <v>2.5299999999999998</v>
      </c>
      <c r="Z45" s="6">
        <v>144.1</v>
      </c>
      <c r="AA45" s="6">
        <v>48.7</v>
      </c>
      <c r="AB45" s="6">
        <v>98.2</v>
      </c>
      <c r="AC45" s="6">
        <v>23.1</v>
      </c>
      <c r="AD45" s="16">
        <v>7.2990000000000004</v>
      </c>
      <c r="AE45" s="6">
        <v>299</v>
      </c>
      <c r="AF45" s="6">
        <v>48.7</v>
      </c>
      <c r="AG45" s="6">
        <v>7.3</v>
      </c>
      <c r="AH45" s="40">
        <f t="shared" si="35"/>
        <v>0.48700000000000004</v>
      </c>
      <c r="AI45" s="6">
        <v>34</v>
      </c>
      <c r="AJ45" s="6">
        <v>22.07</v>
      </c>
      <c r="AK45" s="44">
        <v>26.19</v>
      </c>
      <c r="AL45" s="6">
        <v>4.54</v>
      </c>
      <c r="AM45" s="42">
        <f t="shared" si="36"/>
        <v>1.86276921804269E-2</v>
      </c>
      <c r="AN45" s="6">
        <v>115.26</v>
      </c>
      <c r="AO45" s="6">
        <v>59.14</v>
      </c>
      <c r="AP45" s="6">
        <v>557</v>
      </c>
      <c r="AQ45" s="6">
        <v>1882</v>
      </c>
      <c r="AR45" s="40">
        <v>137.11999999999989</v>
      </c>
      <c r="AS45" s="40">
        <f t="shared" si="37"/>
        <v>1744.88</v>
      </c>
      <c r="AT45" s="40">
        <f t="shared" si="48"/>
        <v>13.430000000000007</v>
      </c>
      <c r="AU45" s="40">
        <f t="shared" si="49"/>
        <v>2.1600000000000037</v>
      </c>
      <c r="AV45" s="40">
        <f t="shared" si="50"/>
        <v>15</v>
      </c>
      <c r="AW45" s="24">
        <v>15</v>
      </c>
      <c r="AX45" s="53">
        <v>1700</v>
      </c>
      <c r="AY45" s="6">
        <v>34</v>
      </c>
      <c r="AZ45" s="6">
        <v>7.2</v>
      </c>
      <c r="BA45" s="6">
        <v>50</v>
      </c>
      <c r="BB45" s="21">
        <v>2.9999999999999997E-4</v>
      </c>
      <c r="BC45" s="8"/>
      <c r="BD45" s="46">
        <f>BM45*24*60/BH45</f>
        <v>1.4842782613885977E-2</v>
      </c>
      <c r="BE45" s="22">
        <f>BP45/BH45</f>
        <v>3.0046126474092961E-3</v>
      </c>
      <c r="BF45" s="8">
        <f t="shared" si="38"/>
        <v>1.2252816E-2</v>
      </c>
      <c r="BG45" s="9">
        <f t="shared" si="39"/>
        <v>17.644055039999998</v>
      </c>
      <c r="BH45" s="9">
        <f t="shared" si="40"/>
        <v>1807.2</v>
      </c>
      <c r="BI45" s="10">
        <f t="shared" si="41"/>
        <v>6.3778220451527229E-2</v>
      </c>
      <c r="BJ45" s="10">
        <f t="shared" si="42"/>
        <v>6.7799999999999999E-2</v>
      </c>
      <c r="BK45" s="10">
        <f t="shared" si="43"/>
        <v>26.82387673981474</v>
      </c>
      <c r="BL45" s="10" t="str">
        <f t="shared" si="44"/>
        <v/>
      </c>
      <c r="BM45" s="10">
        <v>1.86276921804269E-2</v>
      </c>
      <c r="BN45" s="35" t="str">
        <f t="shared" si="45"/>
        <v/>
      </c>
      <c r="BO45" s="10" t="str">
        <f t="shared" si="26"/>
        <v/>
      </c>
      <c r="BP45" s="50">
        <v>5.4299359763980801</v>
      </c>
      <c r="BQ45" s="27">
        <f>IF(BL45&lt;&gt;"",BL45/0.000385,IF(BM45&lt;&gt;"",BM45/0.000385,BN45/0.000385))</f>
        <v>48.383616053056883</v>
      </c>
      <c r="BR45" s="37">
        <f>IF(BL45&lt;&gt;"",BL45,IF(BM45&lt;&gt;"",BM45,BN45))</f>
        <v>1.86276921804269E-2</v>
      </c>
      <c r="BS45" s="32">
        <f t="shared" si="17"/>
        <v>5.4299359763980801</v>
      </c>
    </row>
    <row r="46" spans="1:71" x14ac:dyDescent="0.25">
      <c r="A46" s="1" t="s">
        <v>84</v>
      </c>
      <c r="B46" t="s">
        <v>74</v>
      </c>
      <c r="C46">
        <v>12</v>
      </c>
      <c r="D46">
        <v>7</v>
      </c>
      <c r="F46" s="61">
        <v>45540.391423611101</v>
      </c>
      <c r="G46">
        <v>3888.32</v>
      </c>
      <c r="H46" s="44"/>
      <c r="I46" s="44">
        <v>3763.38</v>
      </c>
      <c r="J46" s="44">
        <v>22</v>
      </c>
      <c r="K46" s="44">
        <v>20.9</v>
      </c>
      <c r="L46" s="44">
        <v>94.9</v>
      </c>
      <c r="M46" s="44">
        <v>17.600000000000001</v>
      </c>
      <c r="N46" s="44">
        <v>349</v>
      </c>
      <c r="O46" s="44">
        <v>1.37</v>
      </c>
      <c r="P46" s="44">
        <v>0.24</v>
      </c>
      <c r="Q46" s="44">
        <v>3.36</v>
      </c>
      <c r="R46" s="44"/>
      <c r="S46" s="44">
        <v>0.19</v>
      </c>
      <c r="T46" s="44">
        <v>0.09</v>
      </c>
      <c r="U46" s="44">
        <v>0.74</v>
      </c>
      <c r="V46" s="44">
        <v>7.2610000000000001</v>
      </c>
      <c r="W46" s="44">
        <v>137.69999999999999</v>
      </c>
      <c r="X46" s="44">
        <v>35.1</v>
      </c>
      <c r="Y46" s="44">
        <v>2.15</v>
      </c>
      <c r="Z46" s="44">
        <v>149.1</v>
      </c>
      <c r="AA46" s="44">
        <v>60.3</v>
      </c>
      <c r="AB46" s="44">
        <v>120.8</v>
      </c>
      <c r="AC46" s="44">
        <v>28.4</v>
      </c>
      <c r="AD46" s="17">
        <v>7.3019999999999996</v>
      </c>
      <c r="AE46" s="44">
        <v>301</v>
      </c>
      <c r="AF46" s="44">
        <v>49.2</v>
      </c>
      <c r="AG46" s="44">
        <v>7.3</v>
      </c>
      <c r="AH46" s="45">
        <f t="shared" si="35"/>
        <v>0.49200000000000005</v>
      </c>
      <c r="AI46" s="44">
        <v>34</v>
      </c>
      <c r="AJ46" s="44">
        <v>24.57</v>
      </c>
      <c r="AK46" s="44">
        <v>22.86</v>
      </c>
      <c r="AL46" s="44">
        <v>2.59</v>
      </c>
      <c r="AM46" s="45">
        <f t="shared" si="36"/>
        <v>1.7472165513773799E-2</v>
      </c>
      <c r="AN46" s="44">
        <v>123.07</v>
      </c>
      <c r="AO46" s="44">
        <v>57.93</v>
      </c>
      <c r="AP46" s="44">
        <v>553</v>
      </c>
      <c r="AQ46" s="44">
        <v>1813</v>
      </c>
      <c r="AR46" s="45">
        <v>45.769999999999982</v>
      </c>
      <c r="AS46" s="45">
        <f t="shared" si="37"/>
        <v>1767.23</v>
      </c>
      <c r="AT46" s="45">
        <f t="shared" si="48"/>
        <v>19.489999999999995</v>
      </c>
      <c r="AU46" s="45">
        <f t="shared" si="49"/>
        <v>0</v>
      </c>
      <c r="AV46" s="45">
        <f t="shared" si="50"/>
        <v>23</v>
      </c>
      <c r="AW46" s="25">
        <v>15</v>
      </c>
      <c r="AX46" s="54">
        <v>1700</v>
      </c>
      <c r="AY46" s="44">
        <v>34</v>
      </c>
      <c r="AZ46" s="44">
        <v>7.2</v>
      </c>
      <c r="BA46" s="44">
        <v>50</v>
      </c>
      <c r="BB46" s="22">
        <v>2.9999999999999997E-4</v>
      </c>
      <c r="BC46" s="11"/>
      <c r="BD46" s="46">
        <f>BM46*24*60/BH46</f>
        <v>1.3892678346917356E-2</v>
      </c>
      <c r="BE46" s="22">
        <f>BP46/BH46</f>
        <v>1.5806774796027598E-3</v>
      </c>
      <c r="BF46" s="11">
        <f t="shared" si="38"/>
        <v>1.1355095399999997E-2</v>
      </c>
      <c r="BG46" s="46">
        <f t="shared" si="39"/>
        <v>16.351337375999996</v>
      </c>
      <c r="BH46" s="46">
        <f t="shared" si="40"/>
        <v>1811.02</v>
      </c>
      <c r="BI46" s="47">
        <f t="shared" si="41"/>
        <v>6.7956179390619653E-2</v>
      </c>
      <c r="BJ46" s="47">
        <f t="shared" si="42"/>
        <v>7.2394117647058817E-2</v>
      </c>
      <c r="BK46" s="47">
        <f t="shared" si="43"/>
        <v>25.15991833983427</v>
      </c>
      <c r="BL46" s="47" t="str">
        <f t="shared" si="44"/>
        <v/>
      </c>
      <c r="BM46" s="47">
        <v>1.7472165513773799E-2</v>
      </c>
      <c r="BN46" s="48" t="str">
        <f t="shared" si="45"/>
        <v/>
      </c>
      <c r="BO46" s="47" t="str">
        <f t="shared" si="26"/>
        <v/>
      </c>
      <c r="BP46" s="51">
        <v>2.8626385291101899</v>
      </c>
      <c r="BQ46" s="28">
        <f t="shared" ref="BQ46:BQ50" si="51">IF(BL46&lt;&gt;"",BL46/0.000385,IF(BM46&lt;&gt;"",BM46/0.000385,BN46/0.000385))</f>
        <v>45.382248087724157</v>
      </c>
      <c r="BR46" s="49">
        <f t="shared" ref="BR46:BR50" si="52">IF(BL46&lt;&gt;"",BL46,IF(BM46&lt;&gt;"",BM46,BN46))</f>
        <v>1.7472165513773799E-2</v>
      </c>
      <c r="BS46" s="30">
        <f t="shared" si="17"/>
        <v>2.8626385291101899</v>
      </c>
    </row>
    <row r="47" spans="1:71" x14ac:dyDescent="0.25">
      <c r="A47" s="1" t="s">
        <v>85</v>
      </c>
      <c r="B47" t="s">
        <v>74</v>
      </c>
      <c r="C47">
        <v>12</v>
      </c>
      <c r="D47">
        <v>7</v>
      </c>
      <c r="F47" s="61">
        <v>45540.395925925899</v>
      </c>
      <c r="G47">
        <v>3888.32</v>
      </c>
      <c r="H47" s="44"/>
      <c r="I47" s="44">
        <v>3255.375</v>
      </c>
      <c r="J47" s="44">
        <v>21.8</v>
      </c>
      <c r="K47" s="44">
        <v>17.5</v>
      </c>
      <c r="L47" s="44">
        <v>80.400000000000006</v>
      </c>
      <c r="M47" s="44">
        <v>17.899999999999999</v>
      </c>
      <c r="N47" s="44">
        <v>420</v>
      </c>
      <c r="O47" s="44">
        <v>1.52</v>
      </c>
      <c r="P47" s="44">
        <v>0.27</v>
      </c>
      <c r="Q47" s="44">
        <v>5.35</v>
      </c>
      <c r="R47" s="44"/>
      <c r="S47" s="44">
        <v>0.52</v>
      </c>
      <c r="T47" s="44">
        <v>0.76</v>
      </c>
      <c r="U47" s="44">
        <v>3.26</v>
      </c>
      <c r="V47" s="44">
        <v>7.2619999999999996</v>
      </c>
      <c r="W47" s="44">
        <v>118.8</v>
      </c>
      <c r="X47" s="44">
        <v>25.9</v>
      </c>
      <c r="Y47" s="44">
        <v>1.86</v>
      </c>
      <c r="Z47" s="44">
        <v>169.8</v>
      </c>
      <c r="AA47" s="44">
        <v>52.1</v>
      </c>
      <c r="AB47" s="44">
        <v>104.2</v>
      </c>
      <c r="AC47" s="44">
        <v>20.9</v>
      </c>
      <c r="AD47" s="17">
        <v>7.3029999999999999</v>
      </c>
      <c r="AE47" s="44">
        <v>300</v>
      </c>
      <c r="AF47" s="44">
        <v>50.2</v>
      </c>
      <c r="AG47" s="44">
        <v>7.27</v>
      </c>
      <c r="AH47" s="45">
        <f t="shared" si="35"/>
        <v>0.502</v>
      </c>
      <c r="AI47" s="44">
        <v>34</v>
      </c>
      <c r="AJ47" s="44">
        <v>38.049999999999997</v>
      </c>
      <c r="AK47" s="44">
        <v>1.24</v>
      </c>
      <c r="AL47" s="44">
        <v>5.72</v>
      </c>
      <c r="AM47" s="45">
        <f t="shared" si="36"/>
        <v>2.74293847933831E-2</v>
      </c>
      <c r="AN47" s="44">
        <v>149.62</v>
      </c>
      <c r="AO47" s="44">
        <v>71.12</v>
      </c>
      <c r="AP47" s="44">
        <v>504</v>
      </c>
      <c r="AQ47" s="44">
        <v>1879</v>
      </c>
      <c r="AR47" s="45">
        <v>84.700000000000045</v>
      </c>
      <c r="AS47" s="45">
        <f t="shared" si="37"/>
        <v>1794.3</v>
      </c>
      <c r="AT47" s="45">
        <f t="shared" si="48"/>
        <v>35.740000000000009</v>
      </c>
      <c r="AU47" s="45">
        <f t="shared" si="49"/>
        <v>0</v>
      </c>
      <c r="AV47" s="45">
        <f t="shared" si="50"/>
        <v>43</v>
      </c>
      <c r="AW47" s="25">
        <v>15</v>
      </c>
      <c r="AX47" s="54">
        <v>1700</v>
      </c>
      <c r="AY47" s="44">
        <v>34</v>
      </c>
      <c r="AZ47" s="44">
        <v>7.2</v>
      </c>
      <c r="BA47" s="44">
        <v>50</v>
      </c>
      <c r="BB47" s="22">
        <v>2.9999999999999997E-4</v>
      </c>
      <c r="BC47" s="11"/>
      <c r="BD47" s="46">
        <f>BM47*24*60/BH47</f>
        <v>2.139960130162355E-2</v>
      </c>
      <c r="BE47" s="22">
        <f>BP47/BH47</f>
        <v>1.8790139673301152E-4</v>
      </c>
      <c r="BF47" s="11">
        <f t="shared" si="38"/>
        <v>9.6901874999999991E-3</v>
      </c>
      <c r="BG47" s="46">
        <f t="shared" si="39"/>
        <v>13.953869999999998</v>
      </c>
      <c r="BH47" s="46">
        <f t="shared" si="40"/>
        <v>1845.75</v>
      </c>
      <c r="BI47" s="47">
        <f t="shared" si="41"/>
        <v>8.1061898957063533E-2</v>
      </c>
      <c r="BJ47" s="47">
        <f t="shared" si="42"/>
        <v>8.8011764705882359E-2</v>
      </c>
      <c r="BK47" s="47">
        <f t="shared" si="43"/>
        <v>39.498314102471667</v>
      </c>
      <c r="BL47" s="47" t="str">
        <f t="shared" si="44"/>
        <v/>
      </c>
      <c r="BM47" s="47">
        <v>2.74293847933831E-2</v>
      </c>
      <c r="BN47" s="48" t="str">
        <f t="shared" si="45"/>
        <v/>
      </c>
      <c r="BO47" s="47" t="str">
        <f t="shared" ref="BO47:BO80" si="53">IF(IF(B47&lt;&gt;"Julia",((1.5-Q47)*BH47)/400, "")&lt;0,0,IF(B47&lt;&gt;"Julia",((3-Q47)*BH47)/400, ""))</f>
        <v/>
      </c>
      <c r="BP47" s="51">
        <v>0.346819003019956</v>
      </c>
      <c r="BQ47" s="28">
        <f t="shared" si="51"/>
        <v>71.245155307488574</v>
      </c>
      <c r="BR47" s="49">
        <f t="shared" si="52"/>
        <v>2.74293847933831E-2</v>
      </c>
      <c r="BS47" s="30">
        <f t="shared" si="17"/>
        <v>0.346819003019956</v>
      </c>
    </row>
    <row r="48" spans="1:71" x14ac:dyDescent="0.25">
      <c r="A48" s="1" t="s">
        <v>86</v>
      </c>
      <c r="B48" t="s">
        <v>75</v>
      </c>
      <c r="C48">
        <v>12</v>
      </c>
      <c r="D48">
        <v>7</v>
      </c>
      <c r="F48" s="61">
        <v>45540.400462963</v>
      </c>
      <c r="G48">
        <v>3888.32</v>
      </c>
      <c r="H48" s="44"/>
      <c r="I48" s="44">
        <v>3332.46</v>
      </c>
      <c r="J48" s="44">
        <v>20.5</v>
      </c>
      <c r="K48" s="44">
        <v>17.8</v>
      </c>
      <c r="L48" s="44">
        <v>86.7</v>
      </c>
      <c r="M48" s="44">
        <v>18.2</v>
      </c>
      <c r="N48" s="44">
        <v>418</v>
      </c>
      <c r="O48" s="44">
        <v>1.1200000000000001</v>
      </c>
      <c r="P48" s="44">
        <v>0.27</v>
      </c>
      <c r="Q48" s="44">
        <v>4.3099999999999996</v>
      </c>
      <c r="R48" s="44"/>
      <c r="S48" s="44">
        <v>0.27</v>
      </c>
      <c r="T48" s="44">
        <v>0.18</v>
      </c>
      <c r="U48" s="44">
        <v>4.25</v>
      </c>
      <c r="V48" s="44">
        <v>7.2770000000000001</v>
      </c>
      <c r="W48" s="44">
        <v>118.2</v>
      </c>
      <c r="X48" s="44">
        <v>23.3</v>
      </c>
      <c r="Y48" s="44">
        <v>1.97</v>
      </c>
      <c r="Z48" s="44">
        <v>175.4</v>
      </c>
      <c r="AA48" s="44">
        <v>53.8</v>
      </c>
      <c r="AB48" s="44">
        <v>103.7</v>
      </c>
      <c r="AC48" s="44">
        <v>18.8</v>
      </c>
      <c r="AD48" s="17">
        <v>7.319</v>
      </c>
      <c r="AE48" s="44">
        <v>300</v>
      </c>
      <c r="AF48" s="44">
        <v>47.3</v>
      </c>
      <c r="AG48" s="44">
        <v>7.3</v>
      </c>
      <c r="AH48" s="45">
        <f t="shared" si="35"/>
        <v>0.47299999999999998</v>
      </c>
      <c r="AI48" s="44">
        <v>34</v>
      </c>
      <c r="AJ48" s="44">
        <v>43.09</v>
      </c>
      <c r="AK48" s="44">
        <v>9.1199999999999992</v>
      </c>
      <c r="AL48" s="44">
        <v>5.81</v>
      </c>
      <c r="AM48" s="45">
        <f t="shared" si="36"/>
        <v>2.5469722222222223E-2</v>
      </c>
      <c r="AN48" s="44">
        <v>124.93</v>
      </c>
      <c r="AO48" s="44">
        <v>70.87</v>
      </c>
      <c r="AP48" s="44">
        <v>537</v>
      </c>
      <c r="AQ48" s="44">
        <v>1843</v>
      </c>
      <c r="AR48" s="45">
        <v>47.420000000000073</v>
      </c>
      <c r="AS48" s="45">
        <f t="shared" si="37"/>
        <v>1795.58</v>
      </c>
      <c r="AT48" s="45">
        <f t="shared" si="48"/>
        <v>36.25</v>
      </c>
      <c r="AU48" s="45">
        <f t="shared" si="49"/>
        <v>-10</v>
      </c>
      <c r="AV48" s="45">
        <f t="shared" si="50"/>
        <v>43</v>
      </c>
      <c r="AW48" s="25">
        <v>15</v>
      </c>
      <c r="AX48" s="54">
        <v>1700</v>
      </c>
      <c r="AY48" s="44">
        <v>34</v>
      </c>
      <c r="AZ48" s="44">
        <v>7.2</v>
      </c>
      <c r="BA48" s="44">
        <v>50</v>
      </c>
      <c r="BB48" s="22">
        <v>2.9999999999999997E-4</v>
      </c>
      <c r="BC48" s="11">
        <v>0.02</v>
      </c>
      <c r="BE48" s="22"/>
      <c r="BF48" s="11">
        <f t="shared" si="38"/>
        <v>9.7925987999999999E-3</v>
      </c>
      <c r="BG48" s="46">
        <f t="shared" si="39"/>
        <v>14.101342272</v>
      </c>
      <c r="BH48" s="46">
        <f t="shared" si="40"/>
        <v>1833.82</v>
      </c>
      <c r="BI48" s="47">
        <f t="shared" si="41"/>
        <v>6.8125552126162878E-2</v>
      </c>
      <c r="BJ48" s="47">
        <f t="shared" si="42"/>
        <v>7.3488235294117646E-2</v>
      </c>
      <c r="BK48" s="47">
        <f t="shared" si="43"/>
        <v>36.676400000000001</v>
      </c>
      <c r="BL48" s="47">
        <f t="shared" si="44"/>
        <v>2.5469722222222223E-2</v>
      </c>
      <c r="BM48" s="48" t="str">
        <f>IF(B48="Julia",BD48*BH48/24/60,"")</f>
        <v/>
      </c>
      <c r="BN48" s="48" t="str">
        <f t="shared" si="45"/>
        <v/>
      </c>
      <c r="BO48" s="47">
        <f t="shared" si="53"/>
        <v>0</v>
      </c>
      <c r="BP48" s="51" t="str">
        <f>IF(B48="Julia",BE48*BH48,"")</f>
        <v/>
      </c>
      <c r="BQ48" s="28">
        <f t="shared" si="51"/>
        <v>66.155122655122668</v>
      </c>
      <c r="BR48" s="49">
        <f t="shared" si="52"/>
        <v>2.5469722222222223E-2</v>
      </c>
      <c r="BS48" s="30">
        <f t="shared" si="17"/>
        <v>0</v>
      </c>
    </row>
    <row r="49" spans="1:71" x14ac:dyDescent="0.25">
      <c r="A49" s="1" t="s">
        <v>87</v>
      </c>
      <c r="B49" s="71" t="s">
        <v>75</v>
      </c>
      <c r="C49" s="71">
        <v>12</v>
      </c>
      <c r="D49" s="71">
        <v>7</v>
      </c>
      <c r="E49" s="71" t="s">
        <v>99</v>
      </c>
      <c r="F49" s="61">
        <v>45540.404571759304</v>
      </c>
      <c r="G49" s="71">
        <v>3888.32</v>
      </c>
      <c r="H49" s="72"/>
      <c r="I49" s="72">
        <v>2666.67</v>
      </c>
      <c r="J49" s="72">
        <v>21.5</v>
      </c>
      <c r="K49" s="72">
        <v>14.9</v>
      </c>
      <c r="L49" s="72">
        <v>69.5</v>
      </c>
      <c r="M49" s="72">
        <v>17.899999999999999</v>
      </c>
      <c r="N49" s="72">
        <v>552</v>
      </c>
      <c r="O49" s="72">
        <v>3.84</v>
      </c>
      <c r="P49" s="72">
        <v>0.32</v>
      </c>
      <c r="Q49" s="72">
        <v>1.27</v>
      </c>
      <c r="R49" s="72"/>
      <c r="S49" s="72">
        <v>0.54</v>
      </c>
      <c r="T49" s="72">
        <v>2.17</v>
      </c>
      <c r="U49" s="73">
        <v>11.56644</v>
      </c>
      <c r="V49" s="72">
        <v>7.07</v>
      </c>
      <c r="W49" s="72">
        <v>80.599999999999994</v>
      </c>
      <c r="X49" s="72">
        <v>31.6</v>
      </c>
      <c r="Y49" s="72">
        <v>3.52</v>
      </c>
      <c r="Z49" s="72">
        <v>230.7</v>
      </c>
      <c r="AA49" s="72">
        <v>22.6</v>
      </c>
      <c r="AB49" s="72">
        <v>70.7</v>
      </c>
      <c r="AC49" s="72">
        <v>25.6</v>
      </c>
      <c r="AD49" s="17">
        <v>7.1079999999999997</v>
      </c>
      <c r="AE49" s="72">
        <v>298</v>
      </c>
      <c r="AF49" s="72">
        <v>56.7</v>
      </c>
      <c r="AG49" s="72">
        <v>7.11</v>
      </c>
      <c r="AH49" s="74">
        <f t="shared" si="35"/>
        <v>0.56700000000000006</v>
      </c>
      <c r="AI49" s="72">
        <v>34</v>
      </c>
      <c r="AJ49" s="72">
        <v>80.680000000000007</v>
      </c>
      <c r="AK49" s="72">
        <v>7.31</v>
      </c>
      <c r="AL49" s="72">
        <v>5.53</v>
      </c>
      <c r="AM49" s="74">
        <f t="shared" si="36"/>
        <v>2.6222638888888889E-2</v>
      </c>
      <c r="AN49" s="72">
        <v>145.49</v>
      </c>
      <c r="AO49" s="72">
        <v>69.02</v>
      </c>
      <c r="AP49" s="72">
        <v>491</v>
      </c>
      <c r="AQ49" s="72">
        <v>1902</v>
      </c>
      <c r="AR49" s="74">
        <v>133.55999999999995</v>
      </c>
      <c r="AS49" s="74">
        <f t="shared" si="37"/>
        <v>1768.44</v>
      </c>
      <c r="AT49" s="74">
        <f t="shared" si="48"/>
        <v>34.100000000000009</v>
      </c>
      <c r="AU49" s="74">
        <f t="shared" si="49"/>
        <v>14.139999999999993</v>
      </c>
      <c r="AV49" s="74">
        <f t="shared" si="50"/>
        <v>40</v>
      </c>
      <c r="AW49" s="25">
        <v>15</v>
      </c>
      <c r="AX49" s="54">
        <v>1700</v>
      </c>
      <c r="AY49" s="72">
        <v>34</v>
      </c>
      <c r="AZ49" s="72">
        <v>7.2</v>
      </c>
      <c r="BA49" s="72">
        <v>50</v>
      </c>
      <c r="BB49" s="22">
        <v>2.9999999999999997E-4</v>
      </c>
      <c r="BC49" s="11">
        <v>0.02</v>
      </c>
      <c r="BD49" s="71"/>
      <c r="BE49" s="22"/>
      <c r="BF49" s="11">
        <f t="shared" si="38"/>
        <v>8.4394940999999984E-3</v>
      </c>
      <c r="BG49" s="76">
        <f t="shared" si="39"/>
        <v>12.152871503999997</v>
      </c>
      <c r="BH49" s="76">
        <f t="shared" si="40"/>
        <v>1888.03</v>
      </c>
      <c r="BI49" s="77">
        <f t="shared" si="41"/>
        <v>7.7059156898989956E-2</v>
      </c>
      <c r="BJ49" s="77">
        <f t="shared" si="42"/>
        <v>8.5582352941176471E-2</v>
      </c>
      <c r="BK49" s="77">
        <f t="shared" si="43"/>
        <v>37.760600000000004</v>
      </c>
      <c r="BL49" s="77">
        <f t="shared" si="44"/>
        <v>2.6222638888888889E-2</v>
      </c>
      <c r="BM49" s="48" t="str">
        <f>IF(B49="Julia",BD49*BH49/24/60,"")</f>
        <v/>
      </c>
      <c r="BN49" s="78" t="str">
        <f t="shared" si="45"/>
        <v/>
      </c>
      <c r="BO49" s="77">
        <f t="shared" si="53"/>
        <v>8.1657297499999988</v>
      </c>
      <c r="BP49" s="51" t="str">
        <f>IF(B49="Julia",BE49*BH49,"")</f>
        <v/>
      </c>
      <c r="BQ49" s="28">
        <f t="shared" si="51"/>
        <v>68.110750360750359</v>
      </c>
      <c r="BR49" s="49">
        <f t="shared" si="52"/>
        <v>2.6222638888888889E-2</v>
      </c>
      <c r="BS49" s="30">
        <f t="shared" si="17"/>
        <v>8.1657297499999988</v>
      </c>
    </row>
    <row r="50" spans="1:71" ht="15.75" thickBot="1" x14ac:dyDescent="0.3">
      <c r="A50" s="4" t="s">
        <v>88</v>
      </c>
      <c r="B50" s="5" t="s">
        <v>75</v>
      </c>
      <c r="C50" s="5">
        <v>12</v>
      </c>
      <c r="D50" s="5">
        <v>7</v>
      </c>
      <c r="E50" s="5"/>
      <c r="F50" s="62">
        <v>45540.408935185202</v>
      </c>
      <c r="G50" s="5">
        <v>3888.32</v>
      </c>
      <c r="H50" s="7"/>
      <c r="I50" s="7">
        <v>4031.4749999999999</v>
      </c>
      <c r="J50" s="7">
        <v>21.3</v>
      </c>
      <c r="K50" s="7">
        <v>20.2</v>
      </c>
      <c r="L50" s="7">
        <v>94.8</v>
      </c>
      <c r="M50" s="7">
        <v>17.899999999999999</v>
      </c>
      <c r="N50" s="7"/>
      <c r="O50" s="7">
        <v>1.21</v>
      </c>
      <c r="P50" s="7">
        <v>0.24</v>
      </c>
      <c r="Q50" s="7">
        <v>3.47</v>
      </c>
      <c r="R50" s="7"/>
      <c r="S50" s="7">
        <v>0.22</v>
      </c>
      <c r="T50" s="7">
        <v>7.0000000000000007E-2</v>
      </c>
      <c r="U50" s="7">
        <v>1.71</v>
      </c>
      <c r="V50" s="7">
        <v>7.2640000000000002</v>
      </c>
      <c r="W50" s="7">
        <v>122.7</v>
      </c>
      <c r="X50" s="7">
        <v>36.4</v>
      </c>
      <c r="Y50" s="7">
        <v>1.76</v>
      </c>
      <c r="Z50" s="7">
        <v>156.4</v>
      </c>
      <c r="AA50" s="7">
        <v>54.1</v>
      </c>
      <c r="AB50" s="7">
        <v>107.6</v>
      </c>
      <c r="AC50" s="7">
        <v>29.4</v>
      </c>
      <c r="AD50" s="18">
        <v>7.3049999999999997</v>
      </c>
      <c r="AE50" s="7">
        <v>301</v>
      </c>
      <c r="AF50" s="7">
        <v>49.6</v>
      </c>
      <c r="AG50" s="7">
        <v>7.3</v>
      </c>
      <c r="AH50" s="41">
        <f t="shared" si="35"/>
        <v>0.496</v>
      </c>
      <c r="AI50" s="7">
        <v>34</v>
      </c>
      <c r="AJ50" s="7">
        <v>28.27</v>
      </c>
      <c r="AK50" s="7">
        <v>22.05</v>
      </c>
      <c r="AL50" s="7">
        <v>5.59</v>
      </c>
      <c r="AM50" s="41">
        <f t="shared" si="36"/>
        <v>1.4294622222222221E-2</v>
      </c>
      <c r="AN50" s="7">
        <v>145.38</v>
      </c>
      <c r="AO50" s="7">
        <v>56.59</v>
      </c>
      <c r="AP50" s="7">
        <v>525</v>
      </c>
      <c r="AQ50" s="7">
        <v>1846</v>
      </c>
      <c r="AR50" s="41">
        <v>51.660000000000082</v>
      </c>
      <c r="AS50" s="41">
        <f t="shared" si="37"/>
        <v>1794.34</v>
      </c>
      <c r="AT50" s="41">
        <f t="shared" si="48"/>
        <v>28.679999999999993</v>
      </c>
      <c r="AU50" s="41">
        <f t="shared" si="49"/>
        <v>0</v>
      </c>
      <c r="AV50" s="41">
        <f t="shared" si="50"/>
        <v>33</v>
      </c>
      <c r="AW50" s="26">
        <v>15</v>
      </c>
      <c r="AX50" s="55">
        <v>1700</v>
      </c>
      <c r="AY50" s="7">
        <v>34</v>
      </c>
      <c r="AZ50" s="7">
        <v>7.2</v>
      </c>
      <c r="BA50" s="7">
        <v>50</v>
      </c>
      <c r="BB50" s="23">
        <v>2.9999999999999997E-4</v>
      </c>
      <c r="BC50" s="12">
        <v>1.12E-2</v>
      </c>
      <c r="BD50" s="5"/>
      <c r="BE50" s="23"/>
      <c r="BF50" s="12">
        <f t="shared" si="38"/>
        <v>1.11375528E-2</v>
      </c>
      <c r="BG50" s="13">
        <f t="shared" si="39"/>
        <v>16.038076032000003</v>
      </c>
      <c r="BH50" s="13">
        <f t="shared" si="40"/>
        <v>1837.88</v>
      </c>
      <c r="BI50" s="14">
        <f t="shared" si="41"/>
        <v>7.9102008836267862E-2</v>
      </c>
      <c r="BJ50" s="14">
        <f t="shared" si="42"/>
        <v>8.5517647058823532E-2</v>
      </c>
      <c r="BK50" s="14">
        <f t="shared" si="43"/>
        <v>20.584256</v>
      </c>
      <c r="BL50" s="14">
        <f t="shared" si="44"/>
        <v>1.4294622222222221E-2</v>
      </c>
      <c r="BM50" s="78" t="str">
        <f>IF(B50="Julia",BD50*BH50/24/60,"")</f>
        <v/>
      </c>
      <c r="BN50" s="36" t="str">
        <f t="shared" si="45"/>
        <v/>
      </c>
      <c r="BO50" s="14">
        <f t="shared" si="53"/>
        <v>0</v>
      </c>
      <c r="BP50" s="52" t="str">
        <f>IF(B50="Julia",BE50*BH50,"")</f>
        <v/>
      </c>
      <c r="BQ50" s="29">
        <f t="shared" si="51"/>
        <v>37.128888888888888</v>
      </c>
      <c r="BR50" s="38">
        <f t="shared" si="52"/>
        <v>1.4294622222222221E-2</v>
      </c>
      <c r="BS50" s="31">
        <f t="shared" si="17"/>
        <v>0</v>
      </c>
    </row>
    <row r="51" spans="1:71" x14ac:dyDescent="0.25">
      <c r="A51" s="2" t="s">
        <v>83</v>
      </c>
      <c r="B51" s="3" t="s">
        <v>74</v>
      </c>
      <c r="C51" s="3">
        <v>12</v>
      </c>
      <c r="D51" s="3">
        <v>8</v>
      </c>
      <c r="E51" s="3" t="s">
        <v>89</v>
      </c>
      <c r="F51" s="60">
        <v>45541.409976851901</v>
      </c>
      <c r="G51" s="3">
        <v>4309.7</v>
      </c>
      <c r="H51" s="6"/>
      <c r="I51" s="6">
        <v>4354.6350000000002</v>
      </c>
      <c r="J51" s="6">
        <v>23.4</v>
      </c>
      <c r="K51" s="6">
        <v>22.2</v>
      </c>
      <c r="L51" s="6">
        <v>94.8</v>
      </c>
      <c r="M51" s="6">
        <v>17.399999999999999</v>
      </c>
      <c r="N51" s="6">
        <v>356</v>
      </c>
      <c r="O51" s="6">
        <v>1.39</v>
      </c>
      <c r="P51" s="6">
        <v>0.22</v>
      </c>
      <c r="Q51" s="6">
        <v>4.9000000000000004</v>
      </c>
      <c r="R51" s="6"/>
      <c r="S51" s="6">
        <v>0.12</v>
      </c>
      <c r="T51" s="6">
        <v>0.08</v>
      </c>
      <c r="U51" s="6">
        <v>0.56000000000000005</v>
      </c>
      <c r="V51" s="6">
        <v>7.26</v>
      </c>
      <c r="W51" s="6">
        <v>121.2</v>
      </c>
      <c r="X51" s="6">
        <v>29</v>
      </c>
      <c r="Y51" s="6">
        <v>2.21</v>
      </c>
      <c r="Z51" s="6">
        <v>144.5</v>
      </c>
      <c r="AA51" s="6">
        <v>53</v>
      </c>
      <c r="AB51" s="6">
        <v>106.3</v>
      </c>
      <c r="AC51" s="6">
        <v>23.4</v>
      </c>
      <c r="AD51" s="16">
        <v>7.3019999999999996</v>
      </c>
      <c r="AE51" s="6">
        <v>300</v>
      </c>
      <c r="AF51" s="6">
        <v>49.8</v>
      </c>
      <c r="AG51" s="6">
        <v>7.3</v>
      </c>
      <c r="AH51" s="40">
        <f t="shared" si="35"/>
        <v>0.498</v>
      </c>
      <c r="AI51" s="6">
        <v>34</v>
      </c>
      <c r="AJ51" s="6">
        <v>22.07</v>
      </c>
      <c r="AK51" s="44">
        <v>33.090000000000003</v>
      </c>
      <c r="AL51" s="65">
        <v>5.29</v>
      </c>
      <c r="AM51" s="42">
        <f t="shared" si="36"/>
        <v>5.0842500000000002E-3</v>
      </c>
      <c r="AN51" s="6">
        <v>139.57</v>
      </c>
      <c r="AO51" s="6">
        <v>65.31</v>
      </c>
      <c r="AP51" s="6">
        <v>530</v>
      </c>
      <c r="AQ51" s="6">
        <v>1904</v>
      </c>
      <c r="AR51" s="40">
        <v>137.11999999999989</v>
      </c>
      <c r="AS51" s="40">
        <f t="shared" si="37"/>
        <v>1766.88</v>
      </c>
      <c r="AT51" s="40">
        <f t="shared" si="48"/>
        <v>24.309999999999988</v>
      </c>
      <c r="AU51" s="40">
        <f t="shared" si="49"/>
        <v>6.1700000000000017</v>
      </c>
      <c r="AV51" s="40">
        <f t="shared" si="50"/>
        <v>27</v>
      </c>
      <c r="AW51" s="24">
        <v>15</v>
      </c>
      <c r="AX51" s="53">
        <v>1700</v>
      </c>
      <c r="AY51" s="6">
        <v>34</v>
      </c>
      <c r="AZ51" s="6">
        <v>7.2</v>
      </c>
      <c r="BA51" s="6">
        <v>50</v>
      </c>
      <c r="BB51" s="21">
        <v>2.9999999999999997E-4</v>
      </c>
      <c r="BC51" s="8"/>
      <c r="BD51" s="46">
        <f>BM51*24*60/BH51</f>
        <v>4.0000000000000001E-3</v>
      </c>
      <c r="BE51" s="22">
        <f>BP51/BH51</f>
        <v>1.0000000000000001E-7</v>
      </c>
      <c r="BF51" s="8">
        <f t="shared" si="38"/>
        <v>1.2189997799999998E-2</v>
      </c>
      <c r="BG51" s="9">
        <f t="shared" si="39"/>
        <v>17.553596831999997</v>
      </c>
      <c r="BH51" s="9">
        <f t="shared" si="40"/>
        <v>1830.33</v>
      </c>
      <c r="BI51" s="10">
        <f t="shared" si="41"/>
        <v>7.6254008839935966E-2</v>
      </c>
      <c r="BJ51" s="10">
        <f t="shared" si="42"/>
        <v>8.2099999999999992E-2</v>
      </c>
      <c r="BK51" s="10">
        <f t="shared" si="43"/>
        <v>7.3213200000000001</v>
      </c>
      <c r="BL51" s="10" t="str">
        <f t="shared" si="44"/>
        <v/>
      </c>
      <c r="BM51" s="10">
        <v>5.0842500000000002E-3</v>
      </c>
      <c r="BN51" s="35" t="str">
        <f t="shared" si="45"/>
        <v/>
      </c>
      <c r="BO51" s="10" t="str">
        <f t="shared" si="53"/>
        <v/>
      </c>
      <c r="BP51" s="50">
        <v>1.8303300000000001E-4</v>
      </c>
      <c r="BQ51" s="27">
        <f>IF(BL51&lt;&gt;"",BL51/0.000385,IF(BM51&lt;&gt;"",BM51/0.000385,BN51/0.000385))</f>
        <v>13.205844155844158</v>
      </c>
      <c r="BR51" s="37">
        <f>IF(BL51&lt;&gt;"",BL51,IF(BM51&lt;&gt;"",BM51,BN51))</f>
        <v>5.0842500000000002E-3</v>
      </c>
      <c r="BS51" s="32">
        <f t="shared" si="17"/>
        <v>1.8303300000000001E-4</v>
      </c>
    </row>
    <row r="52" spans="1:71" x14ac:dyDescent="0.25">
      <c r="A52" s="1" t="s">
        <v>84</v>
      </c>
      <c r="B52" t="s">
        <v>74</v>
      </c>
      <c r="C52">
        <v>12</v>
      </c>
      <c r="D52">
        <v>8</v>
      </c>
      <c r="E52" t="s">
        <v>89</v>
      </c>
      <c r="F52" s="61">
        <v>45541.414027777799</v>
      </c>
      <c r="G52">
        <v>4309.7</v>
      </c>
      <c r="H52" s="44"/>
      <c r="I52" s="44">
        <v>4501.3500000000004</v>
      </c>
      <c r="J52" s="44">
        <v>21.1</v>
      </c>
      <c r="K52" s="44">
        <v>20</v>
      </c>
      <c r="L52" s="44">
        <v>94.7</v>
      </c>
      <c r="M52" s="44">
        <v>17.600000000000001</v>
      </c>
      <c r="N52" s="44">
        <v>359</v>
      </c>
      <c r="O52" s="44">
        <v>1.57</v>
      </c>
      <c r="P52" s="44">
        <v>0.22</v>
      </c>
      <c r="Q52" s="44">
        <v>3.24</v>
      </c>
      <c r="R52" s="44"/>
      <c r="S52" s="44">
        <v>0.12</v>
      </c>
      <c r="T52" s="44">
        <v>7.0000000000000007E-2</v>
      </c>
      <c r="U52" s="44">
        <v>0.23</v>
      </c>
      <c r="V52" s="44">
        <v>7.266</v>
      </c>
      <c r="W52" s="44">
        <v>142.5</v>
      </c>
      <c r="X52" s="44">
        <v>33.299999999999997</v>
      </c>
      <c r="Y52" s="44">
        <v>2.0099999999999998</v>
      </c>
      <c r="Z52" s="44">
        <v>150.6</v>
      </c>
      <c r="AA52" s="44">
        <v>63.1</v>
      </c>
      <c r="AB52" s="44">
        <v>125</v>
      </c>
      <c r="AC52" s="44">
        <v>26.9</v>
      </c>
      <c r="AD52" s="17">
        <v>7.3070000000000004</v>
      </c>
      <c r="AE52" s="44">
        <v>300</v>
      </c>
      <c r="AF52" s="44">
        <v>49.1</v>
      </c>
      <c r="AG52" s="44">
        <v>7.3</v>
      </c>
      <c r="AH52" s="45">
        <f t="shared" si="35"/>
        <v>0.49099999999999999</v>
      </c>
      <c r="AI52" s="44">
        <v>34</v>
      </c>
      <c r="AJ52" s="44">
        <v>24.57</v>
      </c>
      <c r="AK52" s="44">
        <v>26.68</v>
      </c>
      <c r="AL52" s="66">
        <v>3</v>
      </c>
      <c r="AM52" s="45">
        <f t="shared" si="36"/>
        <v>1.16538420964073E-2</v>
      </c>
      <c r="AN52" s="44">
        <v>147.31</v>
      </c>
      <c r="AO52" s="44">
        <v>61.42</v>
      </c>
      <c r="AP52" s="44">
        <v>524</v>
      </c>
      <c r="AQ52" s="44">
        <v>1832</v>
      </c>
      <c r="AR52" s="45">
        <v>45.769999999999982</v>
      </c>
      <c r="AS52" s="45">
        <f t="shared" si="37"/>
        <v>1786.23</v>
      </c>
      <c r="AT52" s="45">
        <f t="shared" si="48"/>
        <v>24.240000000000009</v>
      </c>
      <c r="AU52" s="45">
        <f t="shared" si="49"/>
        <v>3.490000000000002</v>
      </c>
      <c r="AV52" s="45">
        <f t="shared" si="50"/>
        <v>29</v>
      </c>
      <c r="AW52" s="25">
        <v>15</v>
      </c>
      <c r="AX52" s="54">
        <v>1700</v>
      </c>
      <c r="AY52" s="44">
        <v>34</v>
      </c>
      <c r="AZ52" s="44">
        <v>7.2</v>
      </c>
      <c r="BA52" s="44">
        <v>50</v>
      </c>
      <c r="BB52" s="22">
        <v>2.9999999999999997E-4</v>
      </c>
      <c r="BC52" s="11"/>
      <c r="BD52" s="46">
        <f>BM52*24*60/BH52</f>
        <v>9.1803699268189556E-3</v>
      </c>
      <c r="BE52" s="22">
        <f>BP52/BH52</f>
        <v>9.9999999999999995E-8</v>
      </c>
      <c r="BF52" s="11">
        <f t="shared" si="38"/>
        <v>1.0967879999999999E-2</v>
      </c>
      <c r="BG52" s="46">
        <f t="shared" si="39"/>
        <v>15.793747199999999</v>
      </c>
      <c r="BH52" s="46">
        <f t="shared" si="40"/>
        <v>1827.98</v>
      </c>
      <c r="BI52" s="47">
        <f t="shared" si="41"/>
        <v>8.058622085580805E-2</v>
      </c>
      <c r="BJ52" s="47">
        <f t="shared" si="42"/>
        <v>8.6652941176470585E-2</v>
      </c>
      <c r="BK52" s="47">
        <f t="shared" si="43"/>
        <v>16.781532618826514</v>
      </c>
      <c r="BL52" s="47" t="str">
        <f t="shared" si="44"/>
        <v/>
      </c>
      <c r="BM52" s="47">
        <v>1.16538420964073E-2</v>
      </c>
      <c r="BN52" s="48" t="str">
        <f t="shared" si="45"/>
        <v/>
      </c>
      <c r="BO52" s="47" t="str">
        <f t="shared" si="53"/>
        <v/>
      </c>
      <c r="BP52" s="51">
        <v>1.8279799999999999E-4</v>
      </c>
      <c r="BQ52" s="28">
        <f t="shared" ref="BQ52:BQ56" si="54">IF(BL52&lt;&gt;"",BL52/0.000385,IF(BM52&lt;&gt;"",BM52/0.000385,BN52/0.000385))</f>
        <v>30.269719730928053</v>
      </c>
      <c r="BR52" s="49">
        <f t="shared" ref="BR52:BR56" si="55">IF(BL52&lt;&gt;"",BL52,IF(BM52&lt;&gt;"",BM52,BN52))</f>
        <v>1.16538420964073E-2</v>
      </c>
      <c r="BS52" s="30">
        <f t="shared" si="17"/>
        <v>1.8279799999999999E-4</v>
      </c>
    </row>
    <row r="53" spans="1:71" x14ac:dyDescent="0.25">
      <c r="A53" s="1" t="s">
        <v>85</v>
      </c>
      <c r="B53" t="s">
        <v>74</v>
      </c>
      <c r="C53">
        <v>12</v>
      </c>
      <c r="D53">
        <v>8</v>
      </c>
      <c r="E53" t="s">
        <v>89</v>
      </c>
      <c r="F53" s="61">
        <v>45541.418136574102</v>
      </c>
      <c r="G53">
        <v>4309.7</v>
      </c>
      <c r="H53" s="44"/>
      <c r="I53" s="44">
        <v>4039.83</v>
      </c>
      <c r="J53" s="44">
        <v>21.7</v>
      </c>
      <c r="K53" s="44">
        <v>18.5</v>
      </c>
      <c r="L53" s="44">
        <v>85.3</v>
      </c>
      <c r="M53" s="44">
        <v>18.5</v>
      </c>
      <c r="N53" s="44">
        <v>427</v>
      </c>
      <c r="O53" s="44">
        <v>1.7</v>
      </c>
      <c r="P53" s="44">
        <v>0.25</v>
      </c>
      <c r="Q53" s="44">
        <v>4.8099999999999996</v>
      </c>
      <c r="R53" s="44"/>
      <c r="S53" s="44">
        <v>0.62</v>
      </c>
      <c r="T53" s="44">
        <v>1.62</v>
      </c>
      <c r="U53" s="44">
        <v>2.71</v>
      </c>
      <c r="V53" s="44">
        <v>7.2610000000000001</v>
      </c>
      <c r="W53" s="44">
        <v>119.6</v>
      </c>
      <c r="X53" s="44">
        <v>0</v>
      </c>
      <c r="Y53" s="44">
        <v>1.65</v>
      </c>
      <c r="Z53" s="44">
        <v>173.4</v>
      </c>
      <c r="AA53" s="44">
        <v>52.4</v>
      </c>
      <c r="AB53" s="44">
        <v>104.9</v>
      </c>
      <c r="AC53" s="44">
        <v>0</v>
      </c>
      <c r="AD53" s="17">
        <v>7.3019999999999996</v>
      </c>
      <c r="AE53" s="44">
        <v>299</v>
      </c>
      <c r="AF53" s="44">
        <v>49.5</v>
      </c>
      <c r="AG53" s="44">
        <v>7.27</v>
      </c>
      <c r="AH53" s="45">
        <f t="shared" si="35"/>
        <v>0.495</v>
      </c>
      <c r="AI53" s="44">
        <v>34</v>
      </c>
      <c r="AJ53" s="44">
        <v>38.049999999999997</v>
      </c>
      <c r="AK53" s="44">
        <v>1.24</v>
      </c>
      <c r="AL53" s="66">
        <v>6.66</v>
      </c>
      <c r="AM53" s="45">
        <f t="shared" si="36"/>
        <v>1.08215463664599E-2</v>
      </c>
      <c r="AN53" s="44">
        <v>189.85</v>
      </c>
      <c r="AO53" s="44">
        <v>72.11</v>
      </c>
      <c r="AP53" s="44">
        <v>456</v>
      </c>
      <c r="AQ53" s="44">
        <v>1906</v>
      </c>
      <c r="AR53" s="45">
        <v>84.700000000000045</v>
      </c>
      <c r="AS53" s="45">
        <f t="shared" si="37"/>
        <v>1821.3</v>
      </c>
      <c r="AT53" s="45">
        <f t="shared" si="48"/>
        <v>40.22999999999999</v>
      </c>
      <c r="AU53" s="45">
        <f t="shared" si="49"/>
        <v>0.98999999999999488</v>
      </c>
      <c r="AV53" s="45">
        <f t="shared" si="50"/>
        <v>48</v>
      </c>
      <c r="AW53" s="25">
        <v>15</v>
      </c>
      <c r="AX53" s="54">
        <v>1700</v>
      </c>
      <c r="AY53" s="44">
        <v>34</v>
      </c>
      <c r="AZ53" s="44">
        <v>7.2</v>
      </c>
      <c r="BA53" s="44">
        <v>50</v>
      </c>
      <c r="BB53" s="22">
        <v>2.9999999999999997E-4</v>
      </c>
      <c r="BC53" s="11"/>
      <c r="BD53" s="46">
        <f>BM53*24*60/BH53</f>
        <v>8.320221883433938E-3</v>
      </c>
      <c r="BE53" s="22">
        <f>BP53/BH53</f>
        <v>1.8539189845432401E-3</v>
      </c>
      <c r="BF53" s="11">
        <f t="shared" si="38"/>
        <v>1.03946505E-2</v>
      </c>
      <c r="BG53" s="46">
        <f t="shared" si="39"/>
        <v>14.968296720000001</v>
      </c>
      <c r="BH53" s="46">
        <f t="shared" si="40"/>
        <v>1872.91</v>
      </c>
      <c r="BI53" s="47">
        <f t="shared" si="41"/>
        <v>0.10136632299469808</v>
      </c>
      <c r="BJ53" s="47">
        <f t="shared" si="42"/>
        <v>0.11167647058823529</v>
      </c>
      <c r="BK53" s="47">
        <f t="shared" si="43"/>
        <v>15.583026767702258</v>
      </c>
      <c r="BL53" s="47" t="str">
        <f t="shared" si="44"/>
        <v/>
      </c>
      <c r="BM53" s="47">
        <v>1.08215463664599E-2</v>
      </c>
      <c r="BN53" s="48" t="str">
        <f t="shared" si="45"/>
        <v/>
      </c>
      <c r="BO53" s="47" t="str">
        <f t="shared" si="53"/>
        <v/>
      </c>
      <c r="BP53" s="51">
        <v>3.47222340534088</v>
      </c>
      <c r="BQ53" s="28">
        <f t="shared" si="54"/>
        <v>28.107912640155586</v>
      </c>
      <c r="BR53" s="49">
        <f t="shared" si="55"/>
        <v>1.08215463664599E-2</v>
      </c>
      <c r="BS53" s="30">
        <f t="shared" si="17"/>
        <v>3.47222340534088</v>
      </c>
    </row>
    <row r="54" spans="1:71" x14ac:dyDescent="0.25">
      <c r="A54" s="1" t="s">
        <v>86</v>
      </c>
      <c r="B54" s="71" t="s">
        <v>75</v>
      </c>
      <c r="C54" s="71">
        <v>12</v>
      </c>
      <c r="D54" s="71">
        <v>8</v>
      </c>
      <c r="E54" s="71" t="s">
        <v>89</v>
      </c>
      <c r="F54" s="61">
        <v>45541.4217361111</v>
      </c>
      <c r="G54" s="71">
        <v>4309.7</v>
      </c>
      <c r="H54" s="72"/>
      <c r="I54" s="72">
        <v>3944.52</v>
      </c>
      <c r="J54" s="72">
        <v>18.8</v>
      </c>
      <c r="K54" s="72">
        <v>16.8</v>
      </c>
      <c r="L54" s="72">
        <v>89.2</v>
      </c>
      <c r="M54" s="72">
        <v>18.8</v>
      </c>
      <c r="N54" s="72"/>
      <c r="O54" s="72">
        <v>1.32</v>
      </c>
      <c r="P54" s="72">
        <v>0.25</v>
      </c>
      <c r="Q54" s="72">
        <v>3.69</v>
      </c>
      <c r="R54" s="72"/>
      <c r="S54" s="72">
        <v>0.36</v>
      </c>
      <c r="T54" s="72">
        <v>0.66</v>
      </c>
      <c r="U54" s="72">
        <v>3.71</v>
      </c>
      <c r="V54" s="72">
        <v>7.2759999999999998</v>
      </c>
      <c r="W54" s="72">
        <v>122.2</v>
      </c>
      <c r="X54" s="72">
        <v>26.4</v>
      </c>
      <c r="Y54" s="72">
        <v>1.73</v>
      </c>
      <c r="Z54" s="72">
        <v>180.5</v>
      </c>
      <c r="AA54" s="72">
        <v>55.4</v>
      </c>
      <c r="AB54" s="72">
        <v>107.2</v>
      </c>
      <c r="AC54" s="72">
        <v>21.3</v>
      </c>
      <c r="AD54" s="17">
        <v>7.3170000000000002</v>
      </c>
      <c r="AE54" s="72">
        <v>301</v>
      </c>
      <c r="AF54" s="72">
        <v>49.6</v>
      </c>
      <c r="AG54" s="72">
        <v>7.29</v>
      </c>
      <c r="AH54" s="74">
        <f t="shared" si="35"/>
        <v>0.496</v>
      </c>
      <c r="AI54" s="72">
        <v>34</v>
      </c>
      <c r="AJ54" s="72">
        <v>43.09</v>
      </c>
      <c r="AK54" s="72">
        <v>10.53</v>
      </c>
      <c r="AL54" s="75">
        <v>6.76</v>
      </c>
      <c r="AM54" s="74">
        <f t="shared" si="36"/>
        <v>2.5813472222222224E-2</v>
      </c>
      <c r="AN54" s="72">
        <v>162.32</v>
      </c>
      <c r="AO54" s="72">
        <v>70.87</v>
      </c>
      <c r="AP54" s="72">
        <v>492</v>
      </c>
      <c r="AQ54" s="72">
        <v>1872</v>
      </c>
      <c r="AR54" s="74">
        <v>47.420000000000073</v>
      </c>
      <c r="AS54" s="74">
        <f t="shared" si="37"/>
        <v>1824.58</v>
      </c>
      <c r="AT54" s="74">
        <f t="shared" si="48"/>
        <v>37.389999999999986</v>
      </c>
      <c r="AU54" s="74">
        <f t="shared" si="49"/>
        <v>0</v>
      </c>
      <c r="AV54" s="74">
        <f t="shared" si="50"/>
        <v>45</v>
      </c>
      <c r="AW54" s="25">
        <v>15</v>
      </c>
      <c r="AX54" s="54">
        <v>1700</v>
      </c>
      <c r="AY54" s="72">
        <v>34</v>
      </c>
      <c r="AZ54" s="72">
        <v>7.2</v>
      </c>
      <c r="BA54" s="72">
        <v>50</v>
      </c>
      <c r="BB54" s="22">
        <v>2.9999999999999997E-4</v>
      </c>
      <c r="BC54" s="11">
        <v>0.02</v>
      </c>
      <c r="BD54" s="71"/>
      <c r="BE54" s="22"/>
      <c r="BF54" s="11">
        <f t="shared" si="38"/>
        <v>9.3671927999999984E-3</v>
      </c>
      <c r="BG54" s="76">
        <f t="shared" si="39"/>
        <v>13.488757631999997</v>
      </c>
      <c r="BH54" s="76">
        <f t="shared" si="40"/>
        <v>1858.57</v>
      </c>
      <c r="BI54" s="77">
        <f t="shared" si="41"/>
        <v>8.7335962594898231E-2</v>
      </c>
      <c r="BJ54" s="77">
        <f t="shared" si="42"/>
        <v>9.5482352941176463E-2</v>
      </c>
      <c r="BK54" s="77">
        <f t="shared" si="43"/>
        <v>37.171400000000006</v>
      </c>
      <c r="BL54" s="77">
        <f t="shared" si="44"/>
        <v>2.5813472222222224E-2</v>
      </c>
      <c r="BM54" s="48" t="str">
        <f>IF(B54="Julia",BD54*BH54/24/60,"")</f>
        <v/>
      </c>
      <c r="BN54" s="78" t="str">
        <f t="shared" si="45"/>
        <v/>
      </c>
      <c r="BO54" s="77">
        <f t="shared" si="53"/>
        <v>0</v>
      </c>
      <c r="BP54" s="51" t="str">
        <f>IF(B54="Julia",BE54*BH54,"")</f>
        <v/>
      </c>
      <c r="BQ54" s="28">
        <f t="shared" si="54"/>
        <v>67.047979797979806</v>
      </c>
      <c r="BR54" s="49">
        <f t="shared" si="55"/>
        <v>2.5813472222222224E-2</v>
      </c>
      <c r="BS54" s="30">
        <f t="shared" si="17"/>
        <v>0</v>
      </c>
    </row>
    <row r="55" spans="1:71" x14ac:dyDescent="0.25">
      <c r="A55" s="1" t="s">
        <v>87</v>
      </c>
      <c r="B55" s="71" t="s">
        <v>75</v>
      </c>
      <c r="C55" s="71">
        <v>12</v>
      </c>
      <c r="D55" s="71">
        <v>8</v>
      </c>
      <c r="E55" s="71" t="s">
        <v>98</v>
      </c>
      <c r="F55" s="61">
        <v>45541.425601851901</v>
      </c>
      <c r="G55" s="71">
        <v>4309.7</v>
      </c>
      <c r="H55" s="72"/>
      <c r="I55" s="72">
        <v>2821.47</v>
      </c>
      <c r="J55" s="72">
        <v>20.9</v>
      </c>
      <c r="K55" s="72">
        <v>14</v>
      </c>
      <c r="L55" s="72">
        <v>67.099999999999994</v>
      </c>
      <c r="M55" s="72">
        <v>18.2</v>
      </c>
      <c r="N55" s="72">
        <v>600</v>
      </c>
      <c r="O55" s="72">
        <v>5.43</v>
      </c>
      <c r="P55" s="72">
        <v>0.31</v>
      </c>
      <c r="Q55" s="72">
        <v>3.79</v>
      </c>
      <c r="R55" s="72"/>
      <c r="S55" s="72">
        <v>0.64</v>
      </c>
      <c r="T55" s="72">
        <v>2.4300000000000002</v>
      </c>
      <c r="U55" s="73">
        <v>12.068239999999999</v>
      </c>
      <c r="V55" s="72">
        <v>7.0570000000000004</v>
      </c>
      <c r="W55" s="72">
        <v>78.099999999999994</v>
      </c>
      <c r="X55" s="72">
        <v>75.400000000000006</v>
      </c>
      <c r="Y55" s="72">
        <v>3.62</v>
      </c>
      <c r="Z55" s="72">
        <v>241.4</v>
      </c>
      <c r="AA55" s="72">
        <v>21.2</v>
      </c>
      <c r="AB55" s="72">
        <v>68.5</v>
      </c>
      <c r="AC55" s="72">
        <v>61.7</v>
      </c>
      <c r="AD55" s="17">
        <v>7.0940000000000003</v>
      </c>
      <c r="AE55" s="72">
        <v>298</v>
      </c>
      <c r="AF55" s="72">
        <v>48.9</v>
      </c>
      <c r="AG55" s="72">
        <v>7.1</v>
      </c>
      <c r="AH55" s="74">
        <f t="shared" si="35"/>
        <v>0.48899999999999999</v>
      </c>
      <c r="AI55" s="72">
        <v>34</v>
      </c>
      <c r="AJ55" s="72">
        <v>86.93</v>
      </c>
      <c r="AK55" s="44">
        <v>7.31</v>
      </c>
      <c r="AL55" s="75">
        <v>6.44</v>
      </c>
      <c r="AM55" s="74">
        <f t="shared" si="36"/>
        <v>2.6768055555555559E-2</v>
      </c>
      <c r="AN55" s="72">
        <v>183.8</v>
      </c>
      <c r="AO55" s="72">
        <v>77.819999999999993</v>
      </c>
      <c r="AP55" s="72">
        <v>445</v>
      </c>
      <c r="AQ55" s="72">
        <v>1964</v>
      </c>
      <c r="AR55" s="74">
        <v>133.55999999999995</v>
      </c>
      <c r="AS55" s="74">
        <f t="shared" si="37"/>
        <v>1830.44</v>
      </c>
      <c r="AT55" s="74">
        <f t="shared" si="48"/>
        <v>38.31</v>
      </c>
      <c r="AU55" s="74">
        <f t="shared" si="49"/>
        <v>8.7999999999999972</v>
      </c>
      <c r="AV55" s="74">
        <f t="shared" si="50"/>
        <v>46</v>
      </c>
      <c r="AW55" s="25">
        <v>15</v>
      </c>
      <c r="AX55" s="54">
        <v>1700</v>
      </c>
      <c r="AY55" s="72">
        <v>34</v>
      </c>
      <c r="AZ55" s="72">
        <v>7.2</v>
      </c>
      <c r="BA55" s="72">
        <v>50</v>
      </c>
      <c r="BB55" s="22">
        <v>2.9999999999999997E-4</v>
      </c>
      <c r="BC55" s="11">
        <v>0.02</v>
      </c>
      <c r="BE55" s="22"/>
      <c r="BF55" s="11">
        <f t="shared" si="38"/>
        <v>8.0946600000000018E-3</v>
      </c>
      <c r="BG55" s="76">
        <f t="shared" si="39"/>
        <v>11.656310400000002</v>
      </c>
      <c r="BH55" s="76">
        <f t="shared" si="40"/>
        <v>1927.3000000000002</v>
      </c>
      <c r="BI55" s="77">
        <f t="shared" si="41"/>
        <v>9.5366575001297152E-2</v>
      </c>
      <c r="BJ55" s="77">
        <f t="shared" si="42"/>
        <v>0.10811764705882354</v>
      </c>
      <c r="BK55" s="77">
        <f t="shared" si="43"/>
        <v>38.546000000000006</v>
      </c>
      <c r="BL55" s="77">
        <f t="shared" si="44"/>
        <v>2.6768055555555559E-2</v>
      </c>
      <c r="BM55" s="78" t="str">
        <f>IF(B55="Julia",BD55*BH55/24/60,"")</f>
        <v/>
      </c>
      <c r="BN55" s="78" t="str">
        <f t="shared" si="45"/>
        <v/>
      </c>
      <c r="BO55" s="77">
        <f t="shared" si="53"/>
        <v>0</v>
      </c>
      <c r="BP55" s="51" t="str">
        <f>IF(B55="Julia",BE55*BH55,"")</f>
        <v/>
      </c>
      <c r="BQ55" s="28">
        <f t="shared" si="54"/>
        <v>69.527417027417044</v>
      </c>
      <c r="BR55" s="49">
        <f t="shared" si="55"/>
        <v>2.6768055555555559E-2</v>
      </c>
      <c r="BS55" s="30">
        <f t="shared" si="17"/>
        <v>0</v>
      </c>
    </row>
    <row r="56" spans="1:71" ht="15.75" thickBot="1" x14ac:dyDescent="0.3">
      <c r="A56" s="4" t="s">
        <v>88</v>
      </c>
      <c r="B56" s="5" t="s">
        <v>75</v>
      </c>
      <c r="C56" s="5">
        <v>12</v>
      </c>
      <c r="D56" s="5">
        <v>8</v>
      </c>
      <c r="E56" s="5" t="s">
        <v>89</v>
      </c>
      <c r="F56" s="62">
        <v>45541.429097222201</v>
      </c>
      <c r="G56" s="5">
        <v>4309.7</v>
      </c>
      <c r="H56" s="7"/>
      <c r="I56" s="7">
        <v>4621.9350000000004</v>
      </c>
      <c r="J56" s="7">
        <v>22.6</v>
      </c>
      <c r="K56" s="7">
        <v>21.2</v>
      </c>
      <c r="L56" s="7">
        <v>94</v>
      </c>
      <c r="M56" s="7">
        <v>17.899999999999999</v>
      </c>
      <c r="N56" s="7">
        <v>362</v>
      </c>
      <c r="O56" s="7">
        <v>1.36</v>
      </c>
      <c r="P56" s="7">
        <v>0.22</v>
      </c>
      <c r="Q56" s="7">
        <v>1.76</v>
      </c>
      <c r="R56" s="7"/>
      <c r="S56" s="7">
        <v>0.19</v>
      </c>
      <c r="T56" s="7">
        <v>7.0000000000000007E-2</v>
      </c>
      <c r="U56" s="7">
        <v>1.31</v>
      </c>
      <c r="V56" s="7">
        <v>7.266</v>
      </c>
      <c r="W56" s="7">
        <v>124</v>
      </c>
      <c r="X56" s="7">
        <v>31.7</v>
      </c>
      <c r="Y56" s="7">
        <v>1.76</v>
      </c>
      <c r="Z56" s="7">
        <v>157.69999999999999</v>
      </c>
      <c r="AA56" s="7">
        <v>55</v>
      </c>
      <c r="AB56" s="7">
        <v>108.7</v>
      </c>
      <c r="AC56" s="7">
        <v>25.6</v>
      </c>
      <c r="AD56" s="18">
        <v>7.3079999999999998</v>
      </c>
      <c r="AE56" s="7">
        <v>301</v>
      </c>
      <c r="AF56" s="7">
        <v>50.2</v>
      </c>
      <c r="AG56" s="7">
        <v>7.3</v>
      </c>
      <c r="AH56" s="41">
        <f t="shared" si="35"/>
        <v>0.502</v>
      </c>
      <c r="AI56" s="7">
        <v>34</v>
      </c>
      <c r="AJ56" s="7">
        <v>28.27</v>
      </c>
      <c r="AK56" s="7">
        <v>28.23</v>
      </c>
      <c r="AL56" s="67">
        <v>6.52</v>
      </c>
      <c r="AM56" s="41">
        <f t="shared" si="36"/>
        <v>1.2219836805555554E-2</v>
      </c>
      <c r="AN56" s="7">
        <v>167.66</v>
      </c>
      <c r="AO56" s="7">
        <v>56.59</v>
      </c>
      <c r="AP56" s="7">
        <v>500</v>
      </c>
      <c r="AQ56" s="7">
        <v>1870</v>
      </c>
      <c r="AR56" s="41">
        <v>51.660000000000082</v>
      </c>
      <c r="AS56" s="41">
        <f t="shared" si="37"/>
        <v>1818.34</v>
      </c>
      <c r="AT56" s="41">
        <f t="shared" si="48"/>
        <v>22.28</v>
      </c>
      <c r="AU56" s="41">
        <f t="shared" si="49"/>
        <v>0</v>
      </c>
      <c r="AV56" s="41">
        <f t="shared" si="50"/>
        <v>25</v>
      </c>
      <c r="AW56" s="26">
        <v>15</v>
      </c>
      <c r="AX56" s="55">
        <v>1700</v>
      </c>
      <c r="AY56" s="7">
        <v>34</v>
      </c>
      <c r="AZ56" s="7">
        <v>7.2</v>
      </c>
      <c r="BA56" s="7">
        <v>50</v>
      </c>
      <c r="BB56" s="23">
        <v>2.9999999999999997E-4</v>
      </c>
      <c r="BC56" s="12">
        <v>9.4999999999999998E-3</v>
      </c>
      <c r="BD56" s="5"/>
      <c r="BE56" s="23"/>
      <c r="BF56" s="12">
        <f t="shared" si="38"/>
        <v>1.1780437199999999E-2</v>
      </c>
      <c r="BG56" s="13">
        <f t="shared" si="39"/>
        <v>16.963829567999998</v>
      </c>
      <c r="BH56" s="13">
        <f t="shared" si="40"/>
        <v>1852.27</v>
      </c>
      <c r="BI56" s="14">
        <f t="shared" si="41"/>
        <v>9.051596149589422E-2</v>
      </c>
      <c r="BJ56" s="14">
        <f t="shared" si="42"/>
        <v>9.8623529411764707E-2</v>
      </c>
      <c r="BK56" s="14">
        <f t="shared" si="43"/>
        <v>17.596564999999998</v>
      </c>
      <c r="BL56" s="14">
        <f t="shared" si="44"/>
        <v>1.2219836805555554E-2</v>
      </c>
      <c r="BM56" s="48" t="str">
        <f>IF(B56="Julia",BD56*BH56/24/60,"")</f>
        <v/>
      </c>
      <c r="BN56" s="36" t="str">
        <f t="shared" si="45"/>
        <v/>
      </c>
      <c r="BO56" s="14">
        <f t="shared" si="53"/>
        <v>0</v>
      </c>
      <c r="BP56" s="52" t="str">
        <f>IF(B56="Julia",BE56*BH56,"")</f>
        <v/>
      </c>
      <c r="BQ56" s="29">
        <f t="shared" si="54"/>
        <v>31.739835858585856</v>
      </c>
      <c r="BR56" s="38">
        <f t="shared" si="55"/>
        <v>1.2219836805555554E-2</v>
      </c>
      <c r="BS56" s="31">
        <f t="shared" si="17"/>
        <v>0</v>
      </c>
    </row>
    <row r="57" spans="1:71" x14ac:dyDescent="0.25">
      <c r="A57" s="2" t="s">
        <v>83</v>
      </c>
      <c r="B57" s="3" t="s">
        <v>74</v>
      </c>
      <c r="C57" s="3">
        <v>12</v>
      </c>
      <c r="D57" s="3">
        <v>9</v>
      </c>
      <c r="E57" s="3"/>
      <c r="F57" s="60">
        <v>45542.536215277803</v>
      </c>
      <c r="G57" s="3">
        <v>4805.7299999999996</v>
      </c>
      <c r="H57" s="6"/>
      <c r="I57" s="6">
        <v>4962.95</v>
      </c>
      <c r="J57" s="6">
        <v>22.1</v>
      </c>
      <c r="K57" s="6">
        <v>20.6</v>
      </c>
      <c r="L57" s="6">
        <v>93.2</v>
      </c>
      <c r="M57" s="6">
        <v>17.3</v>
      </c>
      <c r="N57" s="6">
        <v>344</v>
      </c>
      <c r="O57" s="6">
        <v>1.42</v>
      </c>
      <c r="P57" s="6">
        <v>0.21</v>
      </c>
      <c r="Q57" s="6">
        <v>2.37</v>
      </c>
      <c r="R57" s="6"/>
      <c r="S57" s="6">
        <v>0.15</v>
      </c>
      <c r="T57" s="6">
        <v>0.13</v>
      </c>
      <c r="U57" s="6">
        <v>0.55000000000000004</v>
      </c>
      <c r="V57" s="6">
        <v>7.2480000000000002</v>
      </c>
      <c r="W57" s="6">
        <v>109.4</v>
      </c>
      <c r="X57" s="6">
        <v>40.4</v>
      </c>
      <c r="Y57" s="6">
        <v>2.44</v>
      </c>
      <c r="Z57" s="6">
        <v>147.1</v>
      </c>
      <c r="AA57" s="6">
        <v>46.5</v>
      </c>
      <c r="AB57" s="6">
        <v>96</v>
      </c>
      <c r="AC57" s="6">
        <v>32.700000000000003</v>
      </c>
      <c r="AD57" s="16">
        <v>7.29</v>
      </c>
      <c r="AE57" s="6">
        <v>301</v>
      </c>
      <c r="AF57" s="6">
        <v>50.2</v>
      </c>
      <c r="AG57" s="6">
        <v>7.3</v>
      </c>
      <c r="AH57" s="40">
        <f t="shared" si="35"/>
        <v>0.502</v>
      </c>
      <c r="AI57" s="6">
        <v>34</v>
      </c>
      <c r="AJ57" s="6">
        <v>22.065000000000001</v>
      </c>
      <c r="AK57" s="44">
        <v>41.161000000000001</v>
      </c>
      <c r="AL57" s="6">
        <f>AL51+0.95</f>
        <v>6.24</v>
      </c>
      <c r="AM57" s="42">
        <f t="shared" si="36"/>
        <v>1.55878779022903E-2</v>
      </c>
      <c r="AN57" s="6">
        <v>150.99</v>
      </c>
      <c r="AO57" s="6">
        <v>65.31</v>
      </c>
      <c r="AP57" s="6">
        <v>518</v>
      </c>
      <c r="AQ57" s="6">
        <v>1886</v>
      </c>
      <c r="AR57" s="40">
        <v>137.11999999999989</v>
      </c>
      <c r="AS57" s="40">
        <f t="shared" si="37"/>
        <v>1748.88</v>
      </c>
      <c r="AT57" s="40">
        <f t="shared" si="48"/>
        <v>11.420000000000016</v>
      </c>
      <c r="AU57" s="40">
        <f t="shared" si="49"/>
        <v>0</v>
      </c>
      <c r="AV57" s="40">
        <f t="shared" si="50"/>
        <v>12</v>
      </c>
      <c r="AW57" s="24">
        <v>15</v>
      </c>
      <c r="AX57" s="53">
        <v>1700</v>
      </c>
      <c r="AY57" s="6">
        <v>34</v>
      </c>
      <c r="AZ57" s="6">
        <v>7.2</v>
      </c>
      <c r="BA57" s="6">
        <v>50</v>
      </c>
      <c r="BB57" s="21">
        <v>2.9999999999999997E-4</v>
      </c>
      <c r="BC57" s="8"/>
      <c r="BD57" s="46">
        <f>BM57*24*60/BH57</f>
        <v>1.2227344977136538E-2</v>
      </c>
      <c r="BE57" s="22">
        <f>BP57/BH57</f>
        <v>9.9999999999999995E-8</v>
      </c>
      <c r="BF57" s="8">
        <f t="shared" si="38"/>
        <v>1.1345033880000001E-2</v>
      </c>
      <c r="BG57" s="9">
        <f t="shared" si="39"/>
        <v>16.336848787200001</v>
      </c>
      <c r="BH57" s="9">
        <f t="shared" si="40"/>
        <v>1835.7660000000001</v>
      </c>
      <c r="BI57" s="10">
        <f t="shared" si="41"/>
        <v>8.224904481290099E-2</v>
      </c>
      <c r="BJ57" s="10">
        <f t="shared" si="42"/>
        <v>8.8817647058823529E-2</v>
      </c>
      <c r="BK57" s="10">
        <f t="shared" si="43"/>
        <v>22.446544179298034</v>
      </c>
      <c r="BL57" s="10" t="str">
        <f t="shared" si="44"/>
        <v/>
      </c>
      <c r="BM57" s="10">
        <v>1.55878779022903E-2</v>
      </c>
      <c r="BN57" s="35" t="str">
        <f t="shared" si="45"/>
        <v/>
      </c>
      <c r="BO57" s="10" t="str">
        <f t="shared" si="53"/>
        <v/>
      </c>
      <c r="BP57" s="50">
        <v>1.8357660000000001E-4</v>
      </c>
      <c r="BQ57" s="27">
        <f>IF(BL57&lt;&gt;"",BL57/0.000385,IF(BM57&lt;&gt;"",BM57/0.000385,BN57/0.000385))</f>
        <v>40.487994551403375</v>
      </c>
      <c r="BR57" s="37">
        <f>IF(BL57&lt;&gt;"",BL57,IF(BM57&lt;&gt;"",BM57,BN57))</f>
        <v>1.55878779022903E-2</v>
      </c>
      <c r="BS57" s="32">
        <f t="shared" si="17"/>
        <v>1.8357660000000001E-4</v>
      </c>
    </row>
    <row r="58" spans="1:71" x14ac:dyDescent="0.25">
      <c r="A58" s="1" t="s">
        <v>84</v>
      </c>
      <c r="B58" t="s">
        <v>74</v>
      </c>
      <c r="C58">
        <v>12</v>
      </c>
      <c r="D58">
        <v>9</v>
      </c>
      <c r="F58" s="61">
        <v>45542.542280092603</v>
      </c>
      <c r="G58">
        <v>4805.7299999999996</v>
      </c>
      <c r="H58" s="44"/>
      <c r="I58" s="44">
        <v>5081.96</v>
      </c>
      <c r="J58" s="44">
        <v>22.2</v>
      </c>
      <c r="K58" s="44">
        <v>20.9</v>
      </c>
      <c r="L58" s="44">
        <v>94.3</v>
      </c>
      <c r="M58" s="44">
        <v>18</v>
      </c>
      <c r="N58" s="44">
        <v>340</v>
      </c>
      <c r="O58" s="44">
        <v>1.74</v>
      </c>
      <c r="P58" s="44">
        <v>0.21</v>
      </c>
      <c r="Q58" s="44">
        <v>0.49</v>
      </c>
      <c r="R58" s="44"/>
      <c r="S58" s="44">
        <v>0.12</v>
      </c>
      <c r="T58" s="44">
        <v>0.11</v>
      </c>
      <c r="U58" s="44">
        <v>0.16</v>
      </c>
      <c r="V58" s="44">
        <v>7.2590000000000003</v>
      </c>
      <c r="W58" s="44">
        <v>134.1</v>
      </c>
      <c r="X58" s="44">
        <v>35.700000000000003</v>
      </c>
      <c r="Y58" s="44">
        <v>1.99</v>
      </c>
      <c r="Z58" s="44">
        <v>153.1</v>
      </c>
      <c r="AA58" s="44">
        <v>58.4</v>
      </c>
      <c r="AB58" s="44">
        <v>117.6</v>
      </c>
      <c r="AC58" s="44">
        <v>28.9</v>
      </c>
      <c r="AD58" s="17">
        <v>7.3</v>
      </c>
      <c r="AE58" s="44">
        <v>299</v>
      </c>
      <c r="AF58" s="44">
        <v>50.7</v>
      </c>
      <c r="AG58" s="44">
        <v>7.28</v>
      </c>
      <c r="AH58" s="45">
        <f t="shared" si="35"/>
        <v>0.50700000000000001</v>
      </c>
      <c r="AI58" s="44">
        <v>34</v>
      </c>
      <c r="AJ58" s="44">
        <v>24.568000000000001</v>
      </c>
      <c r="AK58" s="44">
        <v>27.052</v>
      </c>
      <c r="AL58" s="44">
        <f>AL52+0.94</f>
        <v>3.94</v>
      </c>
      <c r="AM58" s="45">
        <f t="shared" si="36"/>
        <v>1.4239072354215201E-2</v>
      </c>
      <c r="AN58" s="44">
        <v>167.56</v>
      </c>
      <c r="AO58" s="44">
        <v>61.42</v>
      </c>
      <c r="AP58" s="44">
        <v>501</v>
      </c>
      <c r="AQ58" s="44">
        <v>1816</v>
      </c>
      <c r="AR58" s="45">
        <v>45.769999999999982</v>
      </c>
      <c r="AS58" s="45">
        <f t="shared" si="37"/>
        <v>1770.23</v>
      </c>
      <c r="AT58" s="45">
        <f t="shared" si="48"/>
        <v>20.25</v>
      </c>
      <c r="AU58" s="45">
        <f t="shared" si="49"/>
        <v>0</v>
      </c>
      <c r="AV58" s="45">
        <f t="shared" si="50"/>
        <v>23</v>
      </c>
      <c r="AW58" s="25">
        <v>15</v>
      </c>
      <c r="AX58" s="54">
        <v>1700</v>
      </c>
      <c r="AY58" s="44">
        <v>34</v>
      </c>
      <c r="AZ58" s="44">
        <v>7.2</v>
      </c>
      <c r="BA58" s="44">
        <v>50</v>
      </c>
      <c r="BB58" s="22">
        <v>2.9999999999999997E-4</v>
      </c>
      <c r="BC58" s="11"/>
      <c r="BD58" s="46">
        <f>BM58*24*60/BH58</f>
        <v>1.1176787745194918E-2</v>
      </c>
      <c r="BE58" s="22">
        <f>BP58/BH58</f>
        <v>3.3316909083529549E-3</v>
      </c>
      <c r="BF58" s="11">
        <f t="shared" si="38"/>
        <v>1.1502565799999998E-2</v>
      </c>
      <c r="BG58" s="46">
        <f t="shared" si="39"/>
        <v>16.563694751999996</v>
      </c>
      <c r="BH58" s="46">
        <f t="shared" si="40"/>
        <v>1834.54</v>
      </c>
      <c r="BI58" s="47">
        <f t="shared" si="41"/>
        <v>9.1336247778734725E-2</v>
      </c>
      <c r="BJ58" s="47">
        <f t="shared" si="42"/>
        <v>9.8564705882352943E-2</v>
      </c>
      <c r="BK58" s="47">
        <f t="shared" si="43"/>
        <v>20.504264190069886</v>
      </c>
      <c r="BL58" s="47" t="str">
        <f t="shared" si="44"/>
        <v/>
      </c>
      <c r="BM58" s="47">
        <v>1.4239072354215201E-2</v>
      </c>
      <c r="BN58" s="48" t="str">
        <f t="shared" si="45"/>
        <v/>
      </c>
      <c r="BO58" s="47" t="str">
        <f t="shared" si="53"/>
        <v/>
      </c>
      <c r="BP58" s="51">
        <v>6.1121202390098297</v>
      </c>
      <c r="BQ58" s="28">
        <f t="shared" ref="BQ58:BQ62" si="56">IF(BL58&lt;&gt;"",BL58/0.000385,IF(BM58&lt;&gt;"",BM58/0.000385,BN58/0.000385))</f>
        <v>36.984603517442082</v>
      </c>
      <c r="BR58" s="49">
        <f t="shared" ref="BR58:BR62" si="57">IF(BL58&lt;&gt;"",BL58,IF(BM58&lt;&gt;"",BM58,BN58))</f>
        <v>1.4239072354215201E-2</v>
      </c>
      <c r="BS58" s="30">
        <f t="shared" si="17"/>
        <v>6.1121202390098297</v>
      </c>
    </row>
    <row r="59" spans="1:71" x14ac:dyDescent="0.25">
      <c r="A59" s="1" t="s">
        <v>85</v>
      </c>
      <c r="B59" s="71" t="s">
        <v>74</v>
      </c>
      <c r="C59" s="71">
        <v>12</v>
      </c>
      <c r="D59" s="71">
        <v>9</v>
      </c>
      <c r="E59" s="71"/>
      <c r="F59" s="61">
        <v>45542.544826388897</v>
      </c>
      <c r="G59" s="71">
        <v>4805.7299999999996</v>
      </c>
      <c r="H59" s="72"/>
      <c r="I59" s="72">
        <v>4467.1400000000003</v>
      </c>
      <c r="J59" s="72">
        <v>19.899999999999999</v>
      </c>
      <c r="K59" s="72">
        <v>17.5</v>
      </c>
      <c r="L59" s="72">
        <v>87.6</v>
      </c>
      <c r="M59" s="72">
        <v>18.8</v>
      </c>
      <c r="N59" s="72">
        <v>412</v>
      </c>
      <c r="O59" s="72">
        <v>1.83</v>
      </c>
      <c r="P59" s="72">
        <v>0.22</v>
      </c>
      <c r="Q59" s="72">
        <v>2.14</v>
      </c>
      <c r="R59" s="72"/>
      <c r="S59" s="72">
        <v>0.49</v>
      </c>
      <c r="T59" s="72">
        <v>0.82</v>
      </c>
      <c r="U59" s="72">
        <v>2.0699999999999998</v>
      </c>
      <c r="V59" s="72">
        <v>7.3280000000000003</v>
      </c>
      <c r="W59" s="72">
        <v>119.4</v>
      </c>
      <c r="X59" s="72">
        <v>8.6</v>
      </c>
      <c r="Y59" s="72">
        <v>1.54</v>
      </c>
      <c r="Z59" s="72">
        <v>175.6</v>
      </c>
      <c r="AA59" s="72">
        <v>61.1</v>
      </c>
      <c r="AB59" s="72">
        <v>104.7</v>
      </c>
      <c r="AC59" s="72">
        <v>6.9</v>
      </c>
      <c r="AD59" s="17">
        <v>7.37</v>
      </c>
      <c r="AE59" s="72">
        <v>298</v>
      </c>
      <c r="AF59" s="72">
        <v>51.5</v>
      </c>
      <c r="AG59" s="72">
        <v>7.3</v>
      </c>
      <c r="AH59" s="74">
        <f t="shared" si="35"/>
        <v>0.51500000000000001</v>
      </c>
      <c r="AI59" s="72">
        <v>34</v>
      </c>
      <c r="AJ59" s="72">
        <v>38.045999999999999</v>
      </c>
      <c r="AK59" s="72">
        <v>2.4567000000000001</v>
      </c>
      <c r="AL59" s="72">
        <f>AL53+0.93</f>
        <v>7.59</v>
      </c>
      <c r="AM59" s="74">
        <f t="shared" si="36"/>
        <v>3.1427878333333298E-2</v>
      </c>
      <c r="AN59" s="72">
        <v>211.31</v>
      </c>
      <c r="AO59" s="72">
        <v>76.27</v>
      </c>
      <c r="AP59" s="72">
        <v>430</v>
      </c>
      <c r="AQ59" s="72">
        <v>1900</v>
      </c>
      <c r="AR59" s="74">
        <v>84.700000000000045</v>
      </c>
      <c r="AS59" s="74">
        <f t="shared" si="37"/>
        <v>1815.3</v>
      </c>
      <c r="AT59" s="74">
        <f t="shared" si="48"/>
        <v>21.460000000000008</v>
      </c>
      <c r="AU59" s="74">
        <f t="shared" si="49"/>
        <v>4.1599999999999966</v>
      </c>
      <c r="AV59" s="74">
        <f t="shared" si="50"/>
        <v>26</v>
      </c>
      <c r="AW59" s="25">
        <v>15</v>
      </c>
      <c r="AX59" s="54">
        <v>1700</v>
      </c>
      <c r="AY59" s="72">
        <v>34</v>
      </c>
      <c r="AZ59" s="72">
        <v>7.2</v>
      </c>
      <c r="BA59" s="72">
        <v>50</v>
      </c>
      <c r="BB59" s="22">
        <v>2.9999999999999997E-4</v>
      </c>
      <c r="BC59" s="11"/>
      <c r="BD59" s="76">
        <f>BM59*24*60/BH59</f>
        <v>2.3999999999999973E-2</v>
      </c>
      <c r="BE59" s="22">
        <f>BP59/BH59</f>
        <v>4.1250564909925723E-3</v>
      </c>
      <c r="BF59" s="11">
        <f t="shared" si="38"/>
        <v>9.8997816750000002E-3</v>
      </c>
      <c r="BG59" s="76">
        <f t="shared" si="39"/>
        <v>14.255685612000001</v>
      </c>
      <c r="BH59" s="76">
        <f t="shared" si="40"/>
        <v>1885.6727000000001</v>
      </c>
      <c r="BI59" s="77">
        <f t="shared" si="41"/>
        <v>0.11206080461365325</v>
      </c>
      <c r="BJ59" s="77">
        <f t="shared" si="42"/>
        <v>0.12430000000000001</v>
      </c>
      <c r="BK59" s="77">
        <f t="shared" si="43"/>
        <v>45.256144799999952</v>
      </c>
      <c r="BL59" s="77" t="str">
        <f t="shared" si="44"/>
        <v/>
      </c>
      <c r="BM59" s="47">
        <v>3.1427878333333298E-2</v>
      </c>
      <c r="BN59" s="78" t="str">
        <f t="shared" si="45"/>
        <v/>
      </c>
      <c r="BO59" s="77" t="str">
        <f t="shared" si="53"/>
        <v/>
      </c>
      <c r="BP59" s="51">
        <v>7.77850641102249</v>
      </c>
      <c r="BQ59" s="28">
        <f t="shared" si="56"/>
        <v>81.630852813852727</v>
      </c>
      <c r="BR59" s="49">
        <f t="shared" si="57"/>
        <v>3.1427878333333298E-2</v>
      </c>
      <c r="BS59" s="30">
        <f t="shared" si="17"/>
        <v>7.77850641102249</v>
      </c>
    </row>
    <row r="60" spans="1:71" x14ac:dyDescent="0.25">
      <c r="A60" s="1" t="s">
        <v>86</v>
      </c>
      <c r="B60" s="71" t="s">
        <v>75</v>
      </c>
      <c r="C60" s="71">
        <v>12</v>
      </c>
      <c r="D60" s="71">
        <v>9</v>
      </c>
      <c r="E60" s="71"/>
      <c r="F60" s="61">
        <v>45542.547604166699</v>
      </c>
      <c r="G60" s="71">
        <v>4805.7299999999996</v>
      </c>
      <c r="H60" s="72"/>
      <c r="I60" s="72">
        <v>4576.0950000000003</v>
      </c>
      <c r="J60" s="72">
        <v>19.2</v>
      </c>
      <c r="K60" s="72">
        <v>17.399999999999999</v>
      </c>
      <c r="L60" s="72">
        <v>90.3</v>
      </c>
      <c r="M60" s="72">
        <v>19.2</v>
      </c>
      <c r="N60" s="72">
        <v>424</v>
      </c>
      <c r="O60" s="72">
        <v>1.5</v>
      </c>
      <c r="P60" s="72">
        <v>0.22</v>
      </c>
      <c r="Q60" s="72">
        <v>2.46</v>
      </c>
      <c r="R60" s="72"/>
      <c r="S60" s="72">
        <v>0.49</v>
      </c>
      <c r="T60" s="72">
        <v>1.48</v>
      </c>
      <c r="U60" s="72">
        <v>2.97</v>
      </c>
      <c r="V60" s="72">
        <v>7.27</v>
      </c>
      <c r="W60" s="72">
        <v>131.4</v>
      </c>
      <c r="X60" s="72">
        <v>5.3</v>
      </c>
      <c r="Y60" s="72">
        <v>1.55</v>
      </c>
      <c r="Z60" s="72">
        <v>181.8</v>
      </c>
      <c r="AA60" s="72">
        <v>58.8</v>
      </c>
      <c r="AB60" s="72">
        <v>115.2</v>
      </c>
      <c r="AC60" s="72">
        <v>4.3</v>
      </c>
      <c r="AD60" s="17">
        <v>7.3120000000000003</v>
      </c>
      <c r="AE60" s="72">
        <v>298</v>
      </c>
      <c r="AF60" s="72">
        <v>52</v>
      </c>
      <c r="AG60" s="72">
        <v>7.29</v>
      </c>
      <c r="AH60" s="74">
        <f t="shared" si="35"/>
        <v>0.52</v>
      </c>
      <c r="AI60" s="72">
        <v>34</v>
      </c>
      <c r="AJ60" s="72">
        <v>43.091000000000001</v>
      </c>
      <c r="AK60" s="44">
        <v>11.292</v>
      </c>
      <c r="AL60" s="72">
        <f>AL54+0.95</f>
        <v>7.71</v>
      </c>
      <c r="AM60" s="74">
        <f t="shared" si="36"/>
        <v>2.3587912499999995E-2</v>
      </c>
      <c r="AN60" s="72">
        <v>204.07</v>
      </c>
      <c r="AO60" s="72">
        <v>70.87</v>
      </c>
      <c r="AP60" s="72">
        <v>443</v>
      </c>
      <c r="AQ60" s="72">
        <v>1888</v>
      </c>
      <c r="AR60" s="74">
        <v>47.420000000000073</v>
      </c>
      <c r="AS60" s="74">
        <f t="shared" si="37"/>
        <v>1840.58</v>
      </c>
      <c r="AT60" s="74">
        <f t="shared" si="48"/>
        <v>41.75</v>
      </c>
      <c r="AU60" s="74">
        <f t="shared" si="49"/>
        <v>0</v>
      </c>
      <c r="AV60" s="74">
        <f t="shared" si="50"/>
        <v>49</v>
      </c>
      <c r="AW60" s="25">
        <v>15</v>
      </c>
      <c r="AX60" s="54">
        <v>1700</v>
      </c>
      <c r="AY60" s="72">
        <v>34</v>
      </c>
      <c r="AZ60" s="72">
        <v>7.2</v>
      </c>
      <c r="BA60" s="72">
        <v>50</v>
      </c>
      <c r="BB60" s="22">
        <v>2.9999999999999997E-4</v>
      </c>
      <c r="BC60" s="11">
        <v>1.7999999999999999E-2</v>
      </c>
      <c r="BE60" s="22"/>
      <c r="BF60" s="11">
        <f t="shared" si="38"/>
        <v>9.8503122599999972E-3</v>
      </c>
      <c r="BG60" s="76">
        <f t="shared" si="39"/>
        <v>14.184449654399996</v>
      </c>
      <c r="BH60" s="76">
        <f t="shared" si="40"/>
        <v>1887.0329999999999</v>
      </c>
      <c r="BI60" s="77">
        <f t="shared" si="41"/>
        <v>0.10814331280904997</v>
      </c>
      <c r="BJ60" s="77">
        <f t="shared" si="42"/>
        <v>0.12004117647058823</v>
      </c>
      <c r="BK60" s="77">
        <f t="shared" si="43"/>
        <v>33.966593999999986</v>
      </c>
      <c r="BL60" s="77">
        <f t="shared" si="44"/>
        <v>2.3587912499999995E-2</v>
      </c>
      <c r="BM60" s="78" t="str">
        <f>IF(B60="Julia",BD60*BH60/24/60,"")</f>
        <v/>
      </c>
      <c r="BN60" s="78" t="str">
        <f t="shared" si="45"/>
        <v/>
      </c>
      <c r="BO60" s="77">
        <f t="shared" si="53"/>
        <v>0</v>
      </c>
      <c r="BP60" s="51" t="str">
        <f>IF(B60="Julia",BE60*BH60,"")</f>
        <v/>
      </c>
      <c r="BQ60" s="28">
        <f t="shared" si="56"/>
        <v>61.267305194805189</v>
      </c>
      <c r="BR60" s="49">
        <f t="shared" si="57"/>
        <v>2.3587912499999995E-2</v>
      </c>
      <c r="BS60" s="30">
        <f t="shared" si="17"/>
        <v>0</v>
      </c>
    </row>
    <row r="61" spans="1:71" x14ac:dyDescent="0.25">
      <c r="A61" s="1" t="s">
        <v>87</v>
      </c>
      <c r="B61" t="s">
        <v>75</v>
      </c>
      <c r="C61">
        <v>12</v>
      </c>
      <c r="D61">
        <v>9</v>
      </c>
      <c r="E61" s="71" t="s">
        <v>99</v>
      </c>
      <c r="F61" s="61">
        <v>45542.550289351901</v>
      </c>
      <c r="G61">
        <v>4805.7299999999996</v>
      </c>
      <c r="H61" s="44"/>
      <c r="I61" s="44">
        <v>2904.25</v>
      </c>
      <c r="J61" s="44">
        <v>20.7</v>
      </c>
      <c r="K61" s="44">
        <v>12.9</v>
      </c>
      <c r="L61" s="44">
        <v>62</v>
      </c>
      <c r="M61" s="44">
        <v>18</v>
      </c>
      <c r="N61" s="44">
        <v>687</v>
      </c>
      <c r="O61" s="44">
        <v>8.5500000000000007</v>
      </c>
      <c r="P61" s="44">
        <v>0.3</v>
      </c>
      <c r="Q61" s="44">
        <v>2.75</v>
      </c>
      <c r="R61" s="44"/>
      <c r="S61" s="44">
        <v>0.57999999999999996</v>
      </c>
      <c r="T61" s="44">
        <v>3.07</v>
      </c>
      <c r="U61" s="69">
        <v>15.0379</v>
      </c>
      <c r="V61" s="44">
        <v>7.0490000000000004</v>
      </c>
      <c r="W61" s="44">
        <v>78.2</v>
      </c>
      <c r="X61" s="44">
        <v>86</v>
      </c>
      <c r="Y61" s="44">
        <v>5.17</v>
      </c>
      <c r="Z61" s="44">
        <v>275.89999999999998</v>
      </c>
      <c r="AA61" s="44">
        <v>20.8</v>
      </c>
      <c r="AB61" s="44">
        <v>68.599999999999994</v>
      </c>
      <c r="AC61" s="44">
        <v>70.900000000000006</v>
      </c>
      <c r="AD61" s="17">
        <v>7.0869999999999997</v>
      </c>
      <c r="AE61" s="44">
        <v>300</v>
      </c>
      <c r="AF61" s="44">
        <v>49.7</v>
      </c>
      <c r="AG61" s="44">
        <v>7.09</v>
      </c>
      <c r="AH61" s="45">
        <f t="shared" si="35"/>
        <v>0.49700000000000005</v>
      </c>
      <c r="AI61" s="44">
        <v>34</v>
      </c>
      <c r="AJ61" s="44">
        <v>112.39</v>
      </c>
      <c r="AK61" s="44">
        <v>7.3125999999999998</v>
      </c>
      <c r="AL61" s="44">
        <f>AL55+0.92</f>
        <v>7.36</v>
      </c>
      <c r="AM61" s="45">
        <f t="shared" si="36"/>
        <v>2.752684166666667E-2</v>
      </c>
      <c r="AN61" s="44">
        <v>227.05</v>
      </c>
      <c r="AO61" s="44">
        <v>77.819999999999993</v>
      </c>
      <c r="AP61" s="44">
        <v>394</v>
      </c>
      <c r="AQ61" s="44">
        <v>2019</v>
      </c>
      <c r="AR61" s="45">
        <v>133.55999999999995</v>
      </c>
      <c r="AS61" s="45">
        <f t="shared" si="37"/>
        <v>1885.44</v>
      </c>
      <c r="AT61" s="45">
        <f t="shared" si="48"/>
        <v>43.25</v>
      </c>
      <c r="AU61" s="45">
        <f t="shared" si="49"/>
        <v>0</v>
      </c>
      <c r="AV61" s="45">
        <f t="shared" si="50"/>
        <v>51</v>
      </c>
      <c r="AW61" s="25">
        <v>15</v>
      </c>
      <c r="AX61" s="54">
        <v>1700</v>
      </c>
      <c r="AY61" s="44">
        <v>34</v>
      </c>
      <c r="AZ61" s="44">
        <v>7.2</v>
      </c>
      <c r="BA61" s="44">
        <v>50</v>
      </c>
      <c r="BB61" s="22">
        <v>2.9999999999999997E-4</v>
      </c>
      <c r="BC61" s="11">
        <v>0.02</v>
      </c>
      <c r="BE61" s="22"/>
      <c r="BF61" s="11">
        <f t="shared" si="38"/>
        <v>7.6700791619999991E-3</v>
      </c>
      <c r="BG61" s="46">
        <f t="shared" si="39"/>
        <v>11.044913993279998</v>
      </c>
      <c r="BH61" s="46">
        <f t="shared" si="40"/>
        <v>1981.9326000000001</v>
      </c>
      <c r="BI61" s="47">
        <f t="shared" si="41"/>
        <v>0.11455989976652083</v>
      </c>
      <c r="BJ61" s="47">
        <f t="shared" si="42"/>
        <v>0.13355882352941176</v>
      </c>
      <c r="BK61" s="47">
        <f t="shared" si="43"/>
        <v>39.638652000000008</v>
      </c>
      <c r="BL61" s="47">
        <f t="shared" si="44"/>
        <v>2.752684166666667E-2</v>
      </c>
      <c r="BM61" s="48" t="str">
        <f>IF(B61="Julia",BD61*BH61/24/60,"")</f>
        <v/>
      </c>
      <c r="BN61" s="48" t="str">
        <f t="shared" si="45"/>
        <v/>
      </c>
      <c r="BO61" s="47">
        <f t="shared" si="53"/>
        <v>0</v>
      </c>
      <c r="BP61" s="51" t="str">
        <f>IF(B61="Julia",BE61*BH61,"")</f>
        <v/>
      </c>
      <c r="BQ61" s="28">
        <f t="shared" si="56"/>
        <v>71.498290043290055</v>
      </c>
      <c r="BR61" s="49">
        <f t="shared" si="57"/>
        <v>2.752684166666667E-2</v>
      </c>
      <c r="BS61" s="30">
        <f t="shared" si="17"/>
        <v>0</v>
      </c>
    </row>
    <row r="62" spans="1:71" ht="15.75" thickBot="1" x14ac:dyDescent="0.3">
      <c r="A62" s="4" t="s">
        <v>88</v>
      </c>
      <c r="B62" s="5" t="s">
        <v>75</v>
      </c>
      <c r="C62" s="5">
        <v>12</v>
      </c>
      <c r="D62" s="5">
        <v>9</v>
      </c>
      <c r="E62" s="5"/>
      <c r="F62" s="62">
        <v>45542.552824074097</v>
      </c>
      <c r="G62" s="5">
        <v>4805.7299999999996</v>
      </c>
      <c r="H62" s="7"/>
      <c r="I62" s="7">
        <v>5225.28</v>
      </c>
      <c r="J62" s="7">
        <v>21.5</v>
      </c>
      <c r="K62" s="7">
        <v>20</v>
      </c>
      <c r="L62" s="7">
        <v>93.3</v>
      </c>
      <c r="M62" s="7">
        <v>18</v>
      </c>
      <c r="N62" s="7">
        <v>352</v>
      </c>
      <c r="O62" s="7">
        <v>1.49</v>
      </c>
      <c r="P62" s="7">
        <v>0.2</v>
      </c>
      <c r="Q62" s="7">
        <v>0.32</v>
      </c>
      <c r="R62" s="7"/>
      <c r="S62" s="7">
        <v>0.19</v>
      </c>
      <c r="T62" s="7">
        <v>0.08</v>
      </c>
      <c r="U62" s="7">
        <v>1</v>
      </c>
      <c r="V62" s="7">
        <v>7.2679999999999998</v>
      </c>
      <c r="W62" s="7">
        <v>124.2</v>
      </c>
      <c r="X62" s="7">
        <v>34.299999999999997</v>
      </c>
      <c r="Y62" s="7">
        <v>1.79</v>
      </c>
      <c r="Z62" s="7">
        <v>158.6</v>
      </c>
      <c r="AA62" s="7">
        <v>55.3</v>
      </c>
      <c r="AB62" s="7">
        <v>108.9</v>
      </c>
      <c r="AC62" s="7">
        <v>27.7</v>
      </c>
      <c r="AD62" s="18">
        <v>7.3090000000000002</v>
      </c>
      <c r="AE62" s="7">
        <v>302</v>
      </c>
      <c r="AF62" s="7">
        <v>49.1</v>
      </c>
      <c r="AG62" s="7">
        <v>7.3</v>
      </c>
      <c r="AH62" s="41">
        <f t="shared" si="35"/>
        <v>0.49099999999999999</v>
      </c>
      <c r="AI62" s="7">
        <v>34</v>
      </c>
      <c r="AJ62" s="7">
        <v>28.271000000000001</v>
      </c>
      <c r="AK62" s="7">
        <v>38.732999999999997</v>
      </c>
      <c r="AL62" s="7">
        <f>AL56+0.93</f>
        <v>7.4499999999999993</v>
      </c>
      <c r="AM62" s="41">
        <f t="shared" si="36"/>
        <v>1.1032315277777779E-2</v>
      </c>
      <c r="AN62" s="7">
        <v>187.96</v>
      </c>
      <c r="AO62" s="7">
        <v>56.59</v>
      </c>
      <c r="AP62" s="7">
        <v>476</v>
      </c>
      <c r="AQ62" s="7">
        <v>1867</v>
      </c>
      <c r="AR62" s="41">
        <v>51.660000000000082</v>
      </c>
      <c r="AS62" s="41">
        <f t="shared" si="37"/>
        <v>1815.34</v>
      </c>
      <c r="AT62" s="41">
        <f t="shared" si="48"/>
        <v>20.300000000000011</v>
      </c>
      <c r="AU62" s="41">
        <f t="shared" si="49"/>
        <v>0</v>
      </c>
      <c r="AV62" s="41">
        <f t="shared" si="50"/>
        <v>24</v>
      </c>
      <c r="AW62" s="26">
        <v>15</v>
      </c>
      <c r="AX62" s="55">
        <v>1700</v>
      </c>
      <c r="AY62" s="7">
        <v>34</v>
      </c>
      <c r="AZ62" s="7">
        <v>7.2</v>
      </c>
      <c r="BA62" s="7">
        <v>50</v>
      </c>
      <c r="BB62" s="23">
        <v>2.9999999999999997E-4</v>
      </c>
      <c r="BC62" s="12">
        <v>8.5000000000000006E-3</v>
      </c>
      <c r="BD62" s="5"/>
      <c r="BE62" s="23"/>
      <c r="BF62" s="12">
        <f t="shared" si="38"/>
        <v>1.1214023999999998E-2</v>
      </c>
      <c r="BG62" s="13">
        <f t="shared" si="39"/>
        <v>16.148194559999997</v>
      </c>
      <c r="BH62" s="13">
        <f t="shared" si="40"/>
        <v>1869.0039999999999</v>
      </c>
      <c r="BI62" s="14">
        <f t="shared" si="41"/>
        <v>0.10056693297606641</v>
      </c>
      <c r="BJ62" s="14">
        <f t="shared" si="42"/>
        <v>0.11056470588235294</v>
      </c>
      <c r="BK62" s="14">
        <f t="shared" si="43"/>
        <v>15.886534000000001</v>
      </c>
      <c r="BL62" s="14">
        <f t="shared" si="44"/>
        <v>1.1032315277777779E-2</v>
      </c>
      <c r="BM62" s="48" t="str">
        <f>IF(B62="Julia",BD62*BH62/24/60,"")</f>
        <v/>
      </c>
      <c r="BN62" s="36" t="str">
        <f t="shared" si="45"/>
        <v/>
      </c>
      <c r="BO62" s="14">
        <f t="shared" si="53"/>
        <v>12.5223268</v>
      </c>
      <c r="BP62" s="52" t="str">
        <f>IF(B62="Julia",BE62*BH62,"")</f>
        <v/>
      </c>
      <c r="BQ62" s="29">
        <f t="shared" si="56"/>
        <v>28.655364357864364</v>
      </c>
      <c r="BR62" s="38">
        <f t="shared" si="57"/>
        <v>1.1032315277777779E-2</v>
      </c>
      <c r="BS62" s="31">
        <f t="shared" si="17"/>
        <v>12.5223268</v>
      </c>
    </row>
    <row r="63" spans="1:71" x14ac:dyDescent="0.25">
      <c r="A63" s="2" t="s">
        <v>83</v>
      </c>
      <c r="B63" s="3" t="s">
        <v>74</v>
      </c>
      <c r="C63" s="3">
        <v>12</v>
      </c>
      <c r="D63" s="3">
        <v>10</v>
      </c>
      <c r="E63" s="3" t="s">
        <v>91</v>
      </c>
      <c r="F63" s="60">
        <v>45543.405208333301</v>
      </c>
      <c r="G63" s="98">
        <v>5302.42</v>
      </c>
      <c r="H63" s="6"/>
      <c r="I63" s="68">
        <v>5355.165</v>
      </c>
      <c r="J63" s="6">
        <v>20.399999999999999</v>
      </c>
      <c r="K63" s="6">
        <v>18.7</v>
      </c>
      <c r="L63" s="6">
        <v>91.5</v>
      </c>
      <c r="M63" s="6">
        <v>17.3</v>
      </c>
      <c r="N63" s="6">
        <v>347</v>
      </c>
      <c r="O63" s="6">
        <v>1.72</v>
      </c>
      <c r="P63" s="6">
        <v>0.2</v>
      </c>
      <c r="Q63" s="6">
        <v>1.64</v>
      </c>
      <c r="R63" s="6"/>
      <c r="S63" s="6">
        <v>0.11</v>
      </c>
      <c r="T63" s="6">
        <v>0.14000000000000001</v>
      </c>
      <c r="U63" s="6">
        <v>0.16</v>
      </c>
      <c r="V63" s="6">
        <v>7.2460000000000004</v>
      </c>
      <c r="W63" s="6">
        <v>95.9</v>
      </c>
      <c r="X63" s="6">
        <v>11.5</v>
      </c>
      <c r="Y63" s="6">
        <v>2.23</v>
      </c>
      <c r="Z63" s="6">
        <v>146.4</v>
      </c>
      <c r="AA63" s="6">
        <v>40.6</v>
      </c>
      <c r="AB63" s="6">
        <v>84.1</v>
      </c>
      <c r="AC63" s="6">
        <v>9.3000000000000007</v>
      </c>
      <c r="AD63" s="16">
        <v>7.2869999999999999</v>
      </c>
      <c r="AE63" s="6">
        <v>300</v>
      </c>
      <c r="AF63" s="6">
        <v>47.8</v>
      </c>
      <c r="AG63" s="6">
        <v>7.29</v>
      </c>
      <c r="AH63" s="40">
        <f t="shared" si="35"/>
        <v>0.47799999999999998</v>
      </c>
      <c r="AI63" s="6">
        <v>34</v>
      </c>
      <c r="AJ63" s="6">
        <v>22.065000000000001</v>
      </c>
      <c r="AK63" s="44">
        <v>44.018999999999998</v>
      </c>
      <c r="AL63" s="6">
        <f>AL51+1.91</f>
        <v>7.2</v>
      </c>
      <c r="AM63" s="42">
        <f t="shared" si="36"/>
        <v>5.1207888888888803E-3</v>
      </c>
      <c r="AN63" s="6">
        <v>169.89</v>
      </c>
      <c r="AO63" s="6">
        <v>65.31</v>
      </c>
      <c r="AP63" s="6">
        <v>497</v>
      </c>
      <c r="AQ63" s="6">
        <v>1984</v>
      </c>
      <c r="AR63" s="40">
        <v>137.11999999999989</v>
      </c>
      <c r="AS63" s="40">
        <f t="shared" si="37"/>
        <v>1846.88</v>
      </c>
      <c r="AT63" s="40">
        <f t="shared" si="48"/>
        <v>18.899999999999977</v>
      </c>
      <c r="AU63" s="40">
        <f t="shared" si="49"/>
        <v>0</v>
      </c>
      <c r="AV63" s="40">
        <f t="shared" si="50"/>
        <v>21</v>
      </c>
      <c r="AW63" s="24">
        <v>15</v>
      </c>
      <c r="AX63" s="53">
        <v>1700</v>
      </c>
      <c r="AY63" s="6">
        <v>34</v>
      </c>
      <c r="AZ63" s="6">
        <v>7.2</v>
      </c>
      <c r="BA63" s="6">
        <v>50</v>
      </c>
      <c r="BB63" s="21">
        <v>2.9999999999999997E-4</v>
      </c>
      <c r="BC63" s="8"/>
      <c r="BD63" s="46">
        <f>BM63*24*60/BH63</f>
        <v>3.999999999999994E-3</v>
      </c>
      <c r="BE63" s="22">
        <f>BP63/BH63</f>
        <v>3.9797979551218672E-3</v>
      </c>
      <c r="BF63" s="8">
        <f t="shared" si="38"/>
        <v>1.0341945239999999E-2</v>
      </c>
      <c r="BG63" s="9">
        <f t="shared" si="39"/>
        <v>14.892401145599999</v>
      </c>
      <c r="BH63" s="9">
        <f t="shared" si="40"/>
        <v>1843.4839999999999</v>
      </c>
      <c r="BI63" s="10">
        <f t="shared" si="41"/>
        <v>9.2157024416810771E-2</v>
      </c>
      <c r="BJ63" s="10">
        <f t="shared" si="42"/>
        <v>9.9935294117647053E-2</v>
      </c>
      <c r="BK63" s="10">
        <f t="shared" si="43"/>
        <v>7.3739359999999881</v>
      </c>
      <c r="BL63" s="10" t="str">
        <f t="shared" si="44"/>
        <v/>
      </c>
      <c r="BM63" s="10">
        <v>5.1207888888888803E-3</v>
      </c>
      <c r="BN63" s="35" t="str">
        <f t="shared" si="45"/>
        <v/>
      </c>
      <c r="BO63" s="10" t="str">
        <f t="shared" si="53"/>
        <v/>
      </c>
      <c r="BP63" s="50">
        <v>7.33669385349988</v>
      </c>
      <c r="BQ63" s="27">
        <f>IF(BL63&lt;&gt;"",BL63/0.000385,IF(BM63&lt;&gt;"",BM63/0.000385,BN63/0.000385))</f>
        <v>13.300750360750339</v>
      </c>
      <c r="BR63" s="37">
        <f>IF(BL63&lt;&gt;"",BL63,IF(BM63&lt;&gt;"",BM63,BN63))</f>
        <v>5.1207888888888803E-3</v>
      </c>
      <c r="BS63" s="32">
        <f t="shared" si="17"/>
        <v>7.33669385349988</v>
      </c>
    </row>
    <row r="64" spans="1:71" x14ac:dyDescent="0.25">
      <c r="A64" s="1" t="s">
        <v>84</v>
      </c>
      <c r="B64" s="71" t="s">
        <v>74</v>
      </c>
      <c r="C64" s="71">
        <v>12</v>
      </c>
      <c r="D64" s="71">
        <v>10</v>
      </c>
      <c r="E64" s="71" t="s">
        <v>92</v>
      </c>
      <c r="F64" s="61">
        <v>45543.413275462997</v>
      </c>
      <c r="G64" s="99">
        <v>5302.42</v>
      </c>
      <c r="H64" s="72"/>
      <c r="I64" s="73">
        <v>5442.6</v>
      </c>
      <c r="J64" s="72">
        <v>20.6</v>
      </c>
      <c r="K64" s="72">
        <v>19.3</v>
      </c>
      <c r="L64" s="72">
        <v>93.9</v>
      </c>
      <c r="M64" s="72">
        <v>17.8</v>
      </c>
      <c r="N64" s="72">
        <v>348</v>
      </c>
      <c r="O64" s="72">
        <v>2.0699999999999998</v>
      </c>
      <c r="P64" s="72">
        <v>0.21</v>
      </c>
      <c r="Q64" s="72">
        <v>7.0000000000000007E-2</v>
      </c>
      <c r="R64" s="72"/>
      <c r="S64" s="72">
        <v>0.1</v>
      </c>
      <c r="T64" s="72">
        <v>0.15</v>
      </c>
      <c r="U64" s="72">
        <v>0.16</v>
      </c>
      <c r="V64" s="72">
        <v>7.2619999999999996</v>
      </c>
      <c r="W64" s="72">
        <v>105</v>
      </c>
      <c r="X64" s="72">
        <v>55.7</v>
      </c>
      <c r="Y64" s="72">
        <v>2.15</v>
      </c>
      <c r="Z64" s="72">
        <v>154.19999999999999</v>
      </c>
      <c r="AA64" s="72">
        <v>46.1</v>
      </c>
      <c r="AB64" s="72">
        <v>92.1</v>
      </c>
      <c r="AC64" s="72">
        <v>45.2</v>
      </c>
      <c r="AD64" s="17">
        <v>7.3029999999999999</v>
      </c>
      <c r="AE64" s="72">
        <v>300</v>
      </c>
      <c r="AF64" s="72">
        <v>49.9</v>
      </c>
      <c r="AG64" s="72">
        <v>7.3</v>
      </c>
      <c r="AH64" s="74">
        <f t="shared" si="35"/>
        <v>0.499</v>
      </c>
      <c r="AI64" s="72">
        <v>34</v>
      </c>
      <c r="AJ64" s="72">
        <v>24.568000000000001</v>
      </c>
      <c r="AK64" s="72">
        <v>27.469000000000001</v>
      </c>
      <c r="AL64" s="72">
        <f>AL52+1.86</f>
        <v>4.8600000000000003</v>
      </c>
      <c r="AM64" s="74">
        <f t="shared" si="36"/>
        <v>1.1401776999282799E-2</v>
      </c>
      <c r="AN64" s="72">
        <v>185.31</v>
      </c>
      <c r="AO64" s="72">
        <v>68.25</v>
      </c>
      <c r="AP64" s="72">
        <v>481</v>
      </c>
      <c r="AQ64" s="72">
        <v>1988</v>
      </c>
      <c r="AR64" s="74">
        <v>45.769999999999982</v>
      </c>
      <c r="AS64" s="74">
        <f t="shared" si="37"/>
        <v>1942.23</v>
      </c>
      <c r="AT64" s="74">
        <f t="shared" si="48"/>
        <v>17.75</v>
      </c>
      <c r="AU64" s="74">
        <f t="shared" si="49"/>
        <v>6.8299999999999983</v>
      </c>
      <c r="AV64" s="74">
        <f t="shared" si="50"/>
        <v>20</v>
      </c>
      <c r="AW64" s="25">
        <v>15</v>
      </c>
      <c r="AX64" s="54">
        <v>1700</v>
      </c>
      <c r="AY64" s="72">
        <v>34</v>
      </c>
      <c r="AZ64" s="72">
        <v>7.2</v>
      </c>
      <c r="BA64" s="72">
        <v>50</v>
      </c>
      <c r="BB64" s="22">
        <v>2.9999999999999997E-4</v>
      </c>
      <c r="BC64" s="11"/>
      <c r="BD64" s="76">
        <f>BM64*24*60/BH64</f>
        <v>8.8967442096820649E-3</v>
      </c>
      <c r="BE64" s="22">
        <f>BP64/BH64</f>
        <v>5.5208033108114681E-3</v>
      </c>
      <c r="BF64" s="11">
        <f t="shared" si="38"/>
        <v>1.068519603E-2</v>
      </c>
      <c r="BG64" s="76">
        <f t="shared" si="39"/>
        <v>15.386682283200003</v>
      </c>
      <c r="BH64" s="76">
        <f t="shared" si="40"/>
        <v>1845.4569999999999</v>
      </c>
      <c r="BI64" s="77">
        <f t="shared" si="41"/>
        <v>0.10041415215851685</v>
      </c>
      <c r="BJ64" s="77">
        <f t="shared" si="42"/>
        <v>0.10900588235294117</v>
      </c>
      <c r="BK64" s="77">
        <f t="shared" si="43"/>
        <v>16.418558878967232</v>
      </c>
      <c r="BL64" s="77" t="str">
        <f t="shared" si="44"/>
        <v/>
      </c>
      <c r="BM64" s="47">
        <v>1.1401776999282799E-2</v>
      </c>
      <c r="BN64" s="78" t="str">
        <f t="shared" si="45"/>
        <v/>
      </c>
      <c r="BO64" s="77" t="str">
        <f t="shared" si="53"/>
        <v/>
      </c>
      <c r="BP64" s="51">
        <v>10.188405115560199</v>
      </c>
      <c r="BQ64" s="28">
        <f t="shared" ref="BQ64:BQ68" si="58">IF(BL64&lt;&gt;"",BL64/0.000385,IF(BM64&lt;&gt;"",BM64/0.000385,BN64/0.000385))</f>
        <v>29.615005192942338</v>
      </c>
      <c r="BR64" s="49">
        <f t="shared" ref="BR64:BR68" si="59">IF(BL64&lt;&gt;"",BL64,IF(BM64&lt;&gt;"",BM64,BN64))</f>
        <v>1.1401776999282799E-2</v>
      </c>
      <c r="BS64" s="30">
        <f t="shared" si="17"/>
        <v>10.188405115560199</v>
      </c>
    </row>
    <row r="65" spans="1:71" x14ac:dyDescent="0.25">
      <c r="A65" s="1" t="s">
        <v>85</v>
      </c>
      <c r="B65" s="71" t="s">
        <v>74</v>
      </c>
      <c r="C65" s="71">
        <v>12</v>
      </c>
      <c r="D65" s="71">
        <v>10</v>
      </c>
      <c r="E65" s="71" t="s">
        <v>93</v>
      </c>
      <c r="F65" s="61">
        <v>45543.423032407401</v>
      </c>
      <c r="G65" s="99">
        <v>5302.42</v>
      </c>
      <c r="H65" s="72"/>
      <c r="I65" s="73">
        <v>4749.375</v>
      </c>
      <c r="J65" s="72">
        <v>20.2</v>
      </c>
      <c r="K65" s="72">
        <v>18</v>
      </c>
      <c r="L65" s="72">
        <v>89.1</v>
      </c>
      <c r="M65" s="72">
        <v>19.2</v>
      </c>
      <c r="N65" s="72">
        <v>438</v>
      </c>
      <c r="O65" s="72">
        <v>2.36</v>
      </c>
      <c r="P65" s="72">
        <v>0.22</v>
      </c>
      <c r="Q65" s="72">
        <v>3.22</v>
      </c>
      <c r="R65" s="72"/>
      <c r="S65" s="72">
        <v>0.78</v>
      </c>
      <c r="T65" s="72">
        <v>2.21</v>
      </c>
      <c r="U65" s="72">
        <v>2.19</v>
      </c>
      <c r="V65" s="72">
        <v>7.2469999999999999</v>
      </c>
      <c r="W65" s="72">
        <v>118.5</v>
      </c>
      <c r="X65" s="72">
        <v>46.8</v>
      </c>
      <c r="Y65" s="72">
        <v>1.5</v>
      </c>
      <c r="Z65" s="72">
        <v>176.3</v>
      </c>
      <c r="AA65" s="72">
        <v>50.2</v>
      </c>
      <c r="AB65" s="72">
        <v>104</v>
      </c>
      <c r="AC65" s="72">
        <v>37.9</v>
      </c>
      <c r="AD65" s="17">
        <v>7.2880000000000003</v>
      </c>
      <c r="AE65" s="72">
        <v>298</v>
      </c>
      <c r="AF65" s="72">
        <v>50.4</v>
      </c>
      <c r="AG65" s="72">
        <v>7.3</v>
      </c>
      <c r="AH65" s="74">
        <f t="shared" si="35"/>
        <v>0.504</v>
      </c>
      <c r="AI65" s="72">
        <v>34</v>
      </c>
      <c r="AJ65" s="72">
        <v>38.045999999999999</v>
      </c>
      <c r="AK65" s="44">
        <v>5.1144999999999996</v>
      </c>
      <c r="AL65" s="72">
        <f>AL53+1.87</f>
        <v>8.5300000000000011</v>
      </c>
      <c r="AM65" s="74">
        <f t="shared" si="36"/>
        <v>2.08588154275034E-2</v>
      </c>
      <c r="AN65" s="72">
        <v>249.44</v>
      </c>
      <c r="AO65" s="72">
        <v>84.76</v>
      </c>
      <c r="AP65" s="72">
        <v>384</v>
      </c>
      <c r="AQ65" s="72">
        <v>2061</v>
      </c>
      <c r="AR65" s="74">
        <v>84.700000000000045</v>
      </c>
      <c r="AS65" s="74">
        <f t="shared" si="37"/>
        <v>1976.3</v>
      </c>
      <c r="AT65" s="74">
        <f t="shared" si="48"/>
        <v>38.129999999999995</v>
      </c>
      <c r="AU65" s="74">
        <f t="shared" si="49"/>
        <v>8.4900000000000091</v>
      </c>
      <c r="AV65" s="74">
        <f t="shared" si="50"/>
        <v>46</v>
      </c>
      <c r="AW65" s="25">
        <v>15</v>
      </c>
      <c r="AX65" s="54">
        <v>1700</v>
      </c>
      <c r="AY65" s="72">
        <v>34</v>
      </c>
      <c r="AZ65" s="72">
        <v>7.2</v>
      </c>
      <c r="BA65" s="72">
        <v>50</v>
      </c>
      <c r="BB65" s="22">
        <v>2.9999999999999997E-4</v>
      </c>
      <c r="BC65" s="11"/>
      <c r="BD65" s="46">
        <f>BM65*24*60/BH65</f>
        <v>1.5636859162771067E-2</v>
      </c>
      <c r="BE65" s="22">
        <f>BP65/BH65</f>
        <v>1.6524849493275854E-3</v>
      </c>
      <c r="BF65" s="11">
        <f t="shared" si="38"/>
        <v>1.0372808699999998E-2</v>
      </c>
      <c r="BG65" s="76">
        <f t="shared" si="39"/>
        <v>14.936844527999996</v>
      </c>
      <c r="BH65" s="76">
        <f t="shared" si="40"/>
        <v>1920.8905</v>
      </c>
      <c r="BI65" s="77">
        <f t="shared" si="41"/>
        <v>0.12985643897973362</v>
      </c>
      <c r="BJ65" s="77">
        <f t="shared" si="42"/>
        <v>0.14672941176470589</v>
      </c>
      <c r="BK65" s="77">
        <f t="shared" si="43"/>
        <v>30.036694215604896</v>
      </c>
      <c r="BL65" s="77" t="str">
        <f t="shared" si="44"/>
        <v/>
      </c>
      <c r="BM65" s="77">
        <v>2.08588154275034E-2</v>
      </c>
      <c r="BN65" s="78" t="str">
        <f t="shared" si="45"/>
        <v/>
      </c>
      <c r="BO65" s="77" t="str">
        <f t="shared" si="53"/>
        <v/>
      </c>
      <c r="BP65" s="51">
        <v>3.17424264055634</v>
      </c>
      <c r="BQ65" s="28">
        <f t="shared" si="58"/>
        <v>54.178741370138702</v>
      </c>
      <c r="BR65" s="49">
        <f t="shared" si="59"/>
        <v>2.08588154275034E-2</v>
      </c>
      <c r="BS65" s="30">
        <f t="shared" si="17"/>
        <v>3.17424264055634</v>
      </c>
    </row>
    <row r="66" spans="1:71" x14ac:dyDescent="0.25">
      <c r="A66" s="1" t="s">
        <v>86</v>
      </c>
      <c r="B66" t="s">
        <v>75</v>
      </c>
      <c r="C66">
        <v>12</v>
      </c>
      <c r="D66">
        <v>10</v>
      </c>
      <c r="E66" t="s">
        <v>94</v>
      </c>
      <c r="F66" s="61">
        <v>45543.425671296303</v>
      </c>
      <c r="G66" s="100">
        <v>5302.42</v>
      </c>
      <c r="H66" s="44"/>
      <c r="I66" s="69">
        <v>4983.66</v>
      </c>
      <c r="J66" s="44">
        <v>20.2</v>
      </c>
      <c r="K66" s="44">
        <v>18.100000000000001</v>
      </c>
      <c r="L66" s="44">
        <v>89.7</v>
      </c>
      <c r="M66" s="44">
        <v>19</v>
      </c>
      <c r="N66" s="44">
        <v>430</v>
      </c>
      <c r="O66" s="44">
        <v>1.71</v>
      </c>
      <c r="P66" s="44">
        <v>0.21</v>
      </c>
      <c r="Q66" s="44">
        <v>1.31</v>
      </c>
      <c r="R66" s="44"/>
      <c r="S66" s="44">
        <v>0.6</v>
      </c>
      <c r="T66" s="44">
        <v>2.08</v>
      </c>
      <c r="U66" s="44">
        <v>2.54</v>
      </c>
      <c r="V66" s="44">
        <v>7.2779999999999996</v>
      </c>
      <c r="W66" s="44">
        <v>128.30000000000001</v>
      </c>
      <c r="X66" s="44">
        <v>30</v>
      </c>
      <c r="Y66" s="44">
        <v>1.48</v>
      </c>
      <c r="Z66" s="44">
        <v>183.1</v>
      </c>
      <c r="AA66" s="44">
        <v>58.4</v>
      </c>
      <c r="AB66" s="44">
        <v>112.5</v>
      </c>
      <c r="AC66" s="44">
        <v>24.3</v>
      </c>
      <c r="AD66" s="17">
        <v>7.319</v>
      </c>
      <c r="AE66" s="44">
        <v>301</v>
      </c>
      <c r="AF66" s="44">
        <v>51.1</v>
      </c>
      <c r="AG66" s="44">
        <v>7.3</v>
      </c>
      <c r="AH66" s="45">
        <f t="shared" si="35"/>
        <v>0.51100000000000001</v>
      </c>
      <c r="AI66" s="44">
        <v>34</v>
      </c>
      <c r="AJ66" s="44">
        <v>43.091000000000001</v>
      </c>
      <c r="AK66" s="44">
        <v>13.548</v>
      </c>
      <c r="AL66" s="44">
        <f>AL54+1.91</f>
        <v>8.67</v>
      </c>
      <c r="AM66" s="45">
        <f t="shared" si="36"/>
        <v>2.2755468611111111E-2</v>
      </c>
      <c r="AN66" s="44">
        <v>233.93</v>
      </c>
      <c r="AO66" s="44">
        <v>70.87</v>
      </c>
      <c r="AP66" s="44">
        <v>406</v>
      </c>
      <c r="AQ66" s="44">
        <v>2044</v>
      </c>
      <c r="AR66" s="45">
        <v>47.420000000000073</v>
      </c>
      <c r="AS66" s="45">
        <f t="shared" si="37"/>
        <v>1996.58</v>
      </c>
      <c r="AT66" s="45">
        <f t="shared" si="48"/>
        <v>29.860000000000014</v>
      </c>
      <c r="AU66" s="45">
        <f t="shared" si="49"/>
        <v>0</v>
      </c>
      <c r="AV66" s="45">
        <f t="shared" si="50"/>
        <v>37</v>
      </c>
      <c r="AW66" s="25">
        <v>15</v>
      </c>
      <c r="AX66" s="54">
        <v>1700</v>
      </c>
      <c r="AY66" s="44">
        <v>34</v>
      </c>
      <c r="AZ66" s="44">
        <v>7.2</v>
      </c>
      <c r="BA66" s="44">
        <v>50</v>
      </c>
      <c r="BB66" s="22">
        <v>2.9999999999999997E-4</v>
      </c>
      <c r="BC66" s="11">
        <v>1.72E-2</v>
      </c>
      <c r="BE66" s="22"/>
      <c r="BF66" s="11">
        <f t="shared" si="38"/>
        <v>1.034474187E-2</v>
      </c>
      <c r="BG66" s="46">
        <f t="shared" si="39"/>
        <v>14.8964282928</v>
      </c>
      <c r="BH66" s="46">
        <f t="shared" si="40"/>
        <v>1905.1089999999999</v>
      </c>
      <c r="BI66" s="47">
        <f t="shared" si="41"/>
        <v>0.12279087443290647</v>
      </c>
      <c r="BJ66" s="47">
        <f t="shared" si="42"/>
        <v>0.13760588235294119</v>
      </c>
      <c r="BK66" s="47">
        <f t="shared" si="43"/>
        <v>32.767874800000001</v>
      </c>
      <c r="BL66" s="47">
        <f t="shared" si="44"/>
        <v>2.2755468611111111E-2</v>
      </c>
      <c r="BM66" s="48" t="str">
        <f>IF(B66="Julia",BD66*BH66/24/60,"")</f>
        <v/>
      </c>
      <c r="BN66" s="48" t="str">
        <f t="shared" si="45"/>
        <v/>
      </c>
      <c r="BO66" s="47">
        <f t="shared" si="53"/>
        <v>8.0490855249999989</v>
      </c>
      <c r="BP66" s="51" t="str">
        <f>IF(B66="Julia",BE66*BH66,"")</f>
        <v/>
      </c>
      <c r="BQ66" s="28">
        <f t="shared" si="58"/>
        <v>59.105113275613277</v>
      </c>
      <c r="BR66" s="49">
        <f t="shared" si="59"/>
        <v>2.2755468611111111E-2</v>
      </c>
      <c r="BS66" s="30">
        <f t="shared" si="17"/>
        <v>8.0490855249999989</v>
      </c>
    </row>
    <row r="67" spans="1:71" x14ac:dyDescent="0.25">
      <c r="A67" s="1" t="s">
        <v>87</v>
      </c>
      <c r="B67" t="s">
        <v>75</v>
      </c>
      <c r="C67">
        <v>12</v>
      </c>
      <c r="D67">
        <v>10</v>
      </c>
      <c r="E67" t="s">
        <v>95</v>
      </c>
      <c r="F67" s="61">
        <v>45543.428912037001</v>
      </c>
      <c r="G67" s="100">
        <v>5302.42</v>
      </c>
      <c r="H67" s="44"/>
      <c r="I67" s="69">
        <v>2729.7449999999999</v>
      </c>
      <c r="J67" s="44">
        <v>21.1</v>
      </c>
      <c r="K67" s="44">
        <v>8.32</v>
      </c>
      <c r="L67" s="44">
        <v>39.5</v>
      </c>
      <c r="M67" s="44">
        <v>15.6</v>
      </c>
      <c r="N67" s="44">
        <v>818</v>
      </c>
      <c r="O67" s="44"/>
      <c r="P67" s="44">
        <v>0.28000000000000003</v>
      </c>
      <c r="Q67" s="44">
        <v>7.0000000000000007E-2</v>
      </c>
      <c r="R67" s="44"/>
      <c r="S67" s="44">
        <v>0.75</v>
      </c>
      <c r="T67" s="44">
        <v>3.48</v>
      </c>
      <c r="V67" s="44">
        <v>7.032</v>
      </c>
      <c r="W67" s="44">
        <v>66.3</v>
      </c>
      <c r="X67" s="44">
        <v>86</v>
      </c>
      <c r="Y67" s="44">
        <v>7.2</v>
      </c>
      <c r="Z67" s="44">
        <v>327.9</v>
      </c>
      <c r="AA67" s="44">
        <v>16.899999999999999</v>
      </c>
      <c r="AB67" s="44">
        <v>58.1</v>
      </c>
      <c r="AC67" s="44">
        <v>70.900000000000006</v>
      </c>
      <c r="AD67" s="17">
        <v>7.069</v>
      </c>
      <c r="AE67" s="44">
        <v>301</v>
      </c>
      <c r="AF67" s="44">
        <v>45.2</v>
      </c>
      <c r="AG67" s="44">
        <v>7.09</v>
      </c>
      <c r="AH67" s="45">
        <f t="shared" ref="AH67:AH80" si="60">AF67/100</f>
        <v>0.45200000000000001</v>
      </c>
      <c r="AI67" s="44">
        <v>34</v>
      </c>
      <c r="AJ67" s="44">
        <v>157.88999999999999</v>
      </c>
      <c r="AK67" s="44">
        <v>7.3125999999999998</v>
      </c>
      <c r="AL67" s="44">
        <f>AL55+1.84</f>
        <v>8.2800000000000011</v>
      </c>
      <c r="AM67" s="45">
        <f t="shared" ref="AM67:AM80" si="61">BR67</f>
        <v>2.8444202777777781E-2</v>
      </c>
      <c r="AN67" s="44">
        <v>261.68</v>
      </c>
      <c r="AO67" s="44">
        <v>77.819999999999993</v>
      </c>
      <c r="AP67" s="44">
        <v>353</v>
      </c>
      <c r="AQ67" s="44">
        <v>2185</v>
      </c>
      <c r="AR67" s="45">
        <v>133.55999999999995</v>
      </c>
      <c r="AS67" s="45">
        <f t="shared" ref="AS67:AS80" si="62">AQ67-AR67</f>
        <v>2051.44</v>
      </c>
      <c r="AT67" s="45">
        <f t="shared" si="48"/>
        <v>34.629999999999995</v>
      </c>
      <c r="AU67" s="45">
        <f t="shared" si="49"/>
        <v>0</v>
      </c>
      <c r="AV67" s="45">
        <f t="shared" si="50"/>
        <v>41</v>
      </c>
      <c r="AW67" s="25">
        <v>15</v>
      </c>
      <c r="AX67" s="54">
        <v>1700</v>
      </c>
      <c r="AY67" s="44">
        <v>34</v>
      </c>
      <c r="AZ67" s="44">
        <v>7.2</v>
      </c>
      <c r="BA67" s="44">
        <v>50</v>
      </c>
      <c r="BB67" s="22">
        <v>2.9999999999999997E-4</v>
      </c>
      <c r="BC67" s="11">
        <v>0.02</v>
      </c>
      <c r="BE67" s="22"/>
      <c r="BF67" s="11">
        <f t="shared" ref="BF67:BF80" si="63">BB67*K67*BH67/1000</f>
        <v>5.1117645696000013E-3</v>
      </c>
      <c r="BG67" s="46">
        <f t="shared" ref="BG67:BG80" si="64">BF67*24*60</f>
        <v>7.3609409802240027</v>
      </c>
      <c r="BH67" s="46">
        <f t="shared" ref="BH67:BH80" si="65">AX67+SUM(AJ67:AL67,AN67:AO67)-(AW67*(D67+1))</f>
        <v>2047.9826000000003</v>
      </c>
      <c r="BI67" s="47">
        <f t="shared" ref="BI67:BI80" si="66">IF(ISBLANK(AN67),"",IFERROR(AN67/BH67,0))</f>
        <v>0.12777452308432696</v>
      </c>
      <c r="BJ67" s="47">
        <f t="shared" ref="BJ67:BJ80" si="67">IF(ISBLANK(AN67),"",AN67/AX67)</f>
        <v>0.1539294117647059</v>
      </c>
      <c r="BK67" s="47">
        <f t="shared" ref="BK67:BK80" si="68">AM67*24*60</f>
        <v>40.959652000000006</v>
      </c>
      <c r="BL67" s="47">
        <f t="shared" ref="BL67:BL80" si="69">IF(B67="Python",BC67*BH67/24/60,"")</f>
        <v>2.8444202777777781E-2</v>
      </c>
      <c r="BM67" s="48" t="str">
        <f>IF(B67="Julia",BD67*BH67/24/60,"")</f>
        <v/>
      </c>
      <c r="BN67" s="48" t="str">
        <f t="shared" ref="BN67:BN80" si="70">IF(B67="No MPC", BB67*K67*BH67/1000,"")</f>
        <v/>
      </c>
      <c r="BO67" s="47">
        <f t="shared" si="53"/>
        <v>15.001472545000004</v>
      </c>
      <c r="BP67" s="51" t="str">
        <f>IF(B67="Julia",BE67*BH67,"")</f>
        <v/>
      </c>
      <c r="BQ67" s="28">
        <f t="shared" si="58"/>
        <v>73.881046176046183</v>
      </c>
      <c r="BR67" s="49">
        <f t="shared" si="59"/>
        <v>2.8444202777777781E-2</v>
      </c>
      <c r="BS67" s="30">
        <f t="shared" ref="BS67:BS74" si="71">IF(BO67&lt;&gt;"",BO67,BP67)</f>
        <v>15.001472545000004</v>
      </c>
    </row>
    <row r="68" spans="1:71" ht="15.75" thickBot="1" x14ac:dyDescent="0.3">
      <c r="A68" s="4" t="s">
        <v>88</v>
      </c>
      <c r="B68" s="5" t="s">
        <v>75</v>
      </c>
      <c r="C68" s="5">
        <v>12</v>
      </c>
      <c r="D68" s="5">
        <v>10</v>
      </c>
      <c r="E68" s="5" t="s">
        <v>96</v>
      </c>
      <c r="F68" s="62">
        <v>45543.4315740741</v>
      </c>
      <c r="G68" s="101">
        <v>5302.42</v>
      </c>
      <c r="H68" s="7"/>
      <c r="I68" s="70">
        <v>5515.9350000000004</v>
      </c>
      <c r="J68" s="7">
        <v>21.5</v>
      </c>
      <c r="K68" s="7">
        <v>19.7</v>
      </c>
      <c r="L68" s="7">
        <v>92</v>
      </c>
      <c r="M68" s="7">
        <v>17.899999999999999</v>
      </c>
      <c r="N68" s="7">
        <v>367</v>
      </c>
      <c r="O68" s="7">
        <v>1.57</v>
      </c>
      <c r="P68" s="7">
        <v>0.19</v>
      </c>
      <c r="Q68" s="7">
        <v>0.66</v>
      </c>
      <c r="R68" s="7"/>
      <c r="S68" s="7">
        <v>0.17</v>
      </c>
      <c r="T68" s="7">
        <v>0.1</v>
      </c>
      <c r="U68" s="7">
        <v>0.73</v>
      </c>
      <c r="V68" s="7">
        <v>7.2640000000000002</v>
      </c>
      <c r="W68" s="7">
        <v>120.2</v>
      </c>
      <c r="X68" s="7">
        <v>31.7</v>
      </c>
      <c r="Y68" s="7">
        <v>1.79</v>
      </c>
      <c r="Z68" s="7">
        <v>160</v>
      </c>
      <c r="AA68" s="7">
        <v>53</v>
      </c>
      <c r="AB68" s="7">
        <v>105.4</v>
      </c>
      <c r="AC68" s="7">
        <v>25.6</v>
      </c>
      <c r="AD68" s="18">
        <v>7.3049999999999997</v>
      </c>
      <c r="AE68" s="7">
        <v>299</v>
      </c>
      <c r="AF68" s="7">
        <v>49.3</v>
      </c>
      <c r="AG68" s="7">
        <v>7.3</v>
      </c>
      <c r="AH68" s="41">
        <f t="shared" si="60"/>
        <v>0.49299999999999999</v>
      </c>
      <c r="AI68" s="7">
        <v>34</v>
      </c>
      <c r="AJ68" s="7">
        <v>28.271000000000001</v>
      </c>
      <c r="AK68" s="7">
        <v>45.024999999999999</v>
      </c>
      <c r="AL68" s="7">
        <f>AL56+1.86</f>
        <v>8.379999999999999</v>
      </c>
      <c r="AM68" s="41">
        <f t="shared" si="61"/>
        <v>1.0622002499999998E-2</v>
      </c>
      <c r="AN68" s="7">
        <v>201.93</v>
      </c>
      <c r="AO68" s="7">
        <v>69.75</v>
      </c>
      <c r="AP68" s="7">
        <v>460</v>
      </c>
      <c r="AQ68" s="7">
        <v>2025</v>
      </c>
      <c r="AR68" s="41">
        <v>51.660000000000082</v>
      </c>
      <c r="AS68" s="41">
        <f t="shared" si="62"/>
        <v>1973.34</v>
      </c>
      <c r="AT68" s="41">
        <f t="shared" si="48"/>
        <v>13.969999999999999</v>
      </c>
      <c r="AU68" s="41">
        <f t="shared" si="49"/>
        <v>13.159999999999997</v>
      </c>
      <c r="AV68" s="41">
        <f t="shared" si="50"/>
        <v>16</v>
      </c>
      <c r="AW68" s="26">
        <v>15</v>
      </c>
      <c r="AX68" s="55">
        <v>1700</v>
      </c>
      <c r="AY68" s="7">
        <v>34</v>
      </c>
      <c r="AZ68" s="7">
        <v>7.2</v>
      </c>
      <c r="BA68" s="7">
        <v>50</v>
      </c>
      <c r="BB68" s="23">
        <v>2.9999999999999997E-4</v>
      </c>
      <c r="BC68" s="12">
        <v>8.0999999999999996E-3</v>
      </c>
      <c r="BD68" s="5"/>
      <c r="BE68" s="23"/>
      <c r="BF68" s="12">
        <f t="shared" si="63"/>
        <v>1.1160183959999999E-2</v>
      </c>
      <c r="BG68" s="13">
        <f t="shared" si="64"/>
        <v>16.070664902399997</v>
      </c>
      <c r="BH68" s="13">
        <f t="shared" si="65"/>
        <v>1888.3559999999998</v>
      </c>
      <c r="BI68" s="14">
        <f t="shared" si="66"/>
        <v>0.10693428569612935</v>
      </c>
      <c r="BJ68" s="14">
        <f t="shared" si="67"/>
        <v>0.11878235294117648</v>
      </c>
      <c r="BK68" s="14">
        <f t="shared" si="68"/>
        <v>15.295683599999997</v>
      </c>
      <c r="BL68" s="14">
        <f t="shared" si="69"/>
        <v>1.0622002499999998E-2</v>
      </c>
      <c r="BM68" s="48" t="str">
        <f>IF(B68="Julia",BD68*BH68/24/60,"")</f>
        <v/>
      </c>
      <c r="BN68" s="36" t="str">
        <f t="shared" si="70"/>
        <v/>
      </c>
      <c r="BO68" s="14">
        <f t="shared" si="53"/>
        <v>11.046882599999998</v>
      </c>
      <c r="BP68" s="52" t="str">
        <f>IF(B68="Julia",BE68*BH68,"")</f>
        <v/>
      </c>
      <c r="BQ68" s="29">
        <f t="shared" si="58"/>
        <v>27.589616883116879</v>
      </c>
      <c r="BR68" s="38">
        <f t="shared" si="59"/>
        <v>1.0622002499999998E-2</v>
      </c>
      <c r="BS68" s="31">
        <f t="shared" si="71"/>
        <v>11.046882599999998</v>
      </c>
    </row>
    <row r="69" spans="1:71" x14ac:dyDescent="0.25">
      <c r="A69" s="2" t="s">
        <v>83</v>
      </c>
      <c r="B69" s="3" t="s">
        <v>74</v>
      </c>
      <c r="C69" s="3">
        <v>12</v>
      </c>
      <c r="D69" s="3">
        <v>11</v>
      </c>
      <c r="E69" s="3" t="s">
        <v>90</v>
      </c>
      <c r="F69" s="60">
        <v>45544.577546296299</v>
      </c>
      <c r="G69" s="98">
        <v>5791.69</v>
      </c>
      <c r="H69" s="6"/>
      <c r="I69" s="6">
        <v>5674.0649999999996</v>
      </c>
      <c r="J69" s="6">
        <v>22.2</v>
      </c>
      <c r="K69" s="6">
        <v>19.899999999999999</v>
      </c>
      <c r="L69" s="6">
        <v>89.7</v>
      </c>
      <c r="M69" s="6">
        <v>17</v>
      </c>
      <c r="N69" s="6">
        <v>355</v>
      </c>
      <c r="O69" s="6">
        <v>1.72</v>
      </c>
      <c r="P69" s="6">
        <v>0.21</v>
      </c>
      <c r="Q69" s="6">
        <v>0</v>
      </c>
      <c r="R69" s="6"/>
      <c r="S69" s="6">
        <v>0.17</v>
      </c>
      <c r="T69" s="6">
        <v>0.28000000000000003</v>
      </c>
      <c r="U69" s="6">
        <v>2.37</v>
      </c>
      <c r="V69" s="6">
        <v>7.2590000000000003</v>
      </c>
      <c r="W69" s="6">
        <v>51.3</v>
      </c>
      <c r="X69" s="6">
        <v>0</v>
      </c>
      <c r="Y69" s="6">
        <v>3.44</v>
      </c>
      <c r="Z69" s="6">
        <v>151.1</v>
      </c>
      <c r="AA69" s="6">
        <v>22.4</v>
      </c>
      <c r="AB69" s="6">
        <v>45</v>
      </c>
      <c r="AC69" s="6">
        <v>0</v>
      </c>
      <c r="AD69" s="16">
        <v>7.3</v>
      </c>
      <c r="AE69" s="6">
        <v>299</v>
      </c>
      <c r="AF69" s="6">
        <v>40.5</v>
      </c>
      <c r="AG69" s="6">
        <v>7.3</v>
      </c>
      <c r="AH69" s="40">
        <f t="shared" si="60"/>
        <v>0.40500000000000003</v>
      </c>
      <c r="AI69" s="6">
        <v>34</v>
      </c>
      <c r="AJ69" s="6">
        <v>27.91</v>
      </c>
      <c r="AK69" s="72">
        <v>47.91</v>
      </c>
      <c r="AL69" s="6">
        <f>AL51+3.09</f>
        <v>8.379999999999999</v>
      </c>
      <c r="AM69" s="42">
        <f t="shared" si="61"/>
        <v>2.7214024885993001E-2</v>
      </c>
      <c r="AN69" s="6">
        <v>181.29</v>
      </c>
      <c r="AO69" s="6">
        <v>73.31</v>
      </c>
      <c r="AP69" s="6">
        <v>485</v>
      </c>
      <c r="AQ69" s="6">
        <v>1912</v>
      </c>
      <c r="AR69" s="40">
        <v>137.11999999999989</v>
      </c>
      <c r="AS69" s="40">
        <f t="shared" si="62"/>
        <v>1774.88</v>
      </c>
      <c r="AT69" s="40">
        <f t="shared" si="48"/>
        <v>11.400000000000006</v>
      </c>
      <c r="AU69" s="40">
        <f t="shared" si="49"/>
        <v>8</v>
      </c>
      <c r="AV69" s="40">
        <f t="shared" si="50"/>
        <v>12</v>
      </c>
      <c r="AW69" s="24">
        <v>15</v>
      </c>
      <c r="AX69" s="53">
        <v>1700</v>
      </c>
      <c r="AY69" s="6">
        <v>34</v>
      </c>
      <c r="AZ69" s="6">
        <v>7.2</v>
      </c>
      <c r="BA69" s="6">
        <v>50</v>
      </c>
      <c r="BB69" s="21">
        <v>2.9999999999999997E-4</v>
      </c>
      <c r="BC69" s="8"/>
      <c r="BD69" s="76">
        <f>BM69*24*60/BH69</f>
        <v>2.1082524120846741E-2</v>
      </c>
      <c r="BE69" s="22">
        <f>BP69/BH69</f>
        <v>5.1774073553105659E-3</v>
      </c>
      <c r="BF69" s="8">
        <f t="shared" si="63"/>
        <v>1.1097035999999998E-2</v>
      </c>
      <c r="BG69" s="9">
        <f t="shared" si="64"/>
        <v>15.979731839999996</v>
      </c>
      <c r="BH69" s="9">
        <f t="shared" si="65"/>
        <v>1858.8</v>
      </c>
      <c r="BI69" s="10">
        <f t="shared" si="66"/>
        <v>9.7530664945125883E-2</v>
      </c>
      <c r="BJ69" s="10">
        <f t="shared" si="67"/>
        <v>0.10664117647058823</v>
      </c>
      <c r="BK69" s="10">
        <f t="shared" si="68"/>
        <v>39.188195835829923</v>
      </c>
      <c r="BL69" s="10" t="str">
        <f t="shared" si="69"/>
        <v/>
      </c>
      <c r="BM69" s="10">
        <v>2.7214024885993001E-2</v>
      </c>
      <c r="BN69" s="35" t="str">
        <f t="shared" si="70"/>
        <v/>
      </c>
      <c r="BO69" s="10" t="str">
        <f t="shared" si="53"/>
        <v/>
      </c>
      <c r="BP69" s="50">
        <v>9.6237647920512792</v>
      </c>
      <c r="BQ69" s="27">
        <f>IF(BL69&lt;&gt;"",BL69/0.000385,IF(BM69&lt;&gt;"",BM69/0.000385,BN69/0.000385))</f>
        <v>70.685778924657143</v>
      </c>
      <c r="BR69" s="37">
        <f>IF(BL69&lt;&gt;"",BL69,IF(BM69&lt;&gt;"",BM69,BN69))</f>
        <v>2.7214024885993001E-2</v>
      </c>
      <c r="BS69" s="32">
        <f t="shared" si="71"/>
        <v>9.6237647920512792</v>
      </c>
    </row>
    <row r="70" spans="1:71" x14ac:dyDescent="0.25">
      <c r="A70" s="1" t="s">
        <v>84</v>
      </c>
      <c r="B70" s="71" t="s">
        <v>74</v>
      </c>
      <c r="C70" s="71">
        <v>12</v>
      </c>
      <c r="D70" s="71">
        <v>11</v>
      </c>
      <c r="E70" s="71"/>
      <c r="F70" s="61">
        <v>45544.6039467593</v>
      </c>
      <c r="G70" s="99">
        <v>5791.69</v>
      </c>
      <c r="H70" s="72"/>
      <c r="I70" s="72">
        <v>6019.3950000000004</v>
      </c>
      <c r="J70" s="72">
        <v>18.8</v>
      </c>
      <c r="K70" s="72">
        <v>17.100000000000001</v>
      </c>
      <c r="L70" s="72">
        <v>90.8</v>
      </c>
      <c r="M70" s="72">
        <v>17.899999999999999</v>
      </c>
      <c r="N70" s="72">
        <v>351</v>
      </c>
      <c r="O70" s="72">
        <v>2.5</v>
      </c>
      <c r="P70" s="72">
        <v>0.21</v>
      </c>
      <c r="Q70" s="72">
        <v>7.0000000000000007E-2</v>
      </c>
      <c r="R70" s="72"/>
      <c r="S70" s="72">
        <v>0</v>
      </c>
      <c r="T70" s="72">
        <v>0.16</v>
      </c>
      <c r="U70" s="72">
        <v>0</v>
      </c>
      <c r="V70" s="72">
        <v>7.2969999999999997</v>
      </c>
      <c r="W70" s="72">
        <v>113.3</v>
      </c>
      <c r="X70" s="72">
        <v>68.3</v>
      </c>
      <c r="Y70" s="72">
        <v>2.4300000000000002</v>
      </c>
      <c r="Z70" s="72">
        <v>155.69999999999999</v>
      </c>
      <c r="AA70" s="72">
        <v>54</v>
      </c>
      <c r="AB70" s="72">
        <v>99.3</v>
      </c>
      <c r="AC70" s="72">
        <v>55.7</v>
      </c>
      <c r="AD70" s="17">
        <v>7.34</v>
      </c>
      <c r="AE70" s="72">
        <v>300</v>
      </c>
      <c r="AF70" s="72">
        <v>48.3</v>
      </c>
      <c r="AG70" s="72">
        <v>7.27</v>
      </c>
      <c r="AH70" s="74">
        <f t="shared" si="60"/>
        <v>0.48299999999999998</v>
      </c>
      <c r="AI70" s="72">
        <v>34</v>
      </c>
      <c r="AJ70" s="72">
        <v>24.57</v>
      </c>
      <c r="AK70" s="44">
        <v>27.96</v>
      </c>
      <c r="AL70" s="72">
        <f>AL52+3.01</f>
        <v>6.01</v>
      </c>
      <c r="AM70" s="74">
        <f t="shared" si="61"/>
        <v>1.7809574480595398E-2</v>
      </c>
      <c r="AN70" s="72">
        <v>205.53</v>
      </c>
      <c r="AO70" s="72">
        <v>79.069999999999993</v>
      </c>
      <c r="AP70" s="72">
        <v>458</v>
      </c>
      <c r="AQ70" s="72">
        <v>1845</v>
      </c>
      <c r="AR70" s="74">
        <v>45.769999999999982</v>
      </c>
      <c r="AS70" s="74">
        <f t="shared" si="62"/>
        <v>1799.23</v>
      </c>
      <c r="AT70" s="74">
        <f t="shared" si="48"/>
        <v>20.22</v>
      </c>
      <c r="AU70" s="74">
        <f t="shared" si="49"/>
        <v>10.819999999999993</v>
      </c>
      <c r="AV70" s="74">
        <f t="shared" si="50"/>
        <v>23</v>
      </c>
      <c r="AW70" s="25">
        <v>15</v>
      </c>
      <c r="AX70" s="54">
        <v>1700</v>
      </c>
      <c r="AY70" s="72">
        <v>34</v>
      </c>
      <c r="AZ70" s="72">
        <v>7.2</v>
      </c>
      <c r="BA70" s="72">
        <v>50</v>
      </c>
      <c r="BB70" s="22">
        <v>2.9999999999999997E-4</v>
      </c>
      <c r="BC70" s="11"/>
      <c r="BD70" s="46">
        <f>BM70*24*60/BH70</f>
        <v>1.3764820277626683E-2</v>
      </c>
      <c r="BE70" s="22">
        <f>BP70/BH70</f>
        <v>4.396909262276265E-3</v>
      </c>
      <c r="BF70" s="11">
        <f t="shared" si="63"/>
        <v>9.5579081999999996E-3</v>
      </c>
      <c r="BG70" s="76">
        <f t="shared" si="64"/>
        <v>13.763387807999999</v>
      </c>
      <c r="BH70" s="76">
        <f t="shared" si="65"/>
        <v>1863.1399999999999</v>
      </c>
      <c r="BI70" s="77">
        <f t="shared" si="66"/>
        <v>0.1103137713752053</v>
      </c>
      <c r="BJ70" s="77">
        <f t="shared" si="67"/>
        <v>0.12090000000000001</v>
      </c>
      <c r="BK70" s="77">
        <f t="shared" si="68"/>
        <v>25.645787252057374</v>
      </c>
      <c r="BL70" s="77" t="str">
        <f t="shared" si="69"/>
        <v/>
      </c>
      <c r="BM70" s="77">
        <v>1.7809574480595398E-2</v>
      </c>
      <c r="BN70" s="78" t="str">
        <f t="shared" si="70"/>
        <v/>
      </c>
      <c r="BO70" s="77" t="str">
        <f t="shared" si="53"/>
        <v/>
      </c>
      <c r="BP70" s="51">
        <v>8.1920575229174002</v>
      </c>
      <c r="BQ70" s="28">
        <f t="shared" ref="BQ70:BQ74" si="72">IF(BL70&lt;&gt;"",BL70/0.000385,IF(BM70&lt;&gt;"",BM70/0.000385,BN70/0.000385))</f>
        <v>46.258635014533503</v>
      </c>
      <c r="BR70" s="49">
        <f t="shared" ref="BR70:BR74" si="73">IF(BL70&lt;&gt;"",BL70,IF(BM70&lt;&gt;"",BM70,BN70))</f>
        <v>1.7809574480595398E-2</v>
      </c>
      <c r="BS70" s="30">
        <f t="shared" si="71"/>
        <v>8.1920575229174002</v>
      </c>
    </row>
    <row r="71" spans="1:71" x14ac:dyDescent="0.25">
      <c r="A71" s="1" t="s">
        <v>85</v>
      </c>
      <c r="B71" t="s">
        <v>74</v>
      </c>
      <c r="C71">
        <v>12</v>
      </c>
      <c r="D71">
        <v>11</v>
      </c>
      <c r="F71" s="61">
        <v>45544.5913657407</v>
      </c>
      <c r="G71" s="100">
        <v>5791.69</v>
      </c>
      <c r="H71" s="44"/>
      <c r="I71" s="44">
        <v>5282.2049999999999</v>
      </c>
      <c r="J71" s="44">
        <v>19.2</v>
      </c>
      <c r="K71" s="44">
        <v>16.5</v>
      </c>
      <c r="L71" s="44">
        <v>86</v>
      </c>
      <c r="M71" s="44">
        <v>19</v>
      </c>
      <c r="N71" s="44">
        <v>446</v>
      </c>
      <c r="O71" s="44">
        <v>2.98</v>
      </c>
      <c r="P71" s="44">
        <v>0.2</v>
      </c>
      <c r="Q71" s="44">
        <v>2.21</v>
      </c>
      <c r="R71" s="44"/>
      <c r="S71" s="44">
        <v>1</v>
      </c>
      <c r="T71" s="44">
        <v>3.23</v>
      </c>
      <c r="U71" s="44">
        <v>1.39</v>
      </c>
      <c r="V71" s="44">
        <v>7.266</v>
      </c>
      <c r="W71" s="44">
        <v>127.3</v>
      </c>
      <c r="X71" s="44">
        <v>20.100000000000001</v>
      </c>
      <c r="Y71" s="44">
        <v>1.48</v>
      </c>
      <c r="Z71" s="44">
        <v>178.2</v>
      </c>
      <c r="AA71" s="44">
        <v>56.4</v>
      </c>
      <c r="AB71" s="44">
        <v>111.7</v>
      </c>
      <c r="AC71" s="44">
        <v>16.3</v>
      </c>
      <c r="AD71" s="17">
        <v>7.3070000000000004</v>
      </c>
      <c r="AE71" s="44">
        <v>298</v>
      </c>
      <c r="AF71" s="44">
        <v>50</v>
      </c>
      <c r="AG71" s="44">
        <v>7.27</v>
      </c>
      <c r="AH71" s="45">
        <f t="shared" si="60"/>
        <v>0.5</v>
      </c>
      <c r="AI71" s="44">
        <v>34</v>
      </c>
      <c r="AJ71" s="44">
        <v>38.049999999999997</v>
      </c>
      <c r="AK71" s="44">
        <v>5.17</v>
      </c>
      <c r="AL71" s="44">
        <f>AL53+3.04</f>
        <v>9.6999999999999993</v>
      </c>
      <c r="AM71" s="45">
        <f t="shared" si="61"/>
        <v>3.24883333333333E-2</v>
      </c>
      <c r="AN71" s="44">
        <v>287.8</v>
      </c>
      <c r="AO71" s="44">
        <v>88.58</v>
      </c>
      <c r="AP71" s="44">
        <v>338</v>
      </c>
      <c r="AQ71" s="44">
        <v>1970</v>
      </c>
      <c r="AR71" s="45">
        <v>84.700000000000045</v>
      </c>
      <c r="AS71" s="45">
        <f t="shared" si="62"/>
        <v>1885.3</v>
      </c>
      <c r="AT71" s="45">
        <f t="shared" si="48"/>
        <v>38.360000000000014</v>
      </c>
      <c r="AU71" s="45">
        <f t="shared" si="49"/>
        <v>3.8199999999999932</v>
      </c>
      <c r="AV71" s="45">
        <f t="shared" si="50"/>
        <v>46</v>
      </c>
      <c r="AW71" s="25">
        <v>15</v>
      </c>
      <c r="AX71" s="54">
        <v>1700</v>
      </c>
      <c r="AY71" s="44">
        <v>34</v>
      </c>
      <c r="AZ71" s="44">
        <v>7.2</v>
      </c>
      <c r="BA71" s="44">
        <v>50</v>
      </c>
      <c r="BB71" s="22">
        <v>2.9999999999999997E-4</v>
      </c>
      <c r="BC71" s="11"/>
      <c r="BD71" s="46">
        <f>BM71*24*60/BH71</f>
        <v>2.3999999999999973E-2</v>
      </c>
      <c r="BE71" s="22">
        <f>BP71/BH71</f>
        <v>5.1005554585699941E-3</v>
      </c>
      <c r="BF71" s="11">
        <f t="shared" si="63"/>
        <v>9.6490350000000003E-3</v>
      </c>
      <c r="BG71" s="46">
        <f t="shared" si="64"/>
        <v>13.894610400000001</v>
      </c>
      <c r="BH71" s="46">
        <f t="shared" si="65"/>
        <v>1949.3000000000002</v>
      </c>
      <c r="BI71" s="47">
        <f t="shared" si="66"/>
        <v>0.14764274354896628</v>
      </c>
      <c r="BJ71" s="47">
        <f t="shared" si="67"/>
        <v>0.16929411764705882</v>
      </c>
      <c r="BK71" s="47">
        <f t="shared" si="68"/>
        <v>46.783199999999951</v>
      </c>
      <c r="BL71" s="47" t="str">
        <f t="shared" si="69"/>
        <v/>
      </c>
      <c r="BM71" s="47">
        <v>3.24883333333333E-2</v>
      </c>
      <c r="BN71" s="48" t="str">
        <f t="shared" si="70"/>
        <v/>
      </c>
      <c r="BO71" s="47" t="str">
        <f t="shared" si="53"/>
        <v/>
      </c>
      <c r="BP71" s="51">
        <v>9.9425127553904904</v>
      </c>
      <c r="BQ71" s="28">
        <f t="shared" si="72"/>
        <v>84.385281385281303</v>
      </c>
      <c r="BR71" s="49">
        <f t="shared" si="73"/>
        <v>3.24883333333333E-2</v>
      </c>
      <c r="BS71" s="30">
        <f t="shared" si="71"/>
        <v>9.9425127553904904</v>
      </c>
    </row>
    <row r="72" spans="1:71" x14ac:dyDescent="0.25">
      <c r="A72" s="1" t="s">
        <v>86</v>
      </c>
      <c r="B72" t="s">
        <v>75</v>
      </c>
      <c r="C72">
        <v>12</v>
      </c>
      <c r="D72">
        <v>11</v>
      </c>
      <c r="F72" s="61">
        <v>45544.610312500001</v>
      </c>
      <c r="G72" s="100">
        <v>5791.69</v>
      </c>
      <c r="H72" s="44"/>
      <c r="I72" s="44">
        <v>5403.24</v>
      </c>
      <c r="J72" s="44">
        <v>19.5</v>
      </c>
      <c r="K72" s="44">
        <v>17.2</v>
      </c>
      <c r="L72" s="44">
        <v>88</v>
      </c>
      <c r="M72" s="44">
        <v>18.899999999999999</v>
      </c>
      <c r="N72" s="44">
        <v>437</v>
      </c>
      <c r="O72" s="44">
        <v>2.12</v>
      </c>
      <c r="P72" s="44">
        <v>0.2</v>
      </c>
      <c r="Q72" s="44">
        <v>0.77</v>
      </c>
      <c r="R72" s="44"/>
      <c r="S72" s="44">
        <v>0.83</v>
      </c>
      <c r="T72" s="44">
        <v>2.97</v>
      </c>
      <c r="U72" s="44">
        <v>2.21</v>
      </c>
      <c r="V72" s="44">
        <v>7.2830000000000004</v>
      </c>
      <c r="W72" s="44">
        <v>125.9</v>
      </c>
      <c r="X72" s="44">
        <v>102.1</v>
      </c>
      <c r="Y72" s="44">
        <v>1.45</v>
      </c>
      <c r="Z72" s="44">
        <v>182.7</v>
      </c>
      <c r="AA72" s="44">
        <v>58</v>
      </c>
      <c r="AB72" s="44">
        <v>110.4</v>
      </c>
      <c r="AC72" s="44">
        <v>85.6</v>
      </c>
      <c r="AD72" s="17">
        <v>7.3239999999999998</v>
      </c>
      <c r="AE72" s="44">
        <v>302</v>
      </c>
      <c r="AF72" s="44">
        <v>100</v>
      </c>
      <c r="AG72" s="44">
        <v>7.3</v>
      </c>
      <c r="AH72" s="45">
        <f t="shared" si="60"/>
        <v>1</v>
      </c>
      <c r="AI72" s="44">
        <v>34</v>
      </c>
      <c r="AJ72" s="44">
        <v>43.09</v>
      </c>
      <c r="AK72" s="44">
        <v>17.54</v>
      </c>
      <c r="AL72" s="44">
        <f>AL54+3.1</f>
        <v>9.86</v>
      </c>
      <c r="AM72" s="45">
        <f t="shared" si="61"/>
        <v>2.3211041666666668E-2</v>
      </c>
      <c r="AN72" s="44">
        <v>273.05</v>
      </c>
      <c r="AO72" s="44">
        <v>79.709999999999994</v>
      </c>
      <c r="AP72" s="44">
        <v>362</v>
      </c>
      <c r="AQ72" s="44">
        <v>1953</v>
      </c>
      <c r="AR72" s="45">
        <v>47.420000000000073</v>
      </c>
      <c r="AS72" s="45">
        <f t="shared" si="62"/>
        <v>1905.58</v>
      </c>
      <c r="AT72" s="45">
        <f t="shared" si="48"/>
        <v>39.120000000000005</v>
      </c>
      <c r="AU72" s="45">
        <f t="shared" si="49"/>
        <v>8.8399999999999892</v>
      </c>
      <c r="AV72" s="45">
        <f t="shared" si="50"/>
        <v>44</v>
      </c>
      <c r="AW72" s="25">
        <v>15</v>
      </c>
      <c r="AX72" s="54">
        <v>1700</v>
      </c>
      <c r="AY72" s="44">
        <v>34</v>
      </c>
      <c r="AZ72" s="44">
        <v>7.2</v>
      </c>
      <c r="BA72" s="44">
        <v>50</v>
      </c>
      <c r="BB72" s="22">
        <v>2.9999999999999997E-4</v>
      </c>
      <c r="BC72" s="11">
        <v>1.72E-2</v>
      </c>
      <c r="BE72" s="22"/>
      <c r="BF72" s="11">
        <f t="shared" si="63"/>
        <v>1.002717E-2</v>
      </c>
      <c r="BG72" s="46">
        <f t="shared" si="64"/>
        <v>14.4391248</v>
      </c>
      <c r="BH72" s="46">
        <f t="shared" si="65"/>
        <v>1943.25</v>
      </c>
      <c r="BI72" s="47">
        <f t="shared" si="66"/>
        <v>0.14051202881770231</v>
      </c>
      <c r="BJ72" s="47">
        <f t="shared" si="67"/>
        <v>0.16061764705882353</v>
      </c>
      <c r="BK72" s="47">
        <f t="shared" si="68"/>
        <v>33.423900000000003</v>
      </c>
      <c r="BL72" s="47">
        <f t="shared" si="69"/>
        <v>2.3211041666666668E-2</v>
      </c>
      <c r="BM72" s="48" t="str">
        <f t="shared" ref="BM72:BM80" si="74">IF(B72="Julia",BD72*BH72/24/60,"")</f>
        <v/>
      </c>
      <c r="BN72" s="48" t="str">
        <f t="shared" si="70"/>
        <v/>
      </c>
      <c r="BO72" s="47">
        <f t="shared" si="53"/>
        <v>10.833618750000001</v>
      </c>
      <c r="BP72" s="51" t="str">
        <f t="shared" ref="BP72:BP80" si="75">IF(B72="Julia",BE72*BH72,"")</f>
        <v/>
      </c>
      <c r="BQ72" s="28">
        <f t="shared" si="72"/>
        <v>60.288419913419922</v>
      </c>
      <c r="BR72" s="49">
        <f t="shared" si="73"/>
        <v>2.3211041666666668E-2</v>
      </c>
      <c r="BS72" s="30">
        <f t="shared" si="71"/>
        <v>10.833618750000001</v>
      </c>
    </row>
    <row r="73" spans="1:71" x14ac:dyDescent="0.25">
      <c r="A73" s="1" t="s">
        <v>87</v>
      </c>
      <c r="B73" t="s">
        <v>75</v>
      </c>
      <c r="C73">
        <v>12</v>
      </c>
      <c r="D73">
        <v>11</v>
      </c>
      <c r="E73" t="s">
        <v>97</v>
      </c>
      <c r="F73" s="61">
        <v>45544.616192129601</v>
      </c>
      <c r="G73" s="100">
        <v>5791.69</v>
      </c>
      <c r="H73" s="44"/>
      <c r="I73" s="44">
        <v>2556.4050000000002</v>
      </c>
      <c r="J73" s="44">
        <v>20.2</v>
      </c>
      <c r="K73" s="44">
        <v>0.54700000000000004</v>
      </c>
      <c r="L73" s="44">
        <v>2.71</v>
      </c>
      <c r="M73" s="44">
        <v>13.7</v>
      </c>
      <c r="N73" s="44">
        <v>869</v>
      </c>
      <c r="O73" s="44"/>
      <c r="P73" s="44">
        <v>0.23</v>
      </c>
      <c r="Q73" s="44">
        <v>6.87</v>
      </c>
      <c r="R73" s="44"/>
      <c r="S73" s="44">
        <v>0.97</v>
      </c>
      <c r="T73" s="44">
        <v>4.58</v>
      </c>
      <c r="U73" s="69">
        <v>18.855989999999998</v>
      </c>
      <c r="V73" s="44">
        <v>7.2770000000000001</v>
      </c>
      <c r="W73" s="44">
        <v>5.8</v>
      </c>
      <c r="X73" s="44">
        <v>95.2</v>
      </c>
      <c r="Y73" s="44">
        <v>7.36</v>
      </c>
      <c r="Z73" s="44">
        <v>318.8</v>
      </c>
      <c r="AA73" s="44">
        <v>2.6</v>
      </c>
      <c r="AB73" s="44">
        <v>5.0999999999999996</v>
      </c>
      <c r="AC73" s="44">
        <v>79.2</v>
      </c>
      <c r="AD73" s="17">
        <v>7.3179999999999996</v>
      </c>
      <c r="AE73" s="44">
        <v>299</v>
      </c>
      <c r="AF73" s="44">
        <v>52.4</v>
      </c>
      <c r="AG73" s="44">
        <v>7.3</v>
      </c>
      <c r="AH73" s="45">
        <f t="shared" si="60"/>
        <v>0.52400000000000002</v>
      </c>
      <c r="AI73" s="44">
        <v>34</v>
      </c>
      <c r="AJ73" s="44">
        <v>150</v>
      </c>
      <c r="AK73" s="44">
        <v>9.64</v>
      </c>
      <c r="AL73" s="44">
        <f>AL55+2.98</f>
        <v>9.42</v>
      </c>
      <c r="AM73" s="45">
        <f t="shared" si="61"/>
        <v>2.9077638888888889E-2</v>
      </c>
      <c r="AN73" s="44">
        <v>310.07</v>
      </c>
      <c r="AO73" s="44">
        <v>94.46</v>
      </c>
      <c r="AP73" s="44">
        <v>295</v>
      </c>
      <c r="AQ73" s="44">
        <v>2159</v>
      </c>
      <c r="AR73" s="45">
        <v>133.55999999999995</v>
      </c>
      <c r="AS73" s="45">
        <f t="shared" si="62"/>
        <v>2025.44</v>
      </c>
      <c r="AT73" s="45">
        <f t="shared" ref="AT73:AT80" si="76">AN73-AN67</f>
        <v>48.389999999999986</v>
      </c>
      <c r="AU73" s="45">
        <f t="shared" ref="AU73:AU80" si="77">AO73-AO67</f>
        <v>16.64</v>
      </c>
      <c r="AV73" s="45">
        <f t="shared" ref="AV73:AV80" si="78">AP67-AP73</f>
        <v>58</v>
      </c>
      <c r="AW73" s="25">
        <v>15</v>
      </c>
      <c r="AX73" s="54">
        <v>1700</v>
      </c>
      <c r="AY73" s="44">
        <v>34</v>
      </c>
      <c r="AZ73" s="44">
        <v>7.2</v>
      </c>
      <c r="BA73" s="44">
        <v>50</v>
      </c>
      <c r="BB73" s="22">
        <v>2.9999999999999997E-4</v>
      </c>
      <c r="BC73" s="11">
        <v>0.02</v>
      </c>
      <c r="BE73" s="22"/>
      <c r="BF73" s="11">
        <f t="shared" si="63"/>
        <v>3.4355811900000006E-4</v>
      </c>
      <c r="BG73" s="46">
        <f t="shared" si="64"/>
        <v>0.49472369136000011</v>
      </c>
      <c r="BH73" s="46">
        <f t="shared" si="65"/>
        <v>2093.59</v>
      </c>
      <c r="BI73" s="47">
        <f t="shared" si="66"/>
        <v>0.14810445216112036</v>
      </c>
      <c r="BJ73" s="47">
        <f t="shared" si="67"/>
        <v>0.18239411764705882</v>
      </c>
      <c r="BK73" s="47">
        <f t="shared" si="68"/>
        <v>41.871799999999993</v>
      </c>
      <c r="BL73" s="47">
        <f t="shared" si="69"/>
        <v>2.9077638888888889E-2</v>
      </c>
      <c r="BM73" s="48" t="str">
        <f t="shared" si="74"/>
        <v/>
      </c>
      <c r="BN73" s="48" t="str">
        <f t="shared" si="70"/>
        <v/>
      </c>
      <c r="BO73" s="47">
        <f t="shared" si="53"/>
        <v>0</v>
      </c>
      <c r="BP73" s="51" t="str">
        <f t="shared" si="75"/>
        <v/>
      </c>
      <c r="BQ73" s="28">
        <f t="shared" si="72"/>
        <v>75.526334776334778</v>
      </c>
      <c r="BR73" s="49">
        <f t="shared" si="73"/>
        <v>2.9077638888888889E-2</v>
      </c>
      <c r="BS73" s="30">
        <f t="shared" si="71"/>
        <v>0</v>
      </c>
    </row>
    <row r="74" spans="1:71" ht="15.75" thickBot="1" x14ac:dyDescent="0.3">
      <c r="A74" s="4" t="s">
        <v>88</v>
      </c>
      <c r="B74" s="5" t="s">
        <v>75</v>
      </c>
      <c r="C74" s="5">
        <v>12</v>
      </c>
      <c r="D74" s="5">
        <v>11</v>
      </c>
      <c r="E74" s="5"/>
      <c r="F74" s="62">
        <v>45544.621018518519</v>
      </c>
      <c r="G74" s="101">
        <v>5791.69</v>
      </c>
      <c r="H74" s="7"/>
      <c r="I74" s="7">
        <v>6130.83</v>
      </c>
      <c r="J74" s="7">
        <v>19.8</v>
      </c>
      <c r="K74" s="7">
        <v>17.899999999999999</v>
      </c>
      <c r="L74" s="7">
        <v>90.2</v>
      </c>
      <c r="M74" s="7">
        <v>17.8</v>
      </c>
      <c r="N74" s="7">
        <v>359</v>
      </c>
      <c r="O74" s="7">
        <v>1.91</v>
      </c>
      <c r="P74" s="7">
        <v>0.18</v>
      </c>
      <c r="Q74" s="7">
        <v>0.4</v>
      </c>
      <c r="R74" s="7"/>
      <c r="S74" s="7">
        <v>0.09</v>
      </c>
      <c r="T74" s="7">
        <v>0.13</v>
      </c>
      <c r="U74" s="7">
        <v>0.05</v>
      </c>
      <c r="V74" s="7">
        <v>7.2969999999999997</v>
      </c>
      <c r="W74" s="7">
        <v>117.9</v>
      </c>
      <c r="X74" s="7">
        <v>40.700000000000003</v>
      </c>
      <c r="Y74" s="7">
        <v>1.92</v>
      </c>
      <c r="Z74" s="7">
        <v>159.1</v>
      </c>
      <c r="AA74" s="7">
        <v>56.2</v>
      </c>
      <c r="AB74" s="7">
        <v>103.4</v>
      </c>
      <c r="AC74" s="7">
        <v>32.9</v>
      </c>
      <c r="AD74" s="18">
        <v>7.3390000000000004</v>
      </c>
      <c r="AE74" s="7">
        <v>298</v>
      </c>
      <c r="AF74" s="7">
        <v>49.9</v>
      </c>
      <c r="AG74" s="7">
        <v>7.29</v>
      </c>
      <c r="AH74" s="41">
        <f t="shared" si="60"/>
        <v>0.499</v>
      </c>
      <c r="AI74" s="7">
        <v>34</v>
      </c>
      <c r="AJ74" s="7">
        <v>28.27</v>
      </c>
      <c r="AK74" s="7">
        <v>45.05</v>
      </c>
      <c r="AL74" s="7">
        <f>AL56+3.03</f>
        <v>9.5499999999999989</v>
      </c>
      <c r="AM74" s="41">
        <f t="shared" si="61"/>
        <v>1.07172E-2</v>
      </c>
      <c r="AN74" s="7">
        <v>220.19</v>
      </c>
      <c r="AO74" s="7">
        <v>82.22</v>
      </c>
      <c r="AP74" s="7">
        <v>438</v>
      </c>
      <c r="AQ74" s="7">
        <v>1899</v>
      </c>
      <c r="AR74" s="41">
        <v>51.660000000000082</v>
      </c>
      <c r="AS74" s="41">
        <f t="shared" si="62"/>
        <v>1847.34</v>
      </c>
      <c r="AT74" s="41">
        <f t="shared" si="76"/>
        <v>18.259999999999991</v>
      </c>
      <c r="AU74" s="41">
        <f t="shared" si="77"/>
        <v>12.469999999999999</v>
      </c>
      <c r="AV74" s="41">
        <f t="shared" si="78"/>
        <v>22</v>
      </c>
      <c r="AW74" s="26">
        <v>15</v>
      </c>
      <c r="AX74" s="55">
        <v>1700</v>
      </c>
      <c r="AY74" s="7">
        <v>34</v>
      </c>
      <c r="AZ74" s="7">
        <v>7.2</v>
      </c>
      <c r="BA74" s="7">
        <v>50</v>
      </c>
      <c r="BB74" s="23">
        <v>2.9999999999999997E-4</v>
      </c>
      <c r="BC74" s="12">
        <v>8.0999999999999996E-3</v>
      </c>
      <c r="BD74" s="5"/>
      <c r="BE74" s="23"/>
      <c r="BF74" s="12">
        <f t="shared" si="63"/>
        <v>1.0231353599999996E-2</v>
      </c>
      <c r="BG74" s="13">
        <f t="shared" si="64"/>
        <v>14.733149183999995</v>
      </c>
      <c r="BH74" s="13">
        <f t="shared" si="65"/>
        <v>1905.2799999999997</v>
      </c>
      <c r="BI74" s="14">
        <f t="shared" si="66"/>
        <v>0.11556831541820627</v>
      </c>
      <c r="BJ74" s="14">
        <f t="shared" si="67"/>
        <v>0.1295235294117647</v>
      </c>
      <c r="BK74" s="14">
        <f t="shared" si="68"/>
        <v>15.432768000000001</v>
      </c>
      <c r="BL74" s="14">
        <f t="shared" si="69"/>
        <v>1.07172E-2</v>
      </c>
      <c r="BM74" s="48" t="str">
        <f t="shared" si="74"/>
        <v/>
      </c>
      <c r="BN74" s="36" t="str">
        <f t="shared" si="70"/>
        <v/>
      </c>
      <c r="BO74" s="14">
        <f t="shared" si="53"/>
        <v>12.384319999999997</v>
      </c>
      <c r="BP74" s="52" t="str">
        <f t="shared" si="75"/>
        <v/>
      </c>
      <c r="BQ74" s="29">
        <f t="shared" si="72"/>
        <v>27.836883116883119</v>
      </c>
      <c r="BR74" s="38">
        <f t="shared" si="73"/>
        <v>1.07172E-2</v>
      </c>
      <c r="BS74" s="31">
        <f t="shared" si="71"/>
        <v>12.384319999999997</v>
      </c>
    </row>
    <row r="75" spans="1:71" x14ac:dyDescent="0.25">
      <c r="A75" s="2" t="s">
        <v>83</v>
      </c>
      <c r="B75" s="3" t="s">
        <v>74</v>
      </c>
      <c r="C75" s="3">
        <v>12</v>
      </c>
      <c r="D75" s="3">
        <v>12</v>
      </c>
      <c r="E75" s="3"/>
      <c r="F75" s="60">
        <v>45545.392534722203</v>
      </c>
      <c r="G75" s="98">
        <v>6118.18</v>
      </c>
      <c r="H75" s="6"/>
      <c r="I75" s="6">
        <v>6054.6149999999998</v>
      </c>
      <c r="J75" s="6">
        <v>20.3</v>
      </c>
      <c r="K75" s="6">
        <v>16.600000000000001</v>
      </c>
      <c r="L75" s="6">
        <v>81.8</v>
      </c>
      <c r="M75" s="6">
        <v>17.600000000000001</v>
      </c>
      <c r="N75" s="6">
        <v>376</v>
      </c>
      <c r="O75" s="6">
        <v>1.22</v>
      </c>
      <c r="P75" s="6">
        <v>0.24</v>
      </c>
      <c r="Q75" s="6">
        <v>3.54</v>
      </c>
      <c r="R75" s="6"/>
      <c r="S75" s="6">
        <v>0.28000000000000003</v>
      </c>
      <c r="T75" s="6">
        <v>0.36</v>
      </c>
      <c r="U75" s="6">
        <v>0.96</v>
      </c>
      <c r="V75" s="6">
        <v>7.1950000000000003</v>
      </c>
      <c r="W75" s="6">
        <v>101.7</v>
      </c>
      <c r="X75" s="6">
        <v>0</v>
      </c>
      <c r="Y75" s="6">
        <v>1.95</v>
      </c>
      <c r="Z75" s="6">
        <v>152.6</v>
      </c>
      <c r="AA75" s="6">
        <v>38.200000000000003</v>
      </c>
      <c r="AB75" s="6">
        <v>89.2</v>
      </c>
      <c r="AC75" s="6">
        <v>0</v>
      </c>
      <c r="AD75" s="16">
        <v>7.2350000000000003</v>
      </c>
      <c r="AE75" s="6">
        <v>299</v>
      </c>
      <c r="AF75" s="6">
        <v>52.3</v>
      </c>
      <c r="AG75" s="6">
        <v>7.21</v>
      </c>
      <c r="AH75" s="40">
        <f t="shared" si="60"/>
        <v>0.52300000000000002</v>
      </c>
      <c r="AI75" s="6">
        <v>34</v>
      </c>
      <c r="AJ75" s="6">
        <v>27.91</v>
      </c>
      <c r="AK75" s="44">
        <v>48.36</v>
      </c>
      <c r="AL75" s="6">
        <f>AL51+3.79</f>
        <v>9.08</v>
      </c>
      <c r="AM75" s="42">
        <f t="shared" si="61"/>
        <v>0</v>
      </c>
      <c r="AN75" s="6">
        <v>210.09</v>
      </c>
      <c r="AO75" s="6">
        <v>83.64</v>
      </c>
      <c r="AP75" s="6">
        <v>452</v>
      </c>
      <c r="AQ75" s="6">
        <v>1877</v>
      </c>
      <c r="AR75" s="40">
        <v>137.11999999999989</v>
      </c>
      <c r="AS75" s="40">
        <f t="shared" si="62"/>
        <v>1739.88</v>
      </c>
      <c r="AT75" s="40">
        <f t="shared" si="76"/>
        <v>28.800000000000011</v>
      </c>
      <c r="AU75" s="40">
        <f t="shared" si="77"/>
        <v>10.329999999999998</v>
      </c>
      <c r="AV75" s="40">
        <f t="shared" si="78"/>
        <v>33</v>
      </c>
      <c r="AW75" s="24">
        <v>15</v>
      </c>
      <c r="AX75" s="53">
        <v>1700</v>
      </c>
      <c r="AY75" s="6">
        <v>34</v>
      </c>
      <c r="AZ75" s="6">
        <v>7.2</v>
      </c>
      <c r="BA75" s="6">
        <v>50</v>
      </c>
      <c r="BB75" s="21">
        <v>2.9999999999999997E-4</v>
      </c>
      <c r="BC75" s="8"/>
      <c r="BD75" s="9"/>
      <c r="BE75" s="21"/>
      <c r="BF75" s="8">
        <f t="shared" si="63"/>
        <v>9.3827184000000001E-3</v>
      </c>
      <c r="BG75" s="9">
        <f t="shared" si="64"/>
        <v>13.511114495999999</v>
      </c>
      <c r="BH75" s="9">
        <f t="shared" si="65"/>
        <v>1884.08</v>
      </c>
      <c r="BI75" s="10">
        <f t="shared" si="66"/>
        <v>0.11150800390641587</v>
      </c>
      <c r="BJ75" s="10">
        <f t="shared" si="67"/>
        <v>0.12358235294117648</v>
      </c>
      <c r="BK75" s="10">
        <f t="shared" si="68"/>
        <v>0</v>
      </c>
      <c r="BL75" s="10" t="str">
        <f t="shared" si="69"/>
        <v/>
      </c>
      <c r="BM75" s="10">
        <f t="shared" si="74"/>
        <v>0</v>
      </c>
      <c r="BN75" s="35" t="str">
        <f t="shared" si="70"/>
        <v/>
      </c>
      <c r="BO75" s="10" t="str">
        <f t="shared" si="53"/>
        <v/>
      </c>
      <c r="BP75" s="50">
        <f t="shared" si="75"/>
        <v>0</v>
      </c>
      <c r="BQ75" s="27">
        <f>IF(BL75&lt;&gt;"",BL75/0.000385,IF(BM75&lt;&gt;"",BM75/0.000385,BN75/0.000385))</f>
        <v>0</v>
      </c>
      <c r="BR75" s="37">
        <f>IF(BL75&lt;&gt;"",BL75,IF(BM75&lt;&gt;"",BM75,BN75))</f>
        <v>0</v>
      </c>
      <c r="BS75" s="32">
        <f t="shared" ref="BS75:BS80" si="79">IF(BO75&lt;&gt;"",BO75,BP75)</f>
        <v>0</v>
      </c>
    </row>
    <row r="76" spans="1:71" x14ac:dyDescent="0.25">
      <c r="A76" s="1" t="s">
        <v>84</v>
      </c>
      <c r="B76" t="s">
        <v>74</v>
      </c>
      <c r="C76">
        <v>12</v>
      </c>
      <c r="D76">
        <v>12</v>
      </c>
      <c r="F76" s="61">
        <v>45545.396412037</v>
      </c>
      <c r="G76" s="100">
        <v>6118.18</v>
      </c>
      <c r="H76" s="44"/>
      <c r="I76" s="44">
        <v>6468.72</v>
      </c>
      <c r="J76" s="44">
        <v>19.5</v>
      </c>
      <c r="K76" s="44">
        <v>17.600000000000001</v>
      </c>
      <c r="L76" s="44">
        <v>90.4</v>
      </c>
      <c r="M76" s="44">
        <v>18</v>
      </c>
      <c r="N76" s="44">
        <v>359</v>
      </c>
      <c r="O76" s="44">
        <v>2.39</v>
      </c>
      <c r="P76" s="44">
        <v>0.22</v>
      </c>
      <c r="Q76" s="44">
        <v>0.83</v>
      </c>
      <c r="R76" s="44"/>
      <c r="S76" s="44">
        <v>0.11</v>
      </c>
      <c r="T76" s="44">
        <v>0.13</v>
      </c>
      <c r="U76" s="44">
        <v>0.16</v>
      </c>
      <c r="V76" s="44">
        <v>7.1790000000000003</v>
      </c>
      <c r="W76" s="44">
        <v>125.2</v>
      </c>
      <c r="X76" s="44">
        <v>40.6</v>
      </c>
      <c r="Y76" s="44">
        <v>1.65</v>
      </c>
      <c r="Z76" s="44">
        <v>154.1</v>
      </c>
      <c r="AA76" s="44">
        <v>45.2</v>
      </c>
      <c r="AB76" s="44">
        <v>109.8</v>
      </c>
      <c r="AC76" s="44">
        <v>32.799999999999997</v>
      </c>
      <c r="AD76" s="17">
        <v>7.2190000000000003</v>
      </c>
      <c r="AE76" s="44">
        <v>301</v>
      </c>
      <c r="AF76" s="44">
        <v>50.2</v>
      </c>
      <c r="AG76" s="44">
        <v>7.23</v>
      </c>
      <c r="AH76" s="45">
        <f t="shared" si="60"/>
        <v>0.502</v>
      </c>
      <c r="AI76" s="44">
        <v>34</v>
      </c>
      <c r="AJ76" s="44">
        <v>24.57</v>
      </c>
      <c r="AK76" s="44">
        <v>28.85</v>
      </c>
      <c r="AL76" s="44">
        <f>AL52+3.7</f>
        <v>6.7</v>
      </c>
      <c r="AM76" s="45">
        <f t="shared" si="61"/>
        <v>0</v>
      </c>
      <c r="AN76" s="44">
        <v>225.39</v>
      </c>
      <c r="AO76" s="44">
        <v>87.89</v>
      </c>
      <c r="AP76" s="44">
        <v>435</v>
      </c>
      <c r="AQ76" s="44">
        <v>1785</v>
      </c>
      <c r="AR76" s="45">
        <v>45.769999999999982</v>
      </c>
      <c r="AS76" s="45">
        <f t="shared" si="62"/>
        <v>1739.23</v>
      </c>
      <c r="AT76" s="45">
        <f t="shared" si="76"/>
        <v>19.859999999999985</v>
      </c>
      <c r="AU76" s="45">
        <f t="shared" si="77"/>
        <v>8.8200000000000074</v>
      </c>
      <c r="AV76" s="45">
        <f t="shared" si="78"/>
        <v>23</v>
      </c>
      <c r="AW76" s="25">
        <v>15</v>
      </c>
      <c r="AX76" s="54">
        <v>1700</v>
      </c>
      <c r="AY76" s="44">
        <v>34</v>
      </c>
      <c r="AZ76" s="44">
        <v>7.2</v>
      </c>
      <c r="BA76" s="44">
        <v>50</v>
      </c>
      <c r="BB76" s="22">
        <v>2.9999999999999997E-4</v>
      </c>
      <c r="BC76" s="11"/>
      <c r="BD76" s="46"/>
      <c r="BE76" s="22"/>
      <c r="BF76" s="11">
        <f t="shared" si="63"/>
        <v>9.917951999999999E-3</v>
      </c>
      <c r="BG76" s="46">
        <f t="shared" si="64"/>
        <v>14.281850879999997</v>
      </c>
      <c r="BH76" s="46">
        <f t="shared" si="65"/>
        <v>1878.4</v>
      </c>
      <c r="BI76" s="47">
        <f t="shared" si="66"/>
        <v>0.11999041737649062</v>
      </c>
      <c r="BJ76" s="47">
        <f t="shared" si="67"/>
        <v>0.13258235294117646</v>
      </c>
      <c r="BK76" s="47">
        <f t="shared" si="68"/>
        <v>0</v>
      </c>
      <c r="BL76" s="47" t="str">
        <f t="shared" si="69"/>
        <v/>
      </c>
      <c r="BM76" s="47">
        <f t="shared" si="74"/>
        <v>0</v>
      </c>
      <c r="BN76" s="48" t="str">
        <f t="shared" si="70"/>
        <v/>
      </c>
      <c r="BO76" s="47" t="str">
        <f t="shared" si="53"/>
        <v/>
      </c>
      <c r="BP76" s="51">
        <f t="shared" si="75"/>
        <v>0</v>
      </c>
      <c r="BQ76" s="28">
        <f t="shared" ref="BQ76:BQ80" si="80">IF(BL76&lt;&gt;"",BL76/0.000385,IF(BM76&lt;&gt;"",BM76/0.000385,BN76/0.000385))</f>
        <v>0</v>
      </c>
      <c r="BR76" s="49">
        <f t="shared" ref="BR76:BR80" si="81">IF(BL76&lt;&gt;"",BL76,IF(BM76&lt;&gt;"",BM76,BN76))</f>
        <v>0</v>
      </c>
      <c r="BS76" s="30">
        <f t="shared" si="79"/>
        <v>0</v>
      </c>
    </row>
    <row r="77" spans="1:71" x14ac:dyDescent="0.25">
      <c r="A77" s="1" t="s">
        <v>85</v>
      </c>
      <c r="B77" t="s">
        <v>74</v>
      </c>
      <c r="C77">
        <v>12</v>
      </c>
      <c r="D77">
        <v>12</v>
      </c>
      <c r="F77" s="61">
        <v>45545.400358796302</v>
      </c>
      <c r="G77" s="100">
        <v>6118.18</v>
      </c>
      <c r="H77" s="44"/>
      <c r="I77" s="44">
        <v>5555.64</v>
      </c>
      <c r="J77" s="44">
        <v>18.5</v>
      </c>
      <c r="K77" s="44">
        <v>15.5</v>
      </c>
      <c r="L77" s="44">
        <v>83.8</v>
      </c>
      <c r="M77" s="44">
        <v>18.8</v>
      </c>
      <c r="N77" s="44">
        <v>463</v>
      </c>
      <c r="O77" s="44">
        <v>3.89</v>
      </c>
      <c r="P77" s="44">
        <v>0.22</v>
      </c>
      <c r="Q77" s="44">
        <v>3.86</v>
      </c>
      <c r="R77" s="44"/>
      <c r="S77" s="44">
        <v>1.3</v>
      </c>
      <c r="T77" s="44">
        <v>4.2</v>
      </c>
      <c r="U77" s="44">
        <v>1.34</v>
      </c>
      <c r="V77" s="44">
        <v>7.2329999999999997</v>
      </c>
      <c r="W77" s="44">
        <v>116.5</v>
      </c>
      <c r="X77" s="44">
        <v>21.9</v>
      </c>
      <c r="Y77" s="44">
        <v>1.24</v>
      </c>
      <c r="Z77" s="44">
        <v>178.2</v>
      </c>
      <c r="AA77" s="44">
        <v>47.8</v>
      </c>
      <c r="AB77" s="44">
        <v>102.2</v>
      </c>
      <c r="AC77" s="44">
        <v>17.7</v>
      </c>
      <c r="AD77" s="17">
        <v>7.274</v>
      </c>
      <c r="AE77" s="44">
        <v>300</v>
      </c>
      <c r="AF77" s="44">
        <v>50.7</v>
      </c>
      <c r="AG77" s="44">
        <v>7.25</v>
      </c>
      <c r="AH77" s="45">
        <f t="shared" si="60"/>
        <v>0.50700000000000001</v>
      </c>
      <c r="AI77" s="44">
        <v>34</v>
      </c>
      <c r="AJ77" s="44">
        <v>38.049999999999997</v>
      </c>
      <c r="AK77" s="44">
        <v>5.17</v>
      </c>
      <c r="AL77" s="44">
        <f>AL53+3.75</f>
        <v>10.41</v>
      </c>
      <c r="AM77" s="45">
        <f t="shared" si="61"/>
        <v>0</v>
      </c>
      <c r="AN77" s="44">
        <v>324.02</v>
      </c>
      <c r="AO77" s="44">
        <v>99.25</v>
      </c>
      <c r="AP77" s="44">
        <v>295</v>
      </c>
      <c r="AQ77" s="44">
        <v>1948</v>
      </c>
      <c r="AR77" s="45">
        <v>84.700000000000045</v>
      </c>
      <c r="AS77" s="45">
        <f t="shared" si="62"/>
        <v>1863.3</v>
      </c>
      <c r="AT77" s="45">
        <f t="shared" si="76"/>
        <v>36.21999999999997</v>
      </c>
      <c r="AU77" s="45">
        <f t="shared" si="77"/>
        <v>10.670000000000002</v>
      </c>
      <c r="AV77" s="45">
        <f t="shared" si="78"/>
        <v>43</v>
      </c>
      <c r="AW77" s="25">
        <v>15</v>
      </c>
      <c r="AX77" s="54">
        <v>1700</v>
      </c>
      <c r="AY77" s="44">
        <v>34</v>
      </c>
      <c r="AZ77" s="44">
        <v>7.2</v>
      </c>
      <c r="BA77" s="44">
        <v>50</v>
      </c>
      <c r="BB77" s="22">
        <v>2.9999999999999997E-4</v>
      </c>
      <c r="BC77" s="11"/>
      <c r="BD77" s="46"/>
      <c r="BE77" s="22"/>
      <c r="BF77" s="11">
        <f t="shared" si="63"/>
        <v>9.2158350000000003E-3</v>
      </c>
      <c r="BG77" s="46">
        <f t="shared" si="64"/>
        <v>13.270802400000001</v>
      </c>
      <c r="BH77" s="46">
        <f t="shared" si="65"/>
        <v>1981.9</v>
      </c>
      <c r="BI77" s="47">
        <f t="shared" si="66"/>
        <v>0.16348958070538372</v>
      </c>
      <c r="BJ77" s="47">
        <f t="shared" si="67"/>
        <v>0.19059999999999999</v>
      </c>
      <c r="BK77" s="47">
        <f t="shared" si="68"/>
        <v>0</v>
      </c>
      <c r="BL77" s="47" t="str">
        <f t="shared" si="69"/>
        <v/>
      </c>
      <c r="BM77" s="47">
        <f t="shared" si="74"/>
        <v>0</v>
      </c>
      <c r="BN77" s="48" t="str">
        <f t="shared" si="70"/>
        <v/>
      </c>
      <c r="BO77" s="47" t="str">
        <f t="shared" si="53"/>
        <v/>
      </c>
      <c r="BP77" s="51">
        <f t="shared" si="75"/>
        <v>0</v>
      </c>
      <c r="BQ77" s="28">
        <f t="shared" si="80"/>
        <v>0</v>
      </c>
      <c r="BR77" s="49">
        <f t="shared" si="81"/>
        <v>0</v>
      </c>
      <c r="BS77" s="30">
        <f t="shared" si="79"/>
        <v>0</v>
      </c>
    </row>
    <row r="78" spans="1:71" x14ac:dyDescent="0.25">
      <c r="A78" s="1" t="s">
        <v>86</v>
      </c>
      <c r="B78" t="s">
        <v>75</v>
      </c>
      <c r="C78">
        <v>12</v>
      </c>
      <c r="D78">
        <v>12</v>
      </c>
      <c r="F78" s="61">
        <v>45545.404328703698</v>
      </c>
      <c r="G78" s="100">
        <v>6118.18</v>
      </c>
      <c r="H78" s="44"/>
      <c r="I78" s="44">
        <v>5741.085</v>
      </c>
      <c r="J78" s="44">
        <v>18.899999999999999</v>
      </c>
      <c r="K78" s="44">
        <v>16.3</v>
      </c>
      <c r="L78" s="44">
        <v>86.2</v>
      </c>
      <c r="M78" s="44">
        <v>19</v>
      </c>
      <c r="N78" s="44">
        <v>451</v>
      </c>
      <c r="O78" s="44">
        <v>2.31</v>
      </c>
      <c r="P78" s="44">
        <v>0.21</v>
      </c>
      <c r="Q78" s="44">
        <v>2.1800000000000002</v>
      </c>
      <c r="R78" s="44"/>
      <c r="S78" s="44">
        <v>1.19</v>
      </c>
      <c r="T78" s="44">
        <v>3.68</v>
      </c>
      <c r="U78" s="44">
        <v>1.96</v>
      </c>
      <c r="V78" s="44">
        <v>7.27</v>
      </c>
      <c r="W78" s="44">
        <v>112.6</v>
      </c>
      <c r="X78" s="44">
        <v>20.9</v>
      </c>
      <c r="Y78" s="44">
        <v>1.23</v>
      </c>
      <c r="Z78" s="44">
        <v>182.1</v>
      </c>
      <c r="AA78" s="44">
        <v>50.4</v>
      </c>
      <c r="AB78" s="44">
        <v>98.7</v>
      </c>
      <c r="AC78" s="44">
        <v>16.899999999999999</v>
      </c>
      <c r="AD78" s="17">
        <v>7.3120000000000003</v>
      </c>
      <c r="AE78" s="44">
        <v>299</v>
      </c>
      <c r="AF78" s="44">
        <v>49.3</v>
      </c>
      <c r="AG78" s="44">
        <v>7.3</v>
      </c>
      <c r="AH78" s="45">
        <f t="shared" si="60"/>
        <v>0.49299999999999999</v>
      </c>
      <c r="AI78" s="44">
        <v>34</v>
      </c>
      <c r="AJ78" s="44">
        <v>43.09</v>
      </c>
      <c r="AK78" s="44">
        <v>21.45</v>
      </c>
      <c r="AL78" s="44">
        <f>AL54+3.82</f>
        <v>10.58</v>
      </c>
      <c r="AM78" s="45">
        <f t="shared" si="61"/>
        <v>0</v>
      </c>
      <c r="AN78" s="44">
        <v>299.92</v>
      </c>
      <c r="AO78" s="44">
        <v>91.22</v>
      </c>
      <c r="AP78" s="44">
        <v>332</v>
      </c>
      <c r="AQ78" s="44">
        <v>1913</v>
      </c>
      <c r="AR78" s="45">
        <v>47.420000000000073</v>
      </c>
      <c r="AS78" s="45">
        <f t="shared" si="62"/>
        <v>1865.58</v>
      </c>
      <c r="AT78" s="45">
        <f t="shared" si="76"/>
        <v>26.870000000000005</v>
      </c>
      <c r="AU78" s="45">
        <f t="shared" si="77"/>
        <v>11.510000000000005</v>
      </c>
      <c r="AV78" s="45">
        <f t="shared" si="78"/>
        <v>30</v>
      </c>
      <c r="AW78" s="25">
        <v>15</v>
      </c>
      <c r="AX78" s="54">
        <v>1700</v>
      </c>
      <c r="AY78" s="44">
        <v>34</v>
      </c>
      <c r="AZ78" s="44">
        <v>7.2</v>
      </c>
      <c r="BA78" s="44">
        <v>50</v>
      </c>
      <c r="BB78" s="22">
        <v>2.9999999999999997E-4</v>
      </c>
      <c r="BC78" s="11"/>
      <c r="BE78" s="22"/>
      <c r="BF78" s="11">
        <f t="shared" si="63"/>
        <v>9.6394614000000003E-3</v>
      </c>
      <c r="BG78" s="46">
        <f t="shared" si="64"/>
        <v>13.880824416000001</v>
      </c>
      <c r="BH78" s="46">
        <f t="shared" si="65"/>
        <v>1971.2600000000002</v>
      </c>
      <c r="BI78" s="47">
        <f t="shared" si="66"/>
        <v>0.15214634294816512</v>
      </c>
      <c r="BJ78" s="47">
        <f t="shared" si="67"/>
        <v>0.17642352941176473</v>
      </c>
      <c r="BK78" s="47">
        <f t="shared" si="68"/>
        <v>0</v>
      </c>
      <c r="BL78" s="47">
        <f t="shared" si="69"/>
        <v>0</v>
      </c>
      <c r="BM78" s="48" t="str">
        <f t="shared" si="74"/>
        <v/>
      </c>
      <c r="BN78" s="48" t="str">
        <f t="shared" si="70"/>
        <v/>
      </c>
      <c r="BO78" s="47">
        <f t="shared" si="53"/>
        <v>0</v>
      </c>
      <c r="BP78" s="51" t="str">
        <f t="shared" si="75"/>
        <v/>
      </c>
      <c r="BQ78" s="28">
        <f t="shared" si="80"/>
        <v>0</v>
      </c>
      <c r="BR78" s="49">
        <f t="shared" si="81"/>
        <v>0</v>
      </c>
      <c r="BS78" s="30">
        <f t="shared" si="79"/>
        <v>0</v>
      </c>
    </row>
    <row r="79" spans="1:71" x14ac:dyDescent="0.25">
      <c r="A79" s="1" t="s">
        <v>87</v>
      </c>
      <c r="B79" t="s">
        <v>75</v>
      </c>
      <c r="C79">
        <v>12</v>
      </c>
      <c r="D79">
        <v>12</v>
      </c>
      <c r="E79" s="71" t="s">
        <v>99</v>
      </c>
      <c r="F79" s="61">
        <v>45545.408437500002</v>
      </c>
      <c r="G79" s="100">
        <v>6118.18</v>
      </c>
      <c r="H79" s="44"/>
      <c r="I79" s="44">
        <v>2610.5250000000001</v>
      </c>
      <c r="J79" s="44">
        <v>19.3</v>
      </c>
      <c r="K79" s="44">
        <v>0.56399999999999995</v>
      </c>
      <c r="L79" s="44">
        <v>2.92</v>
      </c>
      <c r="M79" s="44">
        <v>13.5</v>
      </c>
      <c r="N79" s="44">
        <v>882</v>
      </c>
      <c r="O79" s="44"/>
      <c r="P79" s="44">
        <v>0.24</v>
      </c>
      <c r="Q79" s="44">
        <v>7.21</v>
      </c>
      <c r="R79" s="44"/>
      <c r="S79" s="44">
        <v>1.36</v>
      </c>
      <c r="T79" s="44">
        <v>4.67</v>
      </c>
      <c r="U79" s="69">
        <v>18.70524</v>
      </c>
      <c r="V79" s="44">
        <v>7.2850000000000001</v>
      </c>
      <c r="W79" s="44">
        <v>2.4</v>
      </c>
      <c r="X79" s="44">
        <v>120</v>
      </c>
      <c r="Y79" s="44">
        <v>7.15</v>
      </c>
      <c r="Z79" s="44">
        <v>311.39999999999998</v>
      </c>
      <c r="AA79" s="44">
        <v>1.1000000000000001</v>
      </c>
      <c r="AB79" s="44">
        <v>2.1</v>
      </c>
      <c r="AC79" s="44">
        <v>102.7</v>
      </c>
      <c r="AD79" s="17">
        <v>7.327</v>
      </c>
      <c r="AE79" s="44">
        <v>300</v>
      </c>
      <c r="AF79" s="44">
        <v>70</v>
      </c>
      <c r="AG79" s="44">
        <v>7.3</v>
      </c>
      <c r="AH79" s="45">
        <f t="shared" si="60"/>
        <v>0.7</v>
      </c>
      <c r="AI79" s="44">
        <v>34</v>
      </c>
      <c r="AJ79" s="44">
        <v>150</v>
      </c>
      <c r="AK79" s="44">
        <v>11.11</v>
      </c>
      <c r="AL79" s="44">
        <f>AL55+3.67</f>
        <v>10.11</v>
      </c>
      <c r="AM79" s="45">
        <f t="shared" si="61"/>
        <v>0</v>
      </c>
      <c r="AN79" s="44">
        <v>313.83999999999997</v>
      </c>
      <c r="AO79" s="44">
        <v>94.46</v>
      </c>
      <c r="AP79" s="44">
        <v>290</v>
      </c>
      <c r="AQ79" s="44">
        <v>2143</v>
      </c>
      <c r="AR79" s="45">
        <v>133.55999999999995</v>
      </c>
      <c r="AS79" s="45">
        <f t="shared" si="62"/>
        <v>2009.44</v>
      </c>
      <c r="AT79" s="45">
        <f t="shared" si="76"/>
        <v>3.7699999999999818</v>
      </c>
      <c r="AU79" s="45">
        <f t="shared" si="77"/>
        <v>0</v>
      </c>
      <c r="AV79" s="45">
        <f t="shared" si="78"/>
        <v>5</v>
      </c>
      <c r="AW79" s="25">
        <v>15</v>
      </c>
      <c r="AX79" s="54">
        <v>1700</v>
      </c>
      <c r="AY79" s="44">
        <v>34</v>
      </c>
      <c r="AZ79" s="44">
        <v>7.2</v>
      </c>
      <c r="BA79" s="44">
        <v>50</v>
      </c>
      <c r="BB79" s="22">
        <v>2.9999999999999997E-4</v>
      </c>
      <c r="BC79" s="11"/>
      <c r="BE79" s="22"/>
      <c r="BF79" s="11">
        <f t="shared" si="63"/>
        <v>3.5270078399999991E-4</v>
      </c>
      <c r="BG79" s="46">
        <f t="shared" si="64"/>
        <v>0.50788912895999982</v>
      </c>
      <c r="BH79" s="46">
        <f t="shared" si="65"/>
        <v>2084.52</v>
      </c>
      <c r="BI79" s="47">
        <f t="shared" si="66"/>
        <v>0.15055744248076294</v>
      </c>
      <c r="BJ79" s="47">
        <f t="shared" si="67"/>
        <v>0.18461176470588234</v>
      </c>
      <c r="BK79" s="47">
        <f t="shared" si="68"/>
        <v>0</v>
      </c>
      <c r="BL79" s="47">
        <f t="shared" si="69"/>
        <v>0</v>
      </c>
      <c r="BM79" s="48" t="str">
        <f t="shared" si="74"/>
        <v/>
      </c>
      <c r="BN79" s="48" t="str">
        <f t="shared" si="70"/>
        <v/>
      </c>
      <c r="BO79" s="47">
        <f t="shared" si="53"/>
        <v>0</v>
      </c>
      <c r="BP79" s="51" t="str">
        <f t="shared" si="75"/>
        <v/>
      </c>
      <c r="BQ79" s="28">
        <f t="shared" si="80"/>
        <v>0</v>
      </c>
      <c r="BR79" s="49">
        <f t="shared" si="81"/>
        <v>0</v>
      </c>
      <c r="BS79" s="30">
        <f t="shared" si="79"/>
        <v>0</v>
      </c>
    </row>
    <row r="80" spans="1:71" ht="15.75" thickBot="1" x14ac:dyDescent="0.3">
      <c r="A80" s="4" t="s">
        <v>88</v>
      </c>
      <c r="B80" s="5" t="s">
        <v>75</v>
      </c>
      <c r="C80" s="5">
        <v>12</v>
      </c>
      <c r="D80" s="5">
        <v>12</v>
      </c>
      <c r="E80" s="5"/>
      <c r="F80" s="62">
        <v>45545.448750000003</v>
      </c>
      <c r="G80" s="101">
        <v>6118.18</v>
      </c>
      <c r="H80" s="7"/>
      <c r="I80" s="7">
        <v>6376.7849999999999</v>
      </c>
      <c r="J80" s="7">
        <v>20.100000000000001</v>
      </c>
      <c r="K80" s="7">
        <v>17.8</v>
      </c>
      <c r="L80" s="7">
        <v>88.4</v>
      </c>
      <c r="M80" s="7">
        <v>17.7</v>
      </c>
      <c r="N80" s="7">
        <v>368</v>
      </c>
      <c r="O80" s="7">
        <v>1.76</v>
      </c>
      <c r="P80" s="7">
        <v>0.19</v>
      </c>
      <c r="Q80" s="7">
        <v>1.2</v>
      </c>
      <c r="R80" s="7"/>
      <c r="S80" s="7">
        <v>0.16</v>
      </c>
      <c r="T80" s="7">
        <v>0.14000000000000001</v>
      </c>
      <c r="U80" s="7">
        <v>0.36</v>
      </c>
      <c r="V80" s="7">
        <v>7.25</v>
      </c>
      <c r="W80" s="7">
        <v>111.1</v>
      </c>
      <c r="X80" s="7">
        <v>30.8</v>
      </c>
      <c r="Y80" s="7">
        <v>1.76</v>
      </c>
      <c r="Z80" s="7">
        <v>161.4</v>
      </c>
      <c r="AA80" s="7">
        <v>47.4</v>
      </c>
      <c r="AB80" s="7">
        <v>97.4</v>
      </c>
      <c r="AC80" s="7">
        <v>24.9</v>
      </c>
      <c r="AD80" s="18">
        <v>7.2910000000000004</v>
      </c>
      <c r="AE80" s="7">
        <v>301</v>
      </c>
      <c r="AF80" s="7">
        <v>50.9</v>
      </c>
      <c r="AG80" s="7">
        <v>7.3</v>
      </c>
      <c r="AH80" s="41">
        <f t="shared" si="60"/>
        <v>0.50900000000000001</v>
      </c>
      <c r="AI80" s="7">
        <v>34</v>
      </c>
      <c r="AJ80" s="7">
        <v>28.271000000000001</v>
      </c>
      <c r="AK80" s="7">
        <v>48.545000000000002</v>
      </c>
      <c r="AL80" s="7">
        <f>AL56+3.73</f>
        <v>10.25</v>
      </c>
      <c r="AM80" s="41">
        <f t="shared" si="61"/>
        <v>0</v>
      </c>
      <c r="AN80" s="7">
        <v>232.6</v>
      </c>
      <c r="AO80" s="7">
        <v>95.38</v>
      </c>
      <c r="AP80" s="7">
        <v>424</v>
      </c>
      <c r="AQ80" s="7">
        <v>1824</v>
      </c>
      <c r="AR80" s="41">
        <v>51.660000000000082</v>
      </c>
      <c r="AS80" s="41">
        <f t="shared" si="62"/>
        <v>1772.34</v>
      </c>
      <c r="AT80" s="41">
        <f t="shared" si="76"/>
        <v>12.409999999999997</v>
      </c>
      <c r="AU80" s="41">
        <f t="shared" si="77"/>
        <v>13.159999999999997</v>
      </c>
      <c r="AV80" s="41">
        <f t="shared" si="78"/>
        <v>14</v>
      </c>
      <c r="AW80" s="26">
        <v>15</v>
      </c>
      <c r="AX80" s="55">
        <v>1700</v>
      </c>
      <c r="AY80" s="7">
        <v>34</v>
      </c>
      <c r="AZ80" s="7">
        <v>7.2</v>
      </c>
      <c r="BA80" s="7">
        <v>50</v>
      </c>
      <c r="BB80" s="23">
        <v>2.9999999999999997E-4</v>
      </c>
      <c r="BC80" s="12"/>
      <c r="BD80" s="5"/>
      <c r="BE80" s="23"/>
      <c r="BF80" s="12">
        <f t="shared" si="63"/>
        <v>1.025304564E-2</v>
      </c>
      <c r="BG80" s="13">
        <f t="shared" si="64"/>
        <v>14.7643857216</v>
      </c>
      <c r="BH80" s="13">
        <f t="shared" si="65"/>
        <v>1920.0459999999998</v>
      </c>
      <c r="BI80" s="14">
        <f t="shared" si="66"/>
        <v>0.12114293095061265</v>
      </c>
      <c r="BJ80" s="14">
        <f t="shared" si="67"/>
        <v>0.1368235294117647</v>
      </c>
      <c r="BK80" s="14">
        <f t="shared" si="68"/>
        <v>0</v>
      </c>
      <c r="BL80" s="14">
        <f t="shared" si="69"/>
        <v>0</v>
      </c>
      <c r="BM80" s="36" t="str">
        <f t="shared" si="74"/>
        <v/>
      </c>
      <c r="BN80" s="36" t="str">
        <f t="shared" si="70"/>
        <v/>
      </c>
      <c r="BO80" s="14">
        <f t="shared" si="53"/>
        <v>8.6402069999999984</v>
      </c>
      <c r="BP80" s="52" t="str">
        <f t="shared" si="75"/>
        <v/>
      </c>
      <c r="BQ80" s="29">
        <f t="shared" si="80"/>
        <v>0</v>
      </c>
      <c r="BR80" s="38">
        <f t="shared" si="81"/>
        <v>0</v>
      </c>
      <c r="BS80" s="31">
        <f t="shared" si="79"/>
        <v>8.6402069999999984</v>
      </c>
    </row>
    <row r="83" spans="19:28" x14ac:dyDescent="0.25">
      <c r="S83" s="39"/>
    </row>
    <row r="86" spans="19:28" x14ac:dyDescent="0.25">
      <c r="AB86" s="59"/>
    </row>
    <row r="87" spans="19:28" x14ac:dyDescent="0.25">
      <c r="AB87" s="59"/>
    </row>
  </sheetData>
  <autoFilter ref="A2:BP314" xr:uid="{00000000-0001-0000-0000-000000000000}"/>
  <mergeCells count="7">
    <mergeCell ref="A1:F1"/>
    <mergeCell ref="G1:AD1"/>
    <mergeCell ref="BQ1:BS1"/>
    <mergeCell ref="BF1:BP1"/>
    <mergeCell ref="AX1:BB1"/>
    <mergeCell ref="BC1:BE1"/>
    <mergeCell ref="AE1:AW1"/>
  </mergeCells>
  <phoneticPr fontId="18" type="noConversion"/>
  <conditionalFormatting sqref="BC3:BC80">
    <cfRule type="expression" dxfId="4" priority="3">
      <formula>IF($B3 = "Python", TRUE, FALSE)</formula>
    </cfRule>
  </conditionalFormatting>
  <conditionalFormatting sqref="BF3:BK80">
    <cfRule type="notContainsBlanks" dxfId="3" priority="13">
      <formula>LEN(TRIM(BF3))&gt;0</formula>
    </cfRule>
  </conditionalFormatting>
  <conditionalFormatting sqref="BD3:BE80">
    <cfRule type="expression" dxfId="2" priority="10">
      <formula>IF($B3 = "Julia", TRUE, FALSE)</formula>
    </cfRule>
  </conditionalFormatting>
  <conditionalFormatting sqref="BF3:BP80">
    <cfRule type="cellIs" dxfId="1" priority="1" operator="equal">
      <formula>""</formula>
    </cfRule>
    <cfRule type="expression" dxfId="0" priority="211">
      <formula>ISNA($BF$3:$BP$80)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http://schemas.microsoft.com/office/2006/documentManagement/types"/>
    <ds:schemaRef ds:uri="http://schemas.openxmlformats.org/package/2006/metadata/core-properties"/>
    <ds:schemaRef ds:uri="34d8c884-fe7e-4d4f-a833-b92a2823f74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a198008e-c7f6-4ed0-9865-26ace3c97b5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2024-09-11T16:02:52Z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