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624" documentId="14_{29998BAB-B97E-4D42-B36C-5857DA37A7C9}" xr6:coauthVersionLast="47" xr6:coauthVersionMax="47" xr10:uidLastSave="{63D091B6-3F2B-4BC1-A245-7155FD4BA60A}"/>
  <bookViews>
    <workbookView xWindow="28680" yWindow="-1575" windowWidth="38640" windowHeight="212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69" i="1" l="1"/>
  <c r="BE71" i="1"/>
  <c r="BD69" i="1"/>
  <c r="BD71" i="1"/>
  <c r="BE70" i="1"/>
  <c r="BD70" i="1"/>
  <c r="AL74" i="1"/>
  <c r="AL73" i="1"/>
  <c r="AL72" i="1"/>
  <c r="AL71" i="1"/>
  <c r="AL70" i="1"/>
  <c r="AL69" i="1"/>
  <c r="BE63" i="1" l="1"/>
  <c r="BE65" i="1"/>
  <c r="BD63" i="1"/>
  <c r="BD65" i="1"/>
  <c r="BE64" i="1"/>
  <c r="BD64" i="1"/>
  <c r="AL68" i="1" l="1"/>
  <c r="AL67" i="1"/>
  <c r="AL66" i="1"/>
  <c r="AL65" i="1"/>
  <c r="AL64" i="1"/>
  <c r="AL63" i="1"/>
  <c r="AS68" i="1"/>
  <c r="AL62" i="1"/>
  <c r="AL61" i="1"/>
  <c r="AL60" i="1"/>
  <c r="AL59" i="1"/>
  <c r="AL58" i="1"/>
  <c r="AL57" i="1"/>
  <c r="AV9" i="1" l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S14" i="1" l="1"/>
  <c r="AS13" i="1"/>
  <c r="AS12" i="1"/>
  <c r="AS9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1" i="1"/>
  <c r="BO70" i="1"/>
  <c r="BO69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H4" i="1"/>
  <c r="BH3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J73" i="1"/>
  <c r="BJ72" i="1"/>
  <c r="BJ71" i="1"/>
  <c r="BJ70" i="1"/>
  <c r="BJ69" i="1"/>
  <c r="BJ68" i="1"/>
  <c r="BJ67" i="1"/>
  <c r="BJ66" i="1"/>
  <c r="BJ65" i="1"/>
  <c r="BI65" i="1"/>
  <c r="BJ64" i="1"/>
  <c r="BJ63" i="1"/>
  <c r="BJ62" i="1"/>
  <c r="BJ61" i="1"/>
  <c r="BJ60" i="1"/>
  <c r="BJ59" i="1"/>
  <c r="BI59" i="1"/>
  <c r="BJ58" i="1"/>
  <c r="BJ57" i="1"/>
  <c r="BJ56" i="1"/>
  <c r="BJ55" i="1"/>
  <c r="BJ54" i="1"/>
  <c r="BJ53" i="1"/>
  <c r="BJ52" i="1"/>
  <c r="BJ51" i="1"/>
  <c r="BJ50" i="1"/>
  <c r="BJ49" i="1"/>
  <c r="BJ48" i="1"/>
  <c r="BI48" i="1"/>
  <c r="BJ47" i="1"/>
  <c r="BI47" i="1"/>
  <c r="BJ46" i="1"/>
  <c r="BJ45" i="1"/>
  <c r="BJ44" i="1"/>
  <c r="BJ43" i="1"/>
  <c r="BJ42" i="1"/>
  <c r="BJ41" i="1"/>
  <c r="BJ40" i="1"/>
  <c r="BJ39" i="1"/>
  <c r="BI39" i="1"/>
  <c r="BJ38" i="1"/>
  <c r="BJ37" i="1"/>
  <c r="BJ36" i="1"/>
  <c r="BJ35" i="1"/>
  <c r="BJ34" i="1"/>
  <c r="BJ33" i="1"/>
  <c r="BJ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J18" i="1"/>
  <c r="BJ17" i="1"/>
  <c r="BI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H70" i="1"/>
  <c r="BH69" i="1"/>
  <c r="BH68" i="1"/>
  <c r="BL68" i="1" s="1"/>
  <c r="BH67" i="1"/>
  <c r="BL67" i="1" s="1"/>
  <c r="BH66" i="1"/>
  <c r="BL66" i="1" s="1"/>
  <c r="BH65" i="1"/>
  <c r="BH64" i="1"/>
  <c r="BH63" i="1"/>
  <c r="BH62" i="1"/>
  <c r="BO62" i="1" s="1"/>
  <c r="BH61" i="1"/>
  <c r="BO61" i="1" s="1"/>
  <c r="BH60" i="1"/>
  <c r="BO60" i="1" s="1"/>
  <c r="BH59" i="1"/>
  <c r="BH58" i="1"/>
  <c r="BI58" i="1" s="1"/>
  <c r="BH57" i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L48" i="1" s="1"/>
  <c r="BH47" i="1"/>
  <c r="BH46" i="1"/>
  <c r="BH45" i="1"/>
  <c r="BH44" i="1"/>
  <c r="BL44" i="1" s="1"/>
  <c r="BH43" i="1"/>
  <c r="BL43" i="1" s="1"/>
  <c r="BH42" i="1"/>
  <c r="BL42" i="1" s="1"/>
  <c r="BH41" i="1"/>
  <c r="BH40" i="1"/>
  <c r="BI40" i="1" s="1"/>
  <c r="BH39" i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74" i="1" l="1"/>
  <c r="BI73" i="1"/>
  <c r="BI72" i="1"/>
  <c r="BI71" i="1"/>
  <c r="BI70" i="1"/>
  <c r="BI69" i="1"/>
  <c r="BE22" i="1"/>
  <c r="BD22" i="1"/>
  <c r="BI38" i="1"/>
  <c r="BD45" i="1"/>
  <c r="BE45" i="1"/>
  <c r="BE41" i="1"/>
  <c r="BD41" i="1"/>
  <c r="BE46" i="1"/>
  <c r="BD46" i="1"/>
  <c r="BL6" i="1"/>
  <c r="BD23" i="1"/>
  <c r="BE23" i="1"/>
  <c r="BD27" i="1"/>
  <c r="BE27" i="1"/>
  <c r="BD47" i="1"/>
  <c r="BE47" i="1"/>
  <c r="BF3" i="1"/>
  <c r="BD3" i="1"/>
  <c r="BD28" i="1"/>
  <c r="BE28" i="1"/>
  <c r="BP4" i="1"/>
  <c r="BD4" i="1"/>
  <c r="BE40" i="1"/>
  <c r="BD40" i="1"/>
  <c r="BE21" i="1"/>
  <c r="BD21" i="1"/>
  <c r="BE29" i="1"/>
  <c r="BD29" i="1"/>
  <c r="BI5" i="1"/>
  <c r="BD5" i="1"/>
  <c r="BE11" i="1"/>
  <c r="BD11" i="1"/>
  <c r="BD51" i="1"/>
  <c r="BE51" i="1"/>
  <c r="BI13" i="1"/>
  <c r="BI60" i="1"/>
  <c r="BD53" i="1"/>
  <c r="BE53" i="1"/>
  <c r="BE9" i="1"/>
  <c r="BD9" i="1"/>
  <c r="BD52" i="1"/>
  <c r="BE52" i="1"/>
  <c r="BE33" i="1"/>
  <c r="BD33" i="1"/>
  <c r="BD34" i="1"/>
  <c r="BE34" i="1"/>
  <c r="BI32" i="1"/>
  <c r="BI61" i="1"/>
  <c r="BE10" i="1"/>
  <c r="BD10" i="1"/>
  <c r="BE35" i="1"/>
  <c r="BD35" i="1"/>
  <c r="BO72" i="1"/>
  <c r="BS72" i="1" s="1"/>
  <c r="BI62" i="1"/>
  <c r="BO73" i="1"/>
  <c r="BS73" i="1" s="1"/>
  <c r="BE57" i="1"/>
  <c r="BD57" i="1"/>
  <c r="BI49" i="1"/>
  <c r="BO74" i="1"/>
  <c r="BS74" i="1" s="1"/>
  <c r="BE58" i="1"/>
  <c r="BD58" i="1"/>
  <c r="BD39" i="1"/>
  <c r="BE39" i="1"/>
  <c r="BE59" i="1"/>
  <c r="BD59" i="1"/>
  <c r="BI19" i="1"/>
  <c r="BI50" i="1"/>
  <c r="BI68" i="1"/>
  <c r="BO67" i="1"/>
  <c r="BI63" i="1"/>
  <c r="BI64" i="1"/>
  <c r="BI66" i="1"/>
  <c r="BI67" i="1"/>
  <c r="BI57" i="1"/>
  <c r="BI52" i="1"/>
  <c r="BI56" i="1"/>
  <c r="BI55" i="1"/>
  <c r="BI54" i="1"/>
  <c r="BI53" i="1"/>
  <c r="BI51" i="1"/>
  <c r="BO54" i="1"/>
  <c r="BS54" i="1" s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N74" i="1"/>
  <c r="BF74" i="1"/>
  <c r="BG74" i="1" s="1"/>
  <c r="AH74" i="1"/>
  <c r="BN73" i="1"/>
  <c r="BR73" i="1"/>
  <c r="AM73" i="1" s="1"/>
  <c r="BK73" i="1" s="1"/>
  <c r="AH73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AM52" i="1" s="1"/>
  <c r="BK52" i="1" s="1"/>
  <c r="BR17" i="1"/>
  <c r="AM17" i="1" s="1"/>
  <c r="BK17" i="1" s="1"/>
  <c r="BQ17" i="1"/>
  <c r="BQ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R63" i="1"/>
  <c r="AM63" i="1" s="1"/>
  <c r="BK63" i="1" s="1"/>
  <c r="BQ63" i="1"/>
  <c r="BQ28" i="1"/>
  <c r="BR23" i="1"/>
  <c r="AM23" i="1" s="1"/>
  <c r="BK23" i="1" s="1"/>
  <c r="BR41" i="1"/>
  <c r="AM41" i="1" s="1"/>
  <c r="BK41" i="1" s="1"/>
  <c r="BQ65" i="1"/>
  <c r="BQ35" i="1"/>
  <c r="BQ45" i="1"/>
  <c r="BQ57" i="1"/>
  <c r="BQ22" i="1"/>
  <c r="BQ27" i="1"/>
  <c r="BR33" i="1"/>
  <c r="AM33" i="1" s="1"/>
  <c r="BK33" i="1" s="1"/>
  <c r="BR40" i="1"/>
  <c r="AM40" i="1" s="1"/>
  <c r="BK40" i="1" s="1"/>
  <c r="BM75" i="1"/>
  <c r="BR75" i="1" s="1"/>
  <c r="AM75" i="1" s="1"/>
  <c r="BK75" i="1" s="1"/>
  <c r="BR39" i="1"/>
  <c r="AM39" i="1" s="1"/>
  <c r="BK39" i="1" s="1"/>
  <c r="BQ69" i="1"/>
  <c r="BR71" i="1"/>
  <c r="AM71" i="1" s="1"/>
  <c r="BK71" i="1" s="1"/>
  <c r="BQ59" i="1"/>
  <c r="BR70" i="1"/>
  <c r="AM70" i="1" s="1"/>
  <c r="BK70" i="1" s="1"/>
  <c r="BQ34" i="1"/>
  <c r="BQ21" i="1"/>
  <c r="BM77" i="1"/>
  <c r="BR77" i="1" s="1"/>
  <c r="AM77" i="1" s="1"/>
  <c r="BK77" i="1" s="1"/>
  <c r="BQ77" i="1"/>
  <c r="BR58" i="1"/>
  <c r="AM58" i="1" s="1"/>
  <c r="BK58" i="1" s="1"/>
  <c r="BM76" i="1"/>
  <c r="BQ76" i="1" s="1"/>
  <c r="BR46" i="1"/>
  <c r="AM46" i="1" s="1"/>
  <c r="BK46" i="1" s="1"/>
  <c r="BQ53" i="1"/>
  <c r="BR47" i="1"/>
  <c r="AM47" i="1" s="1"/>
  <c r="BK47" i="1" s="1"/>
  <c r="BQ70" i="1" l="1"/>
  <c r="BR69" i="1"/>
  <c r="AM69" i="1" s="1"/>
  <c r="BK69" i="1" s="1"/>
  <c r="BQ71" i="1"/>
  <c r="BQ75" i="1"/>
  <c r="BQ58" i="1"/>
  <c r="BR53" i="1"/>
  <c r="AM53" i="1" s="1"/>
  <c r="BK53" i="1" s="1"/>
  <c r="BR51" i="1"/>
  <c r="AM51" i="1" s="1"/>
  <c r="BK51" i="1" s="1"/>
  <c r="BQ52" i="1"/>
  <c r="BQ47" i="1"/>
  <c r="BQ46" i="1"/>
  <c r="BQ40" i="1"/>
  <c r="BQ39" i="1"/>
  <c r="BQ33" i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  <c r="BS64" i="1"/>
  <c r="BR64" i="1"/>
  <c r="AM64" i="1" s="1"/>
  <c r="BK64" i="1" s="1"/>
  <c r="BQ64" i="1"/>
</calcChain>
</file>

<file path=xl/sharedStrings.xml><?xml version="1.0" encoding="utf-8"?>
<sst xmlns="http://schemas.openxmlformats.org/spreadsheetml/2006/main" count="250" uniqueCount="90">
  <si>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</si>
  <si>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</si>
  <si>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</si>
  <si>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</si>
  <si>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</si>
  <si>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</si>
  <si>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</si>
  <si>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</si>
  <si>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</si>
  <si>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</si>
  <si>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</si>
  <si>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</si>
  <si>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</si>
  <si>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</si>
  <si>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</si>
  <si>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</si>
  <si>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</si>
  <si>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</si>
  <si>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</si>
  <si>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</si>
  <si>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</si>
  <si>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</si>
  <si>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</si>
  <si>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</si>
  <si>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</si>
  <si>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</si>
  <si>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</si>
  <si>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</si>
  <si>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</si>
  <si>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</si>
  <si>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</si>
  <si>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</si>
  <si>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</si>
  <si>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</si>
  <si>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</si>
  <si>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</si>
  <si>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</si>
  <si>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</si>
  <si>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</si>
  <si>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</si>
  <si>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</si>
  <si>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</si>
  <si>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</si>
  <si>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</si>
  <si>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</si>
  <si>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</si>
  <si>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</si>
  <si>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</si>
  <si>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</si>
  <si>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</si>
  <si>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</si>
  <si>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</si>
  <si>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</si>
  <si>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</si>
  <si>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</si>
  <si>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</si>
  <si>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</si>
  <si>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</si>
  <si>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</si>
  <si>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</si>
  <si>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</si>
  <si>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</si>
  <si>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</si>
  <si>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</si>
  <si>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</si>
  <si>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</si>
  <si>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</si>
  <si>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</si>
  <si>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</si>
  <si>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</si>
  <si>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</si>
  <si>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</si>
  <si>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</si>
  <si>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</si>
  <si>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</si>
  <si>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</si>
  <si>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</si>
  <si>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</si>
  <si>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</si>
  <si>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</si>
  <si>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</si>
  <si>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</si>
  <si>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</si>
  <si>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</si>
  <si>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</si>
  <si>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</si>
  <si>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</si>
  <si>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</si>
  <si>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</si>
  <si>
    <t>Antifoam totalizer reset due to schedule restart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</si>
</sst>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2" fontId="26" fillId="0" borderId="11" xfId="0" applyNumberFormat="1" applyFont="1" applyBorder="1"/>
    <xf numFmtId="2" fontId="26" fillId="0" borderId="0" xfId="0" applyNumberFormat="1" applyFont="1"/>
    <xf numFmtId="2" fontId="26" fillId="0" borderId="16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AY56" activePane="bottomRight" state="frozen"/>
      <selection pane="topRight" activeCell="H1" sqref="H1"/>
      <selection pane="bottomLeft" activeCell="A3" sqref="A3"/>
      <selection pane="bottomRight" activeCell="BE70" sqref="BE69:BE70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71" t="s">
        <v>0</v>
      </c>
      <c r="B1" s="71"/>
      <c r="C1" s="71"/>
      <c r="D1" s="71"/>
      <c r="E1" s="71"/>
      <c r="F1" s="71"/>
      <c r="G1" s="72" t="s">
        <v>1</v>
      </c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4"/>
      <c r="AE1" s="87" t="s">
        <v>2</v>
      </c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9"/>
      <c r="AX1" s="81" t="s">
        <v>3</v>
      </c>
      <c r="AY1" s="82"/>
      <c r="AZ1" s="82"/>
      <c r="BA1" s="82"/>
      <c r="BB1" s="83"/>
      <c r="BC1" s="84" t="s">
        <v>4</v>
      </c>
      <c r="BD1" s="85"/>
      <c r="BE1" s="86"/>
      <c r="BF1" s="78" t="s">
        <v>5</v>
      </c>
      <c r="BG1" s="79"/>
      <c r="BH1" s="79"/>
      <c r="BI1" s="79"/>
      <c r="BJ1" s="79"/>
      <c r="BK1" s="79"/>
      <c r="BL1" s="79"/>
      <c r="BM1" s="79"/>
      <c r="BN1" s="79"/>
      <c r="BO1" s="79"/>
      <c r="BP1" s="80"/>
      <c r="BQ1" s="75" t="s">
        <v>6</v>
      </c>
      <c r="BR1" s="76"/>
      <c r="BS1" s="77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 t="shared" ref="AV9:AV40" si="33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4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5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6">AN10-AN4</f>
        <v>5</v>
      </c>
      <c r="AU10" s="45">
        <f t="shared" ref="AU10:AU73" si="37">AO10-AO4</f>
        <v>0</v>
      </c>
      <c r="AV10" s="45">
        <f t="shared" si="33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4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5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6"/>
        <v>5</v>
      </c>
      <c r="AU11" s="45">
        <f t="shared" si="37"/>
        <v>0</v>
      </c>
      <c r="AV11" s="45">
        <f t="shared" si="33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4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5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7"/>
        <v>0</v>
      </c>
      <c r="AV12" s="45">
        <f t="shared" si="33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t="s">
        <v>75</v>
      </c>
      <c r="C13">
        <v>12</v>
      </c>
      <c r="D13">
        <v>1</v>
      </c>
      <c r="E13" t="s">
        <v>76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4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5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6"/>
        <v>11</v>
      </c>
      <c r="AU13" s="45">
        <f t="shared" si="37"/>
        <v>0</v>
      </c>
      <c r="AV13" s="45">
        <f t="shared" si="33"/>
        <v>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4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5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6"/>
        <v>11</v>
      </c>
      <c r="AU14" s="41">
        <f t="shared" si="37"/>
        <v>0</v>
      </c>
      <c r="AV14" s="41">
        <f t="shared" si="33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6"/>
        <v>11</v>
      </c>
      <c r="AU15" s="40">
        <f t="shared" si="37"/>
        <v>18</v>
      </c>
      <c r="AV15" s="40">
        <f t="shared" si="33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6"/>
        <v>11</v>
      </c>
      <c r="AU16" s="45">
        <f t="shared" si="37"/>
        <v>17</v>
      </c>
      <c r="AV16" s="45">
        <f t="shared" si="33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6"/>
        <v>10</v>
      </c>
      <c r="AU17" s="45">
        <f t="shared" si="37"/>
        <v>15</v>
      </c>
      <c r="AV17" s="45">
        <f t="shared" si="33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3">
      <c r="A18" s="1" t="s">
        <v>86</v>
      </c>
      <c r="B18" t="s">
        <v>75</v>
      </c>
      <c r="C18">
        <v>12</v>
      </c>
      <c r="D18">
        <v>2</v>
      </c>
      <c r="E18" t="s">
        <v>80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6"/>
        <v>8</v>
      </c>
      <c r="AU18" s="45">
        <f t="shared" si="37"/>
        <v>17</v>
      </c>
      <c r="AV18" s="45">
        <f t="shared" si="33"/>
        <v>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3">
      <c r="A19" s="1" t="s">
        <v>87</v>
      </c>
      <c r="B19" t="s">
        <v>75</v>
      </c>
      <c r="C19">
        <v>12</v>
      </c>
      <c r="D19">
        <v>2</v>
      </c>
      <c r="E19" t="s">
        <v>80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6"/>
        <v>11</v>
      </c>
      <c r="AU19" s="45">
        <f t="shared" si="37"/>
        <v>15</v>
      </c>
      <c r="AV19" s="45">
        <f t="shared" si="33"/>
        <v>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6"/>
        <v>10</v>
      </c>
      <c r="AU20" s="41">
        <f t="shared" si="37"/>
        <v>16</v>
      </c>
      <c r="AV20" s="41">
        <f t="shared" si="33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6"/>
        <v>23.340000000000003</v>
      </c>
      <c r="AU21" s="40">
        <f t="shared" si="37"/>
        <v>13.989999999999998</v>
      </c>
      <c r="AV21" s="40">
        <f t="shared" si="33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6"/>
        <v>23.740000000000002</v>
      </c>
      <c r="AU22" s="45">
        <f t="shared" si="37"/>
        <v>15.46</v>
      </c>
      <c r="AV22" s="45">
        <f t="shared" si="33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3">
      <c r="A23" s="1" t="s">
        <v>85</v>
      </c>
      <c r="B23" t="s">
        <v>74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6"/>
        <v>15.620000000000001</v>
      </c>
      <c r="AU23" s="45">
        <f t="shared" si="37"/>
        <v>17.630000000000003</v>
      </c>
      <c r="AV23" s="45">
        <f t="shared" si="33"/>
        <v>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3">
      <c r="A24" s="1" t="s">
        <v>86</v>
      </c>
      <c r="B24" t="s">
        <v>75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6"/>
        <v>16.28</v>
      </c>
      <c r="AU24" s="45">
        <f t="shared" si="37"/>
        <v>12.18</v>
      </c>
      <c r="AV24" s="45">
        <f t="shared" si="33"/>
        <v>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6"/>
        <v>16.579999999999998</v>
      </c>
      <c r="AU25" s="45">
        <f t="shared" si="37"/>
        <v>11.940000000000001</v>
      </c>
      <c r="AV25" s="45">
        <f t="shared" si="33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6"/>
        <v>17.420000000000002</v>
      </c>
      <c r="AU26" s="41">
        <f t="shared" si="37"/>
        <v>12.8</v>
      </c>
      <c r="AV26" s="41">
        <f t="shared" si="33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6"/>
        <v>12.54</v>
      </c>
      <c r="AU27" s="40">
        <f t="shared" si="37"/>
        <v>14.330000000000002</v>
      </c>
      <c r="AV27" s="40">
        <f t="shared" si="33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 x14ac:dyDescent="0.3">
      <c r="A28" s="1" t="s">
        <v>84</v>
      </c>
      <c r="B28" t="s">
        <v>74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6"/>
        <v>13.850000000000001</v>
      </c>
      <c r="AU28" s="45">
        <f t="shared" si="37"/>
        <v>13.990000000000002</v>
      </c>
      <c r="AV28" s="45">
        <f t="shared" si="33"/>
        <v>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 x14ac:dyDescent="0.3">
      <c r="A29" s="1" t="s">
        <v>85</v>
      </c>
      <c r="B29" t="s">
        <v>74</v>
      </c>
      <c r="C29">
        <v>12</v>
      </c>
      <c r="D29">
        <v>4</v>
      </c>
      <c r="E29" t="s">
        <v>82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6"/>
        <v>20.499999999999996</v>
      </c>
      <c r="AU29" s="45">
        <f t="shared" si="37"/>
        <v>13</v>
      </c>
      <c r="AV29" s="45">
        <f t="shared" si="33"/>
        <v>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6"/>
        <v>11.799999999999997</v>
      </c>
      <c r="AU30" s="45">
        <f t="shared" si="37"/>
        <v>13.840000000000003</v>
      </c>
      <c r="AV30" s="45">
        <f t="shared" si="33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6"/>
        <v>15.61</v>
      </c>
      <c r="AU31" s="45">
        <f t="shared" si="37"/>
        <v>13.8</v>
      </c>
      <c r="AV31" s="45">
        <f t="shared" si="33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6"/>
        <v>14.04</v>
      </c>
      <c r="AU32" s="41">
        <f t="shared" si="37"/>
        <v>13.650000000000002</v>
      </c>
      <c r="AV32" s="41">
        <f t="shared" si="33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6"/>
        <v>25.919999999999995</v>
      </c>
      <c r="AU33" s="40">
        <f t="shared" si="37"/>
        <v>6.1599999999999966</v>
      </c>
      <c r="AV33" s="40">
        <f t="shared" si="33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46">
        <f>BM33*24*60/BH33</f>
        <v>1.2889321207948664E-2</v>
      </c>
      <c r="BE33" s="22">
        <f>BP33/BH33</f>
        <v>2.1914951019571392E-3</v>
      </c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22.849286384966835</v>
      </c>
      <c r="BL33" s="10" t="str">
        <f t="shared" si="11"/>
        <v/>
      </c>
      <c r="BM33" s="10">
        <v>1.5867559989560302E-2</v>
      </c>
      <c r="BN33" s="35" t="str">
        <f t="shared" si="32"/>
        <v/>
      </c>
      <c r="BO33" s="10" t="str">
        <f t="shared" si="47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21"/>
        <v>3.8849291120924798</v>
      </c>
    </row>
    <row r="34" spans="1:71" x14ac:dyDescent="0.3">
      <c r="A34" s="1" t="s">
        <v>84</v>
      </c>
      <c r="B34" t="s">
        <v>74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1.8262915191301601E-2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6"/>
        <v>23.549999999999997</v>
      </c>
      <c r="AU34" s="45">
        <f t="shared" si="37"/>
        <v>4.8299999999999983</v>
      </c>
      <c r="AV34" s="45">
        <f t="shared" si="33"/>
        <v>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26.298597875474304</v>
      </c>
      <c r="BL34" s="47" t="str">
        <f t="shared" si="11"/>
        <v/>
      </c>
      <c r="BM34" s="47">
        <v>1.8262915191301601E-2</v>
      </c>
      <c r="BN34" s="48" t="str">
        <f t="shared" si="32"/>
        <v/>
      </c>
      <c r="BO34" s="47" t="str">
        <f t="shared" si="47"/>
        <v/>
      </c>
      <c r="BP34" s="51">
        <v>6.0395246228217703</v>
      </c>
      <c r="BQ34" s="28">
        <f t="shared" ref="BQ34:BQ38" si="58">IF(BL34&lt;&gt;"",BL34/0.000385,IF(BM34&lt;&gt;"",BM34/0.000385,BN34/0.000385))</f>
        <v>47.436143354030136</v>
      </c>
      <c r="BR34" s="49">
        <f t="shared" ref="BR34:BR38" si="59">IF(BL34&lt;&gt;"",BL34,IF(BM34&lt;&gt;"",BM34,BN34))</f>
        <v>1.8262915191301601E-2</v>
      </c>
      <c r="BS34" s="30">
        <f t="shared" si="21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5" si="60">AQ35-AR35</f>
        <v>1755.3</v>
      </c>
      <c r="AT35" s="45">
        <f t="shared" si="36"/>
        <v>37.979999999999997</v>
      </c>
      <c r="AU35" s="45">
        <f t="shared" si="37"/>
        <v>15.659999999999997</v>
      </c>
      <c r="AV35" s="45">
        <f t="shared" si="33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21.277797112538785</v>
      </c>
      <c r="BL35" s="47" t="str">
        <f t="shared" si="11"/>
        <v/>
      </c>
      <c r="BM35" s="47">
        <v>1.47762479948186E-2</v>
      </c>
      <c r="BN35" s="48" t="str">
        <f t="shared" si="32"/>
        <v/>
      </c>
      <c r="BO35" s="47" t="str">
        <f t="shared" si="47"/>
        <v/>
      </c>
      <c r="BP35" s="51">
        <v>9.1633763360957392</v>
      </c>
      <c r="BQ35" s="28">
        <f t="shared" si="58"/>
        <v>38.379864921606753</v>
      </c>
      <c r="BR35" s="49">
        <f t="shared" si="59"/>
        <v>1.47762479948186E-2</v>
      </c>
      <c r="BS35" s="30">
        <f t="shared" si="21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6"/>
        <v>12.450000000000003</v>
      </c>
      <c r="AU36" s="45">
        <f t="shared" si="37"/>
        <v>14.009999999999998</v>
      </c>
      <c r="AV36" s="45">
        <f t="shared" si="33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35.556599999999989</v>
      </c>
      <c r="BL36" s="47">
        <f t="shared" si="11"/>
        <v>2.469208333333333E-2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64.135281385281374</v>
      </c>
      <c r="BR36" s="49">
        <f t="shared" si="59"/>
        <v>2.469208333333333E-2</v>
      </c>
      <c r="BS36" s="30">
        <f t="shared" si="21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6"/>
        <v>31.08</v>
      </c>
      <c r="AU37" s="45">
        <f t="shared" si="37"/>
        <v>14.14</v>
      </c>
      <c r="AV37" s="45">
        <f t="shared" si="33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24.186059999999998</v>
      </c>
      <c r="BL37" s="47">
        <f t="shared" si="11"/>
        <v>1.6795874999999998E-2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43.625649350649347</v>
      </c>
      <c r="BR37" s="49">
        <f t="shared" si="59"/>
        <v>1.6795874999999998E-2</v>
      </c>
      <c r="BS37" s="30">
        <f t="shared" si="21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6"/>
        <v>28.699999999999996</v>
      </c>
      <c r="AU38" s="41">
        <f t="shared" si="37"/>
        <v>14.14</v>
      </c>
      <c r="AV38" s="41">
        <f t="shared" si="33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35.837999999999994</v>
      </c>
      <c r="BL38" s="14">
        <f t="shared" si="11"/>
        <v>2.48875E-2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64.642857142857153</v>
      </c>
      <c r="BR38" s="38">
        <f t="shared" si="59"/>
        <v>2.48875E-2</v>
      </c>
      <c r="BS38" s="31">
        <f t="shared" si="21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60"/>
        <v>1735.88</v>
      </c>
      <c r="AT39" s="40">
        <f t="shared" si="36"/>
        <v>24.03</v>
      </c>
      <c r="AU39" s="40">
        <f t="shared" si="37"/>
        <v>4.5</v>
      </c>
      <c r="AV39" s="40">
        <f t="shared" si="33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46">
        <f>BM39*24*60/BH39</f>
        <v>6.2798972071627691E-3</v>
      </c>
      <c r="BE39" s="22">
        <f>BP39/BH39</f>
        <v>8.5936872387829075E-4</v>
      </c>
      <c r="BF39" s="8">
        <f t="shared" si="17"/>
        <v>1.2774821399999999E-2</v>
      </c>
      <c r="BG39" s="9">
        <f t="shared" si="1"/>
        <v>18.395742815999998</v>
      </c>
      <c r="BH39" s="9">
        <f t="shared" si="41"/>
        <v>1796.74</v>
      </c>
      <c r="BI39" s="10">
        <f t="shared" si="8"/>
        <v>5.667486670302882E-2</v>
      </c>
      <c r="BJ39" s="10">
        <f t="shared" si="9"/>
        <v>5.9900000000000002E-2</v>
      </c>
      <c r="BK39" s="10">
        <f t="shared" si="18"/>
        <v>11.283342507997634</v>
      </c>
      <c r="BL39" s="10" t="str">
        <f t="shared" si="11"/>
        <v/>
      </c>
      <c r="BM39" s="10">
        <v>7.8356545194428005E-3</v>
      </c>
      <c r="BN39" s="35" t="str">
        <f t="shared" si="32"/>
        <v/>
      </c>
      <c r="BO39" s="10" t="str">
        <f t="shared" si="47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21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ref="AH40:AH44" si="61"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ref="AM40:AM44" si="62"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60"/>
        <v>1754.23</v>
      </c>
      <c r="AT40" s="45">
        <f t="shared" si="36"/>
        <v>26.439999999999998</v>
      </c>
      <c r="AU40" s="45">
        <f t="shared" si="37"/>
        <v>6.6499999999999986</v>
      </c>
      <c r="AV40" s="45">
        <f t="shared" si="33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17"/>
        <v>1.1504364299999998E-2</v>
      </c>
      <c r="BG40" s="46">
        <f t="shared" si="1"/>
        <v>16.566284591999995</v>
      </c>
      <c r="BH40" s="46">
        <f t="shared" si="41"/>
        <v>1800.37</v>
      </c>
      <c r="BI40" s="47">
        <f t="shared" si="8"/>
        <v>5.7532618295128228E-2</v>
      </c>
      <c r="BJ40" s="47">
        <f t="shared" si="9"/>
        <v>6.0929411764705885E-2</v>
      </c>
      <c r="BK40" s="47">
        <f t="shared" si="18"/>
        <v>17.947613003009906</v>
      </c>
      <c r="BL40" s="47" t="str">
        <f t="shared" si="11"/>
        <v/>
      </c>
      <c r="BM40" s="47">
        <v>1.24636201409791E-2</v>
      </c>
      <c r="BN40" s="48" t="str">
        <f t="shared" si="32"/>
        <v/>
      </c>
      <c r="BO40" s="47" t="str">
        <f t="shared" si="47"/>
        <v/>
      </c>
      <c r="BP40" s="51">
        <v>1.80037E-4</v>
      </c>
      <c r="BQ40" s="28">
        <f t="shared" ref="BQ40:BQ44" si="63">IF(BL40&lt;&gt;"",BL40/0.000385,IF(BM40&lt;&gt;"",BM40/0.000385,BN40/0.000385))</f>
        <v>32.373039327218443</v>
      </c>
      <c r="BR40" s="49">
        <f t="shared" ref="BR40:BR44" si="64">IF(BL40&lt;&gt;"",BL40,IF(BM40&lt;&gt;"",BM40,BN40))</f>
        <v>1.24636201409791E-2</v>
      </c>
      <c r="BS40" s="30">
        <f t="shared" si="21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61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62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60"/>
        <v>1772.3</v>
      </c>
      <c r="AT41" s="45">
        <f t="shared" si="36"/>
        <v>24.78</v>
      </c>
      <c r="AU41" s="45">
        <f t="shared" si="37"/>
        <v>9.8300000000000054</v>
      </c>
      <c r="AV41" s="45">
        <f t="shared" ref="AV41:AV72" si="65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17"/>
        <v>1.02878112E-2</v>
      </c>
      <c r="BG41" s="46">
        <f t="shared" si="1"/>
        <v>14.814448128</v>
      </c>
      <c r="BH41" s="46">
        <f t="shared" si="41"/>
        <v>1824.08</v>
      </c>
      <c r="BI41" s="47">
        <f t="shared" si="8"/>
        <v>6.2431472303846325E-2</v>
      </c>
      <c r="BJ41" s="47">
        <f t="shared" si="9"/>
        <v>6.698823529411764E-2</v>
      </c>
      <c r="BK41" s="47">
        <f t="shared" si="18"/>
        <v>39.066536336397554</v>
      </c>
      <c r="BL41" s="47" t="str">
        <f t="shared" si="11"/>
        <v/>
      </c>
      <c r="BM41" s="47">
        <v>2.7129539122498301E-2</v>
      </c>
      <c r="BN41" s="48" t="str">
        <f t="shared" si="32"/>
        <v/>
      </c>
      <c r="BO41" s="47" t="str">
        <f t="shared" si="47"/>
        <v/>
      </c>
      <c r="BP41" s="51">
        <v>1.8240800000000001E-4</v>
      </c>
      <c r="BQ41" s="28">
        <f t="shared" si="63"/>
        <v>70.466335383112479</v>
      </c>
      <c r="BR41" s="49">
        <f t="shared" si="64"/>
        <v>2.7129539122498301E-2</v>
      </c>
      <c r="BS41" s="30">
        <f t="shared" si="21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61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62"/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60"/>
        <v>1775.58</v>
      </c>
      <c r="AT42" s="45">
        <f t="shared" si="36"/>
        <v>32.150000000000006</v>
      </c>
      <c r="AU42" s="45">
        <f t="shared" si="37"/>
        <v>23.840000000000003</v>
      </c>
      <c r="AV42" s="45">
        <f t="shared" si="65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 t="shared" si="17"/>
        <v>1.0099889999999999E-2</v>
      </c>
      <c r="BG42" s="46">
        <f t="shared" si="1"/>
        <v>14.543841599999997</v>
      </c>
      <c r="BH42" s="46">
        <f t="shared" si="41"/>
        <v>1819.8</v>
      </c>
      <c r="BI42" s="47">
        <f t="shared" si="8"/>
        <v>4.8730629739531822E-2</v>
      </c>
      <c r="BJ42" s="47">
        <f t="shared" si="9"/>
        <v>5.2164705882352946E-2</v>
      </c>
      <c r="BK42" s="47">
        <f t="shared" si="18"/>
        <v>36.396000000000001</v>
      </c>
      <c r="BL42" s="47">
        <f t="shared" si="11"/>
        <v>2.5274999999999999E-2</v>
      </c>
      <c r="BM42" s="48" t="str">
        <f t="shared" si="31"/>
        <v/>
      </c>
      <c r="BN42" s="48" t="str">
        <f t="shared" si="32"/>
        <v/>
      </c>
      <c r="BO42" s="47">
        <f t="shared" si="47"/>
        <v>0</v>
      </c>
      <c r="BP42" s="51" t="str">
        <f t="shared" si="28"/>
        <v/>
      </c>
      <c r="BQ42" s="28">
        <f t="shared" si="63"/>
        <v>65.649350649350652</v>
      </c>
      <c r="BR42" s="49">
        <f t="shared" si="64"/>
        <v>2.5274999999999999E-2</v>
      </c>
      <c r="BS42" s="30">
        <f t="shared" si="21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61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62"/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60"/>
        <v>1720.44</v>
      </c>
      <c r="AT43" s="45">
        <f t="shared" si="36"/>
        <v>26.120000000000005</v>
      </c>
      <c r="AU43" s="45">
        <f t="shared" si="37"/>
        <v>0</v>
      </c>
      <c r="AV43" s="45">
        <f t="shared" si="65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 t="shared" si="17"/>
        <v>1.0028308500000001E-2</v>
      </c>
      <c r="BG43" s="46">
        <f t="shared" si="1"/>
        <v>14.440764240000002</v>
      </c>
      <c r="BH43" s="46">
        <f t="shared" si="41"/>
        <v>1826.65</v>
      </c>
      <c r="BI43" s="47">
        <f t="shared" si="8"/>
        <v>6.098048339857115E-2</v>
      </c>
      <c r="BJ43" s="47">
        <f t="shared" si="9"/>
        <v>6.5523529411764703E-2</v>
      </c>
      <c r="BK43" s="47">
        <f t="shared" si="18"/>
        <v>36.533000000000001</v>
      </c>
      <c r="BL43" s="47">
        <f t="shared" si="11"/>
        <v>2.537013888888889E-2</v>
      </c>
      <c r="BM43" s="48" t="str">
        <f t="shared" si="31"/>
        <v/>
      </c>
      <c r="BN43" s="48" t="str">
        <f t="shared" si="32"/>
        <v/>
      </c>
      <c r="BO43" s="47">
        <f t="shared" si="47"/>
        <v>13.51721</v>
      </c>
      <c r="BP43" s="51" t="str">
        <f t="shared" si="28"/>
        <v/>
      </c>
      <c r="BQ43" s="28">
        <f t="shared" si="63"/>
        <v>65.896464646464651</v>
      </c>
      <c r="BR43" s="49">
        <f t="shared" si="64"/>
        <v>2.537013888888889E-2</v>
      </c>
      <c r="BS43" s="30">
        <f t="shared" si="21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61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62"/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60"/>
        <v>1791.34</v>
      </c>
      <c r="AT44" s="41">
        <f t="shared" si="36"/>
        <v>35.540000000000006</v>
      </c>
      <c r="AU44" s="41">
        <f t="shared" si="37"/>
        <v>0</v>
      </c>
      <c r="AV44" s="41">
        <f t="shared" si="65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 t="shared" si="17"/>
        <v>1.0917059999999999E-2</v>
      </c>
      <c r="BG44" s="13">
        <f t="shared" si="1"/>
        <v>15.720566399999999</v>
      </c>
      <c r="BH44" s="13">
        <f t="shared" si="41"/>
        <v>1819.51</v>
      </c>
      <c r="BI44" s="14">
        <f t="shared" si="8"/>
        <v>6.4138147083555461E-2</v>
      </c>
      <c r="BJ44" s="14">
        <f t="shared" si="9"/>
        <v>6.8647058823529408E-2</v>
      </c>
      <c r="BK44" s="14">
        <f t="shared" si="18"/>
        <v>26.928748000000002</v>
      </c>
      <c r="BL44" s="14">
        <f t="shared" si="11"/>
        <v>1.8700519444444445E-2</v>
      </c>
      <c r="BM44" s="48" t="str">
        <f t="shared" si="31"/>
        <v/>
      </c>
      <c r="BN44" s="36" t="str">
        <f t="shared" si="32"/>
        <v/>
      </c>
      <c r="BO44" s="14">
        <f t="shared" si="47"/>
        <v>0</v>
      </c>
      <c r="BP44" s="52" t="str">
        <f t="shared" si="28"/>
        <v/>
      </c>
      <c r="BQ44" s="29">
        <f t="shared" si="63"/>
        <v>48.57277777777778</v>
      </c>
      <c r="BR44" s="38">
        <f t="shared" si="64"/>
        <v>1.8700519444444445E-2</v>
      </c>
      <c r="BS44" s="31">
        <f t="shared" si="21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>AF45/100</f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>BR45</f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 t="shared" si="60"/>
        <v>1744.88</v>
      </c>
      <c r="AT45" s="40">
        <f t="shared" si="36"/>
        <v>13.430000000000007</v>
      </c>
      <c r="AU45" s="40">
        <f t="shared" si="37"/>
        <v>2.1600000000000037</v>
      </c>
      <c r="AV45" s="40">
        <f t="shared" si="65"/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 t="shared" si="17"/>
        <v>1.2252816E-2</v>
      </c>
      <c r="BG45" s="9">
        <f t="shared" si="1"/>
        <v>17.644055039999998</v>
      </c>
      <c r="BH45" s="9">
        <f t="shared" si="41"/>
        <v>1807.2</v>
      </c>
      <c r="BI45" s="10">
        <f t="shared" si="8"/>
        <v>6.3778220451527229E-2</v>
      </c>
      <c r="BJ45" s="10">
        <f t="shared" si="9"/>
        <v>6.7799999999999999E-2</v>
      </c>
      <c r="BK45" s="10">
        <f t="shared" si="18"/>
        <v>26.82387673981474</v>
      </c>
      <c r="BL45" s="10" t="str">
        <f t="shared" si="11"/>
        <v/>
      </c>
      <c r="BM45" s="10">
        <v>1.86276921804269E-2</v>
      </c>
      <c r="BN45" s="35" t="str">
        <f t="shared" si="32"/>
        <v/>
      </c>
      <c r="BO45" s="10" t="str">
        <f t="shared" si="47"/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21"/>
        <v>5.4299359763980801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 t="shared" ref="AH46:AH50" si="66">AF46/100</f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 t="shared" ref="AM46:AM50" si="67">BR46</f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 t="shared" si="60"/>
        <v>1767.23</v>
      </c>
      <c r="AT46" s="45">
        <f t="shared" si="36"/>
        <v>19.489999999999995</v>
      </c>
      <c r="AU46" s="45">
        <f t="shared" si="37"/>
        <v>0</v>
      </c>
      <c r="AV46" s="45">
        <f t="shared" si="65"/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 t="shared" si="17"/>
        <v>1.1355095399999997E-2</v>
      </c>
      <c r="BG46" s="46">
        <f t="shared" si="1"/>
        <v>16.351337375999996</v>
      </c>
      <c r="BH46" s="46">
        <f t="shared" si="41"/>
        <v>1811.02</v>
      </c>
      <c r="BI46" s="47">
        <f t="shared" si="8"/>
        <v>6.7956179390619653E-2</v>
      </c>
      <c r="BJ46" s="47">
        <f t="shared" si="9"/>
        <v>7.2394117647058817E-2</v>
      </c>
      <c r="BK46" s="47">
        <f t="shared" si="18"/>
        <v>25.15991833983427</v>
      </c>
      <c r="BL46" s="47" t="str">
        <f t="shared" si="11"/>
        <v/>
      </c>
      <c r="BM46" s="47">
        <v>1.7472165513773799E-2</v>
      </c>
      <c r="BN46" s="48" t="str">
        <f t="shared" si="32"/>
        <v/>
      </c>
      <c r="BO46" s="47" t="str">
        <f t="shared" si="47"/>
        <v/>
      </c>
      <c r="BP46" s="51">
        <v>2.8626385291101899</v>
      </c>
      <c r="BQ46" s="28">
        <f t="shared" ref="BQ46:BQ50" si="68">IF(BL46&lt;&gt;"",BL46/0.000385,IF(BM46&lt;&gt;"",BM46/0.000385,BN46/0.000385))</f>
        <v>45.382248087724157</v>
      </c>
      <c r="BR46" s="49">
        <f t="shared" ref="BR46:BR50" si="69">IF(BL46&lt;&gt;"",BL46,IF(BM46&lt;&gt;"",BM46,BN46))</f>
        <v>1.7472165513773799E-2</v>
      </c>
      <c r="BS46" s="30">
        <f t="shared" si="21"/>
        <v>2.8626385291101899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 t="shared" si="66"/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 t="shared" si="67"/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 t="shared" si="60"/>
        <v>1794.3</v>
      </c>
      <c r="AT47" s="45">
        <f t="shared" si="36"/>
        <v>35.740000000000009</v>
      </c>
      <c r="AU47" s="45">
        <f t="shared" si="37"/>
        <v>0</v>
      </c>
      <c r="AV47" s="45">
        <f t="shared" si="65"/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 t="shared" si="17"/>
        <v>9.6901874999999991E-3</v>
      </c>
      <c r="BG47" s="46">
        <f t="shared" si="1"/>
        <v>13.953869999999998</v>
      </c>
      <c r="BH47" s="46">
        <f t="shared" si="41"/>
        <v>1845.75</v>
      </c>
      <c r="BI47" s="47">
        <f t="shared" si="8"/>
        <v>8.1061898957063533E-2</v>
      </c>
      <c r="BJ47" s="47">
        <f t="shared" si="9"/>
        <v>8.8011764705882359E-2</v>
      </c>
      <c r="BK47" s="47">
        <f t="shared" si="18"/>
        <v>39.498314102471667</v>
      </c>
      <c r="BL47" s="47" t="str">
        <f t="shared" si="11"/>
        <v/>
      </c>
      <c r="BM47" s="47">
        <v>2.74293847933831E-2</v>
      </c>
      <c r="BN47" s="48" t="str">
        <f t="shared" si="32"/>
        <v/>
      </c>
      <c r="BO47" s="47" t="str">
        <f t="shared" si="47"/>
        <v/>
      </c>
      <c r="BP47" s="51">
        <v>0.346819003019956</v>
      </c>
      <c r="BQ47" s="28">
        <f t="shared" si="68"/>
        <v>71.245155307488574</v>
      </c>
      <c r="BR47" s="49">
        <f t="shared" si="69"/>
        <v>2.74293847933831E-2</v>
      </c>
      <c r="BS47" s="30">
        <f t="shared" si="21"/>
        <v>0.346819003019956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 t="shared" si="66"/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 t="shared" si="67"/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 t="shared" si="60"/>
        <v>1795.58</v>
      </c>
      <c r="AT48" s="45">
        <f t="shared" si="36"/>
        <v>36.25</v>
      </c>
      <c r="AU48" s="45">
        <f t="shared" si="37"/>
        <v>-10</v>
      </c>
      <c r="AV48" s="45">
        <f t="shared" si="65"/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 t="shared" si="17"/>
        <v>9.7925987999999999E-3</v>
      </c>
      <c r="BG48" s="46">
        <f t="shared" si="1"/>
        <v>14.101342272</v>
      </c>
      <c r="BH48" s="46">
        <f t="shared" si="41"/>
        <v>1833.82</v>
      </c>
      <c r="BI48" s="47">
        <f t="shared" si="8"/>
        <v>6.8125552126162878E-2</v>
      </c>
      <c r="BJ48" s="47">
        <f t="shared" si="9"/>
        <v>7.3488235294117646E-2</v>
      </c>
      <c r="BK48" s="47">
        <f t="shared" si="18"/>
        <v>36.676400000000001</v>
      </c>
      <c r="BL48" s="47">
        <f t="shared" si="11"/>
        <v>2.5469722222222223E-2</v>
      </c>
      <c r="BM48" s="48" t="str">
        <f t="shared" si="31"/>
        <v/>
      </c>
      <c r="BN48" s="48" t="str">
        <f t="shared" si="32"/>
        <v/>
      </c>
      <c r="BO48" s="47">
        <f t="shared" si="47"/>
        <v>0</v>
      </c>
      <c r="BP48" s="51" t="str">
        <f t="shared" si="28"/>
        <v/>
      </c>
      <c r="BQ48" s="28">
        <f t="shared" si="68"/>
        <v>66.155122655122668</v>
      </c>
      <c r="BR48" s="49">
        <f t="shared" si="69"/>
        <v>2.5469722222222223E-2</v>
      </c>
      <c r="BS48" s="30">
        <f t="shared" si="21"/>
        <v>0</v>
      </c>
    </row>
    <row r="49" spans="1:71" x14ac:dyDescent="0.3">
      <c r="A49" s="1" t="s">
        <v>87</v>
      </c>
      <c r="B49" t="s">
        <v>75</v>
      </c>
      <c r="C49">
        <v>12</v>
      </c>
      <c r="D49">
        <v>7</v>
      </c>
      <c r="F49" s="61">
        <v>45540.404571759304</v>
      </c>
      <c r="G49">
        <v>3888.32</v>
      </c>
      <c r="H49" s="44"/>
      <c r="I49" s="44">
        <v>2666.67</v>
      </c>
      <c r="J49" s="44">
        <v>21.5</v>
      </c>
      <c r="K49" s="44">
        <v>14.9</v>
      </c>
      <c r="L49" s="44">
        <v>69.5</v>
      </c>
      <c r="M49" s="44">
        <v>17.899999999999999</v>
      </c>
      <c r="N49" s="44">
        <v>552</v>
      </c>
      <c r="O49" s="44">
        <v>3.84</v>
      </c>
      <c r="P49" s="44">
        <v>0.32</v>
      </c>
      <c r="Q49" s="44">
        <v>1.27</v>
      </c>
      <c r="R49" s="44"/>
      <c r="S49" s="44">
        <v>0.54</v>
      </c>
      <c r="T49" s="44">
        <v>2.17</v>
      </c>
      <c r="U49" s="44"/>
      <c r="V49" s="44">
        <v>7.07</v>
      </c>
      <c r="W49" s="44">
        <v>80.599999999999994</v>
      </c>
      <c r="X49" s="44">
        <v>31.6</v>
      </c>
      <c r="Y49" s="44">
        <v>3.52</v>
      </c>
      <c r="Z49" s="44">
        <v>230.7</v>
      </c>
      <c r="AA49" s="44">
        <v>22.6</v>
      </c>
      <c r="AB49" s="44">
        <v>70.7</v>
      </c>
      <c r="AC49" s="44">
        <v>25.6</v>
      </c>
      <c r="AD49" s="17">
        <v>7.1079999999999997</v>
      </c>
      <c r="AE49" s="44">
        <v>298</v>
      </c>
      <c r="AF49" s="44">
        <v>56.7</v>
      </c>
      <c r="AG49" s="44">
        <v>7.11</v>
      </c>
      <c r="AH49" s="45">
        <f t="shared" si="66"/>
        <v>0.56700000000000006</v>
      </c>
      <c r="AI49" s="44">
        <v>34</v>
      </c>
      <c r="AJ49" s="44">
        <v>80.680000000000007</v>
      </c>
      <c r="AK49" s="44">
        <v>7.31</v>
      </c>
      <c r="AL49" s="44">
        <v>5.53</v>
      </c>
      <c r="AM49" s="45">
        <f t="shared" si="67"/>
        <v>2.6222638888888889E-2</v>
      </c>
      <c r="AN49" s="44">
        <v>145.49</v>
      </c>
      <c r="AO49" s="44">
        <v>69.02</v>
      </c>
      <c r="AP49" s="44">
        <v>491</v>
      </c>
      <c r="AQ49" s="44">
        <v>1902</v>
      </c>
      <c r="AR49" s="45">
        <v>133.55999999999995</v>
      </c>
      <c r="AS49" s="45">
        <f t="shared" si="60"/>
        <v>1768.44</v>
      </c>
      <c r="AT49" s="45">
        <f t="shared" si="36"/>
        <v>34.100000000000009</v>
      </c>
      <c r="AU49" s="45">
        <f t="shared" si="37"/>
        <v>14.139999999999993</v>
      </c>
      <c r="AV49" s="45">
        <f t="shared" si="65"/>
        <v>40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>
        <v>0.02</v>
      </c>
      <c r="BE49" s="22"/>
      <c r="BF49" s="11">
        <f t="shared" si="17"/>
        <v>8.4394940999999984E-3</v>
      </c>
      <c r="BG49" s="46">
        <f t="shared" si="1"/>
        <v>12.152871503999997</v>
      </c>
      <c r="BH49" s="46">
        <f t="shared" si="41"/>
        <v>1888.03</v>
      </c>
      <c r="BI49" s="47">
        <f t="shared" si="8"/>
        <v>7.7059156898989956E-2</v>
      </c>
      <c r="BJ49" s="47">
        <f t="shared" si="9"/>
        <v>8.5582352941176471E-2</v>
      </c>
      <c r="BK49" s="47">
        <f t="shared" si="18"/>
        <v>37.760600000000004</v>
      </c>
      <c r="BL49" s="47">
        <f t="shared" si="11"/>
        <v>2.6222638888888889E-2</v>
      </c>
      <c r="BM49" s="48" t="str">
        <f t="shared" si="31"/>
        <v/>
      </c>
      <c r="BN49" s="48" t="str">
        <f t="shared" si="32"/>
        <v/>
      </c>
      <c r="BO49" s="47">
        <f t="shared" si="47"/>
        <v>8.1657297499999988</v>
      </c>
      <c r="BP49" s="51" t="str">
        <f t="shared" si="28"/>
        <v/>
      </c>
      <c r="BQ49" s="28">
        <f t="shared" si="68"/>
        <v>68.110750360750359</v>
      </c>
      <c r="BR49" s="49">
        <f t="shared" si="69"/>
        <v>2.6222638888888889E-2</v>
      </c>
      <c r="BS49" s="30">
        <f t="shared" si="21"/>
        <v>8.1657297499999988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 t="shared" si="66"/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 t="shared" si="67"/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 t="shared" si="60"/>
        <v>1794.34</v>
      </c>
      <c r="AT50" s="41">
        <f t="shared" si="36"/>
        <v>28.679999999999993</v>
      </c>
      <c r="AU50" s="41">
        <f t="shared" si="37"/>
        <v>0</v>
      </c>
      <c r="AV50" s="41">
        <f t="shared" si="65"/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 t="shared" si="17"/>
        <v>1.11375528E-2</v>
      </c>
      <c r="BG50" s="13">
        <f t="shared" si="1"/>
        <v>16.038076032000003</v>
      </c>
      <c r="BH50" s="13">
        <f t="shared" si="41"/>
        <v>1837.88</v>
      </c>
      <c r="BI50" s="14">
        <f t="shared" si="8"/>
        <v>7.9102008836267862E-2</v>
      </c>
      <c r="BJ50" s="14">
        <f t="shared" si="9"/>
        <v>8.5517647058823532E-2</v>
      </c>
      <c r="BK50" s="14">
        <f t="shared" si="18"/>
        <v>20.584256</v>
      </c>
      <c r="BL50" s="14">
        <f t="shared" si="11"/>
        <v>1.4294622222222221E-2</v>
      </c>
      <c r="BM50" s="48" t="str">
        <f t="shared" si="31"/>
        <v/>
      </c>
      <c r="BN50" s="36" t="str">
        <f t="shared" si="32"/>
        <v/>
      </c>
      <c r="BO50" s="14">
        <f t="shared" si="47"/>
        <v>0</v>
      </c>
      <c r="BP50" s="52" t="str">
        <f t="shared" si="28"/>
        <v/>
      </c>
      <c r="BQ50" s="29">
        <f t="shared" si="68"/>
        <v>37.128888888888888</v>
      </c>
      <c r="BR50" s="38">
        <f t="shared" si="69"/>
        <v>1.4294622222222221E-2</v>
      </c>
      <c r="BS50" s="31">
        <f t="shared" si="21"/>
        <v>0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 t="s">
        <v>89</v>
      </c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>AF51/100</f>
        <v>0.498</v>
      </c>
      <c r="AI51" s="6">
        <v>34</v>
      </c>
      <c r="AJ51" s="6">
        <v>22.07</v>
      </c>
      <c r="AK51" s="44">
        <v>33.090000000000003</v>
      </c>
      <c r="AL51" s="68">
        <v>5.29</v>
      </c>
      <c r="AM51" s="42">
        <f>BR51</f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 t="shared" si="60"/>
        <v>1766.88</v>
      </c>
      <c r="AT51" s="40">
        <f t="shared" si="36"/>
        <v>24.309999999999988</v>
      </c>
      <c r="AU51" s="40">
        <f t="shared" si="37"/>
        <v>6.1700000000000017</v>
      </c>
      <c r="AV51" s="40">
        <f t="shared" si="65"/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 t="shared" si="17"/>
        <v>1.2189997799999998E-2</v>
      </c>
      <c r="BG51" s="9">
        <f t="shared" si="1"/>
        <v>17.553596831999997</v>
      </c>
      <c r="BH51" s="9">
        <f t="shared" si="41"/>
        <v>1830.33</v>
      </c>
      <c r="BI51" s="10">
        <f t="shared" si="8"/>
        <v>7.6254008839935966E-2</v>
      </c>
      <c r="BJ51" s="10">
        <f t="shared" si="9"/>
        <v>8.2099999999999992E-2</v>
      </c>
      <c r="BK51" s="10">
        <f t="shared" si="18"/>
        <v>7.3213200000000001</v>
      </c>
      <c r="BL51" s="10" t="str">
        <f t="shared" si="11"/>
        <v/>
      </c>
      <c r="BM51" s="10">
        <v>5.0842500000000002E-3</v>
      </c>
      <c r="BN51" s="35" t="str">
        <f t="shared" si="32"/>
        <v/>
      </c>
      <c r="BO51" s="10" t="str">
        <f t="shared" si="47"/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21"/>
        <v>1.8303300000000001E-4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E52" t="s">
        <v>89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 t="shared" ref="AH52:AH56" si="70">AF52/100</f>
        <v>0.49099999999999999</v>
      </c>
      <c r="AI52" s="44">
        <v>34</v>
      </c>
      <c r="AJ52" s="44">
        <v>24.57</v>
      </c>
      <c r="AK52" s="44">
        <v>26.68</v>
      </c>
      <c r="AL52" s="69">
        <v>3</v>
      </c>
      <c r="AM52" s="45">
        <f t="shared" ref="AM52:AM56" si="71">BR52</f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 t="shared" si="60"/>
        <v>1786.23</v>
      </c>
      <c r="AT52" s="45">
        <f t="shared" si="36"/>
        <v>24.240000000000009</v>
      </c>
      <c r="AU52" s="45">
        <f t="shared" si="37"/>
        <v>3.490000000000002</v>
      </c>
      <c r="AV52" s="45">
        <f t="shared" si="65"/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 t="shared" si="17"/>
        <v>1.0967879999999999E-2</v>
      </c>
      <c r="BG52" s="46">
        <f t="shared" si="1"/>
        <v>15.793747199999999</v>
      </c>
      <c r="BH52" s="46">
        <f t="shared" si="41"/>
        <v>1827.98</v>
      </c>
      <c r="BI52" s="47">
        <f t="shared" si="8"/>
        <v>8.058622085580805E-2</v>
      </c>
      <c r="BJ52" s="47">
        <f t="shared" si="9"/>
        <v>8.6652941176470585E-2</v>
      </c>
      <c r="BK52" s="47">
        <f t="shared" si="18"/>
        <v>16.781532618826514</v>
      </c>
      <c r="BL52" s="47" t="str">
        <f t="shared" si="11"/>
        <v/>
      </c>
      <c r="BM52" s="47">
        <v>1.16538420964073E-2</v>
      </c>
      <c r="BN52" s="48" t="str">
        <f t="shared" si="32"/>
        <v/>
      </c>
      <c r="BO52" s="47" t="str">
        <f t="shared" si="47"/>
        <v/>
      </c>
      <c r="BP52" s="51">
        <v>1.8279799999999999E-4</v>
      </c>
      <c r="BQ52" s="28">
        <f t="shared" ref="BQ52:BQ56" si="72">IF(BL52&lt;&gt;"",BL52/0.000385,IF(BM52&lt;&gt;"",BM52/0.000385,BN52/0.000385))</f>
        <v>30.269719730928053</v>
      </c>
      <c r="BR52" s="49">
        <f t="shared" ref="BR52:BR56" si="73">IF(BL52&lt;&gt;"",BL52,IF(BM52&lt;&gt;"",BM52,BN52))</f>
        <v>1.16538420964073E-2</v>
      </c>
      <c r="BS52" s="30">
        <f t="shared" si="21"/>
        <v>1.8279799999999999E-4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E53" t="s">
        <v>89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 t="shared" si="70"/>
        <v>0.495</v>
      </c>
      <c r="AI53" s="44">
        <v>34</v>
      </c>
      <c r="AJ53" s="44">
        <v>38.049999999999997</v>
      </c>
      <c r="AK53" s="44">
        <v>1.24</v>
      </c>
      <c r="AL53" s="69">
        <v>6.66</v>
      </c>
      <c r="AM53" s="45">
        <f t="shared" si="71"/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 t="shared" si="60"/>
        <v>1821.3</v>
      </c>
      <c r="AT53" s="45">
        <f t="shared" si="36"/>
        <v>40.22999999999999</v>
      </c>
      <c r="AU53" s="45">
        <f t="shared" si="37"/>
        <v>0.98999999999999488</v>
      </c>
      <c r="AV53" s="45">
        <f t="shared" si="65"/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 t="shared" si="17"/>
        <v>1.03946505E-2</v>
      </c>
      <c r="BG53" s="46">
        <f t="shared" si="1"/>
        <v>14.968296720000001</v>
      </c>
      <c r="BH53" s="46">
        <f t="shared" si="41"/>
        <v>1872.91</v>
      </c>
      <c r="BI53" s="47">
        <f t="shared" si="8"/>
        <v>0.10136632299469808</v>
      </c>
      <c r="BJ53" s="47">
        <f t="shared" si="9"/>
        <v>0.11167647058823529</v>
      </c>
      <c r="BK53" s="47">
        <f t="shared" si="18"/>
        <v>15.583026767702258</v>
      </c>
      <c r="BL53" s="47" t="str">
        <f t="shared" si="11"/>
        <v/>
      </c>
      <c r="BM53" s="47">
        <v>1.08215463664599E-2</v>
      </c>
      <c r="BN53" s="48" t="str">
        <f t="shared" si="32"/>
        <v/>
      </c>
      <c r="BO53" s="47" t="str">
        <f t="shared" si="47"/>
        <v/>
      </c>
      <c r="BP53" s="51">
        <v>3.47222340534088</v>
      </c>
      <c r="BQ53" s="28">
        <f t="shared" si="72"/>
        <v>28.107912640155586</v>
      </c>
      <c r="BR53" s="49">
        <f t="shared" si="73"/>
        <v>1.08215463664599E-2</v>
      </c>
      <c r="BS53" s="30">
        <f t="shared" si="21"/>
        <v>3.47222340534088</v>
      </c>
    </row>
    <row r="54" spans="1:71" x14ac:dyDescent="0.3">
      <c r="A54" s="1" t="s">
        <v>86</v>
      </c>
      <c r="B54" t="s">
        <v>75</v>
      </c>
      <c r="C54">
        <v>12</v>
      </c>
      <c r="D54">
        <v>8</v>
      </c>
      <c r="E54" t="s">
        <v>89</v>
      </c>
      <c r="F54" s="61">
        <v>45541.4217361111</v>
      </c>
      <c r="G54">
        <v>4309.7</v>
      </c>
      <c r="H54" s="44"/>
      <c r="I54" s="44">
        <v>3944.52</v>
      </c>
      <c r="J54" s="44">
        <v>18.8</v>
      </c>
      <c r="K54" s="44">
        <v>16.8</v>
      </c>
      <c r="L54" s="44">
        <v>89.2</v>
      </c>
      <c r="M54" s="44">
        <v>18.8</v>
      </c>
      <c r="N54" s="44"/>
      <c r="O54" s="44">
        <v>1.32</v>
      </c>
      <c r="P54" s="44">
        <v>0.25</v>
      </c>
      <c r="Q54" s="44">
        <v>3.69</v>
      </c>
      <c r="R54" s="44"/>
      <c r="S54" s="44">
        <v>0.36</v>
      </c>
      <c r="T54" s="44">
        <v>0.66</v>
      </c>
      <c r="U54" s="44">
        <v>3.71</v>
      </c>
      <c r="V54" s="44">
        <v>7.2759999999999998</v>
      </c>
      <c r="W54" s="44">
        <v>122.2</v>
      </c>
      <c r="X54" s="44">
        <v>26.4</v>
      </c>
      <c r="Y54" s="44">
        <v>1.73</v>
      </c>
      <c r="Z54" s="44">
        <v>180.5</v>
      </c>
      <c r="AA54" s="44">
        <v>55.4</v>
      </c>
      <c r="AB54" s="44">
        <v>107.2</v>
      </c>
      <c r="AC54" s="44">
        <v>21.3</v>
      </c>
      <c r="AD54" s="17">
        <v>7.3170000000000002</v>
      </c>
      <c r="AE54" s="44">
        <v>301</v>
      </c>
      <c r="AF54" s="44">
        <v>49.6</v>
      </c>
      <c r="AG54" s="44">
        <v>7.29</v>
      </c>
      <c r="AH54" s="45">
        <f t="shared" si="70"/>
        <v>0.496</v>
      </c>
      <c r="AI54" s="44">
        <v>34</v>
      </c>
      <c r="AJ54" s="44">
        <v>43.09</v>
      </c>
      <c r="AK54" s="44">
        <v>10.53</v>
      </c>
      <c r="AL54" s="69">
        <v>6.76</v>
      </c>
      <c r="AM54" s="45">
        <f t="shared" si="71"/>
        <v>2.5813472222222224E-2</v>
      </c>
      <c r="AN54" s="44">
        <v>162.32</v>
      </c>
      <c r="AO54" s="44">
        <v>70.87</v>
      </c>
      <c r="AP54" s="44">
        <v>492</v>
      </c>
      <c r="AQ54" s="44">
        <v>1872</v>
      </c>
      <c r="AR54" s="45">
        <v>47.420000000000073</v>
      </c>
      <c r="AS54" s="45">
        <f t="shared" si="60"/>
        <v>1824.58</v>
      </c>
      <c r="AT54" s="45">
        <f t="shared" si="36"/>
        <v>37.389999999999986</v>
      </c>
      <c r="AU54" s="45">
        <f t="shared" si="37"/>
        <v>0</v>
      </c>
      <c r="AV54" s="45">
        <f t="shared" si="65"/>
        <v>45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>
        <v>0.02</v>
      </c>
      <c r="BE54" s="22"/>
      <c r="BF54" s="11">
        <f t="shared" si="17"/>
        <v>9.3671927999999984E-3</v>
      </c>
      <c r="BG54" s="46">
        <f t="shared" si="1"/>
        <v>13.488757631999997</v>
      </c>
      <c r="BH54" s="46">
        <f t="shared" si="41"/>
        <v>1858.57</v>
      </c>
      <c r="BI54" s="47">
        <f t="shared" si="8"/>
        <v>8.7335962594898231E-2</v>
      </c>
      <c r="BJ54" s="47">
        <f t="shared" si="9"/>
        <v>9.5482352941176463E-2</v>
      </c>
      <c r="BK54" s="47">
        <f t="shared" si="18"/>
        <v>37.171400000000006</v>
      </c>
      <c r="BL54" s="47">
        <f t="shared" si="11"/>
        <v>2.5813472222222224E-2</v>
      </c>
      <c r="BM54" s="48" t="str">
        <f t="shared" si="31"/>
        <v/>
      </c>
      <c r="BN54" s="48" t="str">
        <f t="shared" si="32"/>
        <v/>
      </c>
      <c r="BO54" s="47">
        <f t="shared" si="47"/>
        <v>0</v>
      </c>
      <c r="BP54" s="51" t="str">
        <f t="shared" si="28"/>
        <v/>
      </c>
      <c r="BQ54" s="28">
        <f t="shared" si="72"/>
        <v>67.047979797979806</v>
      </c>
      <c r="BR54" s="49">
        <f t="shared" si="73"/>
        <v>2.5813472222222224E-2</v>
      </c>
      <c r="BS54" s="30">
        <f t="shared" si="21"/>
        <v>0</v>
      </c>
    </row>
    <row r="55" spans="1:71" x14ac:dyDescent="0.3">
      <c r="A55" s="1" t="s">
        <v>87</v>
      </c>
      <c r="B55" t="s">
        <v>75</v>
      </c>
      <c r="C55">
        <v>12</v>
      </c>
      <c r="D55">
        <v>8</v>
      </c>
      <c r="E55" t="s">
        <v>89</v>
      </c>
      <c r="F55" s="61">
        <v>45541.425601851901</v>
      </c>
      <c r="G55">
        <v>4309.7</v>
      </c>
      <c r="H55" s="44"/>
      <c r="I55" s="44">
        <v>2821.47</v>
      </c>
      <c r="J55" s="44">
        <v>20.9</v>
      </c>
      <c r="K55" s="44">
        <v>14</v>
      </c>
      <c r="L55" s="44">
        <v>67.099999999999994</v>
      </c>
      <c r="M55" s="44">
        <v>18.2</v>
      </c>
      <c r="N55" s="44">
        <v>600</v>
      </c>
      <c r="O55" s="44">
        <v>5.43</v>
      </c>
      <c r="P55" s="44">
        <v>0.31</v>
      </c>
      <c r="Q55" s="44">
        <v>3.79</v>
      </c>
      <c r="R55" s="44"/>
      <c r="S55" s="44">
        <v>0.64</v>
      </c>
      <c r="T55" s="44">
        <v>2.4300000000000002</v>
      </c>
      <c r="U55" s="44"/>
      <c r="V55" s="44">
        <v>7.0570000000000004</v>
      </c>
      <c r="W55" s="44">
        <v>78.099999999999994</v>
      </c>
      <c r="X55" s="44">
        <v>75.400000000000006</v>
      </c>
      <c r="Y55" s="44">
        <v>3.62</v>
      </c>
      <c r="Z55" s="44">
        <v>241.4</v>
      </c>
      <c r="AA55" s="44">
        <v>21.2</v>
      </c>
      <c r="AB55" s="44">
        <v>68.5</v>
      </c>
      <c r="AC55" s="44">
        <v>61.7</v>
      </c>
      <c r="AD55" s="17">
        <v>7.0940000000000003</v>
      </c>
      <c r="AE55" s="44">
        <v>298</v>
      </c>
      <c r="AF55" s="44">
        <v>48.9</v>
      </c>
      <c r="AG55" s="44">
        <v>7.1</v>
      </c>
      <c r="AH55" s="45">
        <f t="shared" si="70"/>
        <v>0.48899999999999999</v>
      </c>
      <c r="AI55" s="44">
        <v>34</v>
      </c>
      <c r="AJ55" s="44">
        <v>86.93</v>
      </c>
      <c r="AK55" s="44">
        <v>7.31</v>
      </c>
      <c r="AL55" s="69">
        <v>6.44</v>
      </c>
      <c r="AM55" s="45">
        <f t="shared" si="71"/>
        <v>2.6768055555555559E-2</v>
      </c>
      <c r="AN55" s="44">
        <v>183.8</v>
      </c>
      <c r="AO55" s="44">
        <v>77.819999999999993</v>
      </c>
      <c r="AP55" s="44">
        <v>445</v>
      </c>
      <c r="AQ55" s="44">
        <v>1964</v>
      </c>
      <c r="AR55" s="45">
        <v>133.55999999999995</v>
      </c>
      <c r="AS55" s="45">
        <f t="shared" si="60"/>
        <v>1830.44</v>
      </c>
      <c r="AT55" s="45">
        <f t="shared" si="36"/>
        <v>38.31</v>
      </c>
      <c r="AU55" s="45">
        <f t="shared" si="37"/>
        <v>8.7999999999999972</v>
      </c>
      <c r="AV55" s="45">
        <f t="shared" si="65"/>
        <v>46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>
        <v>0.02</v>
      </c>
      <c r="BE55" s="22"/>
      <c r="BF55" s="11">
        <f t="shared" si="17"/>
        <v>8.0946600000000018E-3</v>
      </c>
      <c r="BG55" s="46">
        <f t="shared" si="1"/>
        <v>11.656310400000002</v>
      </c>
      <c r="BH55" s="46">
        <f t="shared" si="41"/>
        <v>1927.3000000000002</v>
      </c>
      <c r="BI55" s="47">
        <f t="shared" si="8"/>
        <v>9.5366575001297152E-2</v>
      </c>
      <c r="BJ55" s="47">
        <f t="shared" si="9"/>
        <v>0.10811764705882354</v>
      </c>
      <c r="BK55" s="47">
        <f t="shared" si="18"/>
        <v>38.546000000000006</v>
      </c>
      <c r="BL55" s="47">
        <f t="shared" si="11"/>
        <v>2.6768055555555559E-2</v>
      </c>
      <c r="BM55" s="48" t="str">
        <f t="shared" si="31"/>
        <v/>
      </c>
      <c r="BN55" s="48" t="str">
        <f t="shared" si="32"/>
        <v/>
      </c>
      <c r="BO55" s="47">
        <f t="shared" si="47"/>
        <v>0</v>
      </c>
      <c r="BP55" s="51" t="str">
        <f t="shared" si="28"/>
        <v/>
      </c>
      <c r="BQ55" s="28">
        <f t="shared" si="72"/>
        <v>69.527417027417044</v>
      </c>
      <c r="BR55" s="49">
        <f t="shared" si="73"/>
        <v>2.6768055555555559E-2</v>
      </c>
      <c r="BS55" s="30">
        <f t="shared" si="21"/>
        <v>0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 t="s">
        <v>89</v>
      </c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 t="shared" si="70"/>
        <v>0.502</v>
      </c>
      <c r="AI56" s="7">
        <v>34</v>
      </c>
      <c r="AJ56" s="7">
        <v>28.27</v>
      </c>
      <c r="AK56" s="7">
        <v>28.23</v>
      </c>
      <c r="AL56" s="70">
        <v>6.52</v>
      </c>
      <c r="AM56" s="41">
        <f t="shared" si="71"/>
        <v>1.2219836805555554E-2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 t="shared" si="60"/>
        <v>1818.34</v>
      </c>
      <c r="AT56" s="41">
        <f t="shared" si="36"/>
        <v>22.28</v>
      </c>
      <c r="AU56" s="41">
        <f t="shared" si="37"/>
        <v>0</v>
      </c>
      <c r="AV56" s="41">
        <f t="shared" si="65"/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>
        <v>9.4999999999999998E-3</v>
      </c>
      <c r="BD56" s="5"/>
      <c r="BE56" s="23"/>
      <c r="BF56" s="12">
        <f t="shared" si="17"/>
        <v>1.1780437199999999E-2</v>
      </c>
      <c r="BG56" s="13">
        <f t="shared" si="1"/>
        <v>16.963829567999998</v>
      </c>
      <c r="BH56" s="13">
        <f t="shared" si="41"/>
        <v>1852.27</v>
      </c>
      <c r="BI56" s="14">
        <f t="shared" si="8"/>
        <v>9.051596149589422E-2</v>
      </c>
      <c r="BJ56" s="14">
        <f t="shared" si="9"/>
        <v>9.8623529411764707E-2</v>
      </c>
      <c r="BK56" s="14">
        <f t="shared" si="18"/>
        <v>17.596564999999998</v>
      </c>
      <c r="BL56" s="14">
        <f t="shared" si="11"/>
        <v>1.2219836805555554E-2</v>
      </c>
      <c r="BM56" s="48" t="str">
        <f t="shared" si="31"/>
        <v/>
      </c>
      <c r="BN56" s="36" t="str">
        <f t="shared" si="32"/>
        <v/>
      </c>
      <c r="BO56" s="14">
        <f t="shared" si="47"/>
        <v>0</v>
      </c>
      <c r="BP56" s="52" t="str">
        <f t="shared" si="28"/>
        <v/>
      </c>
      <c r="BQ56" s="29">
        <f t="shared" si="72"/>
        <v>31.739835858585856</v>
      </c>
      <c r="BR56" s="38">
        <f t="shared" si="73"/>
        <v>1.2219836805555554E-2</v>
      </c>
      <c r="BS56" s="31">
        <f t="shared" si="21"/>
        <v>0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>
        <v>45542.536215277803</v>
      </c>
      <c r="G57" s="3">
        <v>4805.7299999999996</v>
      </c>
      <c r="H57" s="6"/>
      <c r="I57" s="6">
        <v>4962.95</v>
      </c>
      <c r="J57" s="6">
        <v>22.1</v>
      </c>
      <c r="K57" s="6">
        <v>20.6</v>
      </c>
      <c r="L57" s="6">
        <v>93.2</v>
      </c>
      <c r="M57" s="6">
        <v>17.3</v>
      </c>
      <c r="N57" s="6">
        <v>344</v>
      </c>
      <c r="O57" s="6">
        <v>1.42</v>
      </c>
      <c r="P57" s="6">
        <v>0.21</v>
      </c>
      <c r="Q57" s="6">
        <v>2.37</v>
      </c>
      <c r="R57" s="6"/>
      <c r="S57" s="6">
        <v>0.15</v>
      </c>
      <c r="T57" s="6">
        <v>0.13</v>
      </c>
      <c r="U57" s="6">
        <v>0.55000000000000004</v>
      </c>
      <c r="V57" s="6">
        <v>7.2480000000000002</v>
      </c>
      <c r="W57" s="6">
        <v>109.4</v>
      </c>
      <c r="X57" s="6">
        <v>40.4</v>
      </c>
      <c r="Y57" s="6">
        <v>2.44</v>
      </c>
      <c r="Z57" s="6">
        <v>147.1</v>
      </c>
      <c r="AA57" s="6">
        <v>46.5</v>
      </c>
      <c r="AB57" s="6">
        <v>96</v>
      </c>
      <c r="AC57" s="6">
        <v>32.700000000000003</v>
      </c>
      <c r="AD57" s="16">
        <v>7.29</v>
      </c>
      <c r="AE57" s="6">
        <v>301</v>
      </c>
      <c r="AF57" s="6">
        <v>50.2</v>
      </c>
      <c r="AG57" s="6">
        <v>7.3</v>
      </c>
      <c r="AH57" s="40">
        <f>AF57/100</f>
        <v>0.502</v>
      </c>
      <c r="AI57" s="6">
        <v>34</v>
      </c>
      <c r="AJ57" s="6">
        <v>22.065000000000001</v>
      </c>
      <c r="AK57" s="44">
        <v>41.161000000000001</v>
      </c>
      <c r="AL57" s="6">
        <f>AL51+0.95</f>
        <v>6.24</v>
      </c>
      <c r="AM57" s="42">
        <f>BR57</f>
        <v>1.55878779022903E-2</v>
      </c>
      <c r="AN57" s="6">
        <v>150.99</v>
      </c>
      <c r="AO57" s="6">
        <v>65.31</v>
      </c>
      <c r="AP57" s="6">
        <v>518</v>
      </c>
      <c r="AQ57" s="6">
        <v>1886</v>
      </c>
      <c r="AR57" s="40">
        <v>137.11999999999989</v>
      </c>
      <c r="AS57" s="40">
        <f t="shared" si="60"/>
        <v>1748.88</v>
      </c>
      <c r="AT57" s="40">
        <f t="shared" si="36"/>
        <v>11.420000000000016</v>
      </c>
      <c r="AU57" s="40">
        <f t="shared" si="37"/>
        <v>0</v>
      </c>
      <c r="AV57" s="40">
        <f t="shared" si="65"/>
        <v>12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46">
        <f>BM57*24*60/BH57</f>
        <v>1.2227344977136538E-2</v>
      </c>
      <c r="BE57" s="22">
        <f>BP57/BH57</f>
        <v>9.9999999999999995E-8</v>
      </c>
      <c r="BF57" s="8">
        <f t="shared" si="17"/>
        <v>1.1345033880000001E-2</v>
      </c>
      <c r="BG57" s="9">
        <f t="shared" si="1"/>
        <v>16.336848787200001</v>
      </c>
      <c r="BH57" s="9">
        <f t="shared" si="41"/>
        <v>1835.7660000000001</v>
      </c>
      <c r="BI57" s="10">
        <f t="shared" si="8"/>
        <v>8.224904481290099E-2</v>
      </c>
      <c r="BJ57" s="10">
        <f t="shared" si="9"/>
        <v>8.8817647058823529E-2</v>
      </c>
      <c r="BK57" s="10">
        <f t="shared" si="18"/>
        <v>22.446544179298034</v>
      </c>
      <c r="BL57" s="10" t="str">
        <f t="shared" si="11"/>
        <v/>
      </c>
      <c r="BM57" s="10">
        <v>1.55878779022903E-2</v>
      </c>
      <c r="BN57" s="35" t="str">
        <f t="shared" si="32"/>
        <v/>
      </c>
      <c r="BO57" s="10" t="str">
        <f t="shared" si="47"/>
        <v/>
      </c>
      <c r="BP57" s="50">
        <v>1.8357660000000001E-4</v>
      </c>
      <c r="BQ57" s="27">
        <f>IF(BL57&lt;&gt;"",BL57/0.000385,IF(BM57&lt;&gt;"",BM57/0.000385,BN57/0.000385))</f>
        <v>40.487994551403375</v>
      </c>
      <c r="BR57" s="37">
        <f>IF(BL57&lt;&gt;"",BL57,IF(BM57&lt;&gt;"",BM57,BN57))</f>
        <v>1.55878779022903E-2</v>
      </c>
      <c r="BS57" s="32">
        <f t="shared" si="21"/>
        <v>1.8357660000000001E-4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>
        <v>45542.542280092603</v>
      </c>
      <c r="G58">
        <v>4805.7299999999996</v>
      </c>
      <c r="H58" s="44"/>
      <c r="I58" s="44">
        <v>5081.96</v>
      </c>
      <c r="J58" s="44">
        <v>22.2</v>
      </c>
      <c r="K58" s="44">
        <v>20.9</v>
      </c>
      <c r="L58" s="44">
        <v>94.3</v>
      </c>
      <c r="M58" s="44">
        <v>18</v>
      </c>
      <c r="N58" s="44">
        <v>340</v>
      </c>
      <c r="O58" s="44">
        <v>1.74</v>
      </c>
      <c r="P58" s="44">
        <v>0.21</v>
      </c>
      <c r="Q58" s="44">
        <v>0.49</v>
      </c>
      <c r="R58" s="44"/>
      <c r="S58" s="44">
        <v>0.12</v>
      </c>
      <c r="T58" s="44">
        <v>0.11</v>
      </c>
      <c r="U58" s="44">
        <v>0.16</v>
      </c>
      <c r="V58" s="44">
        <v>7.2590000000000003</v>
      </c>
      <c r="W58" s="44">
        <v>134.1</v>
      </c>
      <c r="X58" s="44">
        <v>35.700000000000003</v>
      </c>
      <c r="Y58" s="44">
        <v>1.99</v>
      </c>
      <c r="Z58" s="44">
        <v>153.1</v>
      </c>
      <c r="AA58" s="44">
        <v>58.4</v>
      </c>
      <c r="AB58" s="44">
        <v>117.6</v>
      </c>
      <c r="AC58" s="44">
        <v>28.9</v>
      </c>
      <c r="AD58" s="17">
        <v>7.3</v>
      </c>
      <c r="AE58" s="44">
        <v>299</v>
      </c>
      <c r="AF58" s="44">
        <v>50.7</v>
      </c>
      <c r="AG58" s="44">
        <v>7.28</v>
      </c>
      <c r="AH58" s="45">
        <f t="shared" ref="AH58:AH62" si="74">AF58/100</f>
        <v>0.50700000000000001</v>
      </c>
      <c r="AI58" s="44">
        <v>34</v>
      </c>
      <c r="AJ58" s="44">
        <v>24.568000000000001</v>
      </c>
      <c r="AK58" s="44">
        <v>27.052</v>
      </c>
      <c r="AL58" s="44">
        <f>AL52+0.94</f>
        <v>3.94</v>
      </c>
      <c r="AM58" s="45">
        <f t="shared" ref="AM58:AM62" si="75">BR58</f>
        <v>1.4239072354215201E-2</v>
      </c>
      <c r="AN58" s="44">
        <v>167.56</v>
      </c>
      <c r="AO58" s="44">
        <v>61.42</v>
      </c>
      <c r="AP58" s="44">
        <v>501</v>
      </c>
      <c r="AQ58" s="44">
        <v>1816</v>
      </c>
      <c r="AR58" s="45">
        <v>45.769999999999982</v>
      </c>
      <c r="AS58" s="45">
        <f t="shared" si="60"/>
        <v>1770.23</v>
      </c>
      <c r="AT58" s="45">
        <f t="shared" si="36"/>
        <v>20.25</v>
      </c>
      <c r="AU58" s="45">
        <f t="shared" si="37"/>
        <v>0</v>
      </c>
      <c r="AV58" s="45">
        <f t="shared" si="65"/>
        <v>23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>
        <f>BM58*24*60/BH58</f>
        <v>1.1176787745194918E-2</v>
      </c>
      <c r="BE58" s="22">
        <f>BP58/BH58</f>
        <v>3.3316909083529549E-3</v>
      </c>
      <c r="BF58" s="11">
        <f t="shared" si="17"/>
        <v>1.1502565799999998E-2</v>
      </c>
      <c r="BG58" s="46">
        <f t="shared" si="1"/>
        <v>16.563694751999996</v>
      </c>
      <c r="BH58" s="46">
        <f t="shared" si="41"/>
        <v>1834.54</v>
      </c>
      <c r="BI58" s="47">
        <f t="shared" si="8"/>
        <v>9.1336247778734725E-2</v>
      </c>
      <c r="BJ58" s="47">
        <f t="shared" si="9"/>
        <v>9.8564705882352943E-2</v>
      </c>
      <c r="BK58" s="47">
        <f t="shared" si="18"/>
        <v>20.504264190069886</v>
      </c>
      <c r="BL58" s="47" t="str">
        <f t="shared" si="11"/>
        <v/>
      </c>
      <c r="BM58" s="47">
        <v>1.4239072354215201E-2</v>
      </c>
      <c r="BN58" s="48" t="str">
        <f t="shared" si="32"/>
        <v/>
      </c>
      <c r="BO58" s="47" t="str">
        <f t="shared" si="47"/>
        <v/>
      </c>
      <c r="BP58" s="51">
        <v>6.1121202390098297</v>
      </c>
      <c r="BQ58" s="28">
        <f t="shared" ref="BQ58:BQ62" si="76">IF(BL58&lt;&gt;"",BL58/0.000385,IF(BM58&lt;&gt;"",BM58/0.000385,BN58/0.000385))</f>
        <v>36.984603517442082</v>
      </c>
      <c r="BR58" s="49">
        <f t="shared" ref="BR58:BR62" si="77">IF(BL58&lt;&gt;"",BL58,IF(BM58&lt;&gt;"",BM58,BN58))</f>
        <v>1.4239072354215201E-2</v>
      </c>
      <c r="BS58" s="30">
        <f t="shared" si="21"/>
        <v>6.1121202390098297</v>
      </c>
    </row>
    <row r="59" spans="1:71" x14ac:dyDescent="0.3">
      <c r="A59" s="1" t="s">
        <v>85</v>
      </c>
      <c r="B59" t="s">
        <v>74</v>
      </c>
      <c r="C59">
        <v>12</v>
      </c>
      <c r="D59">
        <v>9</v>
      </c>
      <c r="F59" s="61">
        <v>45542.544826388897</v>
      </c>
      <c r="G59">
        <v>4805.7299999999996</v>
      </c>
      <c r="H59" s="44"/>
      <c r="I59" s="44">
        <v>4467.1400000000003</v>
      </c>
      <c r="J59" s="44">
        <v>19.899999999999999</v>
      </c>
      <c r="K59" s="44">
        <v>17.5</v>
      </c>
      <c r="L59" s="44">
        <v>87.6</v>
      </c>
      <c r="M59" s="44">
        <v>18.8</v>
      </c>
      <c r="N59" s="44">
        <v>412</v>
      </c>
      <c r="O59" s="44">
        <v>1.83</v>
      </c>
      <c r="P59" s="44">
        <v>0.22</v>
      </c>
      <c r="Q59" s="44">
        <v>2.14</v>
      </c>
      <c r="R59" s="44"/>
      <c r="S59" s="44">
        <v>0.49</v>
      </c>
      <c r="T59" s="44">
        <v>0.82</v>
      </c>
      <c r="U59" s="44">
        <v>2.0699999999999998</v>
      </c>
      <c r="V59" s="44">
        <v>7.3280000000000003</v>
      </c>
      <c r="W59" s="44">
        <v>119.4</v>
      </c>
      <c r="X59" s="44">
        <v>8.6</v>
      </c>
      <c r="Y59" s="44">
        <v>1.54</v>
      </c>
      <c r="Z59" s="44">
        <v>175.6</v>
      </c>
      <c r="AA59" s="44">
        <v>61.1</v>
      </c>
      <c r="AB59" s="44">
        <v>104.7</v>
      </c>
      <c r="AC59" s="44">
        <v>6.9</v>
      </c>
      <c r="AD59" s="17">
        <v>7.37</v>
      </c>
      <c r="AE59" s="44">
        <v>298</v>
      </c>
      <c r="AF59" s="44">
        <v>51.5</v>
      </c>
      <c r="AG59" s="44">
        <v>7.3</v>
      </c>
      <c r="AH59" s="45">
        <f t="shared" si="74"/>
        <v>0.51500000000000001</v>
      </c>
      <c r="AI59" s="44">
        <v>34</v>
      </c>
      <c r="AJ59" s="44">
        <v>38.045999999999999</v>
      </c>
      <c r="AK59" s="44">
        <v>2.4567000000000001</v>
      </c>
      <c r="AL59" s="44">
        <f>AL53+0.93</f>
        <v>7.59</v>
      </c>
      <c r="AM59" s="45">
        <f t="shared" si="75"/>
        <v>3.1427878333333298E-2</v>
      </c>
      <c r="AN59" s="44">
        <v>211.31</v>
      </c>
      <c r="AO59" s="44">
        <v>76.27</v>
      </c>
      <c r="AP59" s="44">
        <v>430</v>
      </c>
      <c r="AQ59" s="44">
        <v>1900</v>
      </c>
      <c r="AR59" s="45">
        <v>84.700000000000045</v>
      </c>
      <c r="AS59" s="45">
        <f t="shared" si="60"/>
        <v>1815.3</v>
      </c>
      <c r="AT59" s="45">
        <f t="shared" si="36"/>
        <v>21.460000000000008</v>
      </c>
      <c r="AU59" s="45">
        <f t="shared" si="37"/>
        <v>4.1599999999999966</v>
      </c>
      <c r="AV59" s="45">
        <f t="shared" si="65"/>
        <v>26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>
        <f>BM59*24*60/BH59</f>
        <v>2.3999999999999973E-2</v>
      </c>
      <c r="BE59" s="22">
        <f>BP59/BH59</f>
        <v>4.1250564909925723E-3</v>
      </c>
      <c r="BF59" s="11">
        <f t="shared" si="17"/>
        <v>9.8997816750000002E-3</v>
      </c>
      <c r="BG59" s="46">
        <f t="shared" si="1"/>
        <v>14.255685612000001</v>
      </c>
      <c r="BH59" s="46">
        <f t="shared" si="41"/>
        <v>1885.6727000000001</v>
      </c>
      <c r="BI59" s="47">
        <f t="shared" si="8"/>
        <v>0.11206080461365325</v>
      </c>
      <c r="BJ59" s="47">
        <f t="shared" si="9"/>
        <v>0.12430000000000001</v>
      </c>
      <c r="BK59" s="47">
        <f t="shared" si="18"/>
        <v>45.256144799999952</v>
      </c>
      <c r="BL59" s="47" t="str">
        <f t="shared" si="11"/>
        <v/>
      </c>
      <c r="BM59" s="47">
        <v>3.1427878333333298E-2</v>
      </c>
      <c r="BN59" s="48" t="str">
        <f t="shared" si="32"/>
        <v/>
      </c>
      <c r="BO59" s="47" t="str">
        <f t="shared" si="47"/>
        <v/>
      </c>
      <c r="BP59" s="51">
        <v>7.77850641102249</v>
      </c>
      <c r="BQ59" s="28">
        <f t="shared" si="76"/>
        <v>81.630852813852727</v>
      </c>
      <c r="BR59" s="49">
        <f t="shared" si="77"/>
        <v>3.1427878333333298E-2</v>
      </c>
      <c r="BS59" s="30">
        <f t="shared" si="21"/>
        <v>7.77850641102249</v>
      </c>
    </row>
    <row r="60" spans="1:71" x14ac:dyDescent="0.3">
      <c r="A60" s="1" t="s">
        <v>86</v>
      </c>
      <c r="B60" t="s">
        <v>75</v>
      </c>
      <c r="C60">
        <v>12</v>
      </c>
      <c r="D60">
        <v>9</v>
      </c>
      <c r="F60" s="61">
        <v>45542.547604166699</v>
      </c>
      <c r="G60">
        <v>4805.7299999999996</v>
      </c>
      <c r="H60" s="44"/>
      <c r="I60" s="44">
        <v>4576.0950000000003</v>
      </c>
      <c r="J60" s="44">
        <v>19.2</v>
      </c>
      <c r="K60" s="44">
        <v>17.399999999999999</v>
      </c>
      <c r="L60" s="44">
        <v>90.3</v>
      </c>
      <c r="M60" s="44">
        <v>19.2</v>
      </c>
      <c r="N60" s="44">
        <v>424</v>
      </c>
      <c r="O60" s="44">
        <v>1.5</v>
      </c>
      <c r="P60" s="44">
        <v>0.22</v>
      </c>
      <c r="Q60" s="44">
        <v>2.46</v>
      </c>
      <c r="R60" s="44"/>
      <c r="S60" s="44">
        <v>0.49</v>
      </c>
      <c r="T60" s="44">
        <v>1.48</v>
      </c>
      <c r="U60" s="44">
        <v>2.97</v>
      </c>
      <c r="V60" s="44">
        <v>7.27</v>
      </c>
      <c r="W60" s="44">
        <v>131.4</v>
      </c>
      <c r="X60" s="44">
        <v>5.3</v>
      </c>
      <c r="Y60" s="44">
        <v>1.55</v>
      </c>
      <c r="Z60" s="44">
        <v>181.8</v>
      </c>
      <c r="AA60" s="44">
        <v>58.8</v>
      </c>
      <c r="AB60" s="44">
        <v>115.2</v>
      </c>
      <c r="AC60" s="44">
        <v>4.3</v>
      </c>
      <c r="AD60" s="17">
        <v>7.3120000000000003</v>
      </c>
      <c r="AE60" s="44">
        <v>298</v>
      </c>
      <c r="AF60" s="44">
        <v>52</v>
      </c>
      <c r="AG60" s="44">
        <v>7.29</v>
      </c>
      <c r="AH60" s="45">
        <f t="shared" si="74"/>
        <v>0.52</v>
      </c>
      <c r="AI60" s="44">
        <v>34</v>
      </c>
      <c r="AJ60" s="44">
        <v>43.091000000000001</v>
      </c>
      <c r="AK60" s="44">
        <v>11.292</v>
      </c>
      <c r="AL60" s="44">
        <f>AL54+0.95</f>
        <v>7.71</v>
      </c>
      <c r="AM60" s="45">
        <f t="shared" si="75"/>
        <v>2.3587912499999995E-2</v>
      </c>
      <c r="AN60" s="44">
        <v>204.07</v>
      </c>
      <c r="AO60" s="44">
        <v>70.87</v>
      </c>
      <c r="AP60" s="44">
        <v>443</v>
      </c>
      <c r="AQ60" s="44">
        <v>1888</v>
      </c>
      <c r="AR60" s="45">
        <v>47.420000000000073</v>
      </c>
      <c r="AS60" s="45">
        <f t="shared" si="60"/>
        <v>1840.58</v>
      </c>
      <c r="AT60" s="45">
        <f t="shared" si="36"/>
        <v>41.75</v>
      </c>
      <c r="AU60" s="45">
        <f t="shared" si="37"/>
        <v>0</v>
      </c>
      <c r="AV60" s="45">
        <f t="shared" si="65"/>
        <v>49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>
        <v>1.7999999999999999E-2</v>
      </c>
      <c r="BE60" s="22"/>
      <c r="BF60" s="11">
        <f t="shared" si="17"/>
        <v>9.8503122599999972E-3</v>
      </c>
      <c r="BG60" s="46">
        <f t="shared" si="1"/>
        <v>14.184449654399996</v>
      </c>
      <c r="BH60" s="46">
        <f t="shared" si="41"/>
        <v>1887.0329999999999</v>
      </c>
      <c r="BI60" s="47">
        <f t="shared" si="8"/>
        <v>0.10814331280904997</v>
      </c>
      <c r="BJ60" s="47">
        <f t="shared" si="9"/>
        <v>0.12004117647058823</v>
      </c>
      <c r="BK60" s="47">
        <f t="shared" si="18"/>
        <v>33.966593999999986</v>
      </c>
      <c r="BL60" s="47">
        <f t="shared" si="11"/>
        <v>2.3587912499999995E-2</v>
      </c>
      <c r="BM60" s="48" t="str">
        <f t="shared" si="31"/>
        <v/>
      </c>
      <c r="BN60" s="48" t="str">
        <f t="shared" si="32"/>
        <v/>
      </c>
      <c r="BO60" s="47">
        <f t="shared" si="47"/>
        <v>0</v>
      </c>
      <c r="BP60" s="51" t="str">
        <f t="shared" si="28"/>
        <v/>
      </c>
      <c r="BQ60" s="28">
        <f t="shared" si="76"/>
        <v>61.267305194805189</v>
      </c>
      <c r="BR60" s="49">
        <f t="shared" si="77"/>
        <v>2.3587912499999995E-2</v>
      </c>
      <c r="BS60" s="30">
        <f t="shared" si="21"/>
        <v>0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F61" s="61">
        <v>45542.550289351901</v>
      </c>
      <c r="G61">
        <v>4805.7299999999996</v>
      </c>
      <c r="H61" s="44"/>
      <c r="I61" s="44">
        <v>2904.25</v>
      </c>
      <c r="J61" s="44">
        <v>20.7</v>
      </c>
      <c r="K61" s="44">
        <v>12.9</v>
      </c>
      <c r="L61" s="44">
        <v>62</v>
      </c>
      <c r="M61" s="44">
        <v>18</v>
      </c>
      <c r="N61" s="44">
        <v>687</v>
      </c>
      <c r="O61" s="44">
        <v>8.5500000000000007</v>
      </c>
      <c r="P61" s="44">
        <v>0.3</v>
      </c>
      <c r="Q61" s="44">
        <v>2.75</v>
      </c>
      <c r="R61" s="44"/>
      <c r="S61" s="44">
        <v>0.57999999999999996</v>
      </c>
      <c r="T61" s="44">
        <v>3.07</v>
      </c>
      <c r="U61" s="44"/>
      <c r="V61" s="44">
        <v>7.0490000000000004</v>
      </c>
      <c r="W61" s="44">
        <v>78.2</v>
      </c>
      <c r="X61" s="44">
        <v>86</v>
      </c>
      <c r="Y61" s="44">
        <v>5.17</v>
      </c>
      <c r="Z61" s="44">
        <v>275.89999999999998</v>
      </c>
      <c r="AA61" s="44">
        <v>20.8</v>
      </c>
      <c r="AB61" s="44">
        <v>68.599999999999994</v>
      </c>
      <c r="AC61" s="44">
        <v>70.900000000000006</v>
      </c>
      <c r="AD61" s="17">
        <v>7.0869999999999997</v>
      </c>
      <c r="AE61" s="44">
        <v>300</v>
      </c>
      <c r="AF61" s="44">
        <v>49.7</v>
      </c>
      <c r="AG61" s="44">
        <v>7.09</v>
      </c>
      <c r="AH61" s="45">
        <f t="shared" si="74"/>
        <v>0.49700000000000005</v>
      </c>
      <c r="AI61" s="44">
        <v>34</v>
      </c>
      <c r="AJ61" s="44">
        <v>112.39</v>
      </c>
      <c r="AK61" s="44">
        <v>7.3125999999999998</v>
      </c>
      <c r="AL61" s="44">
        <f>AL55+0.92</f>
        <v>7.36</v>
      </c>
      <c r="AM61" s="45">
        <f t="shared" si="75"/>
        <v>2.752684166666667E-2</v>
      </c>
      <c r="AN61" s="44">
        <v>227.05</v>
      </c>
      <c r="AO61" s="44">
        <v>77.819999999999993</v>
      </c>
      <c r="AP61" s="44">
        <v>394</v>
      </c>
      <c r="AQ61" s="44">
        <v>2019</v>
      </c>
      <c r="AR61" s="45">
        <v>133.55999999999995</v>
      </c>
      <c r="AS61" s="45">
        <f t="shared" si="60"/>
        <v>1885.44</v>
      </c>
      <c r="AT61" s="45">
        <f t="shared" si="36"/>
        <v>43.25</v>
      </c>
      <c r="AU61" s="45">
        <f t="shared" si="37"/>
        <v>0</v>
      </c>
      <c r="AV61" s="45">
        <f t="shared" si="65"/>
        <v>51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>
        <v>0.02</v>
      </c>
      <c r="BE61" s="22"/>
      <c r="BF61" s="11">
        <f t="shared" si="17"/>
        <v>7.6700791619999991E-3</v>
      </c>
      <c r="BG61" s="46">
        <f t="shared" si="1"/>
        <v>11.044913993279998</v>
      </c>
      <c r="BH61" s="46">
        <f t="shared" si="41"/>
        <v>1981.9326000000001</v>
      </c>
      <c r="BI61" s="47">
        <f t="shared" si="8"/>
        <v>0.11455989976652083</v>
      </c>
      <c r="BJ61" s="47">
        <f t="shared" si="9"/>
        <v>0.13355882352941176</v>
      </c>
      <c r="BK61" s="47">
        <f t="shared" si="18"/>
        <v>39.638652000000008</v>
      </c>
      <c r="BL61" s="47">
        <f t="shared" si="11"/>
        <v>2.752684166666667E-2</v>
      </c>
      <c r="BM61" s="48" t="str">
        <f t="shared" si="31"/>
        <v/>
      </c>
      <c r="BN61" s="48" t="str">
        <f t="shared" si="32"/>
        <v/>
      </c>
      <c r="BO61" s="47">
        <f t="shared" si="47"/>
        <v>0</v>
      </c>
      <c r="BP61" s="51" t="str">
        <f t="shared" si="28"/>
        <v/>
      </c>
      <c r="BQ61" s="28">
        <f t="shared" si="76"/>
        <v>71.498290043290055</v>
      </c>
      <c r="BR61" s="49">
        <f t="shared" si="77"/>
        <v>2.752684166666667E-2</v>
      </c>
      <c r="BS61" s="30">
        <f t="shared" si="21"/>
        <v>0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>
        <v>45542.552824074097</v>
      </c>
      <c r="G62" s="5">
        <v>4805.7299999999996</v>
      </c>
      <c r="H62" s="7"/>
      <c r="I62" s="7">
        <v>5225.28</v>
      </c>
      <c r="J62" s="7">
        <v>21.5</v>
      </c>
      <c r="K62" s="7">
        <v>20</v>
      </c>
      <c r="L62" s="7">
        <v>93.3</v>
      </c>
      <c r="M62" s="7">
        <v>18</v>
      </c>
      <c r="N62" s="7">
        <v>352</v>
      </c>
      <c r="O62" s="7">
        <v>1.49</v>
      </c>
      <c r="P62" s="7">
        <v>0.2</v>
      </c>
      <c r="Q62" s="7">
        <v>0.32</v>
      </c>
      <c r="R62" s="7"/>
      <c r="S62" s="7">
        <v>0.19</v>
      </c>
      <c r="T62" s="7">
        <v>0.08</v>
      </c>
      <c r="U62" s="7">
        <v>1</v>
      </c>
      <c r="V62" s="7">
        <v>7.2679999999999998</v>
      </c>
      <c r="W62" s="7">
        <v>124.2</v>
      </c>
      <c r="X62" s="7">
        <v>34.299999999999997</v>
      </c>
      <c r="Y62" s="7">
        <v>1.79</v>
      </c>
      <c r="Z62" s="7">
        <v>158.6</v>
      </c>
      <c r="AA62" s="7">
        <v>55.3</v>
      </c>
      <c r="AB62" s="7">
        <v>108.9</v>
      </c>
      <c r="AC62" s="7">
        <v>27.7</v>
      </c>
      <c r="AD62" s="18">
        <v>7.3090000000000002</v>
      </c>
      <c r="AE62" s="7">
        <v>302</v>
      </c>
      <c r="AF62" s="7">
        <v>49.1</v>
      </c>
      <c r="AG62" s="7">
        <v>7.3</v>
      </c>
      <c r="AH62" s="41">
        <f t="shared" si="74"/>
        <v>0.49099999999999999</v>
      </c>
      <c r="AI62" s="7">
        <v>34</v>
      </c>
      <c r="AJ62" s="7">
        <v>28.271000000000001</v>
      </c>
      <c r="AK62" s="7">
        <v>38.732999999999997</v>
      </c>
      <c r="AL62" s="7">
        <f>AL56+0.93</f>
        <v>7.4499999999999993</v>
      </c>
      <c r="AM62" s="41">
        <f t="shared" si="75"/>
        <v>1.1032315277777779E-2</v>
      </c>
      <c r="AN62" s="7">
        <v>187.96</v>
      </c>
      <c r="AO62" s="7">
        <v>56.59</v>
      </c>
      <c r="AP62" s="7">
        <v>476</v>
      </c>
      <c r="AQ62" s="7">
        <v>1867</v>
      </c>
      <c r="AR62" s="41">
        <v>51.660000000000082</v>
      </c>
      <c r="AS62" s="41">
        <f t="shared" si="60"/>
        <v>1815.34</v>
      </c>
      <c r="AT62" s="41">
        <f t="shared" si="36"/>
        <v>20.300000000000011</v>
      </c>
      <c r="AU62" s="41">
        <f t="shared" si="37"/>
        <v>0</v>
      </c>
      <c r="AV62" s="41">
        <f t="shared" si="65"/>
        <v>24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>
        <v>8.5000000000000006E-3</v>
      </c>
      <c r="BD62" s="5"/>
      <c r="BE62" s="23"/>
      <c r="BF62" s="12">
        <f t="shared" si="17"/>
        <v>1.1214023999999998E-2</v>
      </c>
      <c r="BG62" s="13">
        <f t="shared" si="1"/>
        <v>16.148194559999997</v>
      </c>
      <c r="BH62" s="13">
        <f t="shared" si="41"/>
        <v>1869.0039999999999</v>
      </c>
      <c r="BI62" s="14">
        <f t="shared" si="8"/>
        <v>0.10056693297606641</v>
      </c>
      <c r="BJ62" s="14">
        <f t="shared" si="9"/>
        <v>0.11056470588235294</v>
      </c>
      <c r="BK62" s="14">
        <f t="shared" si="18"/>
        <v>15.886534000000001</v>
      </c>
      <c r="BL62" s="14">
        <f t="shared" si="11"/>
        <v>1.1032315277777779E-2</v>
      </c>
      <c r="BM62" s="48" t="str">
        <f t="shared" si="31"/>
        <v/>
      </c>
      <c r="BN62" s="36" t="str">
        <f t="shared" si="32"/>
        <v/>
      </c>
      <c r="BO62" s="14">
        <f t="shared" si="47"/>
        <v>12.5223268</v>
      </c>
      <c r="BP62" s="52" t="str">
        <f t="shared" si="28"/>
        <v/>
      </c>
      <c r="BQ62" s="29">
        <f t="shared" si="76"/>
        <v>28.655364357864364</v>
      </c>
      <c r="BR62" s="38">
        <f t="shared" si="77"/>
        <v>1.1032315277777779E-2</v>
      </c>
      <c r="BS62" s="31">
        <f t="shared" si="21"/>
        <v>12.5223268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/>
      <c r="F63" s="60">
        <v>45543.405208333301</v>
      </c>
      <c r="G63" s="63">
        <v>5497.99</v>
      </c>
      <c r="H63" s="6"/>
      <c r="I63" s="6">
        <v>5803.62</v>
      </c>
      <c r="J63" s="6">
        <v>20.399999999999999</v>
      </c>
      <c r="K63" s="6">
        <v>18.7</v>
      </c>
      <c r="L63" s="6">
        <v>91.5</v>
      </c>
      <c r="M63" s="6">
        <v>17.3</v>
      </c>
      <c r="N63" s="6">
        <v>347</v>
      </c>
      <c r="O63" s="6">
        <v>1.72</v>
      </c>
      <c r="P63" s="6">
        <v>0.2</v>
      </c>
      <c r="Q63" s="6">
        <v>1.64</v>
      </c>
      <c r="R63" s="6"/>
      <c r="S63" s="6">
        <v>0.11</v>
      </c>
      <c r="T63" s="6">
        <v>0.14000000000000001</v>
      </c>
      <c r="U63" s="6">
        <v>0.16</v>
      </c>
      <c r="V63" s="6">
        <v>7.2460000000000004</v>
      </c>
      <c r="W63" s="6">
        <v>95.9</v>
      </c>
      <c r="X63" s="6">
        <v>11.5</v>
      </c>
      <c r="Y63" s="6">
        <v>2.23</v>
      </c>
      <c r="Z63" s="6">
        <v>146.4</v>
      </c>
      <c r="AA63" s="6">
        <v>40.6</v>
      </c>
      <c r="AB63" s="6">
        <v>84.1</v>
      </c>
      <c r="AC63" s="6">
        <v>9.3000000000000007</v>
      </c>
      <c r="AD63" s="16">
        <v>7.2869999999999999</v>
      </c>
      <c r="AE63" s="6">
        <v>300</v>
      </c>
      <c r="AF63" s="6">
        <v>47.8</v>
      </c>
      <c r="AG63" s="6">
        <v>7.29</v>
      </c>
      <c r="AH63" s="40">
        <f>AF63/100</f>
        <v>0.47799999999999998</v>
      </c>
      <c r="AI63" s="6">
        <v>34</v>
      </c>
      <c r="AJ63" s="6">
        <v>22.065000000000001</v>
      </c>
      <c r="AK63" s="44">
        <v>44.018999999999998</v>
      </c>
      <c r="AL63" s="6">
        <f>AL51+1.91</f>
        <v>7.2</v>
      </c>
      <c r="AM63" s="42">
        <f>BR63</f>
        <v>5.1207888888888803E-3</v>
      </c>
      <c r="AN63" s="6">
        <v>169.89</v>
      </c>
      <c r="AO63" s="6">
        <v>65.31</v>
      </c>
      <c r="AP63" s="6">
        <v>497</v>
      </c>
      <c r="AQ63" s="6">
        <v>1984</v>
      </c>
      <c r="AR63" s="40">
        <v>137.11999999999989</v>
      </c>
      <c r="AS63" s="40">
        <f t="shared" si="60"/>
        <v>1846.88</v>
      </c>
      <c r="AT63" s="40">
        <f t="shared" si="36"/>
        <v>18.899999999999977</v>
      </c>
      <c r="AU63" s="40">
        <f t="shared" si="37"/>
        <v>0</v>
      </c>
      <c r="AV63" s="40">
        <f t="shared" si="65"/>
        <v>21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46">
        <f>BM63*24*60/BH63</f>
        <v>3.999999999999994E-3</v>
      </c>
      <c r="BE63" s="22">
        <f>BP63/BH63</f>
        <v>3.9797979551218672E-3</v>
      </c>
      <c r="BF63" s="8">
        <f t="shared" si="17"/>
        <v>1.0341945239999999E-2</v>
      </c>
      <c r="BG63" s="9">
        <f t="shared" si="1"/>
        <v>14.892401145599999</v>
      </c>
      <c r="BH63" s="9">
        <f t="shared" si="41"/>
        <v>1843.4839999999999</v>
      </c>
      <c r="BI63" s="10">
        <f t="shared" si="8"/>
        <v>9.2157024416810771E-2</v>
      </c>
      <c r="BJ63" s="10">
        <f t="shared" si="9"/>
        <v>9.9935294117647053E-2</v>
      </c>
      <c r="BK63" s="10">
        <f t="shared" si="18"/>
        <v>7.3739359999999881</v>
      </c>
      <c r="BL63" s="10" t="str">
        <f t="shared" si="11"/>
        <v/>
      </c>
      <c r="BM63" s="10">
        <v>5.1207888888888803E-3</v>
      </c>
      <c r="BN63" s="35" t="str">
        <f t="shared" si="32"/>
        <v/>
      </c>
      <c r="BO63" s="10" t="str">
        <f t="shared" si="47"/>
        <v/>
      </c>
      <c r="BP63" s="50">
        <v>7.33669385349988</v>
      </c>
      <c r="BQ63" s="27">
        <f>IF(BL63&lt;&gt;"",BL63/0.000385,IF(BM63&lt;&gt;"",BM63/0.000385,BN63/0.000385))</f>
        <v>13.300750360750339</v>
      </c>
      <c r="BR63" s="37">
        <f>IF(BL63&lt;&gt;"",BL63,IF(BM63&lt;&gt;"",BM63,BN63))</f>
        <v>5.1207888888888803E-3</v>
      </c>
      <c r="BS63" s="32">
        <f t="shared" si="21"/>
        <v>7.33669385349988</v>
      </c>
    </row>
    <row r="64" spans="1:71" x14ac:dyDescent="0.3">
      <c r="A64" s="1" t="s">
        <v>84</v>
      </c>
      <c r="B64" t="s">
        <v>74</v>
      </c>
      <c r="C64">
        <v>12</v>
      </c>
      <c r="D64">
        <v>10</v>
      </c>
      <c r="F64" s="61">
        <v>45543.413275462997</v>
      </c>
      <c r="G64" s="64">
        <v>5497.99</v>
      </c>
      <c r="H64" s="44"/>
      <c r="I64" s="44">
        <v>5945.67</v>
      </c>
      <c r="J64" s="44">
        <v>20.6</v>
      </c>
      <c r="K64" s="44">
        <v>19.3</v>
      </c>
      <c r="L64" s="44">
        <v>93.9</v>
      </c>
      <c r="M64" s="44">
        <v>17.8</v>
      </c>
      <c r="N64" s="44">
        <v>348</v>
      </c>
      <c r="O64" s="44">
        <v>2.0699999999999998</v>
      </c>
      <c r="P64" s="44">
        <v>0.21</v>
      </c>
      <c r="Q64" s="44">
        <v>7.0000000000000007E-2</v>
      </c>
      <c r="R64" s="44"/>
      <c r="S64" s="44">
        <v>0.1</v>
      </c>
      <c r="T64" s="44">
        <v>0.15</v>
      </c>
      <c r="U64" s="44">
        <v>0.16</v>
      </c>
      <c r="V64" s="44">
        <v>7.2619999999999996</v>
      </c>
      <c r="W64" s="44">
        <v>105</v>
      </c>
      <c r="X64" s="44">
        <v>55.7</v>
      </c>
      <c r="Y64" s="44">
        <v>2.15</v>
      </c>
      <c r="Z64" s="44">
        <v>154.19999999999999</v>
      </c>
      <c r="AA64" s="44">
        <v>46.1</v>
      </c>
      <c r="AB64" s="44">
        <v>92.1</v>
      </c>
      <c r="AC64" s="44">
        <v>45.2</v>
      </c>
      <c r="AD64" s="17">
        <v>7.3029999999999999</v>
      </c>
      <c r="AE64" s="44">
        <v>300</v>
      </c>
      <c r="AF64" s="44">
        <v>49.9</v>
      </c>
      <c r="AG64" s="44">
        <v>7.3</v>
      </c>
      <c r="AH64" s="45">
        <f t="shared" ref="AH64:AH68" si="78">AF64/100</f>
        <v>0.499</v>
      </c>
      <c r="AI64" s="44">
        <v>34</v>
      </c>
      <c r="AJ64" s="44">
        <v>24.568000000000001</v>
      </c>
      <c r="AK64" s="44">
        <v>27.469000000000001</v>
      </c>
      <c r="AL64" s="44">
        <f>AL52+1.86</f>
        <v>4.8600000000000003</v>
      </c>
      <c r="AM64" s="45">
        <f t="shared" ref="AM64:AM68" si="79">BR64</f>
        <v>1.1401776999282799E-2</v>
      </c>
      <c r="AN64" s="44">
        <v>185.31</v>
      </c>
      <c r="AO64" s="44">
        <v>68.25</v>
      </c>
      <c r="AP64" s="44">
        <v>481</v>
      </c>
      <c r="AQ64" s="44">
        <v>1988</v>
      </c>
      <c r="AR64" s="45">
        <v>45.769999999999982</v>
      </c>
      <c r="AS64" s="45">
        <f t="shared" si="60"/>
        <v>1942.23</v>
      </c>
      <c r="AT64" s="45">
        <f t="shared" si="36"/>
        <v>17.75</v>
      </c>
      <c r="AU64" s="45">
        <f t="shared" si="37"/>
        <v>6.8299999999999983</v>
      </c>
      <c r="AV64" s="45">
        <f t="shared" si="65"/>
        <v>20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>
        <f>BM64*24*60/BH64</f>
        <v>8.8967442096820649E-3</v>
      </c>
      <c r="BE64" s="22">
        <f>BP64/BH64</f>
        <v>5.5208033108114681E-3</v>
      </c>
      <c r="BF64" s="11">
        <f t="shared" si="17"/>
        <v>1.068519603E-2</v>
      </c>
      <c r="BG64" s="46">
        <f t="shared" si="1"/>
        <v>15.386682283200003</v>
      </c>
      <c r="BH64" s="46">
        <f t="shared" si="41"/>
        <v>1845.4569999999999</v>
      </c>
      <c r="BI64" s="47">
        <f t="shared" si="8"/>
        <v>0.10041415215851685</v>
      </c>
      <c r="BJ64" s="47">
        <f t="shared" si="9"/>
        <v>0.10900588235294117</v>
      </c>
      <c r="BK64" s="47">
        <f t="shared" si="18"/>
        <v>16.418558878967232</v>
      </c>
      <c r="BL64" s="47" t="str">
        <f t="shared" si="11"/>
        <v/>
      </c>
      <c r="BM64" s="47">
        <v>1.1401776999282799E-2</v>
      </c>
      <c r="BN64" s="48" t="str">
        <f t="shared" si="32"/>
        <v/>
      </c>
      <c r="BO64" s="47" t="str">
        <f t="shared" si="47"/>
        <v/>
      </c>
      <c r="BP64" s="51">
        <v>10.188405115560199</v>
      </c>
      <c r="BQ64" s="28">
        <f t="shared" ref="BQ64:BQ68" si="80">IF(BL64&lt;&gt;"",BL64/0.000385,IF(BM64&lt;&gt;"",BM64/0.000385,BN64/0.000385))</f>
        <v>29.615005192942338</v>
      </c>
      <c r="BR64" s="49">
        <f t="shared" ref="BR64:BR68" si="81">IF(BL64&lt;&gt;"",BL64,IF(BM64&lt;&gt;"",BM64,BN64))</f>
        <v>1.1401776999282799E-2</v>
      </c>
      <c r="BS64" s="30">
        <f t="shared" si="21"/>
        <v>10.188405115560199</v>
      </c>
    </row>
    <row r="65" spans="1:71" x14ac:dyDescent="0.3">
      <c r="A65" s="1" t="s">
        <v>85</v>
      </c>
      <c r="B65" t="s">
        <v>74</v>
      </c>
      <c r="C65">
        <v>12</v>
      </c>
      <c r="D65">
        <v>10</v>
      </c>
      <c r="F65" s="61">
        <v>45543.423032407401</v>
      </c>
      <c r="G65" s="64">
        <v>5497.99</v>
      </c>
      <c r="H65" s="44"/>
      <c r="I65" s="44">
        <v>5235.63</v>
      </c>
      <c r="J65" s="44">
        <v>20.2</v>
      </c>
      <c r="K65" s="44">
        <v>18</v>
      </c>
      <c r="L65" s="44">
        <v>89.1</v>
      </c>
      <c r="M65" s="44">
        <v>19.2</v>
      </c>
      <c r="N65" s="44">
        <v>438</v>
      </c>
      <c r="O65" s="44">
        <v>2.36</v>
      </c>
      <c r="P65" s="44">
        <v>0.22</v>
      </c>
      <c r="Q65" s="44">
        <v>3.22</v>
      </c>
      <c r="R65" s="44"/>
      <c r="S65" s="44">
        <v>0.78</v>
      </c>
      <c r="T65" s="44">
        <v>2.21</v>
      </c>
      <c r="U65" s="44">
        <v>2.19</v>
      </c>
      <c r="V65" s="44">
        <v>7.2469999999999999</v>
      </c>
      <c r="W65" s="44">
        <v>118.5</v>
      </c>
      <c r="X65" s="44">
        <v>46.8</v>
      </c>
      <c r="Y65" s="44">
        <v>1.5</v>
      </c>
      <c r="Z65" s="44">
        <v>176.3</v>
      </c>
      <c r="AA65" s="44">
        <v>50.2</v>
      </c>
      <c r="AB65" s="44">
        <v>104</v>
      </c>
      <c r="AC65" s="44">
        <v>37.9</v>
      </c>
      <c r="AD65" s="17">
        <v>7.2880000000000003</v>
      </c>
      <c r="AE65" s="44">
        <v>298</v>
      </c>
      <c r="AF65" s="44">
        <v>50.4</v>
      </c>
      <c r="AG65" s="44">
        <v>7.3</v>
      </c>
      <c r="AH65" s="45">
        <f t="shared" si="78"/>
        <v>0.504</v>
      </c>
      <c r="AI65" s="44">
        <v>34</v>
      </c>
      <c r="AJ65" s="44">
        <v>38.045999999999999</v>
      </c>
      <c r="AK65" s="44">
        <v>5.1144999999999996</v>
      </c>
      <c r="AL65" s="44">
        <f>AL53+1.87</f>
        <v>8.5300000000000011</v>
      </c>
      <c r="AM65" s="45">
        <f t="shared" si="79"/>
        <v>2.08588154275034E-2</v>
      </c>
      <c r="AN65" s="44">
        <v>249.44</v>
      </c>
      <c r="AO65" s="44">
        <v>84.76</v>
      </c>
      <c r="AP65" s="44">
        <v>384</v>
      </c>
      <c r="AQ65" s="44">
        <v>2061</v>
      </c>
      <c r="AR65" s="45">
        <v>84.700000000000045</v>
      </c>
      <c r="AS65" s="45">
        <f t="shared" si="60"/>
        <v>1976.3</v>
      </c>
      <c r="AT65" s="45">
        <f t="shared" si="36"/>
        <v>38.129999999999995</v>
      </c>
      <c r="AU65" s="45">
        <f t="shared" si="37"/>
        <v>8.4900000000000091</v>
      </c>
      <c r="AV65" s="45">
        <f t="shared" si="65"/>
        <v>46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>
        <f>BM65*24*60/BH65</f>
        <v>1.5636859162771067E-2</v>
      </c>
      <c r="BE65" s="22">
        <f>BP65/BH65</f>
        <v>1.6524849493275854E-3</v>
      </c>
      <c r="BF65" s="11">
        <f t="shared" si="17"/>
        <v>1.0372808699999998E-2</v>
      </c>
      <c r="BG65" s="46">
        <f t="shared" si="1"/>
        <v>14.936844527999996</v>
      </c>
      <c r="BH65" s="46">
        <f t="shared" si="41"/>
        <v>1920.8905</v>
      </c>
      <c r="BI65" s="47">
        <f t="shared" si="8"/>
        <v>0.12985643897973362</v>
      </c>
      <c r="BJ65" s="47">
        <f t="shared" si="9"/>
        <v>0.14672941176470589</v>
      </c>
      <c r="BK65" s="47">
        <f t="shared" si="18"/>
        <v>30.036694215604896</v>
      </c>
      <c r="BL65" s="47" t="str">
        <f t="shared" si="11"/>
        <v/>
      </c>
      <c r="BM65" s="47">
        <v>2.08588154275034E-2</v>
      </c>
      <c r="BN65" s="48" t="str">
        <f t="shared" si="32"/>
        <v/>
      </c>
      <c r="BO65" s="47" t="str">
        <f t="shared" si="47"/>
        <v/>
      </c>
      <c r="BP65" s="51">
        <v>3.17424264055634</v>
      </c>
      <c r="BQ65" s="28">
        <f t="shared" si="80"/>
        <v>54.178741370138702</v>
      </c>
      <c r="BR65" s="49">
        <f t="shared" si="81"/>
        <v>2.08588154275034E-2</v>
      </c>
      <c r="BS65" s="30">
        <f t="shared" si="21"/>
        <v>3.17424264055634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F66" s="61">
        <v>45543.425671296303</v>
      </c>
      <c r="G66" s="64">
        <v>5497.99</v>
      </c>
      <c r="H66" s="44"/>
      <c r="I66" s="44">
        <v>5350.9049999999997</v>
      </c>
      <c r="J66" s="44">
        <v>20.2</v>
      </c>
      <c r="K66" s="44">
        <v>18.100000000000001</v>
      </c>
      <c r="L66" s="44">
        <v>89.7</v>
      </c>
      <c r="M66" s="44">
        <v>19</v>
      </c>
      <c r="N66" s="44">
        <v>430</v>
      </c>
      <c r="O66" s="44">
        <v>1.71</v>
      </c>
      <c r="P66" s="44">
        <v>0.21</v>
      </c>
      <c r="Q66" s="44">
        <v>1.31</v>
      </c>
      <c r="R66" s="44"/>
      <c r="S66" s="44">
        <v>0.6</v>
      </c>
      <c r="T66" s="44">
        <v>2.08</v>
      </c>
      <c r="U66" s="44">
        <v>2.54</v>
      </c>
      <c r="V66" s="44">
        <v>7.2779999999999996</v>
      </c>
      <c r="W66" s="44">
        <v>128.30000000000001</v>
      </c>
      <c r="X66" s="44">
        <v>30</v>
      </c>
      <c r="Y66" s="44">
        <v>1.48</v>
      </c>
      <c r="Z66" s="44">
        <v>183.1</v>
      </c>
      <c r="AA66" s="44">
        <v>58.4</v>
      </c>
      <c r="AB66" s="44">
        <v>112.5</v>
      </c>
      <c r="AC66" s="44">
        <v>24.3</v>
      </c>
      <c r="AD66" s="17">
        <v>7.319</v>
      </c>
      <c r="AE66" s="44">
        <v>301</v>
      </c>
      <c r="AF66" s="44">
        <v>51.1</v>
      </c>
      <c r="AG66" s="44">
        <v>7.3</v>
      </c>
      <c r="AH66" s="45">
        <f t="shared" si="78"/>
        <v>0.51100000000000001</v>
      </c>
      <c r="AI66" s="44">
        <v>34</v>
      </c>
      <c r="AJ66" s="44">
        <v>43.091000000000001</v>
      </c>
      <c r="AK66" s="44">
        <v>13.548</v>
      </c>
      <c r="AL66" s="44">
        <f>AL54+1.91</f>
        <v>8.67</v>
      </c>
      <c r="AM66" s="45">
        <f t="shared" si="79"/>
        <v>2.2755468611111111E-2</v>
      </c>
      <c r="AN66" s="44">
        <v>233.93</v>
      </c>
      <c r="AO66" s="44">
        <v>70.87</v>
      </c>
      <c r="AP66" s="44">
        <v>406</v>
      </c>
      <c r="AQ66" s="44">
        <v>2044</v>
      </c>
      <c r="AR66" s="45">
        <v>47.420000000000073</v>
      </c>
      <c r="AS66" s="45">
        <f>AQ66-AR66</f>
        <v>1996.58</v>
      </c>
      <c r="AT66" s="45">
        <f t="shared" si="36"/>
        <v>29.860000000000014</v>
      </c>
      <c r="AU66" s="45">
        <f t="shared" si="37"/>
        <v>0</v>
      </c>
      <c r="AV66" s="45">
        <f t="shared" si="65"/>
        <v>37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>
        <v>1.72E-2</v>
      </c>
      <c r="BE66" s="22"/>
      <c r="BF66" s="11">
        <f t="shared" si="17"/>
        <v>1.034474187E-2</v>
      </c>
      <c r="BG66" s="46">
        <f t="shared" si="1"/>
        <v>14.8964282928</v>
      </c>
      <c r="BH66" s="46">
        <f t="shared" si="41"/>
        <v>1905.1089999999999</v>
      </c>
      <c r="BI66" s="47">
        <f t="shared" si="8"/>
        <v>0.12279087443290647</v>
      </c>
      <c r="BJ66" s="47">
        <f t="shared" si="9"/>
        <v>0.13760588235294119</v>
      </c>
      <c r="BK66" s="47">
        <f t="shared" si="18"/>
        <v>32.767874800000001</v>
      </c>
      <c r="BL66" s="47">
        <f t="shared" si="11"/>
        <v>2.2755468611111111E-2</v>
      </c>
      <c r="BM66" s="48" t="str">
        <f t="shared" si="31"/>
        <v/>
      </c>
      <c r="BN66" s="48" t="str">
        <f t="shared" si="32"/>
        <v/>
      </c>
      <c r="BO66" s="47">
        <f t="shared" si="47"/>
        <v>8.0490855249999989</v>
      </c>
      <c r="BP66" s="51" t="str">
        <f t="shared" si="28"/>
        <v/>
      </c>
      <c r="BQ66" s="28">
        <f t="shared" si="80"/>
        <v>59.105113275613277</v>
      </c>
      <c r="BR66" s="49">
        <f t="shared" si="81"/>
        <v>2.2755468611111111E-2</v>
      </c>
      <c r="BS66" s="30">
        <f t="shared" si="21"/>
        <v>8.0490855249999989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F67" s="61">
        <v>45543.428912037001</v>
      </c>
      <c r="G67" s="64">
        <v>5497.99</v>
      </c>
      <c r="H67" s="44"/>
      <c r="I67" s="44">
        <v>2975.5050000000001</v>
      </c>
      <c r="J67" s="44">
        <v>21.1</v>
      </c>
      <c r="K67" s="44">
        <v>8.32</v>
      </c>
      <c r="L67" s="44">
        <v>39.5</v>
      </c>
      <c r="M67" s="44">
        <v>15.6</v>
      </c>
      <c r="N67" s="44">
        <v>818</v>
      </c>
      <c r="O67" s="44"/>
      <c r="P67" s="44">
        <v>0.28000000000000003</v>
      </c>
      <c r="Q67" s="44">
        <v>7.0000000000000007E-2</v>
      </c>
      <c r="R67" s="44"/>
      <c r="S67" s="44">
        <v>0.75</v>
      </c>
      <c r="T67" s="44">
        <v>3.48</v>
      </c>
      <c r="U67" s="44"/>
      <c r="V67" s="44">
        <v>7.032</v>
      </c>
      <c r="W67" s="44">
        <v>66.3</v>
      </c>
      <c r="X67" s="44">
        <v>86</v>
      </c>
      <c r="Y67" s="44">
        <v>7.2</v>
      </c>
      <c r="Z67" s="44">
        <v>327.9</v>
      </c>
      <c r="AA67" s="44">
        <v>16.899999999999999</v>
      </c>
      <c r="AB67" s="44">
        <v>58.1</v>
      </c>
      <c r="AC67" s="44">
        <v>70.900000000000006</v>
      </c>
      <c r="AD67" s="17">
        <v>7.069</v>
      </c>
      <c r="AE67" s="44">
        <v>301</v>
      </c>
      <c r="AF67" s="44">
        <v>45.2</v>
      </c>
      <c r="AG67" s="44">
        <v>7.09</v>
      </c>
      <c r="AH67" s="45">
        <f t="shared" si="78"/>
        <v>0.45200000000000001</v>
      </c>
      <c r="AI67" s="44">
        <v>34</v>
      </c>
      <c r="AJ67" s="44">
        <v>157.88999999999999</v>
      </c>
      <c r="AK67" s="44">
        <v>7.3125999999999998</v>
      </c>
      <c r="AL67" s="44">
        <f>AL55+1.84</f>
        <v>8.2800000000000011</v>
      </c>
      <c r="AM67" s="45">
        <f t="shared" si="79"/>
        <v>2.8444202777777781E-2</v>
      </c>
      <c r="AN67" s="44">
        <v>261.68</v>
      </c>
      <c r="AO67" s="44">
        <v>77.819999999999993</v>
      </c>
      <c r="AP67" s="44">
        <v>353</v>
      </c>
      <c r="AQ67" s="44">
        <v>2185</v>
      </c>
      <c r="AR67" s="45">
        <v>133.55999999999995</v>
      </c>
      <c r="AS67" s="45">
        <f>AQ67-AR67</f>
        <v>2051.44</v>
      </c>
      <c r="AT67" s="45">
        <f t="shared" si="36"/>
        <v>34.629999999999995</v>
      </c>
      <c r="AU67" s="45">
        <f t="shared" si="37"/>
        <v>0</v>
      </c>
      <c r="AV67" s="45">
        <f t="shared" si="65"/>
        <v>41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>
        <v>0.02</v>
      </c>
      <c r="BE67" s="22"/>
      <c r="BF67" s="11">
        <f t="shared" ref="BF67:BF74" si="82">BB67*K67*BH67/1000</f>
        <v>5.1117645696000013E-3</v>
      </c>
      <c r="BG67" s="46">
        <f t="shared" ref="BG67:BG74" si="83">BF67*24*60</f>
        <v>7.3609409802240027</v>
      </c>
      <c r="BH67" s="46">
        <f t="shared" si="41"/>
        <v>2047.9826000000003</v>
      </c>
      <c r="BI67" s="47">
        <f t="shared" si="8"/>
        <v>0.12777452308432696</v>
      </c>
      <c r="BJ67" s="47">
        <f t="shared" si="9"/>
        <v>0.1539294117647059</v>
      </c>
      <c r="BK67" s="47">
        <f t="shared" ref="BK67:BK74" si="84">AM67*24*60</f>
        <v>40.959652000000006</v>
      </c>
      <c r="BL67" s="47">
        <f t="shared" si="11"/>
        <v>2.8444202777777781E-2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15.001472545000004</v>
      </c>
      <c r="BP67" s="51" t="str">
        <f t="shared" si="28"/>
        <v/>
      </c>
      <c r="BQ67" s="28">
        <f t="shared" si="80"/>
        <v>73.881046176046183</v>
      </c>
      <c r="BR67" s="49">
        <f t="shared" si="81"/>
        <v>2.8444202777777781E-2</v>
      </c>
      <c r="BS67" s="30">
        <f t="shared" ref="BS67:BS74" si="86">IF(BO67&lt;&gt;"",BO67,BP67)</f>
        <v>15.001472545000004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/>
      <c r="F68" s="62">
        <v>45543.4315740741</v>
      </c>
      <c r="G68" s="65">
        <v>5497.99</v>
      </c>
      <c r="H68" s="7"/>
      <c r="I68" s="7">
        <v>5979</v>
      </c>
      <c r="J68" s="7">
        <v>21.5</v>
      </c>
      <c r="K68" s="7">
        <v>19.7</v>
      </c>
      <c r="L68" s="7">
        <v>92</v>
      </c>
      <c r="M68" s="7">
        <v>17.899999999999999</v>
      </c>
      <c r="N68" s="7">
        <v>367</v>
      </c>
      <c r="O68" s="7">
        <v>1.57</v>
      </c>
      <c r="P68" s="7">
        <v>0.19</v>
      </c>
      <c r="Q68" s="7">
        <v>0.66</v>
      </c>
      <c r="R68" s="7"/>
      <c r="S68" s="7">
        <v>0.17</v>
      </c>
      <c r="T68" s="7">
        <v>0.1</v>
      </c>
      <c r="U68" s="7">
        <v>0.73</v>
      </c>
      <c r="V68" s="7">
        <v>7.2640000000000002</v>
      </c>
      <c r="W68" s="7">
        <v>120.2</v>
      </c>
      <c r="X68" s="7">
        <v>31.7</v>
      </c>
      <c r="Y68" s="7">
        <v>1.79</v>
      </c>
      <c r="Z68" s="7">
        <v>160</v>
      </c>
      <c r="AA68" s="7">
        <v>53</v>
      </c>
      <c r="AB68" s="7">
        <v>105.4</v>
      </c>
      <c r="AC68" s="7">
        <v>25.6</v>
      </c>
      <c r="AD68" s="18">
        <v>7.3049999999999997</v>
      </c>
      <c r="AE68" s="7">
        <v>299</v>
      </c>
      <c r="AF68" s="7">
        <v>49.3</v>
      </c>
      <c r="AG68" s="7">
        <v>7.3</v>
      </c>
      <c r="AH68" s="41">
        <f t="shared" si="78"/>
        <v>0.49299999999999999</v>
      </c>
      <c r="AI68" s="7">
        <v>34</v>
      </c>
      <c r="AJ68" s="7">
        <v>28.271000000000001</v>
      </c>
      <c r="AK68" s="7">
        <v>45.024999999999999</v>
      </c>
      <c r="AL68" s="7">
        <f>AL56+1.86</f>
        <v>8.379999999999999</v>
      </c>
      <c r="AM68" s="41">
        <f t="shared" si="79"/>
        <v>1.0622002499999998E-2</v>
      </c>
      <c r="AN68" s="7">
        <v>201.93</v>
      </c>
      <c r="AO68" s="7">
        <v>69.75</v>
      </c>
      <c r="AP68" s="7">
        <v>460</v>
      </c>
      <c r="AQ68" s="7">
        <v>2025</v>
      </c>
      <c r="AR68" s="41">
        <v>51.660000000000082</v>
      </c>
      <c r="AS68" s="41">
        <f>AQ68-AR68</f>
        <v>1973.34</v>
      </c>
      <c r="AT68" s="41">
        <f t="shared" si="36"/>
        <v>13.969999999999999</v>
      </c>
      <c r="AU68" s="41">
        <f t="shared" si="37"/>
        <v>13.159999999999997</v>
      </c>
      <c r="AV68" s="41">
        <f t="shared" si="65"/>
        <v>16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>
        <v>8.0999999999999996E-3</v>
      </c>
      <c r="BD68" s="5"/>
      <c r="BE68" s="23"/>
      <c r="BF68" s="12">
        <f t="shared" si="82"/>
        <v>1.1160183959999999E-2</v>
      </c>
      <c r="BG68" s="13">
        <f t="shared" si="83"/>
        <v>16.070664902399997</v>
      </c>
      <c r="BH68" s="13">
        <f t="shared" si="41"/>
        <v>1888.3559999999998</v>
      </c>
      <c r="BI68" s="14">
        <f t="shared" ref="BI68:BI80" si="87">IF(ISBLANK(AN68),"",IFERROR(AN68/BH68,0))</f>
        <v>0.10693428569612935</v>
      </c>
      <c r="BJ68" s="14">
        <f t="shared" ref="BJ68:BJ80" si="88">IF(ISBLANK(AN68),"",AN68/AX68)</f>
        <v>0.11878235294117648</v>
      </c>
      <c r="BK68" s="14">
        <f t="shared" si="84"/>
        <v>15.295683599999997</v>
      </c>
      <c r="BL68" s="14">
        <f t="shared" ref="BL68:BL80" si="89">IF(B68="Python",BC68*BH68/24/60,"")</f>
        <v>1.0622002499999998E-2</v>
      </c>
      <c r="BM68" s="48" t="str">
        <f t="shared" si="31"/>
        <v/>
      </c>
      <c r="BN68" s="36" t="str">
        <f t="shared" si="85"/>
        <v/>
      </c>
      <c r="BO68" s="14">
        <f t="shared" si="47"/>
        <v>11.046882599999998</v>
      </c>
      <c r="BP68" s="52" t="str">
        <f t="shared" si="28"/>
        <v/>
      </c>
      <c r="BQ68" s="29">
        <f t="shared" si="80"/>
        <v>27.589616883116879</v>
      </c>
      <c r="BR68" s="38">
        <f t="shared" si="81"/>
        <v>1.0622002499999998E-2</v>
      </c>
      <c r="BS68" s="31">
        <f t="shared" si="86"/>
        <v>11.046882599999998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/>
      <c r="F69" s="60">
        <v>45544.577546296299</v>
      </c>
      <c r="G69" s="63">
        <v>6057.48</v>
      </c>
      <c r="H69" s="6"/>
      <c r="I69" s="6">
        <v>5674.0649999999996</v>
      </c>
      <c r="J69" s="6">
        <v>22.2</v>
      </c>
      <c r="K69" s="6">
        <v>19.899999999999999</v>
      </c>
      <c r="L69" s="6">
        <v>89.7</v>
      </c>
      <c r="M69" s="6">
        <v>17</v>
      </c>
      <c r="N69" s="6">
        <v>355</v>
      </c>
      <c r="O69" s="6">
        <v>1.72</v>
      </c>
      <c r="P69" s="6">
        <v>0.21</v>
      </c>
      <c r="Q69" s="6">
        <v>0</v>
      </c>
      <c r="R69" s="6"/>
      <c r="S69" s="6">
        <v>0.17</v>
      </c>
      <c r="T69" s="6">
        <v>0.28000000000000003</v>
      </c>
      <c r="U69" s="6">
        <v>2.37</v>
      </c>
      <c r="V69" s="6">
        <v>7.2590000000000003</v>
      </c>
      <c r="W69" s="6">
        <v>51.3</v>
      </c>
      <c r="X69" s="6">
        <v>0</v>
      </c>
      <c r="Y69" s="6">
        <v>3.44</v>
      </c>
      <c r="Z69" s="6">
        <v>151.1</v>
      </c>
      <c r="AA69" s="6">
        <v>22.4</v>
      </c>
      <c r="AB69" s="6">
        <v>45</v>
      </c>
      <c r="AC69" s="6">
        <v>0</v>
      </c>
      <c r="AD69" s="16">
        <v>7.3</v>
      </c>
      <c r="AE69" s="6">
        <v>299</v>
      </c>
      <c r="AF69" s="6">
        <v>40.5</v>
      </c>
      <c r="AG69" s="6">
        <v>7.3</v>
      </c>
      <c r="AH69" s="40">
        <f>AF69/100</f>
        <v>0.40500000000000003</v>
      </c>
      <c r="AI69" s="6">
        <v>34</v>
      </c>
      <c r="AJ69" s="6">
        <v>27.91</v>
      </c>
      <c r="AK69" s="44">
        <v>47.91</v>
      </c>
      <c r="AL69" s="6">
        <f>AL51+3.09</f>
        <v>8.379999999999999</v>
      </c>
      <c r="AM69" s="42">
        <f>BR69</f>
        <v>2.7214024885993001E-2</v>
      </c>
      <c r="AN69" s="6">
        <v>181.29</v>
      </c>
      <c r="AO69" s="6">
        <v>73.31</v>
      </c>
      <c r="AP69" s="6">
        <v>485</v>
      </c>
      <c r="AQ69" s="6">
        <v>1912</v>
      </c>
      <c r="AR69" s="40">
        <v>137.11999999999989</v>
      </c>
      <c r="AS69" s="40">
        <f t="shared" ref="AS69:AS80" si="90">AQ69-AR69</f>
        <v>1774.88</v>
      </c>
      <c r="AT69" s="40">
        <f t="shared" si="36"/>
        <v>11.400000000000006</v>
      </c>
      <c r="AU69" s="40">
        <f t="shared" si="37"/>
        <v>8</v>
      </c>
      <c r="AV69" s="40">
        <f t="shared" si="65"/>
        <v>12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46">
        <f>BM69*24*60/BH69</f>
        <v>2.1082524120846741E-2</v>
      </c>
      <c r="BE69" s="22">
        <f>BP69/BH69</f>
        <v>5.1774073553105659E-3</v>
      </c>
      <c r="BF69" s="8">
        <f t="shared" si="82"/>
        <v>1.1097035999999998E-2</v>
      </c>
      <c r="BG69" s="9">
        <f t="shared" si="83"/>
        <v>15.979731839999996</v>
      </c>
      <c r="BH69" s="9">
        <f t="shared" si="41"/>
        <v>1858.8</v>
      </c>
      <c r="BI69" s="10">
        <f t="shared" si="87"/>
        <v>9.7530664945125883E-2</v>
      </c>
      <c r="BJ69" s="10">
        <f t="shared" si="88"/>
        <v>0.10664117647058823</v>
      </c>
      <c r="BK69" s="10">
        <f t="shared" si="84"/>
        <v>39.188195835829923</v>
      </c>
      <c r="BL69" s="10" t="str">
        <f t="shared" si="89"/>
        <v/>
      </c>
      <c r="BM69" s="10">
        <v>2.7214024885993001E-2</v>
      </c>
      <c r="BN69" s="35" t="str">
        <f t="shared" si="85"/>
        <v/>
      </c>
      <c r="BO69" s="10" t="str">
        <f t="shared" si="47"/>
        <v/>
      </c>
      <c r="BP69" s="50">
        <v>9.6237647920512792</v>
      </c>
      <c r="BQ69" s="27">
        <f>IF(BL69&lt;&gt;"",BL69/0.000385,IF(BM69&lt;&gt;"",BM69/0.000385,BN69/0.000385))</f>
        <v>70.685778924657143</v>
      </c>
      <c r="BR69" s="37">
        <f>IF(BL69&lt;&gt;"",BL69,IF(BM69&lt;&gt;"",BM69,BN69))</f>
        <v>2.7214024885993001E-2</v>
      </c>
      <c r="BS69" s="32">
        <f t="shared" si="86"/>
        <v>9.6237647920512792</v>
      </c>
    </row>
    <row r="70" spans="1:71" x14ac:dyDescent="0.3">
      <c r="A70" s="1" t="s">
        <v>84</v>
      </c>
      <c r="B70" t="s">
        <v>74</v>
      </c>
      <c r="C70">
        <v>12</v>
      </c>
      <c r="D70">
        <v>11</v>
      </c>
      <c r="F70" s="61">
        <v>45544.6039467593</v>
      </c>
      <c r="G70" s="64">
        <v>6057.48</v>
      </c>
      <c r="H70" s="44"/>
      <c r="I70" s="44">
        <v>6019.3950000000004</v>
      </c>
      <c r="J70" s="44">
        <v>18.8</v>
      </c>
      <c r="K70" s="44">
        <v>17.100000000000001</v>
      </c>
      <c r="L70" s="44">
        <v>90.8</v>
      </c>
      <c r="M70" s="44">
        <v>17.899999999999999</v>
      </c>
      <c r="N70" s="44">
        <v>351</v>
      </c>
      <c r="O70" s="44">
        <v>2.5</v>
      </c>
      <c r="P70" s="44">
        <v>0.21</v>
      </c>
      <c r="Q70" s="44">
        <v>7.0000000000000007E-2</v>
      </c>
      <c r="R70" s="44"/>
      <c r="S70" s="44">
        <v>0</v>
      </c>
      <c r="T70" s="44">
        <v>0.16</v>
      </c>
      <c r="U70" s="44">
        <v>0</v>
      </c>
      <c r="V70" s="44">
        <v>7.2969999999999997</v>
      </c>
      <c r="W70" s="44">
        <v>113.3</v>
      </c>
      <c r="X70" s="44">
        <v>68.3</v>
      </c>
      <c r="Y70" s="44">
        <v>2.4300000000000002</v>
      </c>
      <c r="Z70" s="44">
        <v>155.69999999999999</v>
      </c>
      <c r="AA70" s="44">
        <v>54</v>
      </c>
      <c r="AB70" s="44">
        <v>99.3</v>
      </c>
      <c r="AC70" s="44">
        <v>55.7</v>
      </c>
      <c r="AD70" s="17">
        <v>7.34</v>
      </c>
      <c r="AE70" s="44">
        <v>300</v>
      </c>
      <c r="AF70" s="44">
        <v>48.3</v>
      </c>
      <c r="AG70" s="44">
        <v>7.27</v>
      </c>
      <c r="AH70" s="45">
        <f t="shared" ref="AH70:AH74" si="91">AF70/100</f>
        <v>0.48299999999999998</v>
      </c>
      <c r="AI70" s="44">
        <v>34</v>
      </c>
      <c r="AJ70" s="44">
        <v>24.57</v>
      </c>
      <c r="AK70" s="44">
        <v>27.96</v>
      </c>
      <c r="AL70" s="44">
        <f>AL52+3.01</f>
        <v>6.01</v>
      </c>
      <c r="AM70" s="45">
        <f t="shared" ref="AM70:AM74" si="92">BR70</f>
        <v>1.7809574480595398E-2</v>
      </c>
      <c r="AN70" s="44">
        <v>205.53</v>
      </c>
      <c r="AO70" s="44">
        <v>79.069999999999993</v>
      </c>
      <c r="AP70" s="44">
        <v>458</v>
      </c>
      <c r="AQ70" s="44">
        <v>1845</v>
      </c>
      <c r="AR70" s="45">
        <v>45.769999999999982</v>
      </c>
      <c r="AS70" s="45">
        <f t="shared" si="90"/>
        <v>1799.23</v>
      </c>
      <c r="AT70" s="45">
        <f t="shared" si="36"/>
        <v>20.22</v>
      </c>
      <c r="AU70" s="45">
        <f t="shared" si="37"/>
        <v>10.819999999999993</v>
      </c>
      <c r="AV70" s="45">
        <f t="shared" si="65"/>
        <v>23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>
        <f>BM70*24*60/BH70</f>
        <v>1.3764820277626683E-2</v>
      </c>
      <c r="BE70" s="22">
        <f>BP70/BH70</f>
        <v>4.396909262276265E-3</v>
      </c>
      <c r="BF70" s="11">
        <f t="shared" si="82"/>
        <v>9.5579081999999996E-3</v>
      </c>
      <c r="BG70" s="46">
        <f t="shared" si="83"/>
        <v>13.763387807999999</v>
      </c>
      <c r="BH70" s="46">
        <f t="shared" si="41"/>
        <v>1863.1399999999999</v>
      </c>
      <c r="BI70" s="47">
        <f t="shared" si="87"/>
        <v>0.1103137713752053</v>
      </c>
      <c r="BJ70" s="47">
        <f t="shared" si="88"/>
        <v>0.12090000000000001</v>
      </c>
      <c r="BK70" s="47">
        <f t="shared" si="84"/>
        <v>25.645787252057374</v>
      </c>
      <c r="BL70" s="47" t="str">
        <f t="shared" si="89"/>
        <v/>
      </c>
      <c r="BM70" s="47">
        <v>1.7809574480595398E-2</v>
      </c>
      <c r="BN70" s="48" t="str">
        <f t="shared" si="85"/>
        <v/>
      </c>
      <c r="BO70" s="47" t="str">
        <f t="shared" si="47"/>
        <v/>
      </c>
      <c r="BP70" s="51">
        <v>8.1920575229174002</v>
      </c>
      <c r="BQ70" s="28">
        <f t="shared" ref="BQ70:BQ74" si="93">IF(BL70&lt;&gt;"",BL70/0.000385,IF(BM70&lt;&gt;"",BM70/0.000385,BN70/0.000385))</f>
        <v>46.258635014533503</v>
      </c>
      <c r="BR70" s="49">
        <f t="shared" ref="BR70:BR74" si="94">IF(BL70&lt;&gt;"",BL70,IF(BM70&lt;&gt;"",BM70,BN70))</f>
        <v>1.7809574480595398E-2</v>
      </c>
      <c r="BS70" s="30">
        <f t="shared" si="86"/>
        <v>8.1920575229174002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>
        <v>45544.5913657407</v>
      </c>
      <c r="G71" s="64">
        <v>6057.48</v>
      </c>
      <c r="H71" s="44"/>
      <c r="I71" s="44">
        <v>5282.2049999999999</v>
      </c>
      <c r="J71" s="44">
        <v>19.2</v>
      </c>
      <c r="K71" s="44">
        <v>16.5</v>
      </c>
      <c r="L71" s="44">
        <v>86</v>
      </c>
      <c r="M71" s="44">
        <v>19</v>
      </c>
      <c r="N71" s="44">
        <v>446</v>
      </c>
      <c r="O71" s="44">
        <v>2.98</v>
      </c>
      <c r="P71" s="44">
        <v>0.2</v>
      </c>
      <c r="Q71" s="44">
        <v>2.21</v>
      </c>
      <c r="R71" s="44"/>
      <c r="S71" s="44">
        <v>1</v>
      </c>
      <c r="T71" s="44">
        <v>3.23</v>
      </c>
      <c r="U71" s="44">
        <v>1.39</v>
      </c>
      <c r="V71" s="44">
        <v>7.266</v>
      </c>
      <c r="W71" s="44">
        <v>127.3</v>
      </c>
      <c r="X71" s="44">
        <v>20.100000000000001</v>
      </c>
      <c r="Y71" s="44">
        <v>1.48</v>
      </c>
      <c r="Z71" s="44">
        <v>178.2</v>
      </c>
      <c r="AA71" s="44">
        <v>56.4</v>
      </c>
      <c r="AB71" s="44">
        <v>111.7</v>
      </c>
      <c r="AC71" s="44">
        <v>16.3</v>
      </c>
      <c r="AD71" s="17">
        <v>7.3070000000000004</v>
      </c>
      <c r="AE71" s="44">
        <v>298</v>
      </c>
      <c r="AF71" s="44">
        <v>50</v>
      </c>
      <c r="AG71" s="44">
        <v>7.27</v>
      </c>
      <c r="AH71" s="45">
        <f t="shared" si="91"/>
        <v>0.5</v>
      </c>
      <c r="AI71" s="44">
        <v>34</v>
      </c>
      <c r="AJ71" s="44">
        <v>38.049999999999997</v>
      </c>
      <c r="AK71" s="44">
        <v>5.17</v>
      </c>
      <c r="AL71" s="44">
        <f>AL53+3.04</f>
        <v>9.6999999999999993</v>
      </c>
      <c r="AM71" s="45">
        <f t="shared" si="92"/>
        <v>3.24883333333333E-2</v>
      </c>
      <c r="AN71" s="44">
        <v>287.8</v>
      </c>
      <c r="AO71" s="44">
        <v>88.58</v>
      </c>
      <c r="AP71" s="44">
        <v>338</v>
      </c>
      <c r="AQ71" s="44">
        <v>1970</v>
      </c>
      <c r="AR71" s="45">
        <v>84.700000000000045</v>
      </c>
      <c r="AS71" s="45">
        <f t="shared" si="90"/>
        <v>1885.3</v>
      </c>
      <c r="AT71" s="45">
        <f t="shared" si="36"/>
        <v>38.360000000000014</v>
      </c>
      <c r="AU71" s="45">
        <f t="shared" si="37"/>
        <v>3.8199999999999932</v>
      </c>
      <c r="AV71" s="45">
        <f t="shared" si="65"/>
        <v>46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>
        <f>BM71*24*60/BH71</f>
        <v>2.3999999999999973E-2</v>
      </c>
      <c r="BE71" s="22">
        <f>BP71/BH71</f>
        <v>5.1005554585699941E-3</v>
      </c>
      <c r="BF71" s="11">
        <f t="shared" si="82"/>
        <v>9.6490350000000003E-3</v>
      </c>
      <c r="BG71" s="46">
        <f t="shared" si="83"/>
        <v>13.894610400000001</v>
      </c>
      <c r="BH71" s="46">
        <f t="shared" si="41"/>
        <v>1949.3000000000002</v>
      </c>
      <c r="BI71" s="47">
        <f t="shared" si="87"/>
        <v>0.14764274354896628</v>
      </c>
      <c r="BJ71" s="47">
        <f t="shared" si="88"/>
        <v>0.16929411764705882</v>
      </c>
      <c r="BK71" s="47">
        <f t="shared" si="84"/>
        <v>46.783199999999951</v>
      </c>
      <c r="BL71" s="47" t="str">
        <f t="shared" si="89"/>
        <v/>
      </c>
      <c r="BM71" s="47">
        <v>3.24883333333333E-2</v>
      </c>
      <c r="BN71" s="48" t="str">
        <f t="shared" si="85"/>
        <v/>
      </c>
      <c r="BO71" s="47" t="str">
        <f t="shared" si="47"/>
        <v/>
      </c>
      <c r="BP71" s="51">
        <v>9.9425127553904904</v>
      </c>
      <c r="BQ71" s="28">
        <f t="shared" si="93"/>
        <v>84.385281385281303</v>
      </c>
      <c r="BR71" s="49">
        <f t="shared" si="94"/>
        <v>3.24883333333333E-2</v>
      </c>
      <c r="BS71" s="30">
        <f t="shared" si="86"/>
        <v>9.9425127553904904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>
        <v>45544.610312500001</v>
      </c>
      <c r="G72" s="64">
        <v>6057.48</v>
      </c>
      <c r="H72" s="44"/>
      <c r="I72" s="44">
        <v>5403.24</v>
      </c>
      <c r="J72" s="44">
        <v>19.5</v>
      </c>
      <c r="K72" s="44">
        <v>17.2</v>
      </c>
      <c r="L72" s="44">
        <v>88</v>
      </c>
      <c r="M72" s="44">
        <v>18.899999999999999</v>
      </c>
      <c r="N72" s="44">
        <v>437</v>
      </c>
      <c r="O72" s="44">
        <v>2.12</v>
      </c>
      <c r="P72" s="44">
        <v>0.2</v>
      </c>
      <c r="Q72" s="44">
        <v>0.77</v>
      </c>
      <c r="R72" s="44"/>
      <c r="S72" s="44">
        <v>0.83</v>
      </c>
      <c r="T72" s="44">
        <v>2.97</v>
      </c>
      <c r="U72" s="44">
        <v>2.21</v>
      </c>
      <c r="V72" s="44">
        <v>7.2830000000000004</v>
      </c>
      <c r="W72" s="44">
        <v>125.9</v>
      </c>
      <c r="X72" s="44">
        <v>102.1</v>
      </c>
      <c r="Y72" s="44">
        <v>1.45</v>
      </c>
      <c r="Z72" s="44">
        <v>182.7</v>
      </c>
      <c r="AA72" s="44">
        <v>58</v>
      </c>
      <c r="AB72" s="44">
        <v>110.4</v>
      </c>
      <c r="AC72" s="44">
        <v>85.6</v>
      </c>
      <c r="AD72" s="17">
        <v>7.3239999999999998</v>
      </c>
      <c r="AE72" s="44">
        <v>302</v>
      </c>
      <c r="AF72" s="44">
        <v>100</v>
      </c>
      <c r="AG72" s="44">
        <v>7.3</v>
      </c>
      <c r="AH72" s="45">
        <f t="shared" si="91"/>
        <v>1</v>
      </c>
      <c r="AI72" s="44">
        <v>34</v>
      </c>
      <c r="AJ72" s="44">
        <v>43.09</v>
      </c>
      <c r="AK72" s="44">
        <v>17.54</v>
      </c>
      <c r="AL72" s="44">
        <f>AL54+3.1</f>
        <v>9.86</v>
      </c>
      <c r="AM72" s="45">
        <f t="shared" si="92"/>
        <v>0</v>
      </c>
      <c r="AN72" s="44">
        <v>273.05</v>
      </c>
      <c r="AO72" s="44">
        <v>79.709999999999994</v>
      </c>
      <c r="AP72" s="44">
        <v>362</v>
      </c>
      <c r="AQ72" s="44">
        <v>1953</v>
      </c>
      <c r="AR72" s="45">
        <v>47.420000000000073</v>
      </c>
      <c r="AS72" s="45">
        <f t="shared" si="90"/>
        <v>1905.58</v>
      </c>
      <c r="AT72" s="45">
        <f t="shared" si="36"/>
        <v>39.120000000000005</v>
      </c>
      <c r="AU72" s="45">
        <f t="shared" si="37"/>
        <v>8.8399999999999892</v>
      </c>
      <c r="AV72" s="45">
        <f t="shared" si="65"/>
        <v>44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2"/>
        <v>1.002717E-2</v>
      </c>
      <c r="BG72" s="46">
        <f t="shared" si="83"/>
        <v>14.4391248</v>
      </c>
      <c r="BH72" s="46">
        <f t="shared" ref="BH72:BH80" si="95">AX72+SUM(AJ72:AL72,AN72:AO72)-(AW72*(D72+1))</f>
        <v>1943.25</v>
      </c>
      <c r="BI72" s="47">
        <f t="shared" si="87"/>
        <v>0.14051202881770231</v>
      </c>
      <c r="BJ72" s="47">
        <f t="shared" si="88"/>
        <v>0.16061764705882353</v>
      </c>
      <c r="BK72" s="47">
        <f t="shared" si="84"/>
        <v>0</v>
      </c>
      <c r="BL72" s="47">
        <f t="shared" si="89"/>
        <v>0</v>
      </c>
      <c r="BM72" s="48" t="str">
        <f t="shared" ref="BM71:BM80" si="96">IF(B72="Julia",BD72*BH72/24/60,"")</f>
        <v/>
      </c>
      <c r="BN72" s="48" t="str">
        <f t="shared" si="85"/>
        <v/>
      </c>
      <c r="BO72" s="47">
        <f t="shared" si="47"/>
        <v>10.833618750000001</v>
      </c>
      <c r="BP72" s="51" t="str">
        <f t="shared" ref="BP70:BP80" si="97">IF(B72="Julia",BE72*BH72,"")</f>
        <v/>
      </c>
      <c r="BQ72" s="28">
        <f t="shared" si="93"/>
        <v>0</v>
      </c>
      <c r="BR72" s="49">
        <f t="shared" si="94"/>
        <v>0</v>
      </c>
      <c r="BS72" s="30">
        <f t="shared" si="86"/>
        <v>10.833618750000001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F73" s="61">
        <v>45544.616192129601</v>
      </c>
      <c r="G73" s="64">
        <v>6057.48</v>
      </c>
      <c r="H73" s="44"/>
      <c r="I73" s="44">
        <v>2556.4050000000002</v>
      </c>
      <c r="J73" s="44">
        <v>20.2</v>
      </c>
      <c r="K73" s="44">
        <v>0.54700000000000004</v>
      </c>
      <c r="L73" s="44">
        <v>2.71</v>
      </c>
      <c r="M73" s="44">
        <v>13.7</v>
      </c>
      <c r="N73" s="44">
        <v>869</v>
      </c>
      <c r="O73" s="44"/>
      <c r="P73" s="44">
        <v>0.23</v>
      </c>
      <c r="Q73" s="44">
        <v>6.87</v>
      </c>
      <c r="R73" s="44"/>
      <c r="S73" s="44">
        <v>0.97</v>
      </c>
      <c r="T73" s="44">
        <v>4.58</v>
      </c>
      <c r="U73" s="44"/>
      <c r="V73" s="44">
        <v>7.2770000000000001</v>
      </c>
      <c r="W73" s="44">
        <v>5.8</v>
      </c>
      <c r="X73" s="44">
        <v>95.2</v>
      </c>
      <c r="Y73" s="44">
        <v>7.36</v>
      </c>
      <c r="Z73" s="44">
        <v>318.8</v>
      </c>
      <c r="AA73" s="44">
        <v>2.6</v>
      </c>
      <c r="AB73" s="44">
        <v>5.0999999999999996</v>
      </c>
      <c r="AC73" s="44">
        <v>79.2</v>
      </c>
      <c r="AD73" s="17">
        <v>7.3179999999999996</v>
      </c>
      <c r="AE73" s="44">
        <v>299</v>
      </c>
      <c r="AF73" s="44">
        <v>52.4</v>
      </c>
      <c r="AG73" s="44">
        <v>7.3</v>
      </c>
      <c r="AH73" s="45">
        <f t="shared" si="91"/>
        <v>0.52400000000000002</v>
      </c>
      <c r="AI73" s="44">
        <v>34</v>
      </c>
      <c r="AJ73" s="44">
        <v>150</v>
      </c>
      <c r="AK73" s="44">
        <v>9.64</v>
      </c>
      <c r="AL73" s="44">
        <f>AL55+2.98</f>
        <v>9.42</v>
      </c>
      <c r="AM73" s="45">
        <f t="shared" si="92"/>
        <v>0</v>
      </c>
      <c r="AN73" s="44">
        <v>310.07</v>
      </c>
      <c r="AO73" s="44">
        <v>94.46</v>
      </c>
      <c r="AP73" s="44">
        <v>295</v>
      </c>
      <c r="AQ73" s="44">
        <v>2159</v>
      </c>
      <c r="AR73" s="45">
        <v>133.55999999999995</v>
      </c>
      <c r="AS73" s="45">
        <f t="shared" si="90"/>
        <v>2025.44</v>
      </c>
      <c r="AT73" s="45">
        <f t="shared" si="36"/>
        <v>48.389999999999986</v>
      </c>
      <c r="AU73" s="45">
        <f t="shared" si="37"/>
        <v>16.64</v>
      </c>
      <c r="AV73" s="45">
        <f t="shared" ref="AV73:AV80" si="98">AP67-AP73</f>
        <v>58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2"/>
        <v>3.4355811900000006E-4</v>
      </c>
      <c r="BG73" s="46">
        <f t="shared" si="83"/>
        <v>0.49472369136000011</v>
      </c>
      <c r="BH73" s="46">
        <f t="shared" si="95"/>
        <v>2093.59</v>
      </c>
      <c r="BI73" s="47">
        <f t="shared" si="87"/>
        <v>0.14810445216112036</v>
      </c>
      <c r="BJ73" s="47">
        <f t="shared" si="88"/>
        <v>0.18239411764705882</v>
      </c>
      <c r="BK73" s="47">
        <f t="shared" si="84"/>
        <v>0</v>
      </c>
      <c r="BL73" s="47">
        <f t="shared" si="89"/>
        <v>0</v>
      </c>
      <c r="BM73" s="48" t="str">
        <f t="shared" si="96"/>
        <v/>
      </c>
      <c r="BN73" s="48" t="str">
        <f t="shared" si="85"/>
        <v/>
      </c>
      <c r="BO73" s="47">
        <f t="shared" si="47"/>
        <v>0</v>
      </c>
      <c r="BP73" s="51" t="str">
        <f t="shared" si="97"/>
        <v/>
      </c>
      <c r="BQ73" s="28">
        <f t="shared" si="93"/>
        <v>0</v>
      </c>
      <c r="BR73" s="49">
        <f t="shared" si="94"/>
        <v>0</v>
      </c>
      <c r="BS73" s="30">
        <f t="shared" si="86"/>
        <v>0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>
        <v>45544.621018518519</v>
      </c>
      <c r="G74" s="65">
        <v>6057.48</v>
      </c>
      <c r="H74" s="7"/>
      <c r="I74" s="7">
        <v>6130.83</v>
      </c>
      <c r="J74" s="7">
        <v>19.8</v>
      </c>
      <c r="K74" s="7">
        <v>17.899999999999999</v>
      </c>
      <c r="L74" s="7">
        <v>90.2</v>
      </c>
      <c r="M74" s="7">
        <v>17.8</v>
      </c>
      <c r="N74" s="7">
        <v>359</v>
      </c>
      <c r="O74" s="7">
        <v>1.91</v>
      </c>
      <c r="P74" s="7">
        <v>0.18</v>
      </c>
      <c r="Q74" s="7">
        <v>0.4</v>
      </c>
      <c r="R74" s="7"/>
      <c r="S74" s="7">
        <v>0.09</v>
      </c>
      <c r="T74" s="7">
        <v>0.13</v>
      </c>
      <c r="U74" s="7">
        <v>0.05</v>
      </c>
      <c r="V74" s="7">
        <v>7.2969999999999997</v>
      </c>
      <c r="W74" s="7">
        <v>117.9</v>
      </c>
      <c r="X74" s="7">
        <v>40.700000000000003</v>
      </c>
      <c r="Y74" s="7">
        <v>1.92</v>
      </c>
      <c r="Z74" s="7">
        <v>159.1</v>
      </c>
      <c r="AA74" s="7">
        <v>56.2</v>
      </c>
      <c r="AB74" s="7">
        <v>103.4</v>
      </c>
      <c r="AC74" s="7">
        <v>32.9</v>
      </c>
      <c r="AD74" s="18">
        <v>7.3390000000000004</v>
      </c>
      <c r="AE74" s="7">
        <v>298</v>
      </c>
      <c r="AF74" s="7">
        <v>49.9</v>
      </c>
      <c r="AG74" s="7">
        <v>7.29</v>
      </c>
      <c r="AH74" s="41">
        <f t="shared" si="91"/>
        <v>0.499</v>
      </c>
      <c r="AI74" s="7">
        <v>34</v>
      </c>
      <c r="AJ74" s="7">
        <v>28.27</v>
      </c>
      <c r="AK74" s="7">
        <v>45.05</v>
      </c>
      <c r="AL74" s="7">
        <f>AL56+3.03</f>
        <v>9.5499999999999989</v>
      </c>
      <c r="AM74" s="41">
        <f t="shared" si="92"/>
        <v>0</v>
      </c>
      <c r="AN74" s="7">
        <v>220.19</v>
      </c>
      <c r="AO74" s="7">
        <v>82.22</v>
      </c>
      <c r="AP74" s="7">
        <v>438</v>
      </c>
      <c r="AQ74" s="7">
        <v>1899</v>
      </c>
      <c r="AR74" s="41">
        <v>51.660000000000082</v>
      </c>
      <c r="AS74" s="41">
        <f t="shared" si="90"/>
        <v>1847.34</v>
      </c>
      <c r="AT74" s="41">
        <f t="shared" ref="AT74:AT80" si="99">AN74-AN68</f>
        <v>18.259999999999991</v>
      </c>
      <c r="AU74" s="41">
        <f t="shared" ref="AU74:AU80" si="100">AO74-AO68</f>
        <v>12.469999999999999</v>
      </c>
      <c r="AV74" s="41">
        <f t="shared" si="98"/>
        <v>22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2"/>
        <v>1.0231353599999996E-2</v>
      </c>
      <c r="BG74" s="13">
        <f t="shared" si="83"/>
        <v>14.733149183999995</v>
      </c>
      <c r="BH74" s="13">
        <f t="shared" si="95"/>
        <v>1905.2799999999997</v>
      </c>
      <c r="BI74" s="14">
        <f t="shared" si="87"/>
        <v>0.11556831541820627</v>
      </c>
      <c r="BJ74" s="14">
        <f t="shared" si="88"/>
        <v>0.1295235294117647</v>
      </c>
      <c r="BK74" s="14">
        <f t="shared" si="84"/>
        <v>0</v>
      </c>
      <c r="BL74" s="14">
        <f t="shared" si="89"/>
        <v>0</v>
      </c>
      <c r="BM74" s="48" t="str">
        <f t="shared" si="96"/>
        <v/>
      </c>
      <c r="BN74" s="36" t="str">
        <f t="shared" si="85"/>
        <v/>
      </c>
      <c r="BO74" s="14">
        <f t="shared" si="47"/>
        <v>12.384319999999997</v>
      </c>
      <c r="BP74" s="52" t="str">
        <f t="shared" si="97"/>
        <v/>
      </c>
      <c r="BQ74" s="29">
        <f t="shared" si="93"/>
        <v>0</v>
      </c>
      <c r="BR74" s="38">
        <f t="shared" si="94"/>
        <v>0</v>
      </c>
      <c r="BS74" s="31">
        <f t="shared" si="86"/>
        <v>12.384319999999997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90"/>
        <v>-137.11999999999989</v>
      </c>
      <c r="AT75" s="40">
        <f t="shared" si="99"/>
        <v>-181.29</v>
      </c>
      <c r="AU75" s="40">
        <f t="shared" si="100"/>
        <v>-73.31</v>
      </c>
      <c r="AV75" s="40">
        <f t="shared" si="98"/>
        <v>485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1">BB75*K75*BH75/1000</f>
        <v>0</v>
      </c>
      <c r="BG75" s="9">
        <f t="shared" ref="BG75:BG80" si="102">BF75*24*60</f>
        <v>0</v>
      </c>
      <c r="BH75" s="9">
        <f t="shared" si="95"/>
        <v>1505</v>
      </c>
      <c r="BI75" s="10" t="str">
        <f t="shared" si="87"/>
        <v/>
      </c>
      <c r="BJ75" s="10" t="str">
        <f t="shared" si="88"/>
        <v/>
      </c>
      <c r="BK75" s="10">
        <f t="shared" ref="BK75:BK80" si="103">AM75*24*60</f>
        <v>0</v>
      </c>
      <c r="BL75" s="10" t="str">
        <f t="shared" si="89"/>
        <v/>
      </c>
      <c r="BM75" s="10">
        <f t="shared" si="96"/>
        <v>0</v>
      </c>
      <c r="BN75" s="35" t="str">
        <f t="shared" ref="BN75:BN80" si="104">IF(B75="No MPC", BB75*K75*BH75/1000,"")</f>
        <v/>
      </c>
      <c r="BO75" s="10" t="str">
        <f t="shared" si="47"/>
        <v/>
      </c>
      <c r="BP75" s="50">
        <f t="shared" si="97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5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6">AF76/100</f>
        <v>0</v>
      </c>
      <c r="AI76" s="44"/>
      <c r="AJ76" s="44"/>
      <c r="AK76" s="44"/>
      <c r="AL76" s="44"/>
      <c r="AM76" s="45">
        <f t="shared" ref="AM76:AM80" si="107">BR76</f>
        <v>0</v>
      </c>
      <c r="AN76" s="44"/>
      <c r="AO76" s="44"/>
      <c r="AP76" s="44"/>
      <c r="AQ76" s="44"/>
      <c r="AR76" s="45">
        <v>45.769999999999982</v>
      </c>
      <c r="AS76" s="45">
        <f t="shared" si="90"/>
        <v>-45.769999999999982</v>
      </c>
      <c r="AT76" s="45">
        <f t="shared" si="99"/>
        <v>-205.53</v>
      </c>
      <c r="AU76" s="45">
        <f t="shared" si="100"/>
        <v>-79.069999999999993</v>
      </c>
      <c r="AV76" s="45">
        <f t="shared" si="98"/>
        <v>458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1"/>
        <v>0</v>
      </c>
      <c r="BG76" s="46">
        <f t="shared" si="102"/>
        <v>0</v>
      </c>
      <c r="BH76" s="46">
        <f t="shared" si="95"/>
        <v>1505</v>
      </c>
      <c r="BI76" s="47" t="str">
        <f t="shared" si="87"/>
        <v/>
      </c>
      <c r="BJ76" s="47" t="str">
        <f t="shared" si="88"/>
        <v/>
      </c>
      <c r="BK76" s="47">
        <f t="shared" si="103"/>
        <v>0</v>
      </c>
      <c r="BL76" s="47" t="str">
        <f t="shared" si="89"/>
        <v/>
      </c>
      <c r="BM76" s="47">
        <f t="shared" si="96"/>
        <v>0</v>
      </c>
      <c r="BN76" s="48" t="str">
        <f t="shared" si="104"/>
        <v/>
      </c>
      <c r="BO76" s="47" t="str">
        <f t="shared" si="47"/>
        <v/>
      </c>
      <c r="BP76" s="51">
        <f t="shared" si="97"/>
        <v>0</v>
      </c>
      <c r="BQ76" s="28">
        <f t="shared" ref="BQ76:BQ80" si="108">IF(BL76&lt;&gt;"",BL76/0.000385,IF(BM76&lt;&gt;"",BM76/0.000385,BN76/0.000385))</f>
        <v>0</v>
      </c>
      <c r="BR76" s="49">
        <f t="shared" ref="BR76:BR80" si="109">IF(BL76&lt;&gt;"",BL76,IF(BM76&lt;&gt;"",BM76,BN76))</f>
        <v>0</v>
      </c>
      <c r="BS76" s="30">
        <f t="shared" si="105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6"/>
        <v>0</v>
      </c>
      <c r="AI77" s="44"/>
      <c r="AJ77" s="44"/>
      <c r="AK77" s="44"/>
      <c r="AL77" s="44"/>
      <c r="AM77" s="45">
        <f t="shared" si="107"/>
        <v>0</v>
      </c>
      <c r="AN77" s="44"/>
      <c r="AO77" s="44"/>
      <c r="AP77" s="44"/>
      <c r="AQ77" s="44"/>
      <c r="AR77" s="45">
        <v>84.700000000000045</v>
      </c>
      <c r="AS77" s="45">
        <f t="shared" si="90"/>
        <v>-84.700000000000045</v>
      </c>
      <c r="AT77" s="45">
        <f t="shared" si="99"/>
        <v>-287.8</v>
      </c>
      <c r="AU77" s="45">
        <f t="shared" si="100"/>
        <v>-88.58</v>
      </c>
      <c r="AV77" s="45">
        <f t="shared" si="98"/>
        <v>338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1"/>
        <v>0</v>
      </c>
      <c r="BG77" s="46">
        <f t="shared" si="102"/>
        <v>0</v>
      </c>
      <c r="BH77" s="46">
        <f t="shared" si="95"/>
        <v>1505</v>
      </c>
      <c r="BI77" s="47" t="str">
        <f t="shared" si="87"/>
        <v/>
      </c>
      <c r="BJ77" s="47" t="str">
        <f t="shared" si="88"/>
        <v/>
      </c>
      <c r="BK77" s="47">
        <f t="shared" si="103"/>
        <v>0</v>
      </c>
      <c r="BL77" s="47" t="str">
        <f t="shared" si="89"/>
        <v/>
      </c>
      <c r="BM77" s="47">
        <f t="shared" si="96"/>
        <v>0</v>
      </c>
      <c r="BN77" s="48" t="str">
        <f t="shared" si="104"/>
        <v/>
      </c>
      <c r="BO77" s="47" t="str">
        <f t="shared" si="47"/>
        <v/>
      </c>
      <c r="BP77" s="51">
        <f t="shared" si="97"/>
        <v>0</v>
      </c>
      <c r="BQ77" s="28">
        <f t="shared" si="108"/>
        <v>0</v>
      </c>
      <c r="BR77" s="49">
        <f t="shared" si="109"/>
        <v>0</v>
      </c>
      <c r="BS77" s="30">
        <f t="shared" si="105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6"/>
        <v>0</v>
      </c>
      <c r="AI78" s="44"/>
      <c r="AJ78" s="44"/>
      <c r="AK78" s="44"/>
      <c r="AL78" s="44"/>
      <c r="AM78" s="45">
        <f t="shared" si="107"/>
        <v>0</v>
      </c>
      <c r="AN78" s="44"/>
      <c r="AO78" s="44"/>
      <c r="AP78" s="44"/>
      <c r="AQ78" s="44"/>
      <c r="AR78" s="45">
        <v>47.420000000000073</v>
      </c>
      <c r="AS78" s="45">
        <f t="shared" si="90"/>
        <v>-47.420000000000073</v>
      </c>
      <c r="AT78" s="45">
        <f t="shared" si="99"/>
        <v>-273.05</v>
      </c>
      <c r="AU78" s="45">
        <f t="shared" si="100"/>
        <v>-79.709999999999994</v>
      </c>
      <c r="AV78" s="45">
        <f t="shared" si="98"/>
        <v>362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1"/>
        <v>0</v>
      </c>
      <c r="BG78" s="46">
        <f t="shared" si="102"/>
        <v>0</v>
      </c>
      <c r="BH78" s="46">
        <f t="shared" si="95"/>
        <v>1505</v>
      </c>
      <c r="BI78" s="47" t="str">
        <f t="shared" si="87"/>
        <v/>
      </c>
      <c r="BJ78" s="47" t="str">
        <f t="shared" si="88"/>
        <v/>
      </c>
      <c r="BK78" s="47">
        <f t="shared" si="103"/>
        <v>0</v>
      </c>
      <c r="BL78" s="47">
        <f t="shared" si="89"/>
        <v>0</v>
      </c>
      <c r="BM78" s="48" t="str">
        <f t="shared" si="96"/>
        <v/>
      </c>
      <c r="BN78" s="48" t="str">
        <f t="shared" si="104"/>
        <v/>
      </c>
      <c r="BO78" s="47">
        <f t="shared" si="47"/>
        <v>11.2875</v>
      </c>
      <c r="BP78" s="51" t="str">
        <f t="shared" si="97"/>
        <v/>
      </c>
      <c r="BQ78" s="28">
        <f t="shared" si="108"/>
        <v>0</v>
      </c>
      <c r="BR78" s="49">
        <f t="shared" si="109"/>
        <v>0</v>
      </c>
      <c r="BS78" s="30">
        <f t="shared" si="105"/>
        <v>11.2875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6"/>
        <v>0</v>
      </c>
      <c r="AI79" s="44"/>
      <c r="AJ79" s="44"/>
      <c r="AK79" s="44"/>
      <c r="AL79" s="44"/>
      <c r="AM79" s="45">
        <f t="shared" si="107"/>
        <v>0</v>
      </c>
      <c r="AN79" s="44"/>
      <c r="AO79" s="44"/>
      <c r="AP79" s="44"/>
      <c r="AQ79" s="44"/>
      <c r="AR79" s="45">
        <v>133.55999999999995</v>
      </c>
      <c r="AS79" s="45">
        <f t="shared" si="90"/>
        <v>-133.55999999999995</v>
      </c>
      <c r="AT79" s="45">
        <f t="shared" si="99"/>
        <v>-310.07</v>
      </c>
      <c r="AU79" s="45">
        <f t="shared" si="100"/>
        <v>-94.46</v>
      </c>
      <c r="AV79" s="45">
        <f t="shared" si="98"/>
        <v>295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1"/>
        <v>0</v>
      </c>
      <c r="BG79" s="46">
        <f t="shared" si="102"/>
        <v>0</v>
      </c>
      <c r="BH79" s="46">
        <f t="shared" si="95"/>
        <v>1505</v>
      </c>
      <c r="BI79" s="47" t="str">
        <f t="shared" si="87"/>
        <v/>
      </c>
      <c r="BJ79" s="47" t="str">
        <f t="shared" si="88"/>
        <v/>
      </c>
      <c r="BK79" s="47">
        <f t="shared" si="103"/>
        <v>0</v>
      </c>
      <c r="BL79" s="47">
        <f t="shared" si="89"/>
        <v>0</v>
      </c>
      <c r="BM79" s="48" t="str">
        <f t="shared" si="96"/>
        <v/>
      </c>
      <c r="BN79" s="48" t="str">
        <f t="shared" si="104"/>
        <v/>
      </c>
      <c r="BO79" s="47">
        <f t="shared" si="47"/>
        <v>11.2875</v>
      </c>
      <c r="BP79" s="51" t="str">
        <f t="shared" si="97"/>
        <v/>
      </c>
      <c r="BQ79" s="28">
        <f t="shared" si="108"/>
        <v>0</v>
      </c>
      <c r="BR79" s="49">
        <f t="shared" si="109"/>
        <v>0</v>
      </c>
      <c r="BS79" s="30">
        <f t="shared" si="105"/>
        <v>11.2875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6"/>
        <v>0</v>
      </c>
      <c r="AI80" s="7"/>
      <c r="AJ80" s="7"/>
      <c r="AK80" s="7"/>
      <c r="AL80" s="7"/>
      <c r="AM80" s="41">
        <f t="shared" si="107"/>
        <v>0</v>
      </c>
      <c r="AN80" s="7"/>
      <c r="AO80" s="7"/>
      <c r="AP80" s="7"/>
      <c r="AQ80" s="7"/>
      <c r="AR80" s="41">
        <v>51.660000000000082</v>
      </c>
      <c r="AS80" s="41">
        <f t="shared" si="90"/>
        <v>-51.660000000000082</v>
      </c>
      <c r="AT80" s="41">
        <f t="shared" si="99"/>
        <v>-220.19</v>
      </c>
      <c r="AU80" s="41">
        <f t="shared" si="100"/>
        <v>-82.22</v>
      </c>
      <c r="AV80" s="41">
        <f t="shared" si="98"/>
        <v>438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1"/>
        <v>0</v>
      </c>
      <c r="BG80" s="13">
        <f t="shared" si="102"/>
        <v>0</v>
      </c>
      <c r="BH80" s="13">
        <f t="shared" si="95"/>
        <v>1505</v>
      </c>
      <c r="BI80" s="14" t="str">
        <f t="shared" si="87"/>
        <v/>
      </c>
      <c r="BJ80" s="14" t="str">
        <f t="shared" si="88"/>
        <v/>
      </c>
      <c r="BK80" s="14">
        <f t="shared" si="103"/>
        <v>0</v>
      </c>
      <c r="BL80" s="14">
        <f t="shared" si="89"/>
        <v>0</v>
      </c>
      <c r="BM80" s="36" t="str">
        <f t="shared" si="96"/>
        <v/>
      </c>
      <c r="BN80" s="36" t="str">
        <f t="shared" si="104"/>
        <v/>
      </c>
      <c r="BO80" s="14">
        <f t="shared" si="47"/>
        <v>11.2875</v>
      </c>
      <c r="BP80" s="52" t="str">
        <f t="shared" si="97"/>
        <v/>
      </c>
      <c r="BQ80" s="29">
        <f t="shared" si="108"/>
        <v>0</v>
      </c>
      <c r="BR80" s="38">
        <f t="shared" si="109"/>
        <v>0</v>
      </c>
      <c r="BS80" s="31">
        <f t="shared" si="105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  <ds:schemaRef ds:uri="a198008e-c7f6-4ed0-9865-26ace3c97b59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2024-09-09T20:33:36Z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