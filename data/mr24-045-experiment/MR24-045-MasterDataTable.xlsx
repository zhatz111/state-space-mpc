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yl604392\Git\state-space-model\data\mr24-045-experiment\"/>
    </mc:Choice>
  </mc:AlternateContent>
  <xr:revisionPtr revIDLastSave="0" documentId="13_ncr:1_{E0B0633D-1023-4835-949F-5D6C595C648E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7" i="1" l="1"/>
  <c r="BE27" i="1"/>
  <c r="BE29" i="1"/>
  <c r="BD29" i="1"/>
  <c r="BD28" i="1"/>
  <c r="BE28" i="1"/>
  <c r="BE23" i="1"/>
  <c r="BE21" i="1"/>
  <c r="BD23" i="1"/>
  <c r="BD21" i="1"/>
  <c r="BD22" i="1"/>
  <c r="BE22" i="1"/>
  <c r="BE11" i="1"/>
  <c r="BE10" i="1"/>
  <c r="BE9" i="1"/>
  <c r="BD9" i="1"/>
  <c r="BD10" i="1"/>
  <c r="BD11" i="1"/>
  <c r="AS14" i="1"/>
  <c r="AS13" i="1"/>
  <c r="AS12" i="1"/>
  <c r="AS9" i="1"/>
  <c r="BD5" i="1"/>
  <c r="BD4" i="1"/>
  <c r="BD3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4" i="1"/>
  <c r="BO73" i="1"/>
  <c r="BO72" i="1"/>
  <c r="BO71" i="1"/>
  <c r="BO70" i="1"/>
  <c r="BO69" i="1"/>
  <c r="BO67" i="1"/>
  <c r="BO65" i="1"/>
  <c r="BO64" i="1"/>
  <c r="BO63" i="1"/>
  <c r="BO59" i="1"/>
  <c r="BO58" i="1"/>
  <c r="BO57" i="1"/>
  <c r="BO54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I5" i="1" s="1"/>
  <c r="BH4" i="1"/>
  <c r="BP4" i="1" s="1"/>
  <c r="BH3" i="1"/>
  <c r="BF3" i="1" s="1"/>
  <c r="BL6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I56" i="1"/>
  <c r="BJ55" i="1"/>
  <c r="BI55" i="1"/>
  <c r="BJ54" i="1"/>
  <c r="BI54" i="1"/>
  <c r="BJ53" i="1"/>
  <c r="BI53" i="1"/>
  <c r="BJ52" i="1"/>
  <c r="BI52" i="1"/>
  <c r="BJ51" i="1"/>
  <c r="BI51" i="1"/>
  <c r="BJ50" i="1"/>
  <c r="BI50" i="1"/>
  <c r="BJ49" i="1"/>
  <c r="BI49" i="1"/>
  <c r="BJ48" i="1"/>
  <c r="BI48" i="1"/>
  <c r="BJ47" i="1"/>
  <c r="BI47" i="1"/>
  <c r="BJ46" i="1"/>
  <c r="BI46" i="1"/>
  <c r="BJ45" i="1"/>
  <c r="BI45" i="1"/>
  <c r="BJ44" i="1"/>
  <c r="BI44" i="1"/>
  <c r="BJ43" i="1"/>
  <c r="BI43" i="1"/>
  <c r="BJ42" i="1"/>
  <c r="BI42" i="1"/>
  <c r="BJ41" i="1"/>
  <c r="BI41" i="1"/>
  <c r="BJ40" i="1"/>
  <c r="BI40" i="1"/>
  <c r="BJ39" i="1"/>
  <c r="BI39" i="1"/>
  <c r="BJ38" i="1"/>
  <c r="BJ37" i="1"/>
  <c r="BJ36" i="1"/>
  <c r="BJ35" i="1"/>
  <c r="BJ34" i="1"/>
  <c r="BJ33" i="1"/>
  <c r="BJ32" i="1"/>
  <c r="BI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I19" i="1"/>
  <c r="BJ18" i="1"/>
  <c r="BJ17" i="1"/>
  <c r="BI17" i="1"/>
  <c r="BJ16" i="1"/>
  <c r="BJ15" i="1"/>
  <c r="BJ14" i="1"/>
  <c r="BJ13" i="1"/>
  <c r="BI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P65" i="1" s="1"/>
  <c r="BH64" i="1"/>
  <c r="BP64" i="1" s="1"/>
  <c r="BH63" i="1"/>
  <c r="BP63" i="1" s="1"/>
  <c r="BH62" i="1"/>
  <c r="BO62" i="1" s="1"/>
  <c r="BH61" i="1"/>
  <c r="BO61" i="1" s="1"/>
  <c r="BH60" i="1"/>
  <c r="BO60" i="1" s="1"/>
  <c r="BH59" i="1"/>
  <c r="BP59" i="1" s="1"/>
  <c r="BH58" i="1"/>
  <c r="BP58" i="1" s="1"/>
  <c r="BH57" i="1"/>
  <c r="BP57" i="1" s="1"/>
  <c r="BH56" i="1"/>
  <c r="BL56" i="1" s="1"/>
  <c r="BH55" i="1"/>
  <c r="BL55" i="1" s="1"/>
  <c r="BH54" i="1"/>
  <c r="BL54" i="1" s="1"/>
  <c r="BH53" i="1"/>
  <c r="BP53" i="1" s="1"/>
  <c r="BH52" i="1"/>
  <c r="BP52" i="1" s="1"/>
  <c r="BH51" i="1"/>
  <c r="BP51" i="1" s="1"/>
  <c r="BH50" i="1"/>
  <c r="BL50" i="1" s="1"/>
  <c r="BH49" i="1"/>
  <c r="BL49" i="1" s="1"/>
  <c r="BH48" i="1"/>
  <c r="BL48" i="1" s="1"/>
  <c r="BH47" i="1"/>
  <c r="BP47" i="1" s="1"/>
  <c r="BH46" i="1"/>
  <c r="BP46" i="1" s="1"/>
  <c r="BH45" i="1"/>
  <c r="BP45" i="1" s="1"/>
  <c r="BH44" i="1"/>
  <c r="BL44" i="1" s="1"/>
  <c r="BH43" i="1"/>
  <c r="BL43" i="1" s="1"/>
  <c r="BH42" i="1"/>
  <c r="BL42" i="1" s="1"/>
  <c r="BH41" i="1"/>
  <c r="BP41" i="1" s="1"/>
  <c r="BH40" i="1"/>
  <c r="BP40" i="1" s="1"/>
  <c r="BH39" i="1"/>
  <c r="BP39" i="1" s="1"/>
  <c r="BH38" i="1"/>
  <c r="BO38" i="1" s="1"/>
  <c r="BH37" i="1"/>
  <c r="BL37" i="1" s="1"/>
  <c r="BH36" i="1"/>
  <c r="BL36" i="1" s="1"/>
  <c r="BH35" i="1"/>
  <c r="BP35" i="1" s="1"/>
  <c r="BH34" i="1"/>
  <c r="BP34" i="1" s="1"/>
  <c r="BH33" i="1"/>
  <c r="BP33" i="1" s="1"/>
  <c r="BH32" i="1"/>
  <c r="BL32" i="1" s="1"/>
  <c r="BH31" i="1"/>
  <c r="BL31" i="1" s="1"/>
  <c r="BH30" i="1"/>
  <c r="BL30" i="1" s="1"/>
  <c r="BH29" i="1"/>
  <c r="BH28" i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V80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65" i="1"/>
  <c r="AV64" i="1"/>
  <c r="AV63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36" i="1" l="1"/>
  <c r="BI35" i="1"/>
  <c r="BI34" i="1"/>
  <c r="BI38" i="1"/>
  <c r="BO37" i="1"/>
  <c r="BS37" i="1" s="1"/>
  <c r="BI37" i="1"/>
  <c r="BI33" i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S72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S64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S55" i="1"/>
  <c r="BN55" i="1"/>
  <c r="AH55" i="1"/>
  <c r="BS54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M52" i="1"/>
  <c r="BR52" i="1" s="1"/>
  <c r="AM52" i="1" s="1"/>
  <c r="BK52" i="1" s="1"/>
  <c r="BQ52" i="1"/>
  <c r="BR17" i="1"/>
  <c r="AM17" i="1" s="1"/>
  <c r="BK17" i="1" s="1"/>
  <c r="BQ17" i="1"/>
  <c r="BM51" i="1"/>
  <c r="BQ51" i="1" s="1"/>
  <c r="BR51" i="1"/>
  <c r="AM51" i="1"/>
  <c r="BK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M63" i="1"/>
  <c r="BR63" i="1" s="1"/>
  <c r="AM63" i="1" s="1"/>
  <c r="BK63" i="1" s="1"/>
  <c r="BQ63" i="1"/>
  <c r="BQ28" i="1"/>
  <c r="BR23" i="1"/>
  <c r="AM23" i="1" s="1"/>
  <c r="BK23" i="1" s="1"/>
  <c r="BM41" i="1"/>
  <c r="BR41" i="1" s="1"/>
  <c r="AM41" i="1" s="1"/>
  <c r="BK41" i="1" s="1"/>
  <c r="BM65" i="1"/>
  <c r="BQ65" i="1" s="1"/>
  <c r="BM35" i="1"/>
  <c r="BQ35" i="1" s="1"/>
  <c r="BM64" i="1"/>
  <c r="BQ64" i="1" s="1"/>
  <c r="BM45" i="1"/>
  <c r="BQ45" i="1" s="1"/>
  <c r="BM57" i="1"/>
  <c r="BQ57" i="1" s="1"/>
  <c r="BQ22" i="1"/>
  <c r="BQ27" i="1"/>
  <c r="BM33" i="1"/>
  <c r="BR33" i="1" s="1"/>
  <c r="AM33" i="1" s="1"/>
  <c r="BK33" i="1" s="1"/>
  <c r="BM40" i="1"/>
  <c r="BR40" i="1" s="1"/>
  <c r="AM40" i="1" s="1"/>
  <c r="BK40" i="1" s="1"/>
  <c r="BQ40" i="1"/>
  <c r="BM75" i="1"/>
  <c r="BR75" i="1" s="1"/>
  <c r="AM75" i="1" s="1"/>
  <c r="BK75" i="1" s="1"/>
  <c r="BQ75" i="1"/>
  <c r="BM39" i="1"/>
  <c r="BR39" i="1" s="1"/>
  <c r="AM39" i="1" s="1"/>
  <c r="BK39" i="1" s="1"/>
  <c r="BQ39" i="1"/>
  <c r="BM69" i="1"/>
  <c r="BQ69" i="1" s="1"/>
  <c r="BR69" i="1"/>
  <c r="AM69" i="1"/>
  <c r="BK69" i="1" s="1"/>
  <c r="BM71" i="1"/>
  <c r="BR71" i="1" s="1"/>
  <c r="AM71" i="1" s="1"/>
  <c r="BK71" i="1" s="1"/>
  <c r="BQ71" i="1"/>
  <c r="BM59" i="1"/>
  <c r="BQ59" i="1" s="1"/>
  <c r="BM70" i="1"/>
  <c r="BR70" i="1" s="1"/>
  <c r="AM70" i="1" s="1"/>
  <c r="BK70" i="1" s="1"/>
  <c r="BQ70" i="1"/>
  <c r="BM34" i="1"/>
  <c r="BQ34" i="1" s="1"/>
  <c r="BQ21" i="1"/>
  <c r="BM77" i="1"/>
  <c r="BR77" i="1" s="1"/>
  <c r="AM77" i="1" s="1"/>
  <c r="BK77" i="1" s="1"/>
  <c r="BQ77" i="1"/>
  <c r="BM58" i="1"/>
  <c r="BR58" i="1" s="1"/>
  <c r="AM58" i="1" s="1"/>
  <c r="BK58" i="1" s="1"/>
  <c r="BQ58" i="1"/>
  <c r="BM76" i="1"/>
  <c r="BQ76" i="1" s="1"/>
  <c r="BM46" i="1"/>
  <c r="BR46" i="1" s="1"/>
  <c r="AM46" i="1" s="1"/>
  <c r="BK46" i="1" s="1"/>
  <c r="BQ46" i="1"/>
  <c r="BM53" i="1"/>
  <c r="BQ53" i="1" s="1"/>
  <c r="BR53" i="1"/>
  <c r="AM53" i="1"/>
  <c r="BK53" i="1" s="1"/>
  <c r="BM47" i="1"/>
  <c r="BR47" i="1" s="1"/>
  <c r="AM47" i="1" s="1"/>
  <c r="BK47" i="1" s="1"/>
  <c r="BQ47" i="1"/>
  <c r="BQ33" i="1" l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R64" i="1"/>
  <c r="AM64" i="1" s="1"/>
  <c r="BK64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</calcChain>
</file>

<file path=xl/sharedStrings.xml><?xml version="1.0" encoding="utf-8"?>
<sst xmlns="http://schemas.openxmlformats.org/spreadsheetml/2006/main" count="241" uniqueCount="88">
  <si>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</si>
  <si>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</si>
  <si>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</si>
  <si>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</si>
  <si>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</si>
  <si>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</si>
  <si>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</si>
  <si>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</si>
  <si>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</si>
  <si>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</si>
  <si>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</si>
  <si>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</si>
  <si>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</si>
  <si>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</si>
  <si>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</si>
  <si>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</si>
  <si>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</si>
  <si>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</si>
  <si>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</si>
  <si>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</si>
  <si>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</si>
  <si>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</si>
  <si>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</si>
  <si>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</si>
  <si>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</si>
  <si>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</si>
  <si>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</si>
  <si>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</si>
  <si>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</si>
  <si>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</si>
  <si>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</si>
  <si>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</si>
  <si>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</si>
  <si>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</si>
  <si>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</si>
  <si>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</si>
  <si>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</si>
  <si>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</si>
  <si>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</si>
  <si>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</si>
  <si>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</si>
  <si>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</si>
  <si>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</si>
  <si>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</si>
  <si>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</si>
  <si>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</si>
  <si>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</si>
  <si>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</si>
  <si>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</si>
  <si>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</si>
  <si>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</si>
  <si>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</si>
  <si>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</si>
  <si>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</si>
  <si>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</si>
  <si>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</si>
  <si>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</si>
  <si>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</si>
  <si>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</si>
  <si>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</si>
  <si>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</si>
  <si>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</si>
  <si>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</si>
  <si>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</si>
  <si>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</si>
  <si>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</si>
  <si>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</si>
  <si>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</si>
  <si>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</si>
  <si>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</si>
  <si>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</si>
  <si>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</si>
  <si>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</si>
  <si>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</si>
  <si>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MR24-038-801</t>
  </si>
  <si>
    <t>Julia</t>
  </si>
  <si>
    <t>MR24-038-802</t>
  </si>
  <si>
    <t>MR24-038-803</t>
  </si>
  <si>
    <t>MR24-038-804</t>
  </si>
  <si>
    <t>Python</t>
  </si>
  <si>
    <t>MR24-038-805</t>
  </si>
  <si>
    <t>MR24-038-806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</si>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</sst>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G20" activePane="bottomRight" state="frozen"/>
      <selection pane="topRight" activeCell="H1" sqref="H1"/>
      <selection pane="bottomLeft" activeCell="A3" sqref="A3"/>
      <selection pane="bottomRight" activeCell="V41" sqref="V41"/>
    </sheetView>
  </sheetViews>
  <sheetFormatPr defaultColWidth="14.7109375" defaultRowHeight="15" x14ac:dyDescent="0.25"/>
  <cols>
    <col min="2" max="4" width="10.7109375" customWidth="1"/>
    <col min="5" max="5" width="20.42578125" customWidth="1"/>
    <col min="6" max="6" width="14.85546875" customWidth="1"/>
    <col min="7" max="18" width="12.7109375" customWidth="1"/>
    <col min="19" max="19" width="15.140625" customWidth="1"/>
    <col min="20" max="20" width="16.140625" customWidth="1"/>
    <col min="21" max="43" width="12.7109375" customWidth="1"/>
    <col min="44" max="44" width="12.7109375" hidden="1" customWidth="1"/>
    <col min="45" max="68" width="12.7109375" customWidth="1"/>
    <col min="69" max="69" width="16.28515625" bestFit="1" customWidth="1"/>
    <col min="70" max="71" width="16.28515625" customWidth="1"/>
  </cols>
  <sheetData>
    <row r="1" spans="1:71" ht="21" x14ac:dyDescent="0.35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75" thickBot="1" x14ac:dyDescent="0.3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83</v>
      </c>
      <c r="AR2" s="19" t="s">
        <v>84</v>
      </c>
      <c r="AS2" s="19" t="s">
        <v>85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25">
      <c r="A3" s="2" t="s">
        <v>74</v>
      </c>
      <c r="B3" s="3" t="s">
        <v>75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25">
      <c r="A4" s="1" t="s">
        <v>76</v>
      </c>
      <c r="B4" t="s">
        <v>75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25">
      <c r="A5" s="1" t="s">
        <v>77</v>
      </c>
      <c r="B5" t="s">
        <v>75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25">
      <c r="A6" s="1" t="s">
        <v>78</v>
      </c>
      <c r="B6" t="s">
        <v>79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25">
      <c r="A7" s="1" t="s">
        <v>80</v>
      </c>
      <c r="B7" t="s">
        <v>79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.75" thickBot="1" x14ac:dyDescent="0.3">
      <c r="A8" s="4" t="s">
        <v>81</v>
      </c>
      <c r="B8" s="5" t="s">
        <v>79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25">
      <c r="A9" s="2" t="s">
        <v>74</v>
      </c>
      <c r="B9" s="3" t="s">
        <v>75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>AP9-AP3</f>
        <v>-5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25">
      <c r="A10" s="1" t="s">
        <v>76</v>
      </c>
      <c r="B10" t="s">
        <v>75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3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4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5">AN10-AN4</f>
        <v>5</v>
      </c>
      <c r="AU10" s="45">
        <f t="shared" ref="AU10:AU73" si="36">AO10-AO4</f>
        <v>0</v>
      </c>
      <c r="AV10" s="45">
        <f t="shared" ref="AV10:AV73" si="37">AP10-AP4</f>
        <v>-5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25">
      <c r="A11" s="1" t="s">
        <v>77</v>
      </c>
      <c r="B11" t="s">
        <v>75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3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4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5"/>
        <v>5</v>
      </c>
      <c r="AU11" s="45">
        <f t="shared" si="36"/>
        <v>0</v>
      </c>
      <c r="AV11" s="45">
        <f t="shared" si="37"/>
        <v>-7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25">
      <c r="A12" s="1" t="s">
        <v>78</v>
      </c>
      <c r="B12" t="s">
        <v>79</v>
      </c>
      <c r="C12">
        <v>12</v>
      </c>
      <c r="D12">
        <v>1</v>
      </c>
      <c r="E12" t="s">
        <v>82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3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4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6"/>
        <v>0</v>
      </c>
      <c r="AV12" s="45">
        <f t="shared" si="37"/>
        <v>-9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25">
      <c r="A13" s="1" t="s">
        <v>80</v>
      </c>
      <c r="B13" t="s">
        <v>79</v>
      </c>
      <c r="C13">
        <v>12</v>
      </c>
      <c r="D13">
        <v>1</v>
      </c>
      <c r="E13" t="s">
        <v>82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3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4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5"/>
        <v>11</v>
      </c>
      <c r="AU13" s="45">
        <f t="shared" si="36"/>
        <v>0</v>
      </c>
      <c r="AV13" s="45">
        <f t="shared" si="37"/>
        <v>-10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.75" thickBot="1" x14ac:dyDescent="0.3">
      <c r="A14" s="4" t="s">
        <v>81</v>
      </c>
      <c r="B14" s="5" t="s">
        <v>79</v>
      </c>
      <c r="C14" s="5">
        <v>12</v>
      </c>
      <c r="D14" s="5">
        <v>1</v>
      </c>
      <c r="E14" s="5" t="s">
        <v>82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3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4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5"/>
        <v>11</v>
      </c>
      <c r="AU14" s="41">
        <f t="shared" si="36"/>
        <v>0</v>
      </c>
      <c r="AV14" s="41">
        <f t="shared" si="37"/>
        <v>-9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25">
      <c r="A15" s="2" t="s">
        <v>74</v>
      </c>
      <c r="B15" s="3" t="s">
        <v>75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5"/>
        <v>11</v>
      </c>
      <c r="AU15" s="40">
        <f t="shared" si="36"/>
        <v>18</v>
      </c>
      <c r="AV15" s="40">
        <f t="shared" si="37"/>
        <v>-11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25">
      <c r="A16" s="1" t="s">
        <v>76</v>
      </c>
      <c r="B16" t="s">
        <v>75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5"/>
        <v>11</v>
      </c>
      <c r="AU16" s="45">
        <f t="shared" si="36"/>
        <v>17</v>
      </c>
      <c r="AV16" s="45">
        <f t="shared" si="37"/>
        <v>-12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25">
      <c r="A17" s="1" t="s">
        <v>77</v>
      </c>
      <c r="B17" t="s">
        <v>75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5"/>
        <v>10</v>
      </c>
      <c r="AU17" s="45">
        <f t="shared" si="36"/>
        <v>15</v>
      </c>
      <c r="AV17" s="45">
        <f t="shared" si="37"/>
        <v>-12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25">
      <c r="A18" s="1" t="s">
        <v>78</v>
      </c>
      <c r="B18" t="s">
        <v>79</v>
      </c>
      <c r="C18">
        <v>12</v>
      </c>
      <c r="D18">
        <v>2</v>
      </c>
      <c r="E18" t="s">
        <v>86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5"/>
        <v>8</v>
      </c>
      <c r="AU18" s="45">
        <f t="shared" si="36"/>
        <v>17</v>
      </c>
      <c r="AV18" s="45">
        <f t="shared" si="37"/>
        <v>-9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25">
      <c r="A19" s="1" t="s">
        <v>80</v>
      </c>
      <c r="B19" t="s">
        <v>79</v>
      </c>
      <c r="C19">
        <v>12</v>
      </c>
      <c r="D19">
        <v>2</v>
      </c>
      <c r="E19" t="s">
        <v>86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5"/>
        <v>11</v>
      </c>
      <c r="AU19" s="45">
        <f t="shared" si="36"/>
        <v>15</v>
      </c>
      <c r="AV19" s="45">
        <f t="shared" si="37"/>
        <v>-15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.75" thickBot="1" x14ac:dyDescent="0.3">
      <c r="A20" s="4" t="s">
        <v>81</v>
      </c>
      <c r="B20" s="5" t="s">
        <v>79</v>
      </c>
      <c r="C20" s="5">
        <v>12</v>
      </c>
      <c r="D20" s="5">
        <v>2</v>
      </c>
      <c r="E20" s="5" t="s">
        <v>86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5"/>
        <v>10</v>
      </c>
      <c r="AU20" s="41">
        <f t="shared" si="36"/>
        <v>16</v>
      </c>
      <c r="AV20" s="41">
        <f t="shared" si="37"/>
        <v>-12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25">
      <c r="A21" s="2" t="s">
        <v>74</v>
      </c>
      <c r="B21" s="3" t="s">
        <v>75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5"/>
        <v>23.340000000000003</v>
      </c>
      <c r="AU21" s="40">
        <f t="shared" si="36"/>
        <v>13.989999999999998</v>
      </c>
      <c r="AV21" s="40">
        <f t="shared" si="37"/>
        <v>-27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25">
      <c r="A22" s="1" t="s">
        <v>76</v>
      </c>
      <c r="B22" t="s">
        <v>75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5"/>
        <v>23.740000000000002</v>
      </c>
      <c r="AU22" s="45">
        <f t="shared" si="36"/>
        <v>15.46</v>
      </c>
      <c r="AV22" s="45">
        <f t="shared" si="37"/>
        <v>-28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25">
      <c r="A23" s="1" t="s">
        <v>77</v>
      </c>
      <c r="B23" t="s">
        <v>75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5"/>
        <v>15.620000000000001</v>
      </c>
      <c r="AU23" s="45">
        <f t="shared" si="36"/>
        <v>17.630000000000003</v>
      </c>
      <c r="AV23" s="45">
        <f t="shared" si="37"/>
        <v>-18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25">
      <c r="A24" s="1" t="s">
        <v>78</v>
      </c>
      <c r="B24" t="s">
        <v>79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5"/>
        <v>16.28</v>
      </c>
      <c r="AU24" s="45">
        <f t="shared" si="36"/>
        <v>12.18</v>
      </c>
      <c r="AV24" s="45">
        <f t="shared" si="37"/>
        <v>-18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25">
      <c r="A25" s="1" t="s">
        <v>80</v>
      </c>
      <c r="B25" t="s">
        <v>79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5"/>
        <v>16.579999999999998</v>
      </c>
      <c r="AU25" s="45">
        <f t="shared" si="36"/>
        <v>11.940000000000001</v>
      </c>
      <c r="AV25" s="45">
        <f t="shared" si="37"/>
        <v>-18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.75" thickBot="1" x14ac:dyDescent="0.3">
      <c r="A26" s="4" t="s">
        <v>81</v>
      </c>
      <c r="B26" s="5" t="s">
        <v>79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5"/>
        <v>17.420000000000002</v>
      </c>
      <c r="AU26" s="41">
        <f t="shared" si="36"/>
        <v>12.8</v>
      </c>
      <c r="AV26" s="41">
        <f t="shared" si="37"/>
        <v>-20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25">
      <c r="A27" s="2" t="s">
        <v>74</v>
      </c>
      <c r="B27" s="3" t="s">
        <v>75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5"/>
        <v>12.54</v>
      </c>
      <c r="AU27" s="40">
        <f t="shared" si="36"/>
        <v>14.330000000000002</v>
      </c>
      <c r="AV27" s="40">
        <f t="shared" si="37"/>
        <v>-12.919999999999959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 x14ac:dyDescent="0.25">
      <c r="A28" s="1" t="s">
        <v>76</v>
      </c>
      <c r="B28" t="s">
        <v>75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5"/>
        <v>13.850000000000001</v>
      </c>
      <c r="AU28" s="45">
        <f t="shared" si="36"/>
        <v>13.990000000000002</v>
      </c>
      <c r="AV28" s="45">
        <f t="shared" si="37"/>
        <v>-14.769999999999982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 x14ac:dyDescent="0.25">
      <c r="A29" s="1" t="s">
        <v>77</v>
      </c>
      <c r="B29" t="s">
        <v>75</v>
      </c>
      <c r="C29">
        <v>12</v>
      </c>
      <c r="D29">
        <v>4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5"/>
        <v>20.499999999999996</v>
      </c>
      <c r="AU29" s="45">
        <f t="shared" si="36"/>
        <v>13</v>
      </c>
      <c r="AV29" s="45">
        <f t="shared" si="37"/>
        <v>-24.440000000000055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 x14ac:dyDescent="0.25">
      <c r="A30" s="1" t="s">
        <v>78</v>
      </c>
      <c r="B30" t="s">
        <v>79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5"/>
        <v>11.799999999999997</v>
      </c>
      <c r="AU30" s="45">
        <f t="shared" si="36"/>
        <v>13.840000000000003</v>
      </c>
      <c r="AV30" s="45">
        <f t="shared" si="37"/>
        <v>-14.580000000000041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 x14ac:dyDescent="0.25">
      <c r="A31" s="1" t="s">
        <v>80</v>
      </c>
      <c r="B31" t="s">
        <v>79</v>
      </c>
      <c r="C31">
        <v>12</v>
      </c>
      <c r="D31">
        <v>4</v>
      </c>
      <c r="E31" t="s">
        <v>87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5"/>
        <v>15.61</v>
      </c>
      <c r="AU31" s="45">
        <f t="shared" si="36"/>
        <v>13.8</v>
      </c>
      <c r="AV31" s="45">
        <f t="shared" si="37"/>
        <v>-20.840000000000032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.75" thickBot="1" x14ac:dyDescent="0.3">
      <c r="A32" s="4" t="s">
        <v>81</v>
      </c>
      <c r="B32" s="5" t="s">
        <v>79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5"/>
        <v>14.04</v>
      </c>
      <c r="AU32" s="41">
        <f t="shared" si="36"/>
        <v>13.650000000000002</v>
      </c>
      <c r="AV32" s="41">
        <f t="shared" si="37"/>
        <v>-14.870000000000005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 x14ac:dyDescent="0.25">
      <c r="A33" s="2" t="s">
        <v>74</v>
      </c>
      <c r="B33" s="3" t="s">
        <v>75</v>
      </c>
      <c r="C33" s="3">
        <v>12</v>
      </c>
      <c r="D33" s="3">
        <v>5</v>
      </c>
      <c r="E33" s="3"/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0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5"/>
        <v>25.919999999999995</v>
      </c>
      <c r="AU33" s="40">
        <f t="shared" si="36"/>
        <v>6.1599999999999966</v>
      </c>
      <c r="AV33" s="40">
        <f t="shared" si="37"/>
        <v>-31.080000000000041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9"/>
      <c r="BE33" s="21"/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0</v>
      </c>
      <c r="BL33" s="10" t="str">
        <f t="shared" si="11"/>
        <v/>
      </c>
      <c r="BM33" s="10">
        <f t="shared" si="31"/>
        <v>0</v>
      </c>
      <c r="BN33" s="35" t="str">
        <f t="shared" si="32"/>
        <v/>
      </c>
      <c r="BO33" s="10" t="str">
        <f t="shared" si="47"/>
        <v/>
      </c>
      <c r="BP33" s="50">
        <f t="shared" si="28"/>
        <v>0</v>
      </c>
      <c r="BQ33" s="27">
        <f>IF(BL33&lt;&gt;"",BL33/0.000385,IF(BM33&lt;&gt;"",BM33/0.000385,BN33/0.000385))</f>
        <v>0</v>
      </c>
      <c r="BR33" s="37">
        <f>IF(BL33&lt;&gt;"",BL33,IF(BM33&lt;&gt;"",BM33,BN33))</f>
        <v>0</v>
      </c>
      <c r="BS33" s="32">
        <f t="shared" si="21"/>
        <v>0</v>
      </c>
    </row>
    <row r="34" spans="1:71" x14ac:dyDescent="0.25">
      <c r="A34" s="1" t="s">
        <v>76</v>
      </c>
      <c r="B34" t="s">
        <v>75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0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5"/>
        <v>23.549999999999997</v>
      </c>
      <c r="AU34" s="45">
        <f t="shared" si="36"/>
        <v>4.8299999999999983</v>
      </c>
      <c r="AV34" s="45">
        <f t="shared" si="37"/>
        <v>-28.230000000000018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/>
      <c r="BE34" s="22"/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0</v>
      </c>
      <c r="BL34" s="47" t="str">
        <f t="shared" si="11"/>
        <v/>
      </c>
      <c r="BM34" s="47">
        <f t="shared" si="31"/>
        <v>0</v>
      </c>
      <c r="BN34" s="48" t="str">
        <f t="shared" si="32"/>
        <v/>
      </c>
      <c r="BO34" s="47" t="str">
        <f t="shared" si="47"/>
        <v/>
      </c>
      <c r="BP34" s="51">
        <f t="shared" si="28"/>
        <v>0</v>
      </c>
      <c r="BQ34" s="28">
        <f t="shared" ref="BQ34:BQ38" si="58">IF(BL34&lt;&gt;"",BL34/0.000385,IF(BM34&lt;&gt;"",BM34/0.000385,BN34/0.000385))</f>
        <v>0</v>
      </c>
      <c r="BR34" s="49">
        <f t="shared" ref="BR34:BR38" si="59">IF(BL34&lt;&gt;"",BL34,IF(BM34&lt;&gt;"",BM34,BN34))</f>
        <v>0</v>
      </c>
      <c r="BS34" s="30">
        <f t="shared" si="21"/>
        <v>0</v>
      </c>
    </row>
    <row r="35" spans="1:71" x14ac:dyDescent="0.25">
      <c r="A35" s="1" t="s">
        <v>77</v>
      </c>
      <c r="B35" t="s">
        <v>75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0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6" si="60">AQ35-AR35</f>
        <v>1755.3</v>
      </c>
      <c r="AT35" s="45">
        <f t="shared" si="35"/>
        <v>37.979999999999997</v>
      </c>
      <c r="AU35" s="45">
        <f t="shared" si="36"/>
        <v>15.659999999999997</v>
      </c>
      <c r="AV35" s="45">
        <f t="shared" si="37"/>
        <v>-47.559999999999945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/>
      <c r="BE35" s="22"/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0</v>
      </c>
      <c r="BL35" s="47" t="str">
        <f t="shared" si="11"/>
        <v/>
      </c>
      <c r="BM35" s="47">
        <f t="shared" si="31"/>
        <v>0</v>
      </c>
      <c r="BN35" s="48" t="str">
        <f t="shared" si="32"/>
        <v/>
      </c>
      <c r="BO35" s="47" t="str">
        <f t="shared" si="47"/>
        <v/>
      </c>
      <c r="BP35" s="51">
        <f t="shared" si="28"/>
        <v>0</v>
      </c>
      <c r="BQ35" s="28">
        <f t="shared" si="58"/>
        <v>0</v>
      </c>
      <c r="BR35" s="49">
        <f t="shared" si="59"/>
        <v>0</v>
      </c>
      <c r="BS35" s="30">
        <f t="shared" si="21"/>
        <v>0</v>
      </c>
    </row>
    <row r="36" spans="1:71" x14ac:dyDescent="0.25">
      <c r="A36" s="1" t="s">
        <v>78</v>
      </c>
      <c r="B36" t="s">
        <v>79</v>
      </c>
      <c r="C36">
        <v>12</v>
      </c>
      <c r="D36">
        <v>5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/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0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5"/>
        <v>12.450000000000003</v>
      </c>
      <c r="AU36" s="45">
        <f t="shared" si="36"/>
        <v>14.009999999999998</v>
      </c>
      <c r="AV36" s="45">
        <f t="shared" si="37"/>
        <v>-14.419999999999959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/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0</v>
      </c>
      <c r="BL36" s="47">
        <f t="shared" si="11"/>
        <v>0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0</v>
      </c>
      <c r="BR36" s="49">
        <f t="shared" si="59"/>
        <v>0</v>
      </c>
      <c r="BS36" s="30">
        <f t="shared" si="21"/>
        <v>13.155942</v>
      </c>
    </row>
    <row r="37" spans="1:71" x14ac:dyDescent="0.25">
      <c r="A37" s="1" t="s">
        <v>80</v>
      </c>
      <c r="B37" t="s">
        <v>79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0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5"/>
        <v>31.08</v>
      </c>
      <c r="AU37" s="45">
        <f t="shared" si="36"/>
        <v>14.14</v>
      </c>
      <c r="AV37" s="45">
        <f t="shared" si="37"/>
        <v>-37.159999999999968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/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0</v>
      </c>
      <c r="BL37" s="47">
        <f t="shared" si="11"/>
        <v>0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0</v>
      </c>
      <c r="BR37" s="49">
        <f t="shared" si="59"/>
        <v>0</v>
      </c>
      <c r="BS37" s="30">
        <f t="shared" si="21"/>
        <v>0</v>
      </c>
    </row>
    <row r="38" spans="1:71" ht="15.75" thickBot="1" x14ac:dyDescent="0.3">
      <c r="A38" s="4" t="s">
        <v>81</v>
      </c>
      <c r="B38" s="5" t="s">
        <v>79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0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5"/>
        <v>28.699999999999996</v>
      </c>
      <c r="AU38" s="41">
        <f t="shared" si="36"/>
        <v>14.14</v>
      </c>
      <c r="AV38" s="41">
        <f t="shared" si="37"/>
        <v>-35.129999999999995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/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0</v>
      </c>
      <c r="BL38" s="14">
        <f t="shared" si="11"/>
        <v>0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0</v>
      </c>
      <c r="BR38" s="38">
        <f t="shared" si="59"/>
        <v>0</v>
      </c>
      <c r="BS38" s="31">
        <f t="shared" si="21"/>
        <v>0</v>
      </c>
    </row>
    <row r="39" spans="1:71" x14ac:dyDescent="0.25">
      <c r="A39" s="2" t="s">
        <v>74</v>
      </c>
      <c r="B39" s="3" t="s">
        <v>75</v>
      </c>
      <c r="C39" s="3">
        <v>12</v>
      </c>
      <c r="D39" s="3">
        <v>6</v>
      </c>
      <c r="E39" s="3"/>
      <c r="F39" s="60"/>
      <c r="G39" s="3">
        <v>3307.9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16"/>
      <c r="AE39" s="6"/>
      <c r="AF39" s="6"/>
      <c r="AG39" s="6"/>
      <c r="AH39" s="40">
        <f>AF39/100</f>
        <v>0</v>
      </c>
      <c r="AI39" s="6"/>
      <c r="AJ39" s="6"/>
      <c r="AK39" s="44"/>
      <c r="AL39" s="6"/>
      <c r="AM39" s="42">
        <f>BR39</f>
        <v>0</v>
      </c>
      <c r="AN39" s="6"/>
      <c r="AO39" s="6"/>
      <c r="AP39" s="6"/>
      <c r="AQ39" s="6"/>
      <c r="AR39" s="40">
        <v>137.11999999999989</v>
      </c>
      <c r="AS39" s="40">
        <f t="shared" si="60"/>
        <v>-137.11999999999989</v>
      </c>
      <c r="AT39" s="40">
        <f t="shared" si="35"/>
        <v>-77.8</v>
      </c>
      <c r="AU39" s="40">
        <f t="shared" si="36"/>
        <v>-52.48</v>
      </c>
      <c r="AV39" s="40">
        <f t="shared" si="37"/>
        <v>-598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9"/>
      <c r="BE39" s="21"/>
      <c r="BF39" s="8">
        <f t="shared" si="17"/>
        <v>0</v>
      </c>
      <c r="BG39" s="9">
        <f t="shared" si="1"/>
        <v>0</v>
      </c>
      <c r="BH39" s="9">
        <f t="shared" si="41"/>
        <v>1595</v>
      </c>
      <c r="BI39" s="10" t="str">
        <f t="shared" si="8"/>
        <v/>
      </c>
      <c r="BJ39" s="10" t="str">
        <f t="shared" si="9"/>
        <v/>
      </c>
      <c r="BK39" s="10">
        <f t="shared" si="18"/>
        <v>0</v>
      </c>
      <c r="BL39" s="10" t="str">
        <f t="shared" si="11"/>
        <v/>
      </c>
      <c r="BM39" s="10">
        <f t="shared" si="31"/>
        <v>0</v>
      </c>
      <c r="BN39" s="35" t="str">
        <f t="shared" si="32"/>
        <v/>
      </c>
      <c r="BO39" s="10" t="str">
        <f t="shared" si="47"/>
        <v/>
      </c>
      <c r="BP39" s="50">
        <f t="shared" si="28"/>
        <v>0</v>
      </c>
      <c r="BQ39" s="27">
        <f>IF(BL39&lt;&gt;"",BL39/0.000385,IF(BM39&lt;&gt;"",BM39/0.000385,BN39/0.000385))</f>
        <v>0</v>
      </c>
      <c r="BR39" s="37">
        <f>IF(BL39&lt;&gt;"",BL39,IF(BM39&lt;&gt;"",BM39,BN39))</f>
        <v>0</v>
      </c>
      <c r="BS39" s="32">
        <f t="shared" si="21"/>
        <v>0</v>
      </c>
    </row>
    <row r="40" spans="1:71" x14ac:dyDescent="0.25">
      <c r="A40" s="1" t="s">
        <v>76</v>
      </c>
      <c r="B40" t="s">
        <v>75</v>
      </c>
      <c r="C40">
        <v>12</v>
      </c>
      <c r="D40">
        <v>6</v>
      </c>
      <c r="F40" s="61"/>
      <c r="G40">
        <v>3307.9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17"/>
      <c r="AE40" s="44"/>
      <c r="AF40" s="44"/>
      <c r="AG40" s="44"/>
      <c r="AH40" s="45">
        <f t="shared" ref="AH40:AH44" si="61">AF40/100</f>
        <v>0</v>
      </c>
      <c r="AI40" s="44"/>
      <c r="AJ40" s="44"/>
      <c r="AK40" s="44"/>
      <c r="AL40" s="44"/>
      <c r="AM40" s="45">
        <f t="shared" ref="AM40:AM44" si="62">BR40</f>
        <v>0</v>
      </c>
      <c r="AN40" s="44"/>
      <c r="AO40" s="44"/>
      <c r="AP40" s="44"/>
      <c r="AQ40" s="44"/>
      <c r="AR40" s="45">
        <v>45.769999999999982</v>
      </c>
      <c r="AS40" s="45">
        <f t="shared" si="60"/>
        <v>-45.769999999999982</v>
      </c>
      <c r="AT40" s="45">
        <f t="shared" si="35"/>
        <v>-77.14</v>
      </c>
      <c r="AU40" s="45">
        <f t="shared" si="36"/>
        <v>-51.28</v>
      </c>
      <c r="AV40" s="45">
        <f t="shared" si="37"/>
        <v>-604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/>
      <c r="BE40" s="22"/>
      <c r="BF40" s="11">
        <f t="shared" si="17"/>
        <v>0</v>
      </c>
      <c r="BG40" s="46">
        <f t="shared" si="1"/>
        <v>0</v>
      </c>
      <c r="BH40" s="46">
        <f t="shared" si="41"/>
        <v>1595</v>
      </c>
      <c r="BI40" s="47" t="str">
        <f t="shared" si="8"/>
        <v/>
      </c>
      <c r="BJ40" s="47" t="str">
        <f t="shared" si="9"/>
        <v/>
      </c>
      <c r="BK40" s="47">
        <f t="shared" si="18"/>
        <v>0</v>
      </c>
      <c r="BL40" s="47" t="str">
        <f t="shared" si="11"/>
        <v/>
      </c>
      <c r="BM40" s="47">
        <f t="shared" si="31"/>
        <v>0</v>
      </c>
      <c r="BN40" s="48" t="str">
        <f t="shared" si="32"/>
        <v/>
      </c>
      <c r="BO40" s="47" t="str">
        <f t="shared" si="47"/>
        <v/>
      </c>
      <c r="BP40" s="51">
        <f t="shared" si="28"/>
        <v>0</v>
      </c>
      <c r="BQ40" s="28">
        <f t="shared" ref="BQ40:BQ44" si="63">IF(BL40&lt;&gt;"",BL40/0.000385,IF(BM40&lt;&gt;"",BM40/0.000385,BN40/0.000385))</f>
        <v>0</v>
      </c>
      <c r="BR40" s="49">
        <f t="shared" ref="BR40:BR44" si="64">IF(BL40&lt;&gt;"",BL40,IF(BM40&lt;&gt;"",BM40,BN40))</f>
        <v>0</v>
      </c>
      <c r="BS40" s="30">
        <f t="shared" si="21"/>
        <v>0</v>
      </c>
    </row>
    <row r="41" spans="1:71" x14ac:dyDescent="0.25">
      <c r="A41" s="1" t="s">
        <v>77</v>
      </c>
      <c r="B41" t="s">
        <v>75</v>
      </c>
      <c r="C41">
        <v>12</v>
      </c>
      <c r="D41">
        <v>6</v>
      </c>
      <c r="F41" s="61"/>
      <c r="G41">
        <v>3307.9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17"/>
      <c r="AE41" s="44"/>
      <c r="AF41" s="44"/>
      <c r="AG41" s="44"/>
      <c r="AH41" s="45">
        <f t="shared" si="61"/>
        <v>0</v>
      </c>
      <c r="AI41" s="44"/>
      <c r="AJ41" s="44"/>
      <c r="AK41" s="44"/>
      <c r="AL41" s="44"/>
      <c r="AM41" s="45">
        <f t="shared" si="62"/>
        <v>0</v>
      </c>
      <c r="AN41" s="44"/>
      <c r="AO41" s="44"/>
      <c r="AP41" s="44"/>
      <c r="AQ41" s="44"/>
      <c r="AR41" s="45">
        <v>84.700000000000045</v>
      </c>
      <c r="AS41" s="45">
        <f t="shared" si="60"/>
        <v>-84.700000000000045</v>
      </c>
      <c r="AT41" s="45">
        <f t="shared" si="35"/>
        <v>-89.1</v>
      </c>
      <c r="AU41" s="45">
        <f t="shared" si="36"/>
        <v>-61.29</v>
      </c>
      <c r="AV41" s="45">
        <f t="shared" si="37"/>
        <v>-574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/>
      <c r="BE41" s="22"/>
      <c r="BF41" s="11">
        <f t="shared" si="17"/>
        <v>0</v>
      </c>
      <c r="BG41" s="46">
        <f t="shared" si="1"/>
        <v>0</v>
      </c>
      <c r="BH41" s="46">
        <f t="shared" si="41"/>
        <v>1595</v>
      </c>
      <c r="BI41" s="47" t="str">
        <f t="shared" si="8"/>
        <v/>
      </c>
      <c r="BJ41" s="47" t="str">
        <f t="shared" si="9"/>
        <v/>
      </c>
      <c r="BK41" s="47">
        <f t="shared" si="18"/>
        <v>0</v>
      </c>
      <c r="BL41" s="47" t="str">
        <f t="shared" si="11"/>
        <v/>
      </c>
      <c r="BM41" s="47">
        <f t="shared" si="31"/>
        <v>0</v>
      </c>
      <c r="BN41" s="48" t="str">
        <f t="shared" si="32"/>
        <v/>
      </c>
      <c r="BO41" s="47" t="str">
        <f t="shared" si="47"/>
        <v/>
      </c>
      <c r="BP41" s="51">
        <f t="shared" si="28"/>
        <v>0</v>
      </c>
      <c r="BQ41" s="28">
        <f t="shared" si="63"/>
        <v>0</v>
      </c>
      <c r="BR41" s="49">
        <f t="shared" si="64"/>
        <v>0</v>
      </c>
      <c r="BS41" s="30">
        <f t="shared" si="21"/>
        <v>0</v>
      </c>
    </row>
    <row r="42" spans="1:71" x14ac:dyDescent="0.25">
      <c r="A42" s="1" t="s">
        <v>78</v>
      </c>
      <c r="B42" t="s">
        <v>79</v>
      </c>
      <c r="C42">
        <v>12</v>
      </c>
      <c r="D42">
        <v>6</v>
      </c>
      <c r="F42" s="61"/>
      <c r="G42">
        <v>3307.9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17"/>
      <c r="AE42" s="44"/>
      <c r="AF42" s="44"/>
      <c r="AG42" s="44"/>
      <c r="AH42" s="45">
        <f t="shared" si="61"/>
        <v>0</v>
      </c>
      <c r="AI42" s="44"/>
      <c r="AJ42" s="44"/>
      <c r="AK42" s="44"/>
      <c r="AL42" s="44"/>
      <c r="AM42" s="45">
        <f t="shared" si="62"/>
        <v>0</v>
      </c>
      <c r="AN42" s="44"/>
      <c r="AO42" s="44"/>
      <c r="AP42" s="44"/>
      <c r="AQ42" s="44"/>
      <c r="AR42" s="45">
        <v>47.420000000000073</v>
      </c>
      <c r="AS42" s="45">
        <f t="shared" si="60"/>
        <v>-47.420000000000073</v>
      </c>
      <c r="AT42" s="45">
        <f t="shared" si="35"/>
        <v>-56.53</v>
      </c>
      <c r="AU42" s="45">
        <f t="shared" si="36"/>
        <v>-57.03</v>
      </c>
      <c r="AV42" s="45">
        <f t="shared" si="37"/>
        <v>-615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/>
      <c r="BE42" s="22"/>
      <c r="BF42" s="11">
        <f t="shared" si="17"/>
        <v>0</v>
      </c>
      <c r="BG42" s="46">
        <f t="shared" si="1"/>
        <v>0</v>
      </c>
      <c r="BH42" s="46">
        <f t="shared" si="41"/>
        <v>1595</v>
      </c>
      <c r="BI42" s="47" t="str">
        <f t="shared" si="8"/>
        <v/>
      </c>
      <c r="BJ42" s="47" t="str">
        <f t="shared" si="9"/>
        <v/>
      </c>
      <c r="BK42" s="47">
        <f t="shared" si="18"/>
        <v>0</v>
      </c>
      <c r="BL42" s="47">
        <f t="shared" si="11"/>
        <v>0</v>
      </c>
      <c r="BM42" s="48" t="str">
        <f t="shared" si="31"/>
        <v/>
      </c>
      <c r="BN42" s="48" t="str">
        <f t="shared" si="32"/>
        <v/>
      </c>
      <c r="BO42" s="47">
        <f t="shared" si="47"/>
        <v>11.9625</v>
      </c>
      <c r="BP42" s="51" t="str">
        <f t="shared" si="28"/>
        <v/>
      </c>
      <c r="BQ42" s="28">
        <f t="shared" si="63"/>
        <v>0</v>
      </c>
      <c r="BR42" s="49">
        <f t="shared" si="64"/>
        <v>0</v>
      </c>
      <c r="BS42" s="30">
        <f t="shared" si="21"/>
        <v>11.9625</v>
      </c>
    </row>
    <row r="43" spans="1:71" x14ac:dyDescent="0.25">
      <c r="A43" s="1" t="s">
        <v>80</v>
      </c>
      <c r="B43" t="s">
        <v>79</v>
      </c>
      <c r="C43">
        <v>12</v>
      </c>
      <c r="D43">
        <v>6</v>
      </c>
      <c r="F43" s="61"/>
      <c r="G43">
        <v>3307.9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17"/>
      <c r="AE43" s="44"/>
      <c r="AF43" s="44"/>
      <c r="AG43" s="44"/>
      <c r="AH43" s="45">
        <f t="shared" si="61"/>
        <v>0</v>
      </c>
      <c r="AI43" s="44"/>
      <c r="AJ43" s="44"/>
      <c r="AK43" s="44"/>
      <c r="AL43" s="44"/>
      <c r="AM43" s="45">
        <f t="shared" si="62"/>
        <v>0</v>
      </c>
      <c r="AN43" s="44"/>
      <c r="AO43" s="44"/>
      <c r="AP43" s="44"/>
      <c r="AQ43" s="44"/>
      <c r="AR43" s="45">
        <v>133.55999999999995</v>
      </c>
      <c r="AS43" s="45">
        <f t="shared" si="60"/>
        <v>-133.55999999999995</v>
      </c>
      <c r="AT43" s="45">
        <f t="shared" si="35"/>
        <v>-85.27</v>
      </c>
      <c r="AU43" s="45">
        <f t="shared" si="36"/>
        <v>-54.88</v>
      </c>
      <c r="AV43" s="45">
        <f t="shared" si="37"/>
        <v>-560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/>
      <c r="BE43" s="22"/>
      <c r="BF43" s="11">
        <f t="shared" si="17"/>
        <v>0</v>
      </c>
      <c r="BG43" s="46">
        <f t="shared" si="1"/>
        <v>0</v>
      </c>
      <c r="BH43" s="46">
        <f t="shared" si="41"/>
        <v>1595</v>
      </c>
      <c r="BI43" s="47" t="str">
        <f t="shared" si="8"/>
        <v/>
      </c>
      <c r="BJ43" s="47" t="str">
        <f t="shared" si="9"/>
        <v/>
      </c>
      <c r="BK43" s="47">
        <f t="shared" si="18"/>
        <v>0</v>
      </c>
      <c r="BL43" s="47">
        <f t="shared" si="11"/>
        <v>0</v>
      </c>
      <c r="BM43" s="48" t="str">
        <f t="shared" si="31"/>
        <v/>
      </c>
      <c r="BN43" s="48" t="str">
        <f t="shared" si="32"/>
        <v/>
      </c>
      <c r="BO43" s="47">
        <f t="shared" si="47"/>
        <v>11.9625</v>
      </c>
      <c r="BP43" s="51" t="str">
        <f t="shared" si="28"/>
        <v/>
      </c>
      <c r="BQ43" s="28">
        <f t="shared" si="63"/>
        <v>0</v>
      </c>
      <c r="BR43" s="49">
        <f t="shared" si="64"/>
        <v>0</v>
      </c>
      <c r="BS43" s="30">
        <f t="shared" si="21"/>
        <v>11.9625</v>
      </c>
    </row>
    <row r="44" spans="1:71" ht="15.75" thickBot="1" x14ac:dyDescent="0.3">
      <c r="A44" s="4" t="s">
        <v>81</v>
      </c>
      <c r="B44" s="5" t="s">
        <v>79</v>
      </c>
      <c r="C44" s="5">
        <v>12</v>
      </c>
      <c r="D44" s="5">
        <v>6</v>
      </c>
      <c r="E44" s="5"/>
      <c r="F44" s="62"/>
      <c r="G44" s="5">
        <v>3307.9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8"/>
      <c r="AE44" s="7"/>
      <c r="AF44" s="7"/>
      <c r="AG44" s="7"/>
      <c r="AH44" s="41">
        <f t="shared" si="61"/>
        <v>0</v>
      </c>
      <c r="AI44" s="7"/>
      <c r="AJ44" s="7"/>
      <c r="AK44" s="7"/>
      <c r="AL44" s="7"/>
      <c r="AM44" s="41">
        <f t="shared" si="62"/>
        <v>0</v>
      </c>
      <c r="AN44" s="7"/>
      <c r="AO44" s="7"/>
      <c r="AP44" s="7"/>
      <c r="AQ44" s="7"/>
      <c r="AR44" s="41">
        <v>51.660000000000082</v>
      </c>
      <c r="AS44" s="41">
        <f t="shared" si="60"/>
        <v>-51.660000000000082</v>
      </c>
      <c r="AT44" s="41">
        <f t="shared" si="35"/>
        <v>-81.16</v>
      </c>
      <c r="AU44" s="41">
        <f t="shared" si="36"/>
        <v>-56.59</v>
      </c>
      <c r="AV44" s="41">
        <f t="shared" si="37"/>
        <v>-598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/>
      <c r="BD44" s="5"/>
      <c r="BE44" s="23"/>
      <c r="BF44" s="12">
        <f t="shared" si="17"/>
        <v>0</v>
      </c>
      <c r="BG44" s="13">
        <f t="shared" si="1"/>
        <v>0</v>
      </c>
      <c r="BH44" s="13">
        <f t="shared" si="41"/>
        <v>1595</v>
      </c>
      <c r="BI44" s="14" t="str">
        <f t="shared" si="8"/>
        <v/>
      </c>
      <c r="BJ44" s="14" t="str">
        <f t="shared" si="9"/>
        <v/>
      </c>
      <c r="BK44" s="14">
        <f t="shared" si="18"/>
        <v>0</v>
      </c>
      <c r="BL44" s="14">
        <f t="shared" si="11"/>
        <v>0</v>
      </c>
      <c r="BM44" s="48" t="str">
        <f t="shared" si="31"/>
        <v/>
      </c>
      <c r="BN44" s="36" t="str">
        <f t="shared" si="32"/>
        <v/>
      </c>
      <c r="BO44" s="14">
        <f t="shared" si="47"/>
        <v>11.9625</v>
      </c>
      <c r="BP44" s="52" t="str">
        <f t="shared" si="28"/>
        <v/>
      </c>
      <c r="BQ44" s="29">
        <f t="shared" si="63"/>
        <v>0</v>
      </c>
      <c r="BR44" s="38">
        <f t="shared" si="64"/>
        <v>0</v>
      </c>
      <c r="BS44" s="31">
        <f t="shared" si="21"/>
        <v>11.9625</v>
      </c>
    </row>
    <row r="45" spans="1:71" x14ac:dyDescent="0.25">
      <c r="A45" s="2" t="s">
        <v>74</v>
      </c>
      <c r="B45" s="3" t="s">
        <v>75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BR45</f>
        <v>0</v>
      </c>
      <c r="AN45" s="6"/>
      <c r="AO45" s="6"/>
      <c r="AP45" s="6"/>
      <c r="AQ45" s="6"/>
      <c r="AR45" s="40">
        <v>137.11999999999989</v>
      </c>
      <c r="AS45" s="40">
        <f t="shared" si="60"/>
        <v>-137.11999999999989</v>
      </c>
      <c r="AT45" s="40">
        <f t="shared" si="35"/>
        <v>0</v>
      </c>
      <c r="AU45" s="40">
        <f t="shared" si="36"/>
        <v>0</v>
      </c>
      <c r="AV45" s="40">
        <f t="shared" si="37"/>
        <v>0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9"/>
      <c r="BE45" s="21"/>
      <c r="BF45" s="8">
        <f t="shared" si="17"/>
        <v>0</v>
      </c>
      <c r="BG45" s="9">
        <f t="shared" si="1"/>
        <v>0</v>
      </c>
      <c r="BH45" s="9">
        <f t="shared" si="41"/>
        <v>1580</v>
      </c>
      <c r="BI45" s="10" t="str">
        <f t="shared" si="8"/>
        <v/>
      </c>
      <c r="BJ45" s="10" t="str">
        <f t="shared" si="9"/>
        <v/>
      </c>
      <c r="BK45" s="10">
        <f t="shared" si="18"/>
        <v>0</v>
      </c>
      <c r="BL45" s="10" t="str">
        <f t="shared" si="11"/>
        <v/>
      </c>
      <c r="BM45" s="10">
        <f t="shared" si="31"/>
        <v>0</v>
      </c>
      <c r="BN45" s="35" t="str">
        <f t="shared" si="32"/>
        <v/>
      </c>
      <c r="BO45" s="10" t="str">
        <f t="shared" si="47"/>
        <v/>
      </c>
      <c r="BP45" s="50">
        <f t="shared" si="28"/>
        <v>0</v>
      </c>
      <c r="BQ45" s="27">
        <f>IF(BL45&lt;&gt;"",BL45/0.000385,IF(BM45&lt;&gt;"",BM45/0.000385,BN45/0.000385))</f>
        <v>0</v>
      </c>
      <c r="BR45" s="37">
        <f>IF(BL45&lt;&gt;"",BL45,IF(BM45&lt;&gt;"",BM45,BN45))</f>
        <v>0</v>
      </c>
      <c r="BS45" s="32">
        <f t="shared" si="21"/>
        <v>0</v>
      </c>
    </row>
    <row r="46" spans="1:71" x14ac:dyDescent="0.25">
      <c r="A46" s="1" t="s">
        <v>76</v>
      </c>
      <c r="B46" t="s">
        <v>75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5">AF46/100</f>
        <v>0</v>
      </c>
      <c r="AI46" s="44"/>
      <c r="AJ46" s="44"/>
      <c r="AK46" s="44"/>
      <c r="AL46" s="44"/>
      <c r="AM46" s="45">
        <f t="shared" ref="AM46:AM50" si="66">BR46</f>
        <v>0</v>
      </c>
      <c r="AN46" s="44"/>
      <c r="AO46" s="44"/>
      <c r="AP46" s="44"/>
      <c r="AQ46" s="44"/>
      <c r="AR46" s="45">
        <v>45.769999999999982</v>
      </c>
      <c r="AS46" s="45">
        <f t="shared" si="60"/>
        <v>-45.769999999999982</v>
      </c>
      <c r="AT46" s="45">
        <f t="shared" si="35"/>
        <v>0</v>
      </c>
      <c r="AU46" s="45">
        <f t="shared" si="36"/>
        <v>0</v>
      </c>
      <c r="AV46" s="45">
        <f t="shared" si="37"/>
        <v>0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/>
      <c r="BE46" s="22"/>
      <c r="BF46" s="11">
        <f t="shared" si="17"/>
        <v>0</v>
      </c>
      <c r="BG46" s="46">
        <f t="shared" si="1"/>
        <v>0</v>
      </c>
      <c r="BH46" s="46">
        <f t="shared" si="41"/>
        <v>1580</v>
      </c>
      <c r="BI46" s="47" t="str">
        <f t="shared" si="8"/>
        <v/>
      </c>
      <c r="BJ46" s="47" t="str">
        <f t="shared" si="9"/>
        <v/>
      </c>
      <c r="BK46" s="47">
        <f t="shared" si="18"/>
        <v>0</v>
      </c>
      <c r="BL46" s="47" t="str">
        <f t="shared" si="11"/>
        <v/>
      </c>
      <c r="BM46" s="47">
        <f t="shared" si="31"/>
        <v>0</v>
      </c>
      <c r="BN46" s="48" t="str">
        <f t="shared" si="32"/>
        <v/>
      </c>
      <c r="BO46" s="47" t="str">
        <f t="shared" si="47"/>
        <v/>
      </c>
      <c r="BP46" s="51">
        <f t="shared" si="28"/>
        <v>0</v>
      </c>
      <c r="BQ46" s="28">
        <f t="shared" ref="BQ46:BQ50" si="67">IF(BL46&lt;&gt;"",BL46/0.000385,IF(BM46&lt;&gt;"",BM46/0.000385,BN46/0.000385))</f>
        <v>0</v>
      </c>
      <c r="BR46" s="49">
        <f t="shared" ref="BR46:BR50" si="68">IF(BL46&lt;&gt;"",BL46,IF(BM46&lt;&gt;"",BM46,BN46))</f>
        <v>0</v>
      </c>
      <c r="BS46" s="30">
        <f t="shared" si="21"/>
        <v>0</v>
      </c>
    </row>
    <row r="47" spans="1:71" x14ac:dyDescent="0.25">
      <c r="A47" s="1" t="s">
        <v>77</v>
      </c>
      <c r="B47" t="s">
        <v>75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5"/>
        <v>0</v>
      </c>
      <c r="AI47" s="44"/>
      <c r="AJ47" s="44"/>
      <c r="AK47" s="44"/>
      <c r="AL47" s="44"/>
      <c r="AM47" s="45">
        <f t="shared" si="66"/>
        <v>0</v>
      </c>
      <c r="AN47" s="44"/>
      <c r="AO47" s="44"/>
      <c r="AP47" s="44"/>
      <c r="AQ47" s="44"/>
      <c r="AR47" s="45">
        <v>84.700000000000045</v>
      </c>
      <c r="AS47" s="45">
        <f t="shared" si="60"/>
        <v>-84.700000000000045</v>
      </c>
      <c r="AT47" s="45">
        <f t="shared" si="35"/>
        <v>0</v>
      </c>
      <c r="AU47" s="45">
        <f t="shared" si="36"/>
        <v>0</v>
      </c>
      <c r="AV47" s="45">
        <f t="shared" si="37"/>
        <v>0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/>
      <c r="BE47" s="22"/>
      <c r="BF47" s="11">
        <f t="shared" si="17"/>
        <v>0</v>
      </c>
      <c r="BG47" s="46">
        <f t="shared" si="1"/>
        <v>0</v>
      </c>
      <c r="BH47" s="46">
        <f t="shared" si="41"/>
        <v>1580</v>
      </c>
      <c r="BI47" s="47" t="str">
        <f t="shared" si="8"/>
        <v/>
      </c>
      <c r="BJ47" s="47" t="str">
        <f t="shared" si="9"/>
        <v/>
      </c>
      <c r="BK47" s="47">
        <f t="shared" si="18"/>
        <v>0</v>
      </c>
      <c r="BL47" s="47" t="str">
        <f t="shared" si="11"/>
        <v/>
      </c>
      <c r="BM47" s="47">
        <f t="shared" si="31"/>
        <v>0</v>
      </c>
      <c r="BN47" s="48" t="str">
        <f t="shared" si="32"/>
        <v/>
      </c>
      <c r="BO47" s="47" t="str">
        <f t="shared" si="47"/>
        <v/>
      </c>
      <c r="BP47" s="51">
        <f t="shared" si="28"/>
        <v>0</v>
      </c>
      <c r="BQ47" s="28">
        <f t="shared" si="67"/>
        <v>0</v>
      </c>
      <c r="BR47" s="49">
        <f t="shared" si="68"/>
        <v>0</v>
      </c>
      <c r="BS47" s="30">
        <f t="shared" si="21"/>
        <v>0</v>
      </c>
    </row>
    <row r="48" spans="1:71" x14ac:dyDescent="0.25">
      <c r="A48" s="1" t="s">
        <v>78</v>
      </c>
      <c r="B48" t="s">
        <v>79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5"/>
        <v>0</v>
      </c>
      <c r="AI48" s="44"/>
      <c r="AJ48" s="44"/>
      <c r="AK48" s="44"/>
      <c r="AL48" s="44"/>
      <c r="AM48" s="45">
        <f t="shared" si="66"/>
        <v>0</v>
      </c>
      <c r="AN48" s="44"/>
      <c r="AO48" s="44"/>
      <c r="AP48" s="44"/>
      <c r="AQ48" s="44"/>
      <c r="AR48" s="45">
        <v>47.420000000000073</v>
      </c>
      <c r="AS48" s="45">
        <f t="shared" si="60"/>
        <v>-47.420000000000073</v>
      </c>
      <c r="AT48" s="45">
        <f t="shared" si="35"/>
        <v>0</v>
      </c>
      <c r="AU48" s="45">
        <f t="shared" si="36"/>
        <v>0</v>
      </c>
      <c r="AV48" s="45">
        <f t="shared" si="37"/>
        <v>0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/>
      <c r="BE48" s="22"/>
      <c r="BF48" s="11">
        <f t="shared" si="17"/>
        <v>0</v>
      </c>
      <c r="BG48" s="46">
        <f t="shared" si="1"/>
        <v>0</v>
      </c>
      <c r="BH48" s="46">
        <f t="shared" si="41"/>
        <v>1580</v>
      </c>
      <c r="BI48" s="47" t="str">
        <f t="shared" si="8"/>
        <v/>
      </c>
      <c r="BJ48" s="47" t="str">
        <f t="shared" si="9"/>
        <v/>
      </c>
      <c r="BK48" s="47">
        <f t="shared" si="18"/>
        <v>0</v>
      </c>
      <c r="BL48" s="47">
        <f t="shared" si="11"/>
        <v>0</v>
      </c>
      <c r="BM48" s="48" t="str">
        <f t="shared" si="31"/>
        <v/>
      </c>
      <c r="BN48" s="48" t="str">
        <f t="shared" si="32"/>
        <v/>
      </c>
      <c r="BO48" s="47">
        <f t="shared" si="47"/>
        <v>11.85</v>
      </c>
      <c r="BP48" s="51" t="str">
        <f t="shared" si="28"/>
        <v/>
      </c>
      <c r="BQ48" s="28">
        <f t="shared" si="67"/>
        <v>0</v>
      </c>
      <c r="BR48" s="49">
        <f t="shared" si="68"/>
        <v>0</v>
      </c>
      <c r="BS48" s="30">
        <f t="shared" si="21"/>
        <v>11.85</v>
      </c>
    </row>
    <row r="49" spans="1:71" x14ac:dyDescent="0.25">
      <c r="A49" s="1" t="s">
        <v>80</v>
      </c>
      <c r="B49" t="s">
        <v>79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5"/>
        <v>0</v>
      </c>
      <c r="AI49" s="44"/>
      <c r="AJ49" s="44"/>
      <c r="AK49" s="44"/>
      <c r="AL49" s="44"/>
      <c r="AM49" s="45">
        <f t="shared" si="66"/>
        <v>0</v>
      </c>
      <c r="AN49" s="44"/>
      <c r="AO49" s="44"/>
      <c r="AP49" s="44"/>
      <c r="AQ49" s="44"/>
      <c r="AR49" s="45">
        <v>133.55999999999995</v>
      </c>
      <c r="AS49" s="45">
        <f t="shared" si="60"/>
        <v>-133.55999999999995</v>
      </c>
      <c r="AT49" s="45">
        <f t="shared" si="35"/>
        <v>0</v>
      </c>
      <c r="AU49" s="45">
        <f t="shared" si="36"/>
        <v>0</v>
      </c>
      <c r="AV49" s="45">
        <f t="shared" si="37"/>
        <v>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/>
      <c r="BE49" s="22"/>
      <c r="BF49" s="11">
        <f t="shared" si="17"/>
        <v>0</v>
      </c>
      <c r="BG49" s="46">
        <f t="shared" si="1"/>
        <v>0</v>
      </c>
      <c r="BH49" s="46">
        <f t="shared" si="41"/>
        <v>1580</v>
      </c>
      <c r="BI49" s="47" t="str">
        <f t="shared" si="8"/>
        <v/>
      </c>
      <c r="BJ49" s="47" t="str">
        <f t="shared" si="9"/>
        <v/>
      </c>
      <c r="BK49" s="47">
        <f t="shared" si="18"/>
        <v>0</v>
      </c>
      <c r="BL49" s="47">
        <f t="shared" si="11"/>
        <v>0</v>
      </c>
      <c r="BM49" s="48" t="str">
        <f t="shared" si="31"/>
        <v/>
      </c>
      <c r="BN49" s="48" t="str">
        <f t="shared" si="32"/>
        <v/>
      </c>
      <c r="BO49" s="47">
        <f t="shared" si="47"/>
        <v>11.85</v>
      </c>
      <c r="BP49" s="51" t="str">
        <f t="shared" si="28"/>
        <v/>
      </c>
      <c r="BQ49" s="28">
        <f t="shared" si="67"/>
        <v>0</v>
      </c>
      <c r="BR49" s="49">
        <f t="shared" si="68"/>
        <v>0</v>
      </c>
      <c r="BS49" s="30">
        <f t="shared" si="21"/>
        <v>11.85</v>
      </c>
    </row>
    <row r="50" spans="1:71" ht="15.75" thickBot="1" x14ac:dyDescent="0.3">
      <c r="A50" s="4" t="s">
        <v>81</v>
      </c>
      <c r="B50" s="5" t="s">
        <v>79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5"/>
        <v>0</v>
      </c>
      <c r="AI50" s="7"/>
      <c r="AJ50" s="7"/>
      <c r="AK50" s="7"/>
      <c r="AL50" s="7"/>
      <c r="AM50" s="41">
        <f t="shared" si="66"/>
        <v>0</v>
      </c>
      <c r="AN50" s="7"/>
      <c r="AO50" s="7"/>
      <c r="AP50" s="7"/>
      <c r="AQ50" s="7"/>
      <c r="AR50" s="41">
        <v>51.660000000000082</v>
      </c>
      <c r="AS50" s="41">
        <f t="shared" si="60"/>
        <v>-51.660000000000082</v>
      </c>
      <c r="AT50" s="41">
        <f t="shared" si="35"/>
        <v>0</v>
      </c>
      <c r="AU50" s="41">
        <f t="shared" si="36"/>
        <v>0</v>
      </c>
      <c r="AV50" s="41">
        <f t="shared" si="37"/>
        <v>0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/>
      <c r="BD50" s="5"/>
      <c r="BE50" s="23"/>
      <c r="BF50" s="12">
        <f t="shared" si="17"/>
        <v>0</v>
      </c>
      <c r="BG50" s="13">
        <f t="shared" si="1"/>
        <v>0</v>
      </c>
      <c r="BH50" s="13">
        <f t="shared" si="41"/>
        <v>1580</v>
      </c>
      <c r="BI50" s="14" t="str">
        <f t="shared" si="8"/>
        <v/>
      </c>
      <c r="BJ50" s="14" t="str">
        <f t="shared" si="9"/>
        <v/>
      </c>
      <c r="BK50" s="14">
        <f t="shared" si="18"/>
        <v>0</v>
      </c>
      <c r="BL50" s="14">
        <f t="shared" si="11"/>
        <v>0</v>
      </c>
      <c r="BM50" s="48" t="str">
        <f t="shared" si="31"/>
        <v/>
      </c>
      <c r="BN50" s="36" t="str">
        <f t="shared" si="32"/>
        <v/>
      </c>
      <c r="BO50" s="14">
        <f t="shared" si="47"/>
        <v>11.85</v>
      </c>
      <c r="BP50" s="52" t="str">
        <f t="shared" si="28"/>
        <v/>
      </c>
      <c r="BQ50" s="29">
        <f t="shared" si="67"/>
        <v>0</v>
      </c>
      <c r="BR50" s="38">
        <f t="shared" si="68"/>
        <v>0</v>
      </c>
      <c r="BS50" s="31">
        <f t="shared" si="21"/>
        <v>11.85</v>
      </c>
    </row>
    <row r="51" spans="1:71" x14ac:dyDescent="0.25">
      <c r="A51" s="2" t="s">
        <v>74</v>
      </c>
      <c r="B51" s="3" t="s">
        <v>75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BR51</f>
        <v>0</v>
      </c>
      <c r="AN51" s="6"/>
      <c r="AO51" s="6"/>
      <c r="AP51" s="6"/>
      <c r="AQ51" s="6"/>
      <c r="AR51" s="40">
        <v>137.11999999999989</v>
      </c>
      <c r="AS51" s="40">
        <f t="shared" si="60"/>
        <v>-137.11999999999989</v>
      </c>
      <c r="AT51" s="40">
        <f t="shared" si="35"/>
        <v>0</v>
      </c>
      <c r="AU51" s="40">
        <f t="shared" si="36"/>
        <v>0</v>
      </c>
      <c r="AV51" s="40">
        <f t="shared" si="37"/>
        <v>0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9"/>
      <c r="BE51" s="21"/>
      <c r="BF51" s="8">
        <f t="shared" si="17"/>
        <v>0</v>
      </c>
      <c r="BG51" s="9">
        <f t="shared" si="1"/>
        <v>0</v>
      </c>
      <c r="BH51" s="9">
        <f t="shared" si="41"/>
        <v>1565</v>
      </c>
      <c r="BI51" s="10" t="str">
        <f t="shared" si="8"/>
        <v/>
      </c>
      <c r="BJ51" s="10" t="str">
        <f t="shared" si="9"/>
        <v/>
      </c>
      <c r="BK51" s="10">
        <f t="shared" si="18"/>
        <v>0</v>
      </c>
      <c r="BL51" s="10" t="str">
        <f t="shared" si="11"/>
        <v/>
      </c>
      <c r="BM51" s="10">
        <f t="shared" si="31"/>
        <v>0</v>
      </c>
      <c r="BN51" s="35" t="str">
        <f t="shared" si="32"/>
        <v/>
      </c>
      <c r="BO51" s="10" t="str">
        <f t="shared" si="47"/>
        <v/>
      </c>
      <c r="BP51" s="50">
        <f t="shared" si="28"/>
        <v>0</v>
      </c>
      <c r="BQ51" s="27">
        <f>IF(BL51&lt;&gt;"",BL51/0.000385,IF(BM51&lt;&gt;"",BM51/0.000385,BN51/0.000385))</f>
        <v>0</v>
      </c>
      <c r="BR51" s="37">
        <f>IF(BL51&lt;&gt;"",BL51,IF(BM51&lt;&gt;"",BM51,BN51))</f>
        <v>0</v>
      </c>
      <c r="BS51" s="32">
        <f t="shared" si="21"/>
        <v>0</v>
      </c>
    </row>
    <row r="52" spans="1:71" x14ac:dyDescent="0.25">
      <c r="A52" s="1" t="s">
        <v>76</v>
      </c>
      <c r="B52" t="s">
        <v>75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69">AF52/100</f>
        <v>0</v>
      </c>
      <c r="AI52" s="44"/>
      <c r="AJ52" s="44"/>
      <c r="AK52" s="44"/>
      <c r="AL52" s="44"/>
      <c r="AM52" s="45">
        <f t="shared" ref="AM52:AM56" si="70">BR52</f>
        <v>0</v>
      </c>
      <c r="AN52" s="44"/>
      <c r="AO52" s="44"/>
      <c r="AP52" s="44"/>
      <c r="AQ52" s="44"/>
      <c r="AR52" s="45">
        <v>45.769999999999982</v>
      </c>
      <c r="AS52" s="45">
        <f t="shared" si="60"/>
        <v>-45.769999999999982</v>
      </c>
      <c r="AT52" s="45">
        <f t="shared" si="35"/>
        <v>0</v>
      </c>
      <c r="AU52" s="45">
        <f t="shared" si="36"/>
        <v>0</v>
      </c>
      <c r="AV52" s="45">
        <f t="shared" si="37"/>
        <v>0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/>
      <c r="BE52" s="22"/>
      <c r="BF52" s="11">
        <f t="shared" si="17"/>
        <v>0</v>
      </c>
      <c r="BG52" s="46">
        <f t="shared" si="1"/>
        <v>0</v>
      </c>
      <c r="BH52" s="46">
        <f t="shared" si="41"/>
        <v>1565</v>
      </c>
      <c r="BI52" s="47" t="str">
        <f t="shared" si="8"/>
        <v/>
      </c>
      <c r="BJ52" s="47" t="str">
        <f t="shared" si="9"/>
        <v/>
      </c>
      <c r="BK52" s="47">
        <f t="shared" si="18"/>
        <v>0</v>
      </c>
      <c r="BL52" s="47" t="str">
        <f t="shared" si="11"/>
        <v/>
      </c>
      <c r="BM52" s="47">
        <f t="shared" si="31"/>
        <v>0</v>
      </c>
      <c r="BN52" s="48" t="str">
        <f t="shared" si="32"/>
        <v/>
      </c>
      <c r="BO52" s="47" t="str">
        <f t="shared" si="47"/>
        <v/>
      </c>
      <c r="BP52" s="51">
        <f t="shared" si="28"/>
        <v>0</v>
      </c>
      <c r="BQ52" s="28">
        <f t="shared" ref="BQ52:BQ56" si="71">IF(BL52&lt;&gt;"",BL52/0.000385,IF(BM52&lt;&gt;"",BM52/0.000385,BN52/0.000385))</f>
        <v>0</v>
      </c>
      <c r="BR52" s="49">
        <f t="shared" ref="BR52:BR56" si="72">IF(BL52&lt;&gt;"",BL52,IF(BM52&lt;&gt;"",BM52,BN52))</f>
        <v>0</v>
      </c>
      <c r="BS52" s="30">
        <f t="shared" si="21"/>
        <v>0</v>
      </c>
    </row>
    <row r="53" spans="1:71" x14ac:dyDescent="0.25">
      <c r="A53" s="1" t="s">
        <v>77</v>
      </c>
      <c r="B53" t="s">
        <v>75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69"/>
        <v>0</v>
      </c>
      <c r="AI53" s="44"/>
      <c r="AJ53" s="44"/>
      <c r="AK53" s="44"/>
      <c r="AL53" s="44"/>
      <c r="AM53" s="45">
        <f t="shared" si="70"/>
        <v>0</v>
      </c>
      <c r="AN53" s="44"/>
      <c r="AO53" s="44"/>
      <c r="AP53" s="44"/>
      <c r="AQ53" s="44"/>
      <c r="AR53" s="45">
        <v>84.700000000000045</v>
      </c>
      <c r="AS53" s="45">
        <f t="shared" si="60"/>
        <v>-84.700000000000045</v>
      </c>
      <c r="AT53" s="45">
        <f t="shared" si="35"/>
        <v>0</v>
      </c>
      <c r="AU53" s="45">
        <f t="shared" si="36"/>
        <v>0</v>
      </c>
      <c r="AV53" s="45">
        <f t="shared" si="37"/>
        <v>0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/>
      <c r="BE53" s="22"/>
      <c r="BF53" s="11">
        <f t="shared" si="17"/>
        <v>0</v>
      </c>
      <c r="BG53" s="46">
        <f t="shared" si="1"/>
        <v>0</v>
      </c>
      <c r="BH53" s="46">
        <f t="shared" si="41"/>
        <v>1565</v>
      </c>
      <c r="BI53" s="47" t="str">
        <f t="shared" si="8"/>
        <v/>
      </c>
      <c r="BJ53" s="47" t="str">
        <f t="shared" si="9"/>
        <v/>
      </c>
      <c r="BK53" s="47">
        <f t="shared" si="18"/>
        <v>0</v>
      </c>
      <c r="BL53" s="47" t="str">
        <f t="shared" si="11"/>
        <v/>
      </c>
      <c r="BM53" s="47">
        <f t="shared" si="31"/>
        <v>0</v>
      </c>
      <c r="BN53" s="48" t="str">
        <f t="shared" si="32"/>
        <v/>
      </c>
      <c r="BO53" s="47" t="str">
        <f t="shared" si="47"/>
        <v/>
      </c>
      <c r="BP53" s="51">
        <f t="shared" si="28"/>
        <v>0</v>
      </c>
      <c r="BQ53" s="28">
        <f t="shared" si="71"/>
        <v>0</v>
      </c>
      <c r="BR53" s="49">
        <f t="shared" si="72"/>
        <v>0</v>
      </c>
      <c r="BS53" s="30">
        <f t="shared" si="21"/>
        <v>0</v>
      </c>
    </row>
    <row r="54" spans="1:71" x14ac:dyDescent="0.25">
      <c r="A54" s="1" t="s">
        <v>78</v>
      </c>
      <c r="B54" t="s">
        <v>79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69"/>
        <v>0</v>
      </c>
      <c r="AI54" s="44"/>
      <c r="AJ54" s="44"/>
      <c r="AK54" s="44"/>
      <c r="AL54" s="44"/>
      <c r="AM54" s="45">
        <f t="shared" si="70"/>
        <v>0</v>
      </c>
      <c r="AN54" s="44"/>
      <c r="AO54" s="44"/>
      <c r="AP54" s="44"/>
      <c r="AQ54" s="44"/>
      <c r="AR54" s="45">
        <v>47.420000000000073</v>
      </c>
      <c r="AS54" s="45">
        <f t="shared" si="60"/>
        <v>-47.420000000000073</v>
      </c>
      <c r="AT54" s="45">
        <f t="shared" si="35"/>
        <v>0</v>
      </c>
      <c r="AU54" s="45">
        <f t="shared" si="36"/>
        <v>0</v>
      </c>
      <c r="AV54" s="45">
        <f t="shared" si="37"/>
        <v>0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/>
      <c r="BE54" s="22"/>
      <c r="BF54" s="11">
        <f t="shared" si="17"/>
        <v>0</v>
      </c>
      <c r="BG54" s="46">
        <f t="shared" si="1"/>
        <v>0</v>
      </c>
      <c r="BH54" s="46">
        <f t="shared" si="41"/>
        <v>1565</v>
      </c>
      <c r="BI54" s="47" t="str">
        <f t="shared" si="8"/>
        <v/>
      </c>
      <c r="BJ54" s="47" t="str">
        <f t="shared" si="9"/>
        <v/>
      </c>
      <c r="BK54" s="47">
        <f t="shared" si="18"/>
        <v>0</v>
      </c>
      <c r="BL54" s="47">
        <f t="shared" si="11"/>
        <v>0</v>
      </c>
      <c r="BM54" s="48" t="str">
        <f t="shared" si="31"/>
        <v/>
      </c>
      <c r="BN54" s="48" t="str">
        <f t="shared" si="32"/>
        <v/>
      </c>
      <c r="BO54" s="47">
        <f t="shared" si="47"/>
        <v>11.737500000000001</v>
      </c>
      <c r="BP54" s="51" t="str">
        <f t="shared" si="28"/>
        <v/>
      </c>
      <c r="BQ54" s="28">
        <f t="shared" si="71"/>
        <v>0</v>
      </c>
      <c r="BR54" s="49">
        <f t="shared" si="72"/>
        <v>0</v>
      </c>
      <c r="BS54" s="30">
        <f t="shared" si="21"/>
        <v>11.737500000000001</v>
      </c>
    </row>
    <row r="55" spans="1:71" x14ac:dyDescent="0.25">
      <c r="A55" s="1" t="s">
        <v>80</v>
      </c>
      <c r="B55" t="s">
        <v>79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69"/>
        <v>0</v>
      </c>
      <c r="AI55" s="44"/>
      <c r="AJ55" s="44"/>
      <c r="AK55" s="44"/>
      <c r="AL55" s="44"/>
      <c r="AM55" s="45">
        <f t="shared" si="70"/>
        <v>0</v>
      </c>
      <c r="AN55" s="44"/>
      <c r="AO55" s="44"/>
      <c r="AP55" s="44"/>
      <c r="AQ55" s="44"/>
      <c r="AR55" s="45">
        <v>133.55999999999995</v>
      </c>
      <c r="AS55" s="45">
        <f t="shared" si="60"/>
        <v>-133.55999999999995</v>
      </c>
      <c r="AT55" s="45">
        <f t="shared" si="35"/>
        <v>0</v>
      </c>
      <c r="AU55" s="45">
        <f t="shared" si="36"/>
        <v>0</v>
      </c>
      <c r="AV55" s="45">
        <f t="shared" si="37"/>
        <v>0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/>
      <c r="BE55" s="22"/>
      <c r="BF55" s="11">
        <f t="shared" si="17"/>
        <v>0</v>
      </c>
      <c r="BG55" s="46">
        <f t="shared" si="1"/>
        <v>0</v>
      </c>
      <c r="BH55" s="46">
        <f t="shared" si="41"/>
        <v>1565</v>
      </c>
      <c r="BI55" s="47" t="str">
        <f t="shared" si="8"/>
        <v/>
      </c>
      <c r="BJ55" s="47" t="str">
        <f t="shared" si="9"/>
        <v/>
      </c>
      <c r="BK55" s="47">
        <f t="shared" si="18"/>
        <v>0</v>
      </c>
      <c r="BL55" s="47">
        <f t="shared" si="11"/>
        <v>0</v>
      </c>
      <c r="BM55" s="48" t="str">
        <f t="shared" si="31"/>
        <v/>
      </c>
      <c r="BN55" s="48" t="str">
        <f t="shared" si="32"/>
        <v/>
      </c>
      <c r="BO55" s="47">
        <f t="shared" si="47"/>
        <v>11.737500000000001</v>
      </c>
      <c r="BP55" s="51" t="str">
        <f t="shared" si="28"/>
        <v/>
      </c>
      <c r="BQ55" s="28">
        <f t="shared" si="71"/>
        <v>0</v>
      </c>
      <c r="BR55" s="49">
        <f t="shared" si="72"/>
        <v>0</v>
      </c>
      <c r="BS55" s="30">
        <f t="shared" si="21"/>
        <v>11.737500000000001</v>
      </c>
    </row>
    <row r="56" spans="1:71" ht="15.75" thickBot="1" x14ac:dyDescent="0.3">
      <c r="A56" s="4" t="s">
        <v>81</v>
      </c>
      <c r="B56" s="5" t="s">
        <v>79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69"/>
        <v>0</v>
      </c>
      <c r="AI56" s="7"/>
      <c r="AJ56" s="7"/>
      <c r="AK56" s="7"/>
      <c r="AL56" s="7"/>
      <c r="AM56" s="41">
        <f t="shared" si="70"/>
        <v>0</v>
      </c>
      <c r="AN56" s="7"/>
      <c r="AO56" s="7"/>
      <c r="AP56" s="7"/>
      <c r="AQ56" s="7"/>
      <c r="AR56" s="41">
        <v>51.660000000000082</v>
      </c>
      <c r="AS56" s="41">
        <f t="shared" si="60"/>
        <v>-51.660000000000082</v>
      </c>
      <c r="AT56" s="41">
        <f t="shared" si="35"/>
        <v>0</v>
      </c>
      <c r="AU56" s="41">
        <f t="shared" si="36"/>
        <v>0</v>
      </c>
      <c r="AV56" s="41">
        <f t="shared" si="37"/>
        <v>0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/>
      <c r="BD56" s="5"/>
      <c r="BE56" s="23"/>
      <c r="BF56" s="12">
        <f t="shared" si="17"/>
        <v>0</v>
      </c>
      <c r="BG56" s="13">
        <f t="shared" si="1"/>
        <v>0</v>
      </c>
      <c r="BH56" s="13">
        <f t="shared" si="41"/>
        <v>1565</v>
      </c>
      <c r="BI56" s="14" t="str">
        <f t="shared" si="8"/>
        <v/>
      </c>
      <c r="BJ56" s="14" t="str">
        <f t="shared" si="9"/>
        <v/>
      </c>
      <c r="BK56" s="14">
        <f t="shared" si="18"/>
        <v>0</v>
      </c>
      <c r="BL56" s="14">
        <f t="shared" si="11"/>
        <v>0</v>
      </c>
      <c r="BM56" s="48" t="str">
        <f t="shared" si="31"/>
        <v/>
      </c>
      <c r="BN56" s="36" t="str">
        <f t="shared" si="32"/>
        <v/>
      </c>
      <c r="BO56" s="14">
        <f t="shared" si="47"/>
        <v>11.737500000000001</v>
      </c>
      <c r="BP56" s="52" t="str">
        <f t="shared" si="28"/>
        <v/>
      </c>
      <c r="BQ56" s="29">
        <f t="shared" si="71"/>
        <v>0</v>
      </c>
      <c r="BR56" s="38">
        <f t="shared" si="72"/>
        <v>0</v>
      </c>
      <c r="BS56" s="31">
        <f t="shared" si="21"/>
        <v>11.737500000000001</v>
      </c>
    </row>
    <row r="57" spans="1:71" x14ac:dyDescent="0.25">
      <c r="A57" s="2" t="s">
        <v>74</v>
      </c>
      <c r="B57" s="3" t="s">
        <v>75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BR57</f>
        <v>0</v>
      </c>
      <c r="AN57" s="6"/>
      <c r="AO57" s="6"/>
      <c r="AP57" s="6"/>
      <c r="AQ57" s="6"/>
      <c r="AR57" s="40">
        <v>137.11999999999989</v>
      </c>
      <c r="AS57" s="40">
        <f t="shared" si="60"/>
        <v>-137.11999999999989</v>
      </c>
      <c r="AT57" s="40">
        <f t="shared" si="35"/>
        <v>0</v>
      </c>
      <c r="AU57" s="40">
        <f t="shared" si="36"/>
        <v>0</v>
      </c>
      <c r="AV57" s="40">
        <f t="shared" si="37"/>
        <v>0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9"/>
      <c r="BE57" s="21"/>
      <c r="BF57" s="8">
        <f t="shared" si="17"/>
        <v>0</v>
      </c>
      <c r="BG57" s="9">
        <f t="shared" si="1"/>
        <v>0</v>
      </c>
      <c r="BH57" s="9">
        <f t="shared" si="41"/>
        <v>1550</v>
      </c>
      <c r="BI57" s="10" t="str">
        <f t="shared" si="8"/>
        <v/>
      </c>
      <c r="BJ57" s="10" t="str">
        <f t="shared" si="9"/>
        <v/>
      </c>
      <c r="BK57" s="10">
        <f t="shared" si="18"/>
        <v>0</v>
      </c>
      <c r="BL57" s="10" t="str">
        <f t="shared" si="11"/>
        <v/>
      </c>
      <c r="BM57" s="10">
        <f t="shared" si="31"/>
        <v>0</v>
      </c>
      <c r="BN57" s="35" t="str">
        <f t="shared" si="32"/>
        <v/>
      </c>
      <c r="BO57" s="10" t="str">
        <f t="shared" si="47"/>
        <v/>
      </c>
      <c r="BP57" s="50">
        <f t="shared" si="28"/>
        <v>0</v>
      </c>
      <c r="BQ57" s="27">
        <f>IF(BL57&lt;&gt;"",BL57/0.000385,IF(BM57&lt;&gt;"",BM57/0.000385,BN57/0.000385))</f>
        <v>0</v>
      </c>
      <c r="BR57" s="37">
        <f>IF(BL57&lt;&gt;"",BL57,IF(BM57&lt;&gt;"",BM57,BN57))</f>
        <v>0</v>
      </c>
      <c r="BS57" s="32">
        <f t="shared" si="21"/>
        <v>0</v>
      </c>
    </row>
    <row r="58" spans="1:71" x14ac:dyDescent="0.25">
      <c r="A58" s="1" t="s">
        <v>76</v>
      </c>
      <c r="B58" t="s">
        <v>75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3">AF58/100</f>
        <v>0</v>
      </c>
      <c r="AI58" s="44"/>
      <c r="AJ58" s="44"/>
      <c r="AK58" s="44"/>
      <c r="AL58" s="44"/>
      <c r="AM58" s="45">
        <f t="shared" ref="AM58:AM62" si="74">BR58</f>
        <v>0</v>
      </c>
      <c r="AN58" s="44"/>
      <c r="AO58" s="44"/>
      <c r="AP58" s="44"/>
      <c r="AQ58" s="44"/>
      <c r="AR58" s="45">
        <v>45.769999999999982</v>
      </c>
      <c r="AS58" s="45">
        <f t="shared" si="60"/>
        <v>-45.769999999999982</v>
      </c>
      <c r="AT58" s="45">
        <f t="shared" si="35"/>
        <v>0</v>
      </c>
      <c r="AU58" s="45">
        <f t="shared" si="36"/>
        <v>0</v>
      </c>
      <c r="AV58" s="45">
        <f t="shared" si="37"/>
        <v>0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/>
      <c r="BE58" s="22"/>
      <c r="BF58" s="11">
        <f t="shared" si="17"/>
        <v>0</v>
      </c>
      <c r="BG58" s="46">
        <f t="shared" si="1"/>
        <v>0</v>
      </c>
      <c r="BH58" s="46">
        <f t="shared" si="41"/>
        <v>1550</v>
      </c>
      <c r="BI58" s="47" t="str">
        <f t="shared" si="8"/>
        <v/>
      </c>
      <c r="BJ58" s="47" t="str">
        <f t="shared" si="9"/>
        <v/>
      </c>
      <c r="BK58" s="47">
        <f t="shared" si="18"/>
        <v>0</v>
      </c>
      <c r="BL58" s="47" t="str">
        <f t="shared" si="11"/>
        <v/>
      </c>
      <c r="BM58" s="47">
        <f t="shared" si="31"/>
        <v>0</v>
      </c>
      <c r="BN58" s="48" t="str">
        <f t="shared" si="32"/>
        <v/>
      </c>
      <c r="BO58" s="47" t="str">
        <f t="shared" si="47"/>
        <v/>
      </c>
      <c r="BP58" s="51">
        <f t="shared" si="28"/>
        <v>0</v>
      </c>
      <c r="BQ58" s="28">
        <f t="shared" ref="BQ58:BQ62" si="75">IF(BL58&lt;&gt;"",BL58/0.000385,IF(BM58&lt;&gt;"",BM58/0.000385,BN58/0.000385))</f>
        <v>0</v>
      </c>
      <c r="BR58" s="49">
        <f t="shared" ref="BR58:BR62" si="76">IF(BL58&lt;&gt;"",BL58,IF(BM58&lt;&gt;"",BM58,BN58))</f>
        <v>0</v>
      </c>
      <c r="BS58" s="30">
        <f t="shared" si="21"/>
        <v>0</v>
      </c>
    </row>
    <row r="59" spans="1:71" x14ac:dyDescent="0.25">
      <c r="A59" s="1" t="s">
        <v>77</v>
      </c>
      <c r="B59" t="s">
        <v>75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3"/>
        <v>0</v>
      </c>
      <c r="AI59" s="44"/>
      <c r="AJ59" s="44"/>
      <c r="AK59" s="44"/>
      <c r="AL59" s="44"/>
      <c r="AM59" s="45">
        <f t="shared" si="74"/>
        <v>0</v>
      </c>
      <c r="AN59" s="44"/>
      <c r="AO59" s="44"/>
      <c r="AP59" s="44"/>
      <c r="AQ59" s="44"/>
      <c r="AR59" s="45">
        <v>84.700000000000045</v>
      </c>
      <c r="AS59" s="45">
        <f t="shared" si="60"/>
        <v>-84.700000000000045</v>
      </c>
      <c r="AT59" s="45">
        <f t="shared" si="35"/>
        <v>0</v>
      </c>
      <c r="AU59" s="45">
        <f t="shared" si="36"/>
        <v>0</v>
      </c>
      <c r="AV59" s="45">
        <f t="shared" si="37"/>
        <v>0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/>
      <c r="BE59" s="22"/>
      <c r="BF59" s="11">
        <f t="shared" si="17"/>
        <v>0</v>
      </c>
      <c r="BG59" s="46">
        <f t="shared" si="1"/>
        <v>0</v>
      </c>
      <c r="BH59" s="46">
        <f t="shared" si="41"/>
        <v>1550</v>
      </c>
      <c r="BI59" s="47" t="str">
        <f t="shared" si="8"/>
        <v/>
      </c>
      <c r="BJ59" s="47" t="str">
        <f t="shared" si="9"/>
        <v/>
      </c>
      <c r="BK59" s="47">
        <f t="shared" si="18"/>
        <v>0</v>
      </c>
      <c r="BL59" s="47" t="str">
        <f t="shared" si="11"/>
        <v/>
      </c>
      <c r="BM59" s="47">
        <f t="shared" si="31"/>
        <v>0</v>
      </c>
      <c r="BN59" s="48" t="str">
        <f t="shared" si="32"/>
        <v/>
      </c>
      <c r="BO59" s="47" t="str">
        <f t="shared" si="47"/>
        <v/>
      </c>
      <c r="BP59" s="51">
        <f t="shared" si="28"/>
        <v>0</v>
      </c>
      <c r="BQ59" s="28">
        <f t="shared" si="75"/>
        <v>0</v>
      </c>
      <c r="BR59" s="49">
        <f t="shared" si="76"/>
        <v>0</v>
      </c>
      <c r="BS59" s="30">
        <f t="shared" si="21"/>
        <v>0</v>
      </c>
    </row>
    <row r="60" spans="1:71" x14ac:dyDescent="0.25">
      <c r="A60" s="1" t="s">
        <v>78</v>
      </c>
      <c r="B60" t="s">
        <v>79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3"/>
        <v>0</v>
      </c>
      <c r="AI60" s="44"/>
      <c r="AJ60" s="44"/>
      <c r="AK60" s="44"/>
      <c r="AL60" s="44"/>
      <c r="AM60" s="45">
        <f t="shared" si="74"/>
        <v>0</v>
      </c>
      <c r="AN60" s="44"/>
      <c r="AO60" s="44"/>
      <c r="AP60" s="44"/>
      <c r="AQ60" s="44"/>
      <c r="AR60" s="45">
        <v>47.420000000000073</v>
      </c>
      <c r="AS60" s="45">
        <f t="shared" si="60"/>
        <v>-47.420000000000073</v>
      </c>
      <c r="AT60" s="45">
        <f t="shared" si="35"/>
        <v>0</v>
      </c>
      <c r="AU60" s="45">
        <f t="shared" si="36"/>
        <v>0</v>
      </c>
      <c r="AV60" s="45">
        <f t="shared" si="37"/>
        <v>0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/>
      <c r="BE60" s="22"/>
      <c r="BF60" s="11">
        <f t="shared" si="17"/>
        <v>0</v>
      </c>
      <c r="BG60" s="46">
        <f t="shared" si="1"/>
        <v>0</v>
      </c>
      <c r="BH60" s="46">
        <f t="shared" si="41"/>
        <v>1550</v>
      </c>
      <c r="BI60" s="47" t="str">
        <f t="shared" si="8"/>
        <v/>
      </c>
      <c r="BJ60" s="47" t="str">
        <f t="shared" si="9"/>
        <v/>
      </c>
      <c r="BK60" s="47">
        <f t="shared" si="18"/>
        <v>0</v>
      </c>
      <c r="BL60" s="47">
        <f t="shared" si="11"/>
        <v>0</v>
      </c>
      <c r="BM60" s="48" t="str">
        <f t="shared" si="31"/>
        <v/>
      </c>
      <c r="BN60" s="48" t="str">
        <f t="shared" si="32"/>
        <v/>
      </c>
      <c r="BO60" s="47">
        <f t="shared" si="47"/>
        <v>11.625</v>
      </c>
      <c r="BP60" s="51" t="str">
        <f t="shared" si="28"/>
        <v/>
      </c>
      <c r="BQ60" s="28">
        <f t="shared" si="75"/>
        <v>0</v>
      </c>
      <c r="BR60" s="49">
        <f t="shared" si="76"/>
        <v>0</v>
      </c>
      <c r="BS60" s="30">
        <f t="shared" si="21"/>
        <v>11.625</v>
      </c>
    </row>
    <row r="61" spans="1:71" x14ac:dyDescent="0.25">
      <c r="A61" s="1" t="s">
        <v>80</v>
      </c>
      <c r="B61" t="s">
        <v>79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3"/>
        <v>0</v>
      </c>
      <c r="AI61" s="44"/>
      <c r="AJ61" s="44"/>
      <c r="AK61" s="44"/>
      <c r="AL61" s="44"/>
      <c r="AM61" s="45">
        <f t="shared" si="74"/>
        <v>0</v>
      </c>
      <c r="AN61" s="44"/>
      <c r="AO61" s="44"/>
      <c r="AP61" s="44"/>
      <c r="AQ61" s="44"/>
      <c r="AR61" s="45">
        <v>133.55999999999995</v>
      </c>
      <c r="AS61" s="45">
        <f t="shared" si="60"/>
        <v>-133.55999999999995</v>
      </c>
      <c r="AT61" s="45">
        <f t="shared" si="35"/>
        <v>0</v>
      </c>
      <c r="AU61" s="45">
        <f t="shared" si="36"/>
        <v>0</v>
      </c>
      <c r="AV61" s="45">
        <f t="shared" si="37"/>
        <v>0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/>
      <c r="BE61" s="22"/>
      <c r="BF61" s="11">
        <f t="shared" si="17"/>
        <v>0</v>
      </c>
      <c r="BG61" s="46">
        <f t="shared" si="1"/>
        <v>0</v>
      </c>
      <c r="BH61" s="46">
        <f t="shared" si="41"/>
        <v>1550</v>
      </c>
      <c r="BI61" s="47" t="str">
        <f t="shared" si="8"/>
        <v/>
      </c>
      <c r="BJ61" s="47" t="str">
        <f t="shared" si="9"/>
        <v/>
      </c>
      <c r="BK61" s="47">
        <f t="shared" si="18"/>
        <v>0</v>
      </c>
      <c r="BL61" s="47">
        <f t="shared" si="11"/>
        <v>0</v>
      </c>
      <c r="BM61" s="48" t="str">
        <f t="shared" si="31"/>
        <v/>
      </c>
      <c r="BN61" s="48" t="str">
        <f t="shared" si="32"/>
        <v/>
      </c>
      <c r="BO61" s="47">
        <f t="shared" si="47"/>
        <v>11.625</v>
      </c>
      <c r="BP61" s="51" t="str">
        <f t="shared" si="28"/>
        <v/>
      </c>
      <c r="BQ61" s="28">
        <f t="shared" si="75"/>
        <v>0</v>
      </c>
      <c r="BR61" s="49">
        <f t="shared" si="76"/>
        <v>0</v>
      </c>
      <c r="BS61" s="30">
        <f t="shared" si="21"/>
        <v>11.625</v>
      </c>
    </row>
    <row r="62" spans="1:71" x14ac:dyDescent="0.25">
      <c r="A62" s="4" t="s">
        <v>81</v>
      </c>
      <c r="B62" s="5" t="s">
        <v>79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3"/>
        <v>0</v>
      </c>
      <c r="AI62" s="7"/>
      <c r="AJ62" s="7"/>
      <c r="AK62" s="7"/>
      <c r="AL62" s="7"/>
      <c r="AM62" s="41">
        <f t="shared" si="74"/>
        <v>0</v>
      </c>
      <c r="AN62" s="7"/>
      <c r="AO62" s="7"/>
      <c r="AP62" s="7"/>
      <c r="AQ62" s="7"/>
      <c r="AR62" s="41">
        <v>51.660000000000082</v>
      </c>
      <c r="AS62" s="41">
        <f t="shared" si="60"/>
        <v>-51.660000000000082</v>
      </c>
      <c r="AT62" s="41">
        <f t="shared" si="35"/>
        <v>0</v>
      </c>
      <c r="AU62" s="41">
        <f t="shared" si="36"/>
        <v>0</v>
      </c>
      <c r="AV62" s="41">
        <f t="shared" si="37"/>
        <v>0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/>
      <c r="BD62" s="5"/>
      <c r="BE62" s="23"/>
      <c r="BF62" s="12">
        <f t="shared" si="17"/>
        <v>0</v>
      </c>
      <c r="BG62" s="13">
        <f t="shared" si="1"/>
        <v>0</v>
      </c>
      <c r="BH62" s="13">
        <f t="shared" si="41"/>
        <v>1550</v>
      </c>
      <c r="BI62" s="14" t="str">
        <f t="shared" si="8"/>
        <v/>
      </c>
      <c r="BJ62" s="14" t="str">
        <f t="shared" si="9"/>
        <v/>
      </c>
      <c r="BK62" s="14">
        <f t="shared" si="18"/>
        <v>0</v>
      </c>
      <c r="BL62" s="14">
        <f t="shared" si="11"/>
        <v>0</v>
      </c>
      <c r="BM62" s="48" t="str">
        <f t="shared" si="31"/>
        <v/>
      </c>
      <c r="BN62" s="36" t="str">
        <f t="shared" si="32"/>
        <v/>
      </c>
      <c r="BO62" s="14">
        <f t="shared" si="47"/>
        <v>11.625</v>
      </c>
      <c r="BP62" s="52" t="str">
        <f t="shared" si="28"/>
        <v/>
      </c>
      <c r="BQ62" s="29">
        <f t="shared" si="75"/>
        <v>0</v>
      </c>
      <c r="BR62" s="38">
        <f t="shared" si="76"/>
        <v>0</v>
      </c>
      <c r="BS62" s="31">
        <f t="shared" si="21"/>
        <v>11.625</v>
      </c>
    </row>
    <row r="63" spans="1:71" x14ac:dyDescent="0.25">
      <c r="A63" s="2" t="s">
        <v>74</v>
      </c>
      <c r="B63" s="3" t="s">
        <v>75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BR63</f>
        <v>0</v>
      </c>
      <c r="AN63" s="6"/>
      <c r="AO63" s="6"/>
      <c r="AP63" s="6"/>
      <c r="AQ63" s="6"/>
      <c r="AR63" s="40">
        <v>137.11999999999989</v>
      </c>
      <c r="AS63" s="40">
        <f t="shared" si="60"/>
        <v>-137.11999999999989</v>
      </c>
      <c r="AT63" s="40">
        <f t="shared" si="35"/>
        <v>0</v>
      </c>
      <c r="AU63" s="40">
        <f t="shared" si="36"/>
        <v>0</v>
      </c>
      <c r="AV63" s="40">
        <f t="shared" si="37"/>
        <v>0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9"/>
      <c r="BE63" s="21"/>
      <c r="BF63" s="8">
        <f t="shared" si="17"/>
        <v>0</v>
      </c>
      <c r="BG63" s="9">
        <f t="shared" si="1"/>
        <v>0</v>
      </c>
      <c r="BH63" s="9">
        <f t="shared" si="41"/>
        <v>1535</v>
      </c>
      <c r="BI63" s="10" t="str">
        <f t="shared" si="8"/>
        <v/>
      </c>
      <c r="BJ63" s="10" t="str">
        <f t="shared" si="9"/>
        <v/>
      </c>
      <c r="BK63" s="10">
        <f t="shared" si="18"/>
        <v>0</v>
      </c>
      <c r="BL63" s="10" t="str">
        <f t="shared" si="11"/>
        <v/>
      </c>
      <c r="BM63" s="10">
        <f t="shared" si="31"/>
        <v>0</v>
      </c>
      <c r="BN63" s="35" t="str">
        <f t="shared" si="32"/>
        <v/>
      </c>
      <c r="BO63" s="10" t="str">
        <f t="shared" si="47"/>
        <v/>
      </c>
      <c r="BP63" s="50">
        <f t="shared" si="28"/>
        <v>0</v>
      </c>
      <c r="BQ63" s="27">
        <f>IF(BL63&lt;&gt;"",BL63/0.000385,IF(BM63&lt;&gt;"",BM63/0.000385,BN63/0.000385))</f>
        <v>0</v>
      </c>
      <c r="BR63" s="37">
        <f>IF(BL63&lt;&gt;"",BL63,IF(BM63&lt;&gt;"",BM63,BN63))</f>
        <v>0</v>
      </c>
      <c r="BS63" s="32">
        <f t="shared" si="21"/>
        <v>0</v>
      </c>
    </row>
    <row r="64" spans="1:71" x14ac:dyDescent="0.25">
      <c r="A64" s="1" t="s">
        <v>76</v>
      </c>
      <c r="B64" t="s">
        <v>75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7">AF64/100</f>
        <v>0</v>
      </c>
      <c r="AI64" s="44"/>
      <c r="AJ64" s="44"/>
      <c r="AK64" s="44"/>
      <c r="AL64" s="44"/>
      <c r="AM64" s="45">
        <f t="shared" ref="AM64:AM68" si="78">BR64</f>
        <v>0</v>
      </c>
      <c r="AN64" s="44"/>
      <c r="AO64" s="44"/>
      <c r="AP64" s="44"/>
      <c r="AQ64" s="44"/>
      <c r="AR64" s="45">
        <v>45.769999999999982</v>
      </c>
      <c r="AS64" s="45">
        <f t="shared" si="60"/>
        <v>-45.769999999999982</v>
      </c>
      <c r="AT64" s="45">
        <f t="shared" si="35"/>
        <v>0</v>
      </c>
      <c r="AU64" s="45">
        <f t="shared" si="36"/>
        <v>0</v>
      </c>
      <c r="AV64" s="45">
        <f t="shared" si="37"/>
        <v>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/>
      <c r="BE64" s="22"/>
      <c r="BF64" s="11">
        <f t="shared" si="17"/>
        <v>0</v>
      </c>
      <c r="BG64" s="46">
        <f t="shared" si="1"/>
        <v>0</v>
      </c>
      <c r="BH64" s="46">
        <f t="shared" si="41"/>
        <v>1535</v>
      </c>
      <c r="BI64" s="47" t="str">
        <f t="shared" si="8"/>
        <v/>
      </c>
      <c r="BJ64" s="47" t="str">
        <f t="shared" si="9"/>
        <v/>
      </c>
      <c r="BK64" s="47">
        <f t="shared" si="18"/>
        <v>0</v>
      </c>
      <c r="BL64" s="47" t="str">
        <f t="shared" si="11"/>
        <v/>
      </c>
      <c r="BM64" s="47">
        <f t="shared" si="31"/>
        <v>0</v>
      </c>
      <c r="BN64" s="48" t="str">
        <f t="shared" si="32"/>
        <v/>
      </c>
      <c r="BO64" s="47" t="str">
        <f t="shared" si="47"/>
        <v/>
      </c>
      <c r="BP64" s="51">
        <f t="shared" si="28"/>
        <v>0</v>
      </c>
      <c r="BQ64" s="28">
        <f t="shared" ref="BQ64:BQ68" si="79">IF(BL64&lt;&gt;"",BL64/0.000385,IF(BM64&lt;&gt;"",BM64/0.000385,BN64/0.000385))</f>
        <v>0</v>
      </c>
      <c r="BR64" s="49">
        <f t="shared" ref="BR64:BR68" si="80">IF(BL64&lt;&gt;"",BL64,IF(BM64&lt;&gt;"",BM64,BN64))</f>
        <v>0</v>
      </c>
      <c r="BS64" s="30">
        <f t="shared" si="21"/>
        <v>0</v>
      </c>
    </row>
    <row r="65" spans="1:71" x14ac:dyDescent="0.25">
      <c r="A65" s="1" t="s">
        <v>77</v>
      </c>
      <c r="B65" t="s">
        <v>75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7"/>
        <v>0</v>
      </c>
      <c r="AI65" s="44"/>
      <c r="AJ65" s="44"/>
      <c r="AK65" s="44"/>
      <c r="AL65" s="44"/>
      <c r="AM65" s="45">
        <f t="shared" si="78"/>
        <v>0</v>
      </c>
      <c r="AN65" s="44"/>
      <c r="AO65" s="44"/>
      <c r="AP65" s="44"/>
      <c r="AQ65" s="44"/>
      <c r="AR65" s="45">
        <v>84.700000000000045</v>
      </c>
      <c r="AS65" s="45">
        <f t="shared" si="60"/>
        <v>-84.700000000000045</v>
      </c>
      <c r="AT65" s="45">
        <f t="shared" si="35"/>
        <v>0</v>
      </c>
      <c r="AU65" s="45">
        <f t="shared" si="36"/>
        <v>0</v>
      </c>
      <c r="AV65" s="45">
        <f t="shared" si="37"/>
        <v>0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/>
      <c r="BE65" s="22"/>
      <c r="BF65" s="11">
        <f t="shared" si="17"/>
        <v>0</v>
      </c>
      <c r="BG65" s="46">
        <f t="shared" si="1"/>
        <v>0</v>
      </c>
      <c r="BH65" s="46">
        <f t="shared" si="41"/>
        <v>1535</v>
      </c>
      <c r="BI65" s="47" t="str">
        <f t="shared" si="8"/>
        <v/>
      </c>
      <c r="BJ65" s="47" t="str">
        <f t="shared" si="9"/>
        <v/>
      </c>
      <c r="BK65" s="47">
        <f t="shared" si="18"/>
        <v>0</v>
      </c>
      <c r="BL65" s="47" t="str">
        <f t="shared" si="11"/>
        <v/>
      </c>
      <c r="BM65" s="47">
        <f t="shared" si="31"/>
        <v>0</v>
      </c>
      <c r="BN65" s="48" t="str">
        <f t="shared" si="32"/>
        <v/>
      </c>
      <c r="BO65" s="47" t="str">
        <f t="shared" si="47"/>
        <v/>
      </c>
      <c r="BP65" s="51">
        <f t="shared" si="28"/>
        <v>0</v>
      </c>
      <c r="BQ65" s="28">
        <f t="shared" si="79"/>
        <v>0</v>
      </c>
      <c r="BR65" s="49">
        <f t="shared" si="80"/>
        <v>0</v>
      </c>
      <c r="BS65" s="30">
        <f t="shared" si="21"/>
        <v>0</v>
      </c>
    </row>
    <row r="66" spans="1:71" x14ac:dyDescent="0.25">
      <c r="A66" s="1" t="s">
        <v>78</v>
      </c>
      <c r="B66" t="s">
        <v>79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7"/>
        <v>0</v>
      </c>
      <c r="AI66" s="44"/>
      <c r="AJ66" s="44"/>
      <c r="AK66" s="44"/>
      <c r="AL66" s="44"/>
      <c r="AM66" s="45">
        <f t="shared" si="78"/>
        <v>0</v>
      </c>
      <c r="AN66" s="44"/>
      <c r="AO66" s="44"/>
      <c r="AP66" s="44"/>
      <c r="AQ66" s="44"/>
      <c r="AR66" s="45">
        <v>47.420000000000073</v>
      </c>
      <c r="AS66" s="45">
        <f t="shared" si="60"/>
        <v>-47.420000000000073</v>
      </c>
      <c r="AT66" s="45">
        <f t="shared" si="35"/>
        <v>0</v>
      </c>
      <c r="AU66" s="45">
        <f t="shared" si="36"/>
        <v>0</v>
      </c>
      <c r="AV66" s="45">
        <f t="shared" si="37"/>
        <v>0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0</v>
      </c>
      <c r="BG66" s="46">
        <f t="shared" si="1"/>
        <v>0</v>
      </c>
      <c r="BH66" s="46">
        <f t="shared" si="41"/>
        <v>1535</v>
      </c>
      <c r="BI66" s="47" t="str">
        <f t="shared" si="8"/>
        <v/>
      </c>
      <c r="BJ66" s="47" t="str">
        <f t="shared" si="9"/>
        <v/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11.512499999999999</v>
      </c>
      <c r="BP66" s="51" t="str">
        <f t="shared" si="28"/>
        <v/>
      </c>
      <c r="BQ66" s="28">
        <f t="shared" si="79"/>
        <v>0</v>
      </c>
      <c r="BR66" s="49">
        <f t="shared" si="80"/>
        <v>0</v>
      </c>
      <c r="BS66" s="30">
        <f t="shared" si="21"/>
        <v>11.512499999999999</v>
      </c>
    </row>
    <row r="67" spans="1:71" x14ac:dyDescent="0.25">
      <c r="A67" s="1" t="s">
        <v>80</v>
      </c>
      <c r="B67" t="s">
        <v>79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7"/>
        <v>0</v>
      </c>
      <c r="AI67" s="44"/>
      <c r="AJ67" s="44"/>
      <c r="AK67" s="44"/>
      <c r="AL67" s="44"/>
      <c r="AM67" s="45">
        <f t="shared" si="78"/>
        <v>0</v>
      </c>
      <c r="AN67" s="44"/>
      <c r="AO67" s="44"/>
      <c r="AP67" s="44"/>
      <c r="AQ67" s="44"/>
      <c r="AR67" s="45">
        <v>133.55999999999995</v>
      </c>
      <c r="AS67" s="45">
        <f t="shared" ref="AS67:AS80" si="81">AQ67-AR67</f>
        <v>-133.55999999999995</v>
      </c>
      <c r="AT67" s="45">
        <f t="shared" si="35"/>
        <v>0</v>
      </c>
      <c r="AU67" s="45">
        <f t="shared" si="36"/>
        <v>0</v>
      </c>
      <c r="AV67" s="45">
        <f t="shared" si="37"/>
        <v>0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2">BB67*K67*BH67/1000</f>
        <v>0</v>
      </c>
      <c r="BG67" s="46">
        <f t="shared" ref="BG67:BG74" si="83">BF67*24*60</f>
        <v>0</v>
      </c>
      <c r="BH67" s="46">
        <f t="shared" si="41"/>
        <v>1535</v>
      </c>
      <c r="BI67" s="47" t="str">
        <f t="shared" si="8"/>
        <v/>
      </c>
      <c r="BJ67" s="47" t="str">
        <f t="shared" si="9"/>
        <v/>
      </c>
      <c r="BK67" s="47">
        <f t="shared" ref="BK67:BK74" si="84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11.512499999999999</v>
      </c>
      <c r="BP67" s="51" t="str">
        <f t="shared" si="28"/>
        <v/>
      </c>
      <c r="BQ67" s="28">
        <f t="shared" si="79"/>
        <v>0</v>
      </c>
      <c r="BR67" s="49">
        <f t="shared" si="80"/>
        <v>0</v>
      </c>
      <c r="BS67" s="30">
        <f t="shared" ref="BS67:BS74" si="86">IF(BO67&lt;&gt;"",BO67,BP67)</f>
        <v>11.512499999999999</v>
      </c>
    </row>
    <row r="68" spans="1:71" x14ac:dyDescent="0.25">
      <c r="A68" s="4" t="s">
        <v>81</v>
      </c>
      <c r="B68" s="5" t="s">
        <v>79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7"/>
        <v>0</v>
      </c>
      <c r="AI68" s="7"/>
      <c r="AJ68" s="7"/>
      <c r="AK68" s="7"/>
      <c r="AL68" s="7"/>
      <c r="AM68" s="41">
        <f t="shared" si="78"/>
        <v>0</v>
      </c>
      <c r="AN68" s="7"/>
      <c r="AO68" s="7"/>
      <c r="AP68" s="7"/>
      <c r="AQ68" s="7"/>
      <c r="AR68" s="41">
        <v>51.660000000000082</v>
      </c>
      <c r="AS68" s="41">
        <f t="shared" si="81"/>
        <v>-51.660000000000082</v>
      </c>
      <c r="AT68" s="41">
        <f t="shared" si="35"/>
        <v>0</v>
      </c>
      <c r="AU68" s="41">
        <f t="shared" si="36"/>
        <v>0</v>
      </c>
      <c r="AV68" s="41">
        <f t="shared" si="37"/>
        <v>0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2"/>
        <v>0</v>
      </c>
      <c r="BG68" s="13">
        <f t="shared" si="83"/>
        <v>0</v>
      </c>
      <c r="BH68" s="13">
        <f t="shared" si="41"/>
        <v>1535</v>
      </c>
      <c r="BI68" s="14" t="str">
        <f t="shared" ref="BI68:BI80" si="87">IF(ISBLANK(AN68),"",IFERROR(AN68/BH68,0))</f>
        <v/>
      </c>
      <c r="BJ68" s="14" t="str">
        <f t="shared" ref="BJ68:BJ80" si="88">IF(ISBLANK(AN68),"",AN68/AX68)</f>
        <v/>
      </c>
      <c r="BK68" s="14">
        <f t="shared" si="84"/>
        <v>0</v>
      </c>
      <c r="BL68" s="14">
        <f t="shared" ref="BL68:BL80" si="89">IF(B68="Python",BC68*BH68/24/60,"")</f>
        <v>0</v>
      </c>
      <c r="BM68" s="48" t="str">
        <f t="shared" si="31"/>
        <v/>
      </c>
      <c r="BN68" s="36" t="str">
        <f t="shared" si="85"/>
        <v/>
      </c>
      <c r="BO68" s="14">
        <f t="shared" si="47"/>
        <v>11.512499999999999</v>
      </c>
      <c r="BP68" s="52" t="str">
        <f t="shared" si="28"/>
        <v/>
      </c>
      <c r="BQ68" s="29">
        <f t="shared" si="79"/>
        <v>0</v>
      </c>
      <c r="BR68" s="38">
        <f t="shared" si="80"/>
        <v>0</v>
      </c>
      <c r="BS68" s="31">
        <f t="shared" si="86"/>
        <v>11.512499999999999</v>
      </c>
    </row>
    <row r="69" spans="1:71" x14ac:dyDescent="0.25">
      <c r="A69" s="2" t="s">
        <v>74</v>
      </c>
      <c r="B69" s="3" t="s">
        <v>75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si="81"/>
        <v>-137.11999999999989</v>
      </c>
      <c r="AT69" s="40">
        <f t="shared" si="35"/>
        <v>0</v>
      </c>
      <c r="AU69" s="40">
        <f t="shared" si="36"/>
        <v>0</v>
      </c>
      <c r="AV69" s="40">
        <f t="shared" si="37"/>
        <v>0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2"/>
        <v>0</v>
      </c>
      <c r="BG69" s="9">
        <f t="shared" si="83"/>
        <v>0</v>
      </c>
      <c r="BH69" s="9">
        <f t="shared" si="41"/>
        <v>1520</v>
      </c>
      <c r="BI69" s="10" t="str">
        <f t="shared" si="87"/>
        <v/>
      </c>
      <c r="BJ69" s="10" t="str">
        <f t="shared" si="88"/>
        <v/>
      </c>
      <c r="BK69" s="10">
        <f t="shared" si="84"/>
        <v>0</v>
      </c>
      <c r="BL69" s="10" t="str">
        <f t="shared" si="89"/>
        <v/>
      </c>
      <c r="BM69" s="10">
        <f t="shared" si="31"/>
        <v>0</v>
      </c>
      <c r="BN69" s="35" t="str">
        <f t="shared" si="85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6"/>
        <v>0</v>
      </c>
    </row>
    <row r="70" spans="1:71" x14ac:dyDescent="0.25">
      <c r="A70" s="1" t="s">
        <v>76</v>
      </c>
      <c r="B70" t="s">
        <v>75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0">AF70/100</f>
        <v>0</v>
      </c>
      <c r="AI70" s="44"/>
      <c r="AJ70" s="44"/>
      <c r="AK70" s="44"/>
      <c r="AL70" s="44"/>
      <c r="AM70" s="45">
        <f t="shared" ref="AM70:AM74" si="91">BR70</f>
        <v>0</v>
      </c>
      <c r="AN70" s="44"/>
      <c r="AO70" s="44"/>
      <c r="AP70" s="44"/>
      <c r="AQ70" s="44"/>
      <c r="AR70" s="45">
        <v>45.769999999999982</v>
      </c>
      <c r="AS70" s="45">
        <f t="shared" si="81"/>
        <v>-45.769999999999982</v>
      </c>
      <c r="AT70" s="45">
        <f t="shared" si="35"/>
        <v>0</v>
      </c>
      <c r="AU70" s="45">
        <f t="shared" si="36"/>
        <v>0</v>
      </c>
      <c r="AV70" s="45">
        <f t="shared" si="37"/>
        <v>0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2"/>
        <v>0</v>
      </c>
      <c r="BG70" s="46">
        <f t="shared" si="83"/>
        <v>0</v>
      </c>
      <c r="BH70" s="46">
        <f t="shared" si="41"/>
        <v>1520</v>
      </c>
      <c r="BI70" s="47" t="str">
        <f t="shared" si="87"/>
        <v/>
      </c>
      <c r="BJ70" s="47" t="str">
        <f t="shared" si="88"/>
        <v/>
      </c>
      <c r="BK70" s="47">
        <f t="shared" si="84"/>
        <v>0</v>
      </c>
      <c r="BL70" s="47" t="str">
        <f t="shared" si="89"/>
        <v/>
      </c>
      <c r="BM70" s="47">
        <f t="shared" si="31"/>
        <v>0</v>
      </c>
      <c r="BN70" s="48" t="str">
        <f t="shared" si="85"/>
        <v/>
      </c>
      <c r="BO70" s="47" t="str">
        <f t="shared" si="47"/>
        <v/>
      </c>
      <c r="BP70" s="51">
        <f t="shared" ref="BP70:BP80" si="92">IF(B70="Julia",BE70*BH70,"")</f>
        <v>0</v>
      </c>
      <c r="BQ70" s="28">
        <f t="shared" ref="BQ70:BQ74" si="93">IF(BL70&lt;&gt;"",BL70/0.000385,IF(BM70&lt;&gt;"",BM70/0.000385,BN70/0.000385))</f>
        <v>0</v>
      </c>
      <c r="BR70" s="49">
        <f t="shared" ref="BR70:BR74" si="94">IF(BL70&lt;&gt;"",BL70,IF(BM70&lt;&gt;"",BM70,BN70))</f>
        <v>0</v>
      </c>
      <c r="BS70" s="30">
        <f t="shared" si="86"/>
        <v>0</v>
      </c>
    </row>
    <row r="71" spans="1:71" x14ac:dyDescent="0.25">
      <c r="A71" s="1" t="s">
        <v>77</v>
      </c>
      <c r="B71" t="s">
        <v>75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0"/>
        <v>0</v>
      </c>
      <c r="AI71" s="44"/>
      <c r="AJ71" s="44"/>
      <c r="AK71" s="44"/>
      <c r="AL71" s="44"/>
      <c r="AM71" s="45">
        <f t="shared" si="91"/>
        <v>0</v>
      </c>
      <c r="AN71" s="44"/>
      <c r="AO71" s="44"/>
      <c r="AP71" s="44"/>
      <c r="AQ71" s="44"/>
      <c r="AR71" s="45">
        <v>84.700000000000045</v>
      </c>
      <c r="AS71" s="45">
        <f t="shared" si="81"/>
        <v>-84.700000000000045</v>
      </c>
      <c r="AT71" s="45">
        <f t="shared" si="35"/>
        <v>0</v>
      </c>
      <c r="AU71" s="45">
        <f t="shared" si="36"/>
        <v>0</v>
      </c>
      <c r="AV71" s="45">
        <f t="shared" si="37"/>
        <v>0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2"/>
        <v>0</v>
      </c>
      <c r="BG71" s="46">
        <f t="shared" si="83"/>
        <v>0</v>
      </c>
      <c r="BH71" s="46">
        <f t="shared" si="41"/>
        <v>1520</v>
      </c>
      <c r="BI71" s="47" t="str">
        <f t="shared" si="87"/>
        <v/>
      </c>
      <c r="BJ71" s="47" t="str">
        <f t="shared" si="88"/>
        <v/>
      </c>
      <c r="BK71" s="47">
        <f t="shared" si="84"/>
        <v>0</v>
      </c>
      <c r="BL71" s="47" t="str">
        <f t="shared" si="89"/>
        <v/>
      </c>
      <c r="BM71" s="47">
        <f t="shared" ref="BM71:BM80" si="95">IF(B71="Julia",BD71*BH71/24/60,"")</f>
        <v>0</v>
      </c>
      <c r="BN71" s="48" t="str">
        <f t="shared" si="85"/>
        <v/>
      </c>
      <c r="BO71" s="47" t="str">
        <f t="shared" si="47"/>
        <v/>
      </c>
      <c r="BP71" s="51">
        <f t="shared" si="92"/>
        <v>0</v>
      </c>
      <c r="BQ71" s="28">
        <f t="shared" si="93"/>
        <v>0</v>
      </c>
      <c r="BR71" s="49">
        <f t="shared" si="94"/>
        <v>0</v>
      </c>
      <c r="BS71" s="30">
        <f t="shared" si="86"/>
        <v>0</v>
      </c>
    </row>
    <row r="72" spans="1:71" x14ac:dyDescent="0.25">
      <c r="A72" s="1" t="s">
        <v>78</v>
      </c>
      <c r="B72" t="s">
        <v>79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0"/>
        <v>0</v>
      </c>
      <c r="AI72" s="44"/>
      <c r="AJ72" s="44"/>
      <c r="AK72" s="44"/>
      <c r="AL72" s="44"/>
      <c r="AM72" s="45">
        <f t="shared" si="91"/>
        <v>0</v>
      </c>
      <c r="AN72" s="44"/>
      <c r="AO72" s="44"/>
      <c r="AP72" s="44"/>
      <c r="AQ72" s="44"/>
      <c r="AR72" s="45">
        <v>47.420000000000073</v>
      </c>
      <c r="AS72" s="45">
        <f t="shared" si="81"/>
        <v>-47.420000000000073</v>
      </c>
      <c r="AT72" s="45">
        <f t="shared" si="35"/>
        <v>0</v>
      </c>
      <c r="AU72" s="45">
        <f t="shared" si="36"/>
        <v>0</v>
      </c>
      <c r="AV72" s="45">
        <f t="shared" si="37"/>
        <v>0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2"/>
        <v>0</v>
      </c>
      <c r="BG72" s="46">
        <f t="shared" si="83"/>
        <v>0</v>
      </c>
      <c r="BH72" s="46">
        <f t="shared" ref="BH72:BH80" si="96">AX72+SUM(AJ72:AL72,AN72:AO72)-(AW72*(D72+1))</f>
        <v>1520</v>
      </c>
      <c r="BI72" s="47" t="str">
        <f t="shared" si="87"/>
        <v/>
      </c>
      <c r="BJ72" s="47" t="str">
        <f t="shared" si="88"/>
        <v/>
      </c>
      <c r="BK72" s="47">
        <f t="shared" si="84"/>
        <v>0</v>
      </c>
      <c r="BL72" s="47">
        <f t="shared" si="89"/>
        <v>0</v>
      </c>
      <c r="BM72" s="48" t="str">
        <f t="shared" si="95"/>
        <v/>
      </c>
      <c r="BN72" s="48" t="str">
        <f t="shared" si="85"/>
        <v/>
      </c>
      <c r="BO72" s="47">
        <f t="shared" si="47"/>
        <v>11.4</v>
      </c>
      <c r="BP72" s="51" t="str">
        <f t="shared" si="92"/>
        <v/>
      </c>
      <c r="BQ72" s="28">
        <f t="shared" si="93"/>
        <v>0</v>
      </c>
      <c r="BR72" s="49">
        <f t="shared" si="94"/>
        <v>0</v>
      </c>
      <c r="BS72" s="30">
        <f t="shared" si="86"/>
        <v>11.4</v>
      </c>
    </row>
    <row r="73" spans="1:71" x14ac:dyDescent="0.25">
      <c r="A73" s="1" t="s">
        <v>80</v>
      </c>
      <c r="B73" t="s">
        <v>79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0"/>
        <v>0</v>
      </c>
      <c r="AI73" s="44"/>
      <c r="AJ73" s="44"/>
      <c r="AK73" s="44"/>
      <c r="AL73" s="44"/>
      <c r="AM73" s="45">
        <f t="shared" si="91"/>
        <v>0</v>
      </c>
      <c r="AN73" s="44"/>
      <c r="AO73" s="44"/>
      <c r="AP73" s="44"/>
      <c r="AQ73" s="44"/>
      <c r="AR73" s="45">
        <v>133.55999999999995</v>
      </c>
      <c r="AS73" s="45">
        <f t="shared" si="81"/>
        <v>-133.55999999999995</v>
      </c>
      <c r="AT73" s="45">
        <f t="shared" si="35"/>
        <v>0</v>
      </c>
      <c r="AU73" s="45">
        <f t="shared" si="36"/>
        <v>0</v>
      </c>
      <c r="AV73" s="45">
        <f t="shared" si="37"/>
        <v>0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2"/>
        <v>0</v>
      </c>
      <c r="BG73" s="46">
        <f t="shared" si="83"/>
        <v>0</v>
      </c>
      <c r="BH73" s="46">
        <f t="shared" si="96"/>
        <v>1520</v>
      </c>
      <c r="BI73" s="47" t="str">
        <f t="shared" si="87"/>
        <v/>
      </c>
      <c r="BJ73" s="47" t="str">
        <f t="shared" si="88"/>
        <v/>
      </c>
      <c r="BK73" s="47">
        <f t="shared" si="84"/>
        <v>0</v>
      </c>
      <c r="BL73" s="47">
        <f t="shared" si="89"/>
        <v>0</v>
      </c>
      <c r="BM73" s="48" t="str">
        <f t="shared" si="95"/>
        <v/>
      </c>
      <c r="BN73" s="48" t="str">
        <f t="shared" si="85"/>
        <v/>
      </c>
      <c r="BO73" s="47">
        <f t="shared" si="47"/>
        <v>11.4</v>
      </c>
      <c r="BP73" s="51" t="str">
        <f t="shared" si="92"/>
        <v/>
      </c>
      <c r="BQ73" s="28">
        <f t="shared" si="93"/>
        <v>0</v>
      </c>
      <c r="BR73" s="49">
        <f t="shared" si="94"/>
        <v>0</v>
      </c>
      <c r="BS73" s="30">
        <f t="shared" si="86"/>
        <v>11.4</v>
      </c>
    </row>
    <row r="74" spans="1:71" x14ac:dyDescent="0.25">
      <c r="A74" s="4" t="s">
        <v>81</v>
      </c>
      <c r="B74" s="5" t="s">
        <v>79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0"/>
        <v>0</v>
      </c>
      <c r="AI74" s="7"/>
      <c r="AJ74" s="7"/>
      <c r="AK74" s="7"/>
      <c r="AL74" s="7"/>
      <c r="AM74" s="41">
        <f t="shared" si="91"/>
        <v>0</v>
      </c>
      <c r="AN74" s="7"/>
      <c r="AO74" s="7"/>
      <c r="AP74" s="7"/>
      <c r="AQ74" s="7"/>
      <c r="AR74" s="41">
        <v>51.660000000000082</v>
      </c>
      <c r="AS74" s="41">
        <f t="shared" si="81"/>
        <v>-51.660000000000082</v>
      </c>
      <c r="AT74" s="41">
        <f t="shared" ref="AT74:AT80" si="97">AN74-AN68</f>
        <v>0</v>
      </c>
      <c r="AU74" s="41">
        <f t="shared" ref="AU74:AU80" si="98">AO74-AO68</f>
        <v>0</v>
      </c>
      <c r="AV74" s="41">
        <f t="shared" ref="AV74:AV80" si="99">AP74-AP68</f>
        <v>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2"/>
        <v>0</v>
      </c>
      <c r="BG74" s="13">
        <f t="shared" si="83"/>
        <v>0</v>
      </c>
      <c r="BH74" s="13">
        <f t="shared" si="96"/>
        <v>1520</v>
      </c>
      <c r="BI74" s="14" t="str">
        <f t="shared" si="87"/>
        <v/>
      </c>
      <c r="BJ74" s="14" t="str">
        <f t="shared" si="88"/>
        <v/>
      </c>
      <c r="BK74" s="14">
        <f t="shared" si="84"/>
        <v>0</v>
      </c>
      <c r="BL74" s="14">
        <f t="shared" si="89"/>
        <v>0</v>
      </c>
      <c r="BM74" s="48" t="str">
        <f t="shared" si="95"/>
        <v/>
      </c>
      <c r="BN74" s="36" t="str">
        <f t="shared" si="85"/>
        <v/>
      </c>
      <c r="BO74" s="14">
        <f t="shared" si="47"/>
        <v>11.4</v>
      </c>
      <c r="BP74" s="52" t="str">
        <f t="shared" si="92"/>
        <v/>
      </c>
      <c r="BQ74" s="29">
        <f t="shared" si="93"/>
        <v>0</v>
      </c>
      <c r="BR74" s="38">
        <f t="shared" si="94"/>
        <v>0</v>
      </c>
      <c r="BS74" s="31">
        <f t="shared" si="86"/>
        <v>11.4</v>
      </c>
    </row>
    <row r="75" spans="1:71" x14ac:dyDescent="0.25">
      <c r="A75" s="2" t="s">
        <v>74</v>
      </c>
      <c r="B75" s="3" t="s">
        <v>75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81"/>
        <v>-137.11999999999989</v>
      </c>
      <c r="AT75" s="40">
        <f t="shared" si="97"/>
        <v>0</v>
      </c>
      <c r="AU75" s="40">
        <f t="shared" si="98"/>
        <v>0</v>
      </c>
      <c r="AV75" s="40">
        <f t="shared" si="99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0">BB75*K75*BH75/1000</f>
        <v>0</v>
      </c>
      <c r="BG75" s="9">
        <f t="shared" ref="BG75:BG80" si="101">BF75*24*60</f>
        <v>0</v>
      </c>
      <c r="BH75" s="9">
        <f t="shared" si="96"/>
        <v>1505</v>
      </c>
      <c r="BI75" s="10" t="str">
        <f t="shared" si="87"/>
        <v/>
      </c>
      <c r="BJ75" s="10" t="str">
        <f t="shared" si="88"/>
        <v/>
      </c>
      <c r="BK75" s="10">
        <f t="shared" ref="BK75:BK80" si="102">AM75*24*60</f>
        <v>0</v>
      </c>
      <c r="BL75" s="10" t="str">
        <f t="shared" si="89"/>
        <v/>
      </c>
      <c r="BM75" s="10">
        <f t="shared" si="95"/>
        <v>0</v>
      </c>
      <c r="BN75" s="35" t="str">
        <f t="shared" ref="BN75:BN80" si="103">IF(B75="No MPC", BB75*K75*BH75/1000,"")</f>
        <v/>
      </c>
      <c r="BO75" s="10" t="str">
        <f t="shared" si="47"/>
        <v/>
      </c>
      <c r="BP75" s="50">
        <f t="shared" si="92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4">IF(BO75&lt;&gt;"",BO75,BP75)</f>
        <v>0</v>
      </c>
    </row>
    <row r="76" spans="1:71" x14ac:dyDescent="0.25">
      <c r="A76" s="1" t="s">
        <v>76</v>
      </c>
      <c r="B76" t="s">
        <v>75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5">AF76/100</f>
        <v>0</v>
      </c>
      <c r="AI76" s="44"/>
      <c r="AJ76" s="44"/>
      <c r="AK76" s="44"/>
      <c r="AL76" s="44"/>
      <c r="AM76" s="45">
        <f t="shared" ref="AM76:AM80" si="106">BR76</f>
        <v>0</v>
      </c>
      <c r="AN76" s="44"/>
      <c r="AO76" s="44"/>
      <c r="AP76" s="44"/>
      <c r="AQ76" s="44"/>
      <c r="AR76" s="45">
        <v>45.769999999999982</v>
      </c>
      <c r="AS76" s="45">
        <f t="shared" si="81"/>
        <v>-45.769999999999982</v>
      </c>
      <c r="AT76" s="45">
        <f t="shared" si="97"/>
        <v>0</v>
      </c>
      <c r="AU76" s="45">
        <f t="shared" si="98"/>
        <v>0</v>
      </c>
      <c r="AV76" s="45">
        <f t="shared" si="99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0"/>
        <v>0</v>
      </c>
      <c r="BG76" s="46">
        <f t="shared" si="101"/>
        <v>0</v>
      </c>
      <c r="BH76" s="46">
        <f t="shared" si="96"/>
        <v>1505</v>
      </c>
      <c r="BI76" s="47" t="str">
        <f t="shared" si="87"/>
        <v/>
      </c>
      <c r="BJ76" s="47" t="str">
        <f t="shared" si="88"/>
        <v/>
      </c>
      <c r="BK76" s="47">
        <f t="shared" si="102"/>
        <v>0</v>
      </c>
      <c r="BL76" s="47" t="str">
        <f t="shared" si="89"/>
        <v/>
      </c>
      <c r="BM76" s="47">
        <f t="shared" si="95"/>
        <v>0</v>
      </c>
      <c r="BN76" s="48" t="str">
        <f t="shared" si="103"/>
        <v/>
      </c>
      <c r="BO76" s="47" t="str">
        <f t="shared" si="47"/>
        <v/>
      </c>
      <c r="BP76" s="51">
        <f t="shared" si="92"/>
        <v>0</v>
      </c>
      <c r="BQ76" s="28">
        <f t="shared" ref="BQ76:BQ80" si="107">IF(BL76&lt;&gt;"",BL76/0.000385,IF(BM76&lt;&gt;"",BM76/0.000385,BN76/0.000385))</f>
        <v>0</v>
      </c>
      <c r="BR76" s="49">
        <f t="shared" ref="BR76:BR80" si="108">IF(BL76&lt;&gt;"",BL76,IF(BM76&lt;&gt;"",BM76,BN76))</f>
        <v>0</v>
      </c>
      <c r="BS76" s="30">
        <f t="shared" si="104"/>
        <v>0</v>
      </c>
    </row>
    <row r="77" spans="1:71" x14ac:dyDescent="0.25">
      <c r="A77" s="1" t="s">
        <v>77</v>
      </c>
      <c r="B77" t="s">
        <v>75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5"/>
        <v>0</v>
      </c>
      <c r="AI77" s="44"/>
      <c r="AJ77" s="44"/>
      <c r="AK77" s="44"/>
      <c r="AL77" s="44"/>
      <c r="AM77" s="45">
        <f t="shared" si="106"/>
        <v>0</v>
      </c>
      <c r="AN77" s="44"/>
      <c r="AO77" s="44"/>
      <c r="AP77" s="44"/>
      <c r="AQ77" s="44"/>
      <c r="AR77" s="45">
        <v>84.700000000000045</v>
      </c>
      <c r="AS77" s="45">
        <f t="shared" si="81"/>
        <v>-84.700000000000045</v>
      </c>
      <c r="AT77" s="45">
        <f t="shared" si="97"/>
        <v>0</v>
      </c>
      <c r="AU77" s="45">
        <f t="shared" si="98"/>
        <v>0</v>
      </c>
      <c r="AV77" s="45">
        <f t="shared" si="99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0"/>
        <v>0</v>
      </c>
      <c r="BG77" s="46">
        <f t="shared" si="101"/>
        <v>0</v>
      </c>
      <c r="BH77" s="46">
        <f t="shared" si="96"/>
        <v>1505</v>
      </c>
      <c r="BI77" s="47" t="str">
        <f t="shared" si="87"/>
        <v/>
      </c>
      <c r="BJ77" s="47" t="str">
        <f t="shared" si="88"/>
        <v/>
      </c>
      <c r="BK77" s="47">
        <f t="shared" si="102"/>
        <v>0</v>
      </c>
      <c r="BL77" s="47" t="str">
        <f t="shared" si="89"/>
        <v/>
      </c>
      <c r="BM77" s="47">
        <f t="shared" si="95"/>
        <v>0</v>
      </c>
      <c r="BN77" s="48" t="str">
        <f t="shared" si="103"/>
        <v/>
      </c>
      <c r="BO77" s="47" t="str">
        <f t="shared" si="47"/>
        <v/>
      </c>
      <c r="BP77" s="51">
        <f t="shared" si="92"/>
        <v>0</v>
      </c>
      <c r="BQ77" s="28">
        <f t="shared" si="107"/>
        <v>0</v>
      </c>
      <c r="BR77" s="49">
        <f t="shared" si="108"/>
        <v>0</v>
      </c>
      <c r="BS77" s="30">
        <f t="shared" si="104"/>
        <v>0</v>
      </c>
    </row>
    <row r="78" spans="1:71" x14ac:dyDescent="0.25">
      <c r="A78" s="1" t="s">
        <v>78</v>
      </c>
      <c r="B78" t="s">
        <v>79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5"/>
        <v>0</v>
      </c>
      <c r="AI78" s="44"/>
      <c r="AJ78" s="44"/>
      <c r="AK78" s="44"/>
      <c r="AL78" s="44"/>
      <c r="AM78" s="45">
        <f t="shared" si="106"/>
        <v>0</v>
      </c>
      <c r="AN78" s="44"/>
      <c r="AO78" s="44"/>
      <c r="AP78" s="44"/>
      <c r="AQ78" s="44"/>
      <c r="AR78" s="45">
        <v>47.420000000000073</v>
      </c>
      <c r="AS78" s="45">
        <f t="shared" si="81"/>
        <v>-47.420000000000073</v>
      </c>
      <c r="AT78" s="45">
        <f t="shared" si="97"/>
        <v>0</v>
      </c>
      <c r="AU78" s="45">
        <f t="shared" si="98"/>
        <v>0</v>
      </c>
      <c r="AV78" s="45">
        <f t="shared" si="99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0"/>
        <v>0</v>
      </c>
      <c r="BG78" s="46">
        <f t="shared" si="101"/>
        <v>0</v>
      </c>
      <c r="BH78" s="46">
        <f t="shared" si="96"/>
        <v>1505</v>
      </c>
      <c r="BI78" s="47" t="str">
        <f t="shared" si="87"/>
        <v/>
      </c>
      <c r="BJ78" s="47" t="str">
        <f t="shared" si="88"/>
        <v/>
      </c>
      <c r="BK78" s="47">
        <f t="shared" si="102"/>
        <v>0</v>
      </c>
      <c r="BL78" s="47">
        <f t="shared" si="89"/>
        <v>0</v>
      </c>
      <c r="BM78" s="48" t="str">
        <f t="shared" si="95"/>
        <v/>
      </c>
      <c r="BN78" s="48" t="str">
        <f t="shared" si="103"/>
        <v/>
      </c>
      <c r="BO78" s="47">
        <f t="shared" si="47"/>
        <v>11.2875</v>
      </c>
      <c r="BP78" s="51" t="str">
        <f t="shared" si="92"/>
        <v/>
      </c>
      <c r="BQ78" s="28">
        <f t="shared" si="107"/>
        <v>0</v>
      </c>
      <c r="BR78" s="49">
        <f t="shared" si="108"/>
        <v>0</v>
      </c>
      <c r="BS78" s="30">
        <f t="shared" si="104"/>
        <v>11.2875</v>
      </c>
    </row>
    <row r="79" spans="1:71" x14ac:dyDescent="0.25">
      <c r="A79" s="1" t="s">
        <v>80</v>
      </c>
      <c r="B79" t="s">
        <v>79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5"/>
        <v>0</v>
      </c>
      <c r="AI79" s="44"/>
      <c r="AJ79" s="44"/>
      <c r="AK79" s="44"/>
      <c r="AL79" s="44"/>
      <c r="AM79" s="45">
        <f t="shared" si="106"/>
        <v>0</v>
      </c>
      <c r="AN79" s="44"/>
      <c r="AO79" s="44"/>
      <c r="AP79" s="44"/>
      <c r="AQ79" s="44"/>
      <c r="AR79" s="45">
        <v>133.55999999999995</v>
      </c>
      <c r="AS79" s="45">
        <f t="shared" si="81"/>
        <v>-133.55999999999995</v>
      </c>
      <c r="AT79" s="45">
        <f t="shared" si="97"/>
        <v>0</v>
      </c>
      <c r="AU79" s="45">
        <f t="shared" si="98"/>
        <v>0</v>
      </c>
      <c r="AV79" s="45">
        <f t="shared" si="99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0"/>
        <v>0</v>
      </c>
      <c r="BG79" s="46">
        <f t="shared" si="101"/>
        <v>0</v>
      </c>
      <c r="BH79" s="46">
        <f t="shared" si="96"/>
        <v>1505</v>
      </c>
      <c r="BI79" s="47" t="str">
        <f t="shared" si="87"/>
        <v/>
      </c>
      <c r="BJ79" s="47" t="str">
        <f t="shared" si="88"/>
        <v/>
      </c>
      <c r="BK79" s="47">
        <f t="shared" si="102"/>
        <v>0</v>
      </c>
      <c r="BL79" s="47">
        <f t="shared" si="89"/>
        <v>0</v>
      </c>
      <c r="BM79" s="48" t="str">
        <f t="shared" si="95"/>
        <v/>
      </c>
      <c r="BN79" s="48" t="str">
        <f t="shared" si="103"/>
        <v/>
      </c>
      <c r="BO79" s="47">
        <f t="shared" si="47"/>
        <v>11.2875</v>
      </c>
      <c r="BP79" s="51" t="str">
        <f t="shared" si="92"/>
        <v/>
      </c>
      <c r="BQ79" s="28">
        <f t="shared" si="107"/>
        <v>0</v>
      </c>
      <c r="BR79" s="49">
        <f t="shared" si="108"/>
        <v>0</v>
      </c>
      <c r="BS79" s="30">
        <f t="shared" si="104"/>
        <v>11.2875</v>
      </c>
    </row>
    <row r="80" spans="1:71" x14ac:dyDescent="0.25">
      <c r="A80" s="4" t="s">
        <v>81</v>
      </c>
      <c r="B80" s="5" t="s">
        <v>79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5"/>
        <v>0</v>
      </c>
      <c r="AI80" s="7"/>
      <c r="AJ80" s="7"/>
      <c r="AK80" s="7"/>
      <c r="AL80" s="7"/>
      <c r="AM80" s="41">
        <f t="shared" si="106"/>
        <v>0</v>
      </c>
      <c r="AN80" s="7"/>
      <c r="AO80" s="7"/>
      <c r="AP80" s="7"/>
      <c r="AQ80" s="7"/>
      <c r="AR80" s="41">
        <v>51.660000000000082</v>
      </c>
      <c r="AS80" s="41">
        <f t="shared" si="81"/>
        <v>-51.660000000000082</v>
      </c>
      <c r="AT80" s="41">
        <f t="shared" si="97"/>
        <v>0</v>
      </c>
      <c r="AU80" s="41">
        <f t="shared" si="98"/>
        <v>0</v>
      </c>
      <c r="AV80" s="41">
        <f t="shared" si="99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0"/>
        <v>0</v>
      </c>
      <c r="BG80" s="13">
        <f t="shared" si="101"/>
        <v>0</v>
      </c>
      <c r="BH80" s="13">
        <f t="shared" si="96"/>
        <v>1505</v>
      </c>
      <c r="BI80" s="14" t="str">
        <f t="shared" si="87"/>
        <v/>
      </c>
      <c r="BJ80" s="14" t="str">
        <f t="shared" si="88"/>
        <v/>
      </c>
      <c r="BK80" s="14">
        <f t="shared" si="102"/>
        <v>0</v>
      </c>
      <c r="BL80" s="14">
        <f t="shared" si="89"/>
        <v>0</v>
      </c>
      <c r="BM80" s="36" t="str">
        <f t="shared" si="95"/>
        <v/>
      </c>
      <c r="BN80" s="36" t="str">
        <f t="shared" si="103"/>
        <v/>
      </c>
      <c r="BO80" s="14">
        <f t="shared" si="47"/>
        <v>11.2875</v>
      </c>
      <c r="BP80" s="52" t="str">
        <f t="shared" si="92"/>
        <v/>
      </c>
      <c r="BQ80" s="29">
        <f t="shared" si="107"/>
        <v>0</v>
      </c>
      <c r="BR80" s="38">
        <f t="shared" si="108"/>
        <v>0</v>
      </c>
      <c r="BS80" s="31">
        <f t="shared" si="104"/>
        <v>11.2875</v>
      </c>
    </row>
    <row r="83" spans="19:28" x14ac:dyDescent="0.25">
      <c r="S83" s="39"/>
    </row>
    <row r="86" spans="19:28" x14ac:dyDescent="0.25">
      <c r="AB86" s="59"/>
    </row>
    <row r="87" spans="19:28" x14ac:dyDescent="0.25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2024-09-03T15:53:58Z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