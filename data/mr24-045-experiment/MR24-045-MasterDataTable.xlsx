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45-MPC-3L/"/>
    </mc:Choice>
  </mc:AlternateContent>
  <xr:revisionPtr revIDLastSave="955" documentId="14_{29998BAB-B97E-4D42-B36C-5857DA37A7C9}" xr6:coauthVersionLast="47" xr6:coauthVersionMax="47" xr10:uidLastSave="{590C11B0-C3D5-4F79-948E-AEE74246ED14}"/>
  <bookViews>
    <workbookView xWindow="57480" yWindow="-120" windowWidth="29040" windowHeight="15840" xr2:uid="{00000000-000D-0000-FFFF-FFFF00000000}"/>
  </bookViews>
  <sheets>
    <sheet name="MasterDataTable" sheetId="1" r:id="rId1"/>
  </sheets>
  <definedNames>
    <definedName name="_xlnm._FilterDatabase" localSheetId="0" hidden="1">MasterDataTable!$A$2:$BM$314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2" i="1" l="1"/>
  <c r="BL80" i="1"/>
  <c r="BL79" i="1"/>
  <c r="BL78" i="1"/>
  <c r="BL77" i="1"/>
  <c r="BL76" i="1"/>
  <c r="BL75" i="1"/>
  <c r="BL74" i="1"/>
  <c r="BL73" i="1"/>
  <c r="BL72" i="1"/>
  <c r="BL71" i="1"/>
  <c r="BL70" i="1"/>
  <c r="BL69" i="1"/>
  <c r="BL68" i="1"/>
  <c r="BL67" i="1"/>
  <c r="BL66" i="1"/>
  <c r="BL65" i="1"/>
  <c r="BL64" i="1"/>
  <c r="BL63" i="1"/>
  <c r="BL62" i="1"/>
  <c r="BL61" i="1"/>
  <c r="BL60" i="1"/>
  <c r="BL59" i="1"/>
  <c r="BL58" i="1"/>
  <c r="BL57" i="1"/>
  <c r="BL56" i="1"/>
  <c r="BL55" i="1"/>
  <c r="BL54" i="1"/>
  <c r="BL53" i="1"/>
  <c r="BL52" i="1"/>
  <c r="BL51" i="1"/>
  <c r="BL50" i="1"/>
  <c r="BL49" i="1"/>
  <c r="BL48" i="1"/>
  <c r="BL47" i="1"/>
  <c r="BL46" i="1"/>
  <c r="BL45" i="1"/>
  <c r="BL44" i="1"/>
  <c r="BL43" i="1"/>
  <c r="BL42" i="1"/>
  <c r="BL41" i="1"/>
  <c r="BL40" i="1"/>
  <c r="BL39" i="1"/>
  <c r="BL38" i="1"/>
  <c r="BL37" i="1"/>
  <c r="BL36" i="1"/>
  <c r="BL35" i="1"/>
  <c r="BL34" i="1"/>
  <c r="BL33" i="1"/>
  <c r="BL32" i="1"/>
  <c r="BL31" i="1"/>
  <c r="BL30" i="1"/>
  <c r="BL29" i="1"/>
  <c r="BL28" i="1"/>
  <c r="BL27" i="1"/>
  <c r="BL26" i="1"/>
  <c r="BL25" i="1"/>
  <c r="BL24" i="1"/>
  <c r="BL23" i="1"/>
  <c r="BL22" i="1"/>
  <c r="BL21" i="1"/>
  <c r="BL20" i="1"/>
  <c r="BL19" i="1"/>
  <c r="BL17" i="1"/>
  <c r="BL16" i="1"/>
  <c r="BL15" i="1"/>
  <c r="BL18" i="1"/>
  <c r="BL14" i="1"/>
  <c r="BL13" i="1"/>
  <c r="BL12" i="1"/>
  <c r="BL11" i="1"/>
  <c r="BL10" i="1"/>
  <c r="BL9" i="1"/>
  <c r="BP6" i="1"/>
  <c r="BL5" i="1"/>
  <c r="BL4" i="1"/>
  <c r="BL3" i="1"/>
  <c r="BK5" i="1"/>
  <c r="BK4" i="1"/>
  <c r="BK3" i="1"/>
  <c r="BE10" i="1"/>
  <c r="BE9" i="1"/>
  <c r="BE8" i="1"/>
  <c r="BI8" i="1" s="1"/>
  <c r="BE7" i="1"/>
  <c r="BI7" i="1" s="1"/>
  <c r="BE6" i="1"/>
  <c r="BI6" i="1" s="1"/>
  <c r="BE5" i="1"/>
  <c r="BF5" i="1" s="1"/>
  <c r="BE4" i="1"/>
  <c r="BM4" i="1" s="1"/>
  <c r="BE3" i="1"/>
  <c r="BC3" i="1" s="1"/>
  <c r="BI3" i="1"/>
  <c r="BI80" i="1"/>
  <c r="BI79" i="1"/>
  <c r="BI78" i="1"/>
  <c r="BI77" i="1"/>
  <c r="BI76" i="1"/>
  <c r="BI75" i="1"/>
  <c r="BI74" i="1"/>
  <c r="BI73" i="1"/>
  <c r="BI72" i="1"/>
  <c r="BI71" i="1"/>
  <c r="BI70" i="1"/>
  <c r="BI69" i="1"/>
  <c r="BI68" i="1"/>
  <c r="BI67" i="1"/>
  <c r="BI66" i="1"/>
  <c r="BI65" i="1"/>
  <c r="BI64" i="1"/>
  <c r="BI63" i="1"/>
  <c r="BI62" i="1"/>
  <c r="BI61" i="1"/>
  <c r="BI60" i="1"/>
  <c r="BI59" i="1"/>
  <c r="BI58" i="1"/>
  <c r="BI57" i="1"/>
  <c r="BI56" i="1"/>
  <c r="BI55" i="1"/>
  <c r="BI54" i="1"/>
  <c r="BI53" i="1"/>
  <c r="BI52" i="1"/>
  <c r="BI51" i="1"/>
  <c r="BI50" i="1"/>
  <c r="BI49" i="1"/>
  <c r="BI48" i="1"/>
  <c r="BI47" i="1"/>
  <c r="BI46" i="1"/>
  <c r="BI45" i="1"/>
  <c r="BI44" i="1"/>
  <c r="BI43" i="1"/>
  <c r="BI42" i="1"/>
  <c r="BI41" i="1"/>
  <c r="BI40" i="1"/>
  <c r="BI39" i="1"/>
  <c r="BI38" i="1"/>
  <c r="BI37" i="1"/>
  <c r="BI36" i="1"/>
  <c r="BI35" i="1"/>
  <c r="BI34" i="1"/>
  <c r="BI33" i="1"/>
  <c r="BI32" i="1"/>
  <c r="BI31" i="1"/>
  <c r="BI30" i="1"/>
  <c r="BI29" i="1"/>
  <c r="BI28" i="1"/>
  <c r="BI27" i="1"/>
  <c r="BI26" i="1"/>
  <c r="BI25" i="1"/>
  <c r="BI24" i="1"/>
  <c r="BI23" i="1"/>
  <c r="BI22" i="1"/>
  <c r="BI21" i="1"/>
  <c r="BI20" i="1"/>
  <c r="BI19" i="1"/>
  <c r="BI18" i="1"/>
  <c r="BI17" i="1"/>
  <c r="BI16" i="1"/>
  <c r="BI15" i="1"/>
  <c r="BI14" i="1"/>
  <c r="BI13" i="1"/>
  <c r="BI12" i="1"/>
  <c r="BI11" i="1"/>
  <c r="BI10" i="1"/>
  <c r="BI9" i="1"/>
  <c r="BI5" i="1"/>
  <c r="BI4" i="1"/>
  <c r="BM80" i="1"/>
  <c r="BM79" i="1"/>
  <c r="BM78" i="1"/>
  <c r="BM77" i="1"/>
  <c r="BM76" i="1"/>
  <c r="BM75" i="1"/>
  <c r="BM74" i="1"/>
  <c r="BM73" i="1"/>
  <c r="BM72" i="1"/>
  <c r="BM71" i="1"/>
  <c r="BM70" i="1"/>
  <c r="BM69" i="1"/>
  <c r="BM68" i="1"/>
  <c r="BM67" i="1"/>
  <c r="BM66" i="1"/>
  <c r="BM65" i="1"/>
  <c r="BM64" i="1"/>
  <c r="BM63" i="1"/>
  <c r="BM62" i="1"/>
  <c r="BM61" i="1"/>
  <c r="BM60" i="1"/>
  <c r="BM59" i="1"/>
  <c r="BM58" i="1"/>
  <c r="BM57" i="1"/>
  <c r="BM56" i="1"/>
  <c r="BM55" i="1"/>
  <c r="BM54" i="1"/>
  <c r="BM53" i="1"/>
  <c r="BM52" i="1"/>
  <c r="BM51" i="1"/>
  <c r="BM50" i="1"/>
  <c r="BM49" i="1"/>
  <c r="BM48" i="1"/>
  <c r="BM47" i="1"/>
  <c r="BM46" i="1"/>
  <c r="BM45" i="1"/>
  <c r="BM44" i="1"/>
  <c r="BM43" i="1"/>
  <c r="BM42" i="1"/>
  <c r="BM41" i="1"/>
  <c r="BM40" i="1"/>
  <c r="BM39" i="1"/>
  <c r="BM38" i="1"/>
  <c r="BM37" i="1"/>
  <c r="BM36" i="1"/>
  <c r="BM35" i="1"/>
  <c r="BM34" i="1"/>
  <c r="BM33" i="1"/>
  <c r="BM32" i="1"/>
  <c r="BM31" i="1"/>
  <c r="BM30" i="1"/>
  <c r="BM29" i="1"/>
  <c r="BM28" i="1"/>
  <c r="BM27" i="1"/>
  <c r="BM26" i="1"/>
  <c r="BM25" i="1"/>
  <c r="BM24" i="1"/>
  <c r="BM23" i="1"/>
  <c r="BM22" i="1"/>
  <c r="BM21" i="1"/>
  <c r="BM20" i="1"/>
  <c r="BM19" i="1"/>
  <c r="BM18" i="1"/>
  <c r="BM17" i="1"/>
  <c r="BM16" i="1"/>
  <c r="BM15" i="1"/>
  <c r="BM14" i="1"/>
  <c r="BM13" i="1"/>
  <c r="BM12" i="1"/>
  <c r="BM11" i="1"/>
  <c r="BM10" i="1"/>
  <c r="BM9" i="1"/>
  <c r="BM8" i="1"/>
  <c r="BM7" i="1"/>
  <c r="BM6" i="1"/>
  <c r="BJ80" i="1"/>
  <c r="BJ79" i="1"/>
  <c r="BJ78" i="1"/>
  <c r="BJ74" i="1"/>
  <c r="BJ73" i="1"/>
  <c r="BJ72" i="1"/>
  <c r="BJ68" i="1"/>
  <c r="BJ67" i="1"/>
  <c r="BJ66" i="1"/>
  <c r="BJ62" i="1"/>
  <c r="BJ61" i="1"/>
  <c r="BJ60" i="1"/>
  <c r="BJ56" i="1"/>
  <c r="BJ55" i="1"/>
  <c r="BJ54" i="1"/>
  <c r="BJ50" i="1"/>
  <c r="BJ49" i="1"/>
  <c r="BJ48" i="1"/>
  <c r="BJ44" i="1"/>
  <c r="BJ43" i="1"/>
  <c r="BJ42" i="1"/>
  <c r="BJ38" i="1"/>
  <c r="BJ37" i="1"/>
  <c r="BJ36" i="1"/>
  <c r="BJ32" i="1"/>
  <c r="BJ31" i="1"/>
  <c r="BJ30" i="1"/>
  <c r="BJ26" i="1"/>
  <c r="BJ25" i="1"/>
  <c r="BJ24" i="1"/>
  <c r="BJ20" i="1"/>
  <c r="BJ19" i="1"/>
  <c r="BJ18" i="1"/>
  <c r="BJ14" i="1"/>
  <c r="BJ13" i="1"/>
  <c r="BJ12" i="1"/>
  <c r="BJ8" i="1"/>
  <c r="BJ7" i="1"/>
  <c r="BJ6" i="1"/>
  <c r="BG80" i="1"/>
  <c r="BF80" i="1"/>
  <c r="BG79" i="1"/>
  <c r="BF79" i="1"/>
  <c r="BG78" i="1"/>
  <c r="BF78" i="1"/>
  <c r="BG77" i="1"/>
  <c r="BF77" i="1"/>
  <c r="BG76" i="1"/>
  <c r="BF76" i="1"/>
  <c r="BG75" i="1"/>
  <c r="BF75" i="1"/>
  <c r="BG74" i="1"/>
  <c r="BF74" i="1"/>
  <c r="BG73" i="1"/>
  <c r="BF73" i="1"/>
  <c r="BG72" i="1"/>
  <c r="BF72" i="1"/>
  <c r="BG71" i="1"/>
  <c r="BF71" i="1"/>
  <c r="BG70" i="1"/>
  <c r="BF70" i="1"/>
  <c r="BG69" i="1"/>
  <c r="BF69" i="1"/>
  <c r="BG68" i="1"/>
  <c r="BF68" i="1"/>
  <c r="BG67" i="1"/>
  <c r="BF67" i="1"/>
  <c r="BG66" i="1"/>
  <c r="BF66" i="1"/>
  <c r="BG65" i="1"/>
  <c r="BF65" i="1"/>
  <c r="BG64" i="1"/>
  <c r="BF64" i="1"/>
  <c r="BG63" i="1"/>
  <c r="BF63" i="1"/>
  <c r="BG62" i="1"/>
  <c r="BF62" i="1"/>
  <c r="BG61" i="1"/>
  <c r="BF61" i="1"/>
  <c r="BG60" i="1"/>
  <c r="BF60" i="1"/>
  <c r="BG59" i="1"/>
  <c r="BF59" i="1"/>
  <c r="BG58" i="1"/>
  <c r="BF58" i="1"/>
  <c r="BG57" i="1"/>
  <c r="BF57" i="1"/>
  <c r="BG56" i="1"/>
  <c r="BF56" i="1"/>
  <c r="BG55" i="1"/>
  <c r="BF55" i="1"/>
  <c r="BG54" i="1"/>
  <c r="BF54" i="1"/>
  <c r="BG53" i="1"/>
  <c r="BF53" i="1"/>
  <c r="BG52" i="1"/>
  <c r="BF52" i="1"/>
  <c r="BG51" i="1"/>
  <c r="BF51" i="1"/>
  <c r="BG50" i="1"/>
  <c r="BF50" i="1"/>
  <c r="BG49" i="1"/>
  <c r="BF49" i="1"/>
  <c r="BG48" i="1"/>
  <c r="BF48" i="1"/>
  <c r="BG47" i="1"/>
  <c r="BF47" i="1"/>
  <c r="BG46" i="1"/>
  <c r="BF46" i="1"/>
  <c r="BG45" i="1"/>
  <c r="BF45" i="1"/>
  <c r="BG44" i="1"/>
  <c r="BF44" i="1"/>
  <c r="BG43" i="1"/>
  <c r="BF43" i="1"/>
  <c r="BG42" i="1"/>
  <c r="BF42" i="1"/>
  <c r="BG41" i="1"/>
  <c r="BF41" i="1"/>
  <c r="BG40" i="1"/>
  <c r="BF40" i="1"/>
  <c r="BG39" i="1"/>
  <c r="BF39" i="1"/>
  <c r="BG38" i="1"/>
  <c r="BF38" i="1"/>
  <c r="BG37" i="1"/>
  <c r="BF37" i="1"/>
  <c r="BG36" i="1"/>
  <c r="BF36" i="1"/>
  <c r="BG35" i="1"/>
  <c r="BF35" i="1"/>
  <c r="BG34" i="1"/>
  <c r="BF34" i="1"/>
  <c r="BG33" i="1"/>
  <c r="BF33" i="1"/>
  <c r="BG32" i="1"/>
  <c r="BF32" i="1"/>
  <c r="BG31" i="1"/>
  <c r="BF31" i="1"/>
  <c r="BG30" i="1"/>
  <c r="BF30" i="1"/>
  <c r="BG29" i="1"/>
  <c r="BF29" i="1"/>
  <c r="BG28" i="1"/>
  <c r="BF28" i="1"/>
  <c r="BG27" i="1"/>
  <c r="BF27" i="1"/>
  <c r="BG26" i="1"/>
  <c r="BF26" i="1"/>
  <c r="BG25" i="1"/>
  <c r="BF25" i="1"/>
  <c r="BG24" i="1"/>
  <c r="BF24" i="1"/>
  <c r="BG23" i="1"/>
  <c r="BF23" i="1"/>
  <c r="BG22" i="1"/>
  <c r="BF22" i="1"/>
  <c r="BG21" i="1"/>
  <c r="BF21" i="1"/>
  <c r="BG20" i="1"/>
  <c r="BF20" i="1"/>
  <c r="BG19" i="1"/>
  <c r="BF19" i="1"/>
  <c r="BG18" i="1"/>
  <c r="BF18" i="1"/>
  <c r="BG17" i="1"/>
  <c r="BF17" i="1"/>
  <c r="BG16" i="1"/>
  <c r="BF16" i="1"/>
  <c r="BG15" i="1"/>
  <c r="BF15" i="1"/>
  <c r="BG14" i="1"/>
  <c r="BF14" i="1"/>
  <c r="BG13" i="1"/>
  <c r="BF13" i="1"/>
  <c r="BG12" i="1"/>
  <c r="BF12" i="1"/>
  <c r="BG11" i="1"/>
  <c r="BF11" i="1"/>
  <c r="BG10" i="1"/>
  <c r="BF10" i="1"/>
  <c r="BG9" i="1"/>
  <c r="BF9" i="1"/>
  <c r="BG8" i="1"/>
  <c r="BF8" i="1"/>
  <c r="BG7" i="1"/>
  <c r="BG6" i="1"/>
  <c r="BG5" i="1"/>
  <c r="BG4" i="1"/>
  <c r="BG3" i="1"/>
  <c r="BE80" i="1"/>
  <c r="BE79" i="1"/>
  <c r="BE78" i="1"/>
  <c r="BE77" i="1"/>
  <c r="BE76" i="1"/>
  <c r="BE75" i="1"/>
  <c r="BE74" i="1"/>
  <c r="BE73" i="1"/>
  <c r="BE72" i="1"/>
  <c r="BE71" i="1"/>
  <c r="BE70" i="1"/>
  <c r="BE69" i="1"/>
  <c r="BE68" i="1"/>
  <c r="BE67" i="1"/>
  <c r="BE66" i="1"/>
  <c r="BE65" i="1"/>
  <c r="BE64" i="1"/>
  <c r="BE63" i="1"/>
  <c r="BE62" i="1"/>
  <c r="BE61" i="1"/>
  <c r="BE60" i="1"/>
  <c r="BE59" i="1"/>
  <c r="BE58" i="1"/>
  <c r="BE57" i="1"/>
  <c r="BE56" i="1"/>
  <c r="BE55" i="1"/>
  <c r="BE54" i="1"/>
  <c r="BE53" i="1"/>
  <c r="BE52" i="1"/>
  <c r="BE51" i="1"/>
  <c r="BE50" i="1"/>
  <c r="BE49" i="1"/>
  <c r="BE48" i="1"/>
  <c r="BE47" i="1"/>
  <c r="BE46" i="1"/>
  <c r="BE45" i="1"/>
  <c r="BE44" i="1"/>
  <c r="BE43" i="1"/>
  <c r="BE42" i="1"/>
  <c r="BE41" i="1"/>
  <c r="BE40" i="1"/>
  <c r="BE39" i="1"/>
  <c r="BE38" i="1"/>
  <c r="BE37" i="1"/>
  <c r="BE36" i="1"/>
  <c r="BE35" i="1"/>
  <c r="BE34" i="1"/>
  <c r="BE33" i="1"/>
  <c r="BE32" i="1"/>
  <c r="BE31" i="1"/>
  <c r="BE30" i="1"/>
  <c r="BE29" i="1"/>
  <c r="BE28" i="1"/>
  <c r="BE27" i="1"/>
  <c r="BE26" i="1"/>
  <c r="BE25" i="1"/>
  <c r="BE24" i="1"/>
  <c r="BE23" i="1"/>
  <c r="BE22" i="1"/>
  <c r="BE21" i="1"/>
  <c r="BE20" i="1"/>
  <c r="BE19" i="1"/>
  <c r="BE18" i="1"/>
  <c r="BE17" i="1"/>
  <c r="BE16" i="1"/>
  <c r="BE15" i="1"/>
  <c r="BE14" i="1"/>
  <c r="BE13" i="1"/>
  <c r="BE12" i="1"/>
  <c r="BE1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R80" i="1"/>
  <c r="AR79" i="1"/>
  <c r="AR78" i="1"/>
  <c r="AR77" i="1"/>
  <c r="AR76" i="1"/>
  <c r="AR75" i="1"/>
  <c r="AR74" i="1"/>
  <c r="AR73" i="1"/>
  <c r="AR72" i="1"/>
  <c r="AR71" i="1"/>
  <c r="AR70" i="1"/>
  <c r="AR69" i="1"/>
  <c r="AR68" i="1"/>
  <c r="AR67" i="1"/>
  <c r="AR66" i="1"/>
  <c r="AR65" i="1"/>
  <c r="AR64" i="1"/>
  <c r="AR63" i="1"/>
  <c r="AR62" i="1"/>
  <c r="AR61" i="1"/>
  <c r="AR60" i="1"/>
  <c r="AR59" i="1"/>
  <c r="AR58" i="1"/>
  <c r="AR57" i="1"/>
  <c r="AR56" i="1"/>
  <c r="AR55" i="1"/>
  <c r="AR54" i="1"/>
  <c r="AR53" i="1"/>
  <c r="AR52" i="1"/>
  <c r="AR51" i="1"/>
  <c r="AR50" i="1"/>
  <c r="AR49" i="1"/>
  <c r="AR48" i="1"/>
  <c r="AR47" i="1"/>
  <c r="AR46" i="1"/>
  <c r="AR45" i="1"/>
  <c r="AR44" i="1"/>
  <c r="AR43" i="1"/>
  <c r="AR42" i="1"/>
  <c r="AR41" i="1"/>
  <c r="AR40" i="1"/>
  <c r="AR39" i="1"/>
  <c r="AR38" i="1"/>
  <c r="AR37" i="1"/>
  <c r="AR36" i="1"/>
  <c r="AR35" i="1"/>
  <c r="AR34" i="1"/>
  <c r="AR33" i="1"/>
  <c r="AR32" i="1"/>
  <c r="AR31" i="1"/>
  <c r="AR30" i="1"/>
  <c r="AR29" i="1"/>
  <c r="AR28" i="1"/>
  <c r="AR27" i="1"/>
  <c r="AR26" i="1"/>
  <c r="AR25" i="1"/>
  <c r="AR24" i="1"/>
  <c r="AR23" i="1"/>
  <c r="AR22" i="1"/>
  <c r="AR21" i="1"/>
  <c r="AR20" i="1"/>
  <c r="AR19" i="1"/>
  <c r="AR18" i="1"/>
  <c r="AR17" i="1"/>
  <c r="AR16" i="1"/>
  <c r="AR15" i="1"/>
  <c r="AR14" i="1"/>
  <c r="AR13" i="1"/>
  <c r="AR12" i="1"/>
  <c r="AR11" i="1"/>
  <c r="AR10" i="1"/>
  <c r="AR9" i="1"/>
  <c r="AQ12" i="1"/>
  <c r="AQ80" i="1"/>
  <c r="AQ79" i="1"/>
  <c r="AQ78" i="1"/>
  <c r="AQ77" i="1"/>
  <c r="AQ76" i="1"/>
  <c r="AQ75" i="1"/>
  <c r="AQ74" i="1"/>
  <c r="AQ73" i="1"/>
  <c r="AQ72" i="1"/>
  <c r="AQ71" i="1"/>
  <c r="AQ70" i="1"/>
  <c r="AQ69" i="1"/>
  <c r="AQ68" i="1"/>
  <c r="AQ67" i="1"/>
  <c r="AQ66" i="1"/>
  <c r="AQ65" i="1"/>
  <c r="AQ64" i="1"/>
  <c r="AQ63" i="1"/>
  <c r="AQ62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3" i="1"/>
  <c r="AQ32" i="1"/>
  <c r="AQ31" i="1"/>
  <c r="AQ30" i="1"/>
  <c r="AQ29" i="1"/>
  <c r="AQ28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1" i="1"/>
  <c r="AQ10" i="1"/>
  <c r="AQ9" i="1"/>
  <c r="BF7" i="1" l="1"/>
  <c r="BF6" i="1"/>
  <c r="BF4" i="1"/>
  <c r="BJ3" i="1"/>
  <c r="BO3" i="1" s="1"/>
  <c r="AM3" i="1" s="1"/>
  <c r="BF3" i="1"/>
  <c r="BM3" i="1"/>
  <c r="BP3" i="1" s="1"/>
  <c r="BP74" i="1"/>
  <c r="BK74" i="1"/>
  <c r="BC74" i="1"/>
  <c r="BD74" i="1" s="1"/>
  <c r="AH74" i="1"/>
  <c r="BP73" i="1"/>
  <c r="BK73" i="1"/>
  <c r="BO73" i="1"/>
  <c r="AM73" i="1" s="1"/>
  <c r="BH73" i="1" s="1"/>
  <c r="AH73" i="1"/>
  <c r="BP72" i="1"/>
  <c r="BK72" i="1"/>
  <c r="BN72" i="1"/>
  <c r="BC72" i="1"/>
  <c r="BD72" i="1" s="1"/>
  <c r="AH72" i="1"/>
  <c r="BP71" i="1"/>
  <c r="BK71" i="1"/>
  <c r="AH71" i="1"/>
  <c r="BP70" i="1"/>
  <c r="BK70" i="1"/>
  <c r="AH70" i="1"/>
  <c r="BP69" i="1"/>
  <c r="BK69" i="1"/>
  <c r="BC69" i="1"/>
  <c r="BD69" i="1" s="1"/>
  <c r="AH69" i="1"/>
  <c r="BP68" i="1"/>
  <c r="BK68" i="1"/>
  <c r="AH68" i="1"/>
  <c r="BP67" i="1"/>
  <c r="BK67" i="1"/>
  <c r="BC67" i="1"/>
  <c r="BD67" i="1" s="1"/>
  <c r="AH67" i="1"/>
  <c r="BP66" i="1"/>
  <c r="BK66" i="1"/>
  <c r="AH66" i="1"/>
  <c r="BP65" i="1"/>
  <c r="BK65" i="1"/>
  <c r="BC65" i="1"/>
  <c r="BD65" i="1" s="1"/>
  <c r="AH65" i="1"/>
  <c r="BP64" i="1"/>
  <c r="BK64" i="1"/>
  <c r="BC64" i="1"/>
  <c r="BD64" i="1" s="1"/>
  <c r="AH64" i="1"/>
  <c r="BP63" i="1"/>
  <c r="BK63" i="1"/>
  <c r="AH63" i="1"/>
  <c r="BP62" i="1"/>
  <c r="BK62" i="1"/>
  <c r="BC62" i="1"/>
  <c r="BD62" i="1" s="1"/>
  <c r="AH62" i="1"/>
  <c r="BP61" i="1"/>
  <c r="BK61" i="1"/>
  <c r="BC61" i="1"/>
  <c r="BD61" i="1" s="1"/>
  <c r="AH61" i="1"/>
  <c r="BP60" i="1"/>
  <c r="BK60" i="1"/>
  <c r="BO60" i="1"/>
  <c r="AM60" i="1" s="1"/>
  <c r="BH60" i="1" s="1"/>
  <c r="BC60" i="1"/>
  <c r="BD60" i="1" s="1"/>
  <c r="AH60" i="1"/>
  <c r="BP59" i="1"/>
  <c r="BK59" i="1"/>
  <c r="BC59" i="1"/>
  <c r="BD59" i="1" s="1"/>
  <c r="AH59" i="1"/>
  <c r="BP58" i="1"/>
  <c r="BK58" i="1"/>
  <c r="AH58" i="1"/>
  <c r="BP57" i="1"/>
  <c r="BK57" i="1"/>
  <c r="BC57" i="1"/>
  <c r="BD57" i="1" s="1"/>
  <c r="AH57" i="1"/>
  <c r="BP56" i="1"/>
  <c r="BK56" i="1"/>
  <c r="AH56" i="1"/>
  <c r="BP55" i="1"/>
  <c r="BK55" i="1"/>
  <c r="AH55" i="1"/>
  <c r="BP54" i="1"/>
  <c r="BK54" i="1"/>
  <c r="BC54" i="1"/>
  <c r="BD54" i="1" s="1"/>
  <c r="AH54" i="1"/>
  <c r="BP53" i="1"/>
  <c r="BK53" i="1"/>
  <c r="AH53" i="1"/>
  <c r="BP52" i="1"/>
  <c r="BK52" i="1"/>
  <c r="BC52" i="1"/>
  <c r="BD52" i="1" s="1"/>
  <c r="AH52" i="1"/>
  <c r="BP51" i="1"/>
  <c r="BK51" i="1"/>
  <c r="AH51" i="1"/>
  <c r="BP50" i="1"/>
  <c r="BK50" i="1"/>
  <c r="AH50" i="1"/>
  <c r="BP49" i="1"/>
  <c r="BK49" i="1"/>
  <c r="AH49" i="1"/>
  <c r="BP48" i="1"/>
  <c r="BK48" i="1"/>
  <c r="AH48" i="1"/>
  <c r="BP47" i="1"/>
  <c r="BK47" i="1"/>
  <c r="AH47" i="1"/>
  <c r="BP46" i="1"/>
  <c r="BK46" i="1"/>
  <c r="BC46" i="1"/>
  <c r="BD46" i="1" s="1"/>
  <c r="AH46" i="1"/>
  <c r="BP45" i="1"/>
  <c r="BK45" i="1"/>
  <c r="AH45" i="1"/>
  <c r="BP44" i="1"/>
  <c r="BK44" i="1"/>
  <c r="AH44" i="1"/>
  <c r="BP43" i="1"/>
  <c r="BK43" i="1"/>
  <c r="AH43" i="1"/>
  <c r="BP42" i="1"/>
  <c r="BK42" i="1"/>
  <c r="AH42" i="1"/>
  <c r="BP41" i="1"/>
  <c r="BK41" i="1"/>
  <c r="BC41" i="1"/>
  <c r="BD41" i="1" s="1"/>
  <c r="AH41" i="1"/>
  <c r="BP40" i="1"/>
  <c r="BK40" i="1"/>
  <c r="AH40" i="1"/>
  <c r="BP39" i="1"/>
  <c r="BK39" i="1"/>
  <c r="BC39" i="1"/>
  <c r="BD39" i="1" s="1"/>
  <c r="AH39" i="1"/>
  <c r="BP38" i="1"/>
  <c r="BK38" i="1"/>
  <c r="AH38" i="1"/>
  <c r="BP37" i="1"/>
  <c r="BK37" i="1"/>
  <c r="AH37" i="1"/>
  <c r="BP36" i="1"/>
  <c r="BK36" i="1"/>
  <c r="AH36" i="1"/>
  <c r="BP35" i="1"/>
  <c r="BK35" i="1"/>
  <c r="AH35" i="1"/>
  <c r="BP34" i="1"/>
  <c r="BK34" i="1"/>
  <c r="BC34" i="1"/>
  <c r="BD34" i="1" s="1"/>
  <c r="AH34" i="1"/>
  <c r="BP33" i="1"/>
  <c r="BK33" i="1"/>
  <c r="BC33" i="1"/>
  <c r="BD33" i="1" s="1"/>
  <c r="AH33" i="1"/>
  <c r="BP32" i="1"/>
  <c r="BK32" i="1"/>
  <c r="AH32" i="1"/>
  <c r="BP31" i="1"/>
  <c r="BK31" i="1"/>
  <c r="AH31" i="1"/>
  <c r="BP30" i="1"/>
  <c r="BK30" i="1"/>
  <c r="AH30" i="1"/>
  <c r="BP29" i="1"/>
  <c r="BK29" i="1"/>
  <c r="BC29" i="1"/>
  <c r="BD29" i="1" s="1"/>
  <c r="AH29" i="1"/>
  <c r="BP28" i="1"/>
  <c r="BK28" i="1"/>
  <c r="BC28" i="1"/>
  <c r="BD28" i="1" s="1"/>
  <c r="AH28" i="1"/>
  <c r="BP27" i="1"/>
  <c r="BK27" i="1"/>
  <c r="AH27" i="1"/>
  <c r="BP26" i="1"/>
  <c r="BK26" i="1"/>
  <c r="AH26" i="1"/>
  <c r="BP25" i="1"/>
  <c r="BK25" i="1"/>
  <c r="AH25" i="1"/>
  <c r="BP24" i="1"/>
  <c r="BK24" i="1"/>
  <c r="AH24" i="1"/>
  <c r="BP23" i="1"/>
  <c r="BK23" i="1"/>
  <c r="AH23" i="1"/>
  <c r="BP22" i="1"/>
  <c r="BK22" i="1"/>
  <c r="BC22" i="1"/>
  <c r="BD22" i="1" s="1"/>
  <c r="AH22" i="1"/>
  <c r="BP21" i="1"/>
  <c r="BK21" i="1"/>
  <c r="BC21" i="1"/>
  <c r="BD21" i="1" s="1"/>
  <c r="AH21" i="1"/>
  <c r="BP20" i="1"/>
  <c r="BK20" i="1"/>
  <c r="AH20" i="1"/>
  <c r="BP19" i="1"/>
  <c r="BK19" i="1"/>
  <c r="AH19" i="1"/>
  <c r="BP18" i="1"/>
  <c r="BK18" i="1"/>
  <c r="AH18" i="1"/>
  <c r="BP17" i="1"/>
  <c r="BK17" i="1"/>
  <c r="BC17" i="1"/>
  <c r="BD17" i="1" s="1"/>
  <c r="AH17" i="1"/>
  <c r="BP16" i="1"/>
  <c r="BK16" i="1"/>
  <c r="AH16" i="1"/>
  <c r="BP15" i="1"/>
  <c r="BK15" i="1"/>
  <c r="AH15" i="1"/>
  <c r="BP14" i="1"/>
  <c r="BK14" i="1"/>
  <c r="AH14" i="1"/>
  <c r="BP13" i="1"/>
  <c r="BK13" i="1"/>
  <c r="AH13" i="1"/>
  <c r="BK12" i="1"/>
  <c r="AH12" i="1"/>
  <c r="BP11" i="1"/>
  <c r="BK11" i="1"/>
  <c r="BC11" i="1"/>
  <c r="BD11" i="1" s="1"/>
  <c r="AH11" i="1"/>
  <c r="BP10" i="1"/>
  <c r="BK10" i="1"/>
  <c r="AH10" i="1"/>
  <c r="BP9" i="1"/>
  <c r="BK9" i="1"/>
  <c r="AH9" i="1"/>
  <c r="BP80" i="1"/>
  <c r="BK80" i="1"/>
  <c r="AH80" i="1"/>
  <c r="BP79" i="1"/>
  <c r="BK79" i="1"/>
  <c r="AH79" i="1"/>
  <c r="BP78" i="1"/>
  <c r="BK78" i="1"/>
  <c r="AH78" i="1"/>
  <c r="BP77" i="1"/>
  <c r="BK77" i="1"/>
  <c r="BC77" i="1"/>
  <c r="BD77" i="1" s="1"/>
  <c r="AH77" i="1"/>
  <c r="BP76" i="1"/>
  <c r="BK76" i="1"/>
  <c r="AH76" i="1"/>
  <c r="BP75" i="1"/>
  <c r="BK75" i="1"/>
  <c r="AH75" i="1"/>
  <c r="BK6" i="1"/>
  <c r="AH6" i="1"/>
  <c r="BP4" i="1"/>
  <c r="AH4" i="1"/>
  <c r="BN3" i="1" l="1"/>
  <c r="BO72" i="1"/>
  <c r="AM72" i="1" s="1"/>
  <c r="BH72" i="1" s="1"/>
  <c r="BO74" i="1"/>
  <c r="AM74" i="1" s="1"/>
  <c r="BH74" i="1" s="1"/>
  <c r="BN74" i="1"/>
  <c r="BN67" i="1"/>
  <c r="BO67" i="1"/>
  <c r="AM67" i="1" s="1"/>
  <c r="BH67" i="1" s="1"/>
  <c r="BC73" i="1"/>
  <c r="BD73" i="1" s="1"/>
  <c r="BC71" i="1"/>
  <c r="BD71" i="1" s="1"/>
  <c r="BC43" i="1"/>
  <c r="BD43" i="1" s="1"/>
  <c r="BC70" i="1"/>
  <c r="BD70" i="1" s="1"/>
  <c r="BC68" i="1"/>
  <c r="BD68" i="1" s="1"/>
  <c r="BN73" i="1"/>
  <c r="BN66" i="1"/>
  <c r="BO66" i="1"/>
  <c r="AM66" i="1" s="1"/>
  <c r="BH66" i="1" s="1"/>
  <c r="BO68" i="1"/>
  <c r="AM68" i="1" s="1"/>
  <c r="BH68" i="1" s="1"/>
  <c r="BN68" i="1"/>
  <c r="BN60" i="1"/>
  <c r="BC44" i="1"/>
  <c r="BD44" i="1" s="1"/>
  <c r="BC66" i="1"/>
  <c r="BD66" i="1" s="1"/>
  <c r="BC63" i="1"/>
  <c r="BD63" i="1" s="1"/>
  <c r="BO61" i="1"/>
  <c r="AM61" i="1" s="1"/>
  <c r="BH61" i="1" s="1"/>
  <c r="BN61" i="1"/>
  <c r="BC40" i="1"/>
  <c r="BD40" i="1" s="1"/>
  <c r="BO49" i="1"/>
  <c r="AM49" i="1" s="1"/>
  <c r="BH49" i="1" s="1"/>
  <c r="BC55" i="1"/>
  <c r="BD55" i="1" s="1"/>
  <c r="BC58" i="1"/>
  <c r="BD58" i="1" s="1"/>
  <c r="BO55" i="1"/>
  <c r="AM55" i="1" s="1"/>
  <c r="BH55" i="1" s="1"/>
  <c r="BN48" i="1"/>
  <c r="BO48" i="1"/>
  <c r="AM48" i="1" s="1"/>
  <c r="BH48" i="1" s="1"/>
  <c r="BN54" i="1"/>
  <c r="BO54" i="1"/>
  <c r="AM54" i="1" s="1"/>
  <c r="BH54" i="1" s="1"/>
  <c r="BO56" i="1"/>
  <c r="AM56" i="1" s="1"/>
  <c r="BH56" i="1" s="1"/>
  <c r="BN56" i="1"/>
  <c r="BC56" i="1"/>
  <c r="BD56" i="1" s="1"/>
  <c r="BC49" i="1"/>
  <c r="BD49" i="1" s="1"/>
  <c r="BC53" i="1"/>
  <c r="BD53" i="1" s="1"/>
  <c r="BC51" i="1"/>
  <c r="BD51" i="1" s="1"/>
  <c r="BC48" i="1"/>
  <c r="BD48" i="1" s="1"/>
  <c r="BO50" i="1"/>
  <c r="AM50" i="1" s="1"/>
  <c r="BH50" i="1" s="1"/>
  <c r="BN50" i="1"/>
  <c r="BC50" i="1"/>
  <c r="BD50" i="1" s="1"/>
  <c r="BC30" i="1"/>
  <c r="BD30" i="1" s="1"/>
  <c r="BC36" i="1"/>
  <c r="BD36" i="1" s="1"/>
  <c r="BC47" i="1"/>
  <c r="BD47" i="1" s="1"/>
  <c r="BC45" i="1"/>
  <c r="BD45" i="1" s="1"/>
  <c r="BC31" i="1"/>
  <c r="BD31" i="1" s="1"/>
  <c r="BO43" i="1"/>
  <c r="AM43" i="1" s="1"/>
  <c r="BH43" i="1" s="1"/>
  <c r="BN43" i="1"/>
  <c r="BN42" i="1"/>
  <c r="BO42" i="1"/>
  <c r="AM42" i="1" s="1"/>
  <c r="BH42" i="1" s="1"/>
  <c r="BO44" i="1"/>
  <c r="AM44" i="1" s="1"/>
  <c r="BH44" i="1" s="1"/>
  <c r="BN44" i="1"/>
  <c r="BC42" i="1"/>
  <c r="BD42" i="1" s="1"/>
  <c r="BC35" i="1"/>
  <c r="BD35" i="1" s="1"/>
  <c r="BC24" i="1"/>
  <c r="BD24" i="1" s="1"/>
  <c r="BO37" i="1"/>
  <c r="AM37" i="1" s="1"/>
  <c r="BH37" i="1" s="1"/>
  <c r="BN37" i="1"/>
  <c r="BO38" i="1"/>
  <c r="AM38" i="1" s="1"/>
  <c r="BH38" i="1" s="1"/>
  <c r="BN38" i="1"/>
  <c r="BN36" i="1"/>
  <c r="BO36" i="1"/>
  <c r="AM36" i="1" s="1"/>
  <c r="BH36" i="1" s="1"/>
  <c r="BC38" i="1"/>
  <c r="BD38" i="1" s="1"/>
  <c r="BC37" i="1"/>
  <c r="BD37" i="1" s="1"/>
  <c r="BC32" i="1"/>
  <c r="BD32" i="1" s="1"/>
  <c r="BN30" i="1"/>
  <c r="BO30" i="1"/>
  <c r="AM30" i="1" s="1"/>
  <c r="BH30" i="1" s="1"/>
  <c r="BO32" i="1"/>
  <c r="AM32" i="1" s="1"/>
  <c r="BH32" i="1" s="1"/>
  <c r="BN32" i="1"/>
  <c r="BO31" i="1"/>
  <c r="AM31" i="1" s="1"/>
  <c r="BH31" i="1" s="1"/>
  <c r="BN31" i="1"/>
  <c r="BC23" i="1"/>
  <c r="BD23" i="1" s="1"/>
  <c r="BC25" i="1"/>
  <c r="BD25" i="1" s="1"/>
  <c r="BC27" i="1"/>
  <c r="BD27" i="1" s="1"/>
  <c r="BN24" i="1"/>
  <c r="BO24" i="1"/>
  <c r="AM24" i="1" s="1"/>
  <c r="BH24" i="1" s="1"/>
  <c r="BC19" i="1"/>
  <c r="BD19" i="1" s="1"/>
  <c r="BO25" i="1"/>
  <c r="AM25" i="1" s="1"/>
  <c r="BH25" i="1" s="1"/>
  <c r="BN25" i="1"/>
  <c r="BO26" i="1"/>
  <c r="AM26" i="1" s="1"/>
  <c r="BH26" i="1" s="1"/>
  <c r="BN26" i="1"/>
  <c r="BC76" i="1"/>
  <c r="BD76" i="1" s="1"/>
  <c r="BC26" i="1"/>
  <c r="BD26" i="1" s="1"/>
  <c r="BN12" i="1"/>
  <c r="BO19" i="1"/>
  <c r="AM19" i="1" s="1"/>
  <c r="BH19" i="1" s="1"/>
  <c r="BC20" i="1"/>
  <c r="BD20" i="1" s="1"/>
  <c r="BC12" i="1"/>
  <c r="BD12" i="1" s="1"/>
  <c r="BO20" i="1"/>
  <c r="AM20" i="1" s="1"/>
  <c r="BH20" i="1" s="1"/>
  <c r="BC13" i="1"/>
  <c r="BD13" i="1" s="1"/>
  <c r="BC15" i="1"/>
  <c r="BD15" i="1" s="1"/>
  <c r="BC18" i="1"/>
  <c r="BD18" i="1" s="1"/>
  <c r="BN18" i="1"/>
  <c r="BC6" i="1"/>
  <c r="BD6" i="1" s="1"/>
  <c r="BC16" i="1"/>
  <c r="BD16" i="1" s="1"/>
  <c r="BO80" i="1"/>
  <c r="AM80" i="1" s="1"/>
  <c r="BH80" i="1" s="1"/>
  <c r="BC14" i="1"/>
  <c r="BD14" i="1" s="1"/>
  <c r="BO14" i="1"/>
  <c r="AM14" i="1" s="1"/>
  <c r="BH14" i="1" s="1"/>
  <c r="BN14" i="1"/>
  <c r="BO13" i="1"/>
  <c r="AM13" i="1" s="1"/>
  <c r="BH13" i="1" s="1"/>
  <c r="BN13" i="1"/>
  <c r="BC10" i="1"/>
  <c r="BD10" i="1" s="1"/>
  <c r="BC78" i="1"/>
  <c r="BD78" i="1" s="1"/>
  <c r="BC9" i="1"/>
  <c r="BD9" i="1" s="1"/>
  <c r="BC80" i="1"/>
  <c r="BD80" i="1" s="1"/>
  <c r="BC75" i="1"/>
  <c r="BD75" i="1" s="1"/>
  <c r="BN79" i="1"/>
  <c r="BO79" i="1"/>
  <c r="AM79" i="1" s="1"/>
  <c r="BH79" i="1" s="1"/>
  <c r="BC79" i="1"/>
  <c r="BD79" i="1" s="1"/>
  <c r="BO6" i="1"/>
  <c r="AM6" i="1" s="1"/>
  <c r="BH6" i="1" s="1"/>
  <c r="BN6" i="1"/>
  <c r="BC4" i="1"/>
  <c r="BD4" i="1" s="1"/>
  <c r="BP7" i="1"/>
  <c r="BP8" i="1"/>
  <c r="BO62" i="1" l="1"/>
  <c r="AM62" i="1" s="1"/>
  <c r="BH62" i="1" s="1"/>
  <c r="BN62" i="1"/>
  <c r="BN55" i="1"/>
  <c r="BN49" i="1"/>
  <c r="BN19" i="1"/>
  <c r="BO12" i="1"/>
  <c r="AM12" i="1" s="1"/>
  <c r="BH12" i="1" s="1"/>
  <c r="BO18" i="1"/>
  <c r="AM18" i="1" s="1"/>
  <c r="BH18" i="1" s="1"/>
  <c r="BN80" i="1"/>
  <c r="BN20" i="1"/>
  <c r="BO78" i="1"/>
  <c r="AM78" i="1" s="1"/>
  <c r="BH78" i="1" s="1"/>
  <c r="BN78" i="1"/>
  <c r="AH8" i="1"/>
  <c r="AH7" i="1"/>
  <c r="AH5" i="1"/>
  <c r="AH3" i="1"/>
  <c r="BK7" i="1" l="1"/>
  <c r="BK8" i="1"/>
  <c r="BD3" i="1" l="1"/>
  <c r="BC5" i="1"/>
  <c r="BD5" i="1" s="1"/>
  <c r="BC7" i="1" l="1"/>
  <c r="BD7" i="1" s="1"/>
  <c r="BC8" i="1"/>
  <c r="BD8" i="1" s="1"/>
  <c r="BN8" i="1" l="1"/>
  <c r="BO8" i="1"/>
  <c r="AM8" i="1" s="1"/>
  <c r="BH8" i="1" s="1"/>
  <c r="BN7" i="1"/>
  <c r="BO7" i="1"/>
  <c r="AM7" i="1" s="1"/>
  <c r="BH7" i="1" s="1"/>
  <c r="BO29" i="1"/>
  <c r="AM29" i="1" s="1"/>
  <c r="BH29" i="1" s="1"/>
  <c r="BO16" i="1"/>
  <c r="AM16" i="1" s="1"/>
  <c r="BH16" i="1" s="1"/>
  <c r="BN27" i="1"/>
  <c r="BO63" i="1"/>
  <c r="AM63" i="1" s="1"/>
  <c r="BH63" i="1" s="1"/>
  <c r="BO15" i="1"/>
  <c r="AM15" i="1" s="1"/>
  <c r="BH15" i="1" s="1"/>
  <c r="BJ29" i="1"/>
  <c r="BN29" i="1" s="1"/>
  <c r="BN4" i="1"/>
  <c r="BO41" i="1"/>
  <c r="AM41" i="1" s="1"/>
  <c r="BH41" i="1" s="1"/>
  <c r="BO65" i="1"/>
  <c r="AM65" i="1" s="1"/>
  <c r="BH65" i="1" s="1"/>
  <c r="BJ5" i="1"/>
  <c r="BN5" i="1" s="1"/>
  <c r="BH3" i="1"/>
  <c r="BJ52" i="1"/>
  <c r="BO52" i="1" s="1"/>
  <c r="AM52" i="1" s="1"/>
  <c r="BH52" i="1" s="1"/>
  <c r="BN52" i="1"/>
  <c r="BO70" i="1"/>
  <c r="AM70" i="1" s="1"/>
  <c r="BH70" i="1" s="1"/>
  <c r="BJ17" i="1"/>
  <c r="BO17" i="1" s="1"/>
  <c r="AM17" i="1" s="1"/>
  <c r="BH17" i="1" s="1"/>
  <c r="BN17" i="1"/>
  <c r="BN51" i="1"/>
  <c r="BN35" i="1"/>
  <c r="BJ51" i="1"/>
  <c r="BO51" i="1"/>
  <c r="AM51" i="1"/>
  <c r="BH51" i="1"/>
  <c r="BJ16" i="1"/>
  <c r="BN16" i="1"/>
  <c r="BN28" i="1"/>
  <c r="BJ10" i="1"/>
  <c r="BO10" i="1" s="1"/>
  <c r="AM10" i="1" s="1"/>
  <c r="BH10" i="1" s="1"/>
  <c r="BN10" i="1"/>
  <c r="BJ15" i="1"/>
  <c r="BN15" i="1"/>
  <c r="BJ4" i="1"/>
  <c r="BO4" i="1" s="1"/>
  <c r="AM4" i="1" s="1"/>
  <c r="BH4" i="1" s="1"/>
  <c r="BJ63" i="1"/>
  <c r="BN63" i="1"/>
  <c r="BJ9" i="1"/>
  <c r="BN9" i="1" s="1"/>
  <c r="BO9" i="1"/>
  <c r="AM9" i="1" s="1"/>
  <c r="BH9" i="1" s="1"/>
  <c r="BJ28" i="1"/>
  <c r="BO28" i="1"/>
  <c r="AM28" i="1"/>
  <c r="BH28" i="1"/>
  <c r="BO34" i="1"/>
  <c r="AM34" i="1" s="1"/>
  <c r="BH34" i="1" s="1"/>
  <c r="BO77" i="1"/>
  <c r="AM77" i="1" s="1"/>
  <c r="BH77" i="1" s="1"/>
  <c r="BJ23" i="1"/>
  <c r="BO23" i="1" s="1"/>
  <c r="AM23" i="1" s="1"/>
  <c r="BH23" i="1" s="1"/>
  <c r="BN23" i="1"/>
  <c r="BJ41" i="1"/>
  <c r="BN41" i="1"/>
  <c r="BO46" i="1"/>
  <c r="AM46" i="1" s="1"/>
  <c r="BH46" i="1" s="1"/>
  <c r="BJ65" i="1"/>
  <c r="BN65" i="1"/>
  <c r="BO47" i="1"/>
  <c r="AM47" i="1" s="1"/>
  <c r="BH47" i="1" s="1"/>
  <c r="BO39" i="1"/>
  <c r="AM39" i="1"/>
  <c r="BH39" i="1" s="1"/>
  <c r="BJ35" i="1"/>
  <c r="BO35" i="1"/>
  <c r="AM35" i="1"/>
  <c r="BH35" i="1"/>
  <c r="BJ64" i="1"/>
  <c r="BN64" i="1" s="1"/>
  <c r="BO64" i="1"/>
  <c r="AM64" i="1"/>
  <c r="BH64" i="1" s="1"/>
  <c r="BJ45" i="1"/>
  <c r="BN45" i="1" s="1"/>
  <c r="BO45" i="1"/>
  <c r="AM45" i="1"/>
  <c r="BH45" i="1" s="1"/>
  <c r="BJ57" i="1"/>
  <c r="BN57" i="1" s="1"/>
  <c r="BJ22" i="1"/>
  <c r="BN22" i="1" s="1"/>
  <c r="BO22" i="1"/>
  <c r="AM22" i="1"/>
  <c r="BH22" i="1" s="1"/>
  <c r="BN53" i="1"/>
  <c r="BJ27" i="1"/>
  <c r="BO27" i="1"/>
  <c r="AM27" i="1"/>
  <c r="BH27" i="1" s="1"/>
  <c r="BJ33" i="1"/>
  <c r="BO33" i="1" s="1"/>
  <c r="AM33" i="1" s="1"/>
  <c r="BH33" i="1" s="1"/>
  <c r="BN33" i="1"/>
  <c r="BJ40" i="1"/>
  <c r="BO40" i="1" s="1"/>
  <c r="AM40" i="1" s="1"/>
  <c r="BH40" i="1" s="1"/>
  <c r="BN40" i="1"/>
  <c r="BJ11" i="1"/>
  <c r="BN11" i="1" s="1"/>
  <c r="BJ75" i="1"/>
  <c r="BO75" i="1" s="1"/>
  <c r="AM75" i="1" s="1"/>
  <c r="BH75" i="1" s="1"/>
  <c r="BN75" i="1"/>
  <c r="BJ39" i="1"/>
  <c r="BN39" i="1"/>
  <c r="BJ69" i="1"/>
  <c r="BN69" i="1" s="1"/>
  <c r="BO69" i="1"/>
  <c r="AM69" i="1"/>
  <c r="BH69" i="1"/>
  <c r="BJ71" i="1"/>
  <c r="BO71" i="1" s="1"/>
  <c r="AM71" i="1" s="1"/>
  <c r="BH71" i="1" s="1"/>
  <c r="BN71" i="1"/>
  <c r="BO59" i="1"/>
  <c r="AM59" i="1" s="1"/>
  <c r="BH59" i="1" s="1"/>
  <c r="BJ59" i="1"/>
  <c r="BN59" i="1" s="1"/>
  <c r="BJ70" i="1"/>
  <c r="BN70" i="1"/>
  <c r="BJ34" i="1"/>
  <c r="BN34" i="1" s="1"/>
  <c r="BJ21" i="1"/>
  <c r="BN21" i="1" s="1"/>
  <c r="BO21" i="1"/>
  <c r="AM21" i="1"/>
  <c r="BH21" i="1"/>
  <c r="BJ77" i="1"/>
  <c r="BN77" i="1"/>
  <c r="BJ58" i="1"/>
  <c r="BO58" i="1" s="1"/>
  <c r="AM58" i="1" s="1"/>
  <c r="BH58" i="1" s="1"/>
  <c r="BN58" i="1"/>
  <c r="BJ76" i="1"/>
  <c r="BN76" i="1" s="1"/>
  <c r="BO76" i="1"/>
  <c r="AM76" i="1" s="1"/>
  <c r="BH76" i="1" s="1"/>
  <c r="BJ46" i="1"/>
  <c r="BN46" i="1"/>
  <c r="BJ53" i="1"/>
  <c r="BO53" i="1"/>
  <c r="AM53" i="1"/>
  <c r="BH53" i="1" s="1"/>
  <c r="BJ47" i="1"/>
  <c r="BN47" i="1"/>
  <c r="BO5" i="1" l="1"/>
  <c r="AM5" i="1" s="1"/>
  <c r="BH5" i="1" s="1"/>
  <c r="BO57" i="1"/>
  <c r="AM57" i="1" s="1"/>
  <c r="BH57" i="1" s="1"/>
  <c r="BO11" i="1"/>
  <c r="AM11" i="1" s="1"/>
  <c r="BH11" i="1" s="1"/>
  <c r="BM5" i="1"/>
  <c r="BP5" i="1"/>
</calcChain>
</file>

<file path=xl/sharedStrings.xml><?xml version="1.0" encoding="utf-8"?>
<sst xmlns="http://schemas.openxmlformats.org/spreadsheetml/2006/main" count="237" uniqueCount="84">
  <si>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</si>
  <si>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</si>
  <si>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</si>
  <si>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</si>
  <si>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</si>
  <si>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</si>
  <si>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</si>
  <si>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</si>
  <si>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</si>
  <si>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</si>
  <si>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</si>
  <si>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</si>
  <si>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</si>
  <si>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</si>
  <si>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</si>
  <si>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</si>
  <si>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</si>
  <si>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</si>
  <si>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</si>
  <si>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</si>
  <si>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</si>
  <si>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</si>
  <si>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</si>
  <si>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</si>
  <si>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</si>
  <si>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</si>
  <si>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</si>
  <si>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</si>
  <si>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</si>
  <si>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</si>
  <si>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</si>
  <si>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</si>
  <si>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</si>
  <si>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</si>
  <si>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</si>
  <si>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</si>
  <si>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</si>
  <si>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</si>
  <si>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</si>
  <si>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</si>
  <si>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DO</t>
  </si>
  <si>
    <t>Vessel Temp (*C)</t>
  </si>
  <si>
    <t>Base Pumped (mL)</t>
  </si>
  <si>
    <t>Acid Pumped (mL)</t>
  </si>
  <si>
    <t>Antifoam Amount (mL)</t>
  </si>
  <si>
    <t>Feed Flow Rate (mL/min)</t>
  </si>
  <si>
    <t>Cumulative Feed Amount (mL)</t>
  </si>
  <si>
    <t>Cumulative Glucose Amount (mL)</t>
  </si>
  <si>
    <t>Feed Bottle Weight (g)</t>
  </si>
  <si>
    <t>Daily Feed Amount (mL)</t>
  </si>
  <si>
    <t>Daily Glucose Amount (mL)</t>
  </si>
  <si>
    <t>Daily Feed Weight (g)</t>
  </si>
  <si>
    <t>Sample Volume</t>
  </si>
  <si>
    <t>Initial_Volume</t>
  </si>
  <si>
    <t>Temperature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</si>
  <si>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</si>
  <si>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</si>
  <si>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</si>
  <si>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</si>
  <si>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</si>
  <si>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</si>
  <si>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</si>
  <si>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Volume</t>
  </si>
  <si>
    <t>Cumulative_Normalized_Feed_Current WV</t>
  </si>
  <si>
    <t>Cumulative_Normalized_Feed_Initial WV</t>
  </si>
  <si>
    <t>Amount of Future Feed</t>
  </si>
  <si>
    <t>Feed Rate (mL/min) Python</t>
  </si>
  <si>
    <t>Feed Rate (mL/min) Julia</t>
  </si>
  <si>
    <t>Feed Rate based on CSFR (mL/min)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</si>
  <si>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</si>
  <si>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</si>
  <si>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</si>
  <si>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</si>
  <si>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</si>
  <si>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MR24-038-801</t>
  </si>
  <si>
    <t>Julia</t>
  </si>
  <si>
    <t>MR24-038-802</t>
  </si>
  <si>
    <t>MR24-038-803</t>
  </si>
  <si>
    <t>MR24-038-804</t>
  </si>
  <si>
    <t>Python</t>
  </si>
  <si>
    <t>MR24-038-805</t>
  </si>
  <si>
    <t>MR24-038-806</t>
  </si>
  <si>
    <t>Glucose Strategy: feed up to 5g/L</t>
  </si>
  <si>
    <t>Glucose Strategy: feed up to 3g/L if under 1.5 g/L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</si>
</sst>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[$-409]m/d/yy\ h:mm\ AM/PM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color theme="4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5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0" fontId="20" fillId="0" borderId="14" xfId="0" applyFont="1" applyBorder="1" applyAlignment="1">
      <alignment horizontal="center" vertical="center" wrapText="1"/>
    </xf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0" fontId="21" fillId="0" borderId="13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16" xfId="0" applyNumberFormat="1" applyFill="1" applyBorder="1"/>
    <xf numFmtId="166" fontId="0" fillId="39" borderId="11" xfId="0" applyNumberFormat="1" applyFill="1" applyBorder="1"/>
    <xf numFmtId="166" fontId="0" fillId="39" borderId="16" xfId="0" applyNumberFormat="1" applyFill="1" applyBorder="1"/>
    <xf numFmtId="167" fontId="0" fillId="0" borderId="0" xfId="0" applyNumberFormat="1"/>
    <xf numFmtId="2" fontId="0" fillId="41" borderId="11" xfId="0" applyNumberFormat="1" applyFill="1" applyBorder="1"/>
    <xf numFmtId="2" fontId="0" fillId="41" borderId="16" xfId="0" applyNumberFormat="1" applyFill="1" applyBorder="1"/>
    <xf numFmtId="164" fontId="0" fillId="41" borderId="11" xfId="0" applyNumberFormat="1" applyFill="1" applyBorder="1"/>
    <xf numFmtId="0" fontId="20" fillId="0" borderId="0" xfId="0" applyFont="1" applyAlignment="1">
      <alignment horizontal="center" vertical="center"/>
    </xf>
    <xf numFmtId="2" fontId="0" fillId="0" borderId="0" xfId="0" applyNumberFormat="1"/>
    <xf numFmtId="2" fontId="0" fillId="41" borderId="0" xfId="0" applyNumberFormat="1" applyFill="1"/>
    <xf numFmtId="164" fontId="0" fillId="0" borderId="0" xfId="0" applyNumberFormat="1"/>
    <xf numFmtId="164" fontId="0" fillId="38" borderId="0" xfId="0" applyNumberFormat="1" applyFill="1"/>
    <xf numFmtId="166" fontId="0" fillId="38" borderId="0" xfId="0" applyNumberFormat="1" applyFill="1"/>
    <xf numFmtId="166" fontId="0" fillId="39" borderId="0" xfId="0" applyNumberFormat="1" applyFill="1"/>
    <xf numFmtId="164" fontId="0" fillId="38" borderId="12" xfId="0" applyNumberFormat="1" applyFill="1" applyBorder="1"/>
    <xf numFmtId="164" fontId="0" fillId="38" borderId="14" xfId="0" applyNumberFormat="1" applyFill="1" applyBorder="1"/>
    <xf numFmtId="164" fontId="0" fillId="38" borderId="17" xfId="0" applyNumberFormat="1" applyFill="1" applyBorder="1"/>
    <xf numFmtId="1" fontId="0" fillId="0" borderId="10" xfId="0" applyNumberFormat="1" applyBorder="1"/>
    <xf numFmtId="1" fontId="0" fillId="0" borderId="13" xfId="0" applyNumberFormat="1" applyBorder="1"/>
    <xf numFmtId="1" fontId="0" fillId="0" borderId="15" xfId="0" applyNumberFormat="1" applyBorder="1"/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8" fontId="0" fillId="0" borderId="0" xfId="0" applyNumberFormat="1"/>
    <xf numFmtId="22" fontId="0" fillId="0" borderId="12" xfId="0" applyNumberFormat="1" applyBorder="1"/>
    <xf numFmtId="22" fontId="0" fillId="0" borderId="14" xfId="0" applyNumberFormat="1" applyBorder="1"/>
    <xf numFmtId="22" fontId="0" fillId="0" borderId="17" xfId="0" applyNumberFormat="1" applyBorder="1"/>
    <xf numFmtId="0" fontId="24" fillId="0" borderId="11" xfId="0" applyFont="1" applyBorder="1"/>
    <xf numFmtId="0" fontId="24" fillId="0" borderId="0" xfId="0" applyFont="1"/>
    <xf numFmtId="0" fontId="24" fillId="0" borderId="16" xfId="0" applyFont="1" applyBorder="1"/>
    <xf numFmtId="0" fontId="19" fillId="40" borderId="0" xfId="0" applyFont="1" applyFill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0" xfId="0" applyFont="1" applyFill="1" applyBorder="1" applyAlignment="1">
      <alignment horizontal="center"/>
    </xf>
    <xf numFmtId="0" fontId="19" fillId="37" borderId="11" xfId="0" applyFont="1" applyFill="1" applyBorder="1" applyAlignment="1">
      <alignment horizontal="center"/>
    </xf>
    <xf numFmtId="0" fontId="19" fillId="37" borderId="12" xfId="0" applyFont="1" applyFill="1" applyBorder="1" applyAlignment="1">
      <alignment horizontal="center"/>
    </xf>
    <xf numFmtId="0" fontId="19" fillId="36" borderId="10" xfId="0" applyFont="1" applyFill="1" applyBorder="1" applyAlignment="1">
      <alignment horizontal="center"/>
    </xf>
    <xf numFmtId="0" fontId="19" fillId="36" borderId="11" xfId="0" applyFont="1" applyFill="1" applyBorder="1" applyAlignment="1">
      <alignment horizontal="center"/>
    </xf>
    <xf numFmtId="0" fontId="19" fillId="36" borderId="12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ill>
        <patternFill>
          <bgColor theme="0" tint="-0.24994659260841701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P87"/>
  <sheetViews>
    <sheetView tabSelected="1" zoomScaleNormal="100" workbookViewId="0">
      <pane xSplit="6" ySplit="2" topLeftCell="G3" activePane="bottomRight" state="frozen"/>
      <selection pane="topRight" activeCell="H1" sqref="H1"/>
      <selection pane="bottomLeft" activeCell="A3" sqref="A3"/>
      <selection pane="bottomRight" activeCell="J11" sqref="J11"/>
    </sheetView>
  </sheetViews>
  <sheetFormatPr defaultColWidth="14.6640625" defaultRowHeight="14.4" x14ac:dyDescent="0.3"/>
  <cols>
    <col min="2" max="4" width="10.6640625" customWidth="1"/>
    <col min="5" max="5" width="41.77734375" customWidth="1"/>
    <col min="6" max="6" width="10.88671875" customWidth="1"/>
    <col min="7" max="18" width="12.6640625" customWidth="1"/>
    <col min="19" max="19" width="15.109375" customWidth="1"/>
    <col min="20" max="20" width="16.109375" customWidth="1"/>
    <col min="21" max="65" width="12.6640625" customWidth="1"/>
    <col min="66" max="66" width="16.33203125" bestFit="1" customWidth="1"/>
    <col min="67" max="68" width="16.33203125" customWidth="1"/>
  </cols>
  <sheetData>
    <row r="1" spans="1:68" ht="21" x14ac:dyDescent="0.4">
      <c r="A1" s="66" t="s">
        <v>0</v>
      </c>
      <c r="B1" s="66"/>
      <c r="C1" s="66"/>
      <c r="D1" s="66"/>
      <c r="E1" s="66"/>
      <c r="F1" s="66"/>
      <c r="G1" s="67" t="s">
        <v>1</v>
      </c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9"/>
      <c r="AE1" s="82" t="s">
        <v>2</v>
      </c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4"/>
      <c r="AU1" s="76" t="s">
        <v>3</v>
      </c>
      <c r="AV1" s="77"/>
      <c r="AW1" s="77"/>
      <c r="AX1" s="77"/>
      <c r="AY1" s="78"/>
      <c r="AZ1" s="79" t="s">
        <v>4</v>
      </c>
      <c r="BA1" s="80"/>
      <c r="BB1" s="81"/>
      <c r="BC1" s="73" t="s">
        <v>5</v>
      </c>
      <c r="BD1" s="74"/>
      <c r="BE1" s="74"/>
      <c r="BF1" s="74"/>
      <c r="BG1" s="74"/>
      <c r="BH1" s="74"/>
      <c r="BI1" s="74"/>
      <c r="BJ1" s="74"/>
      <c r="BK1" s="74"/>
      <c r="BL1" s="74"/>
      <c r="BM1" s="75"/>
      <c r="BN1" s="70" t="s">
        <v>6</v>
      </c>
      <c r="BO1" s="71"/>
      <c r="BP1" s="72"/>
    </row>
    <row r="2" spans="1:68" ht="60.6" thickBot="1" x14ac:dyDescent="0.35">
      <c r="A2" s="19" t="s">
        <v>7</v>
      </c>
      <c r="B2" s="19" t="s">
        <v>8</v>
      </c>
      <c r="C2" s="19" t="s">
        <v>9</v>
      </c>
      <c r="D2" s="19" t="s">
        <v>10</v>
      </c>
      <c r="E2" s="43" t="s">
        <v>11</v>
      </c>
      <c r="F2" s="19" t="s">
        <v>12</v>
      </c>
      <c r="G2" s="33" t="s">
        <v>13</v>
      </c>
      <c r="H2" s="57" t="s">
        <v>14</v>
      </c>
      <c r="I2" s="57" t="s">
        <v>15</v>
      </c>
      <c r="J2" s="58" t="s">
        <v>16</v>
      </c>
      <c r="K2" s="58" t="s">
        <v>17</v>
      </c>
      <c r="L2" s="58" t="s">
        <v>18</v>
      </c>
      <c r="M2" s="58" t="s">
        <v>19</v>
      </c>
      <c r="N2" s="56" t="s">
        <v>20</v>
      </c>
      <c r="O2" s="56" t="s">
        <v>21</v>
      </c>
      <c r="P2" s="56" t="s">
        <v>22</v>
      </c>
      <c r="Q2" s="56" t="s">
        <v>23</v>
      </c>
      <c r="R2" s="56" t="s">
        <v>24</v>
      </c>
      <c r="S2" s="56" t="s">
        <v>25</v>
      </c>
      <c r="T2" s="56" t="s">
        <v>26</v>
      </c>
      <c r="U2" s="56" t="s">
        <v>27</v>
      </c>
      <c r="V2" s="56" t="s">
        <v>28</v>
      </c>
      <c r="W2" s="56" t="s">
        <v>29</v>
      </c>
      <c r="X2" s="56" t="s">
        <v>30</v>
      </c>
      <c r="Y2" s="56" t="s">
        <v>31</v>
      </c>
      <c r="Z2" s="56" t="s">
        <v>32</v>
      </c>
      <c r="AA2" s="56" t="s">
        <v>33</v>
      </c>
      <c r="AB2" s="56" t="s">
        <v>34</v>
      </c>
      <c r="AC2" s="56" t="s">
        <v>35</v>
      </c>
      <c r="AD2" s="34" t="s">
        <v>36</v>
      </c>
      <c r="AE2" s="20" t="s">
        <v>37</v>
      </c>
      <c r="AF2" s="19" t="s">
        <v>38</v>
      </c>
      <c r="AG2" s="19" t="s">
        <v>39</v>
      </c>
      <c r="AH2" s="19" t="s">
        <v>40</v>
      </c>
      <c r="AI2" s="19" t="s">
        <v>41</v>
      </c>
      <c r="AJ2" s="19" t="s">
        <v>42</v>
      </c>
      <c r="AK2" s="19" t="s">
        <v>43</v>
      </c>
      <c r="AL2" s="19" t="s">
        <v>44</v>
      </c>
      <c r="AM2" s="19" t="s">
        <v>45</v>
      </c>
      <c r="AN2" s="19" t="s">
        <v>46</v>
      </c>
      <c r="AO2" s="19" t="s">
        <v>47</v>
      </c>
      <c r="AP2" s="19" t="s">
        <v>48</v>
      </c>
      <c r="AQ2" s="19" t="s">
        <v>49</v>
      </c>
      <c r="AR2" s="19" t="s">
        <v>50</v>
      </c>
      <c r="AS2" s="19" t="s">
        <v>51</v>
      </c>
      <c r="AT2" s="15" t="s">
        <v>52</v>
      </c>
      <c r="AU2" s="20" t="s">
        <v>53</v>
      </c>
      <c r="AV2" s="19" t="s">
        <v>54</v>
      </c>
      <c r="AW2" s="19" t="s">
        <v>55</v>
      </c>
      <c r="AX2" s="19" t="s">
        <v>40</v>
      </c>
      <c r="AY2" s="15" t="s">
        <v>56</v>
      </c>
      <c r="AZ2" s="20" t="s">
        <v>57</v>
      </c>
      <c r="BA2" s="19" t="s">
        <v>58</v>
      </c>
      <c r="BB2" s="15" t="s">
        <v>59</v>
      </c>
      <c r="BC2" s="20" t="s">
        <v>60</v>
      </c>
      <c r="BD2" s="19" t="s">
        <v>61</v>
      </c>
      <c r="BE2" s="19" t="s">
        <v>62</v>
      </c>
      <c r="BF2" s="19" t="s">
        <v>63</v>
      </c>
      <c r="BG2" s="19" t="s">
        <v>64</v>
      </c>
      <c r="BH2" s="19" t="s">
        <v>65</v>
      </c>
      <c r="BI2" s="19" t="s">
        <v>66</v>
      </c>
      <c r="BJ2" s="19" t="s">
        <v>67</v>
      </c>
      <c r="BK2" s="19" t="s">
        <v>68</v>
      </c>
      <c r="BL2" s="19" t="s">
        <v>69</v>
      </c>
      <c r="BM2" s="15" t="s">
        <v>70</v>
      </c>
      <c r="BN2" s="20" t="s">
        <v>71</v>
      </c>
      <c r="BO2" s="19" t="s">
        <v>72</v>
      </c>
      <c r="BP2" s="15" t="s">
        <v>73</v>
      </c>
    </row>
    <row r="3" spans="1:68" x14ac:dyDescent="0.3">
      <c r="A3" s="2" t="s">
        <v>74</v>
      </c>
      <c r="B3" s="3" t="s">
        <v>75</v>
      </c>
      <c r="C3" s="3">
        <v>12</v>
      </c>
      <c r="D3" s="3">
        <v>0</v>
      </c>
      <c r="E3" s="3"/>
      <c r="F3" s="60"/>
      <c r="G3" s="3">
        <v>146.51</v>
      </c>
      <c r="H3" s="6"/>
      <c r="I3" s="6"/>
      <c r="J3" s="6">
        <v>12.8</v>
      </c>
      <c r="K3" s="6">
        <v>12.6</v>
      </c>
      <c r="L3" s="6">
        <v>99.2</v>
      </c>
      <c r="M3" s="6">
        <v>17.2</v>
      </c>
      <c r="N3" s="6">
        <v>320</v>
      </c>
      <c r="O3" s="6">
        <v>0.67</v>
      </c>
      <c r="P3" s="6">
        <v>0.7</v>
      </c>
      <c r="Q3" s="6">
        <v>6.03</v>
      </c>
      <c r="R3" s="6"/>
      <c r="S3" s="6">
        <v>0.72</v>
      </c>
      <c r="T3" s="6">
        <v>2.4500000000000002</v>
      </c>
      <c r="U3" s="6">
        <v>0.95</v>
      </c>
      <c r="V3" s="6">
        <v>7.2160000000000002</v>
      </c>
      <c r="W3" s="6">
        <v>64</v>
      </c>
      <c r="X3" s="6">
        <v>34.4</v>
      </c>
      <c r="Y3" s="6">
        <v>6.93</v>
      </c>
      <c r="Z3" s="6">
        <v>112.2</v>
      </c>
      <c r="AA3" s="6">
        <v>25.2</v>
      </c>
      <c r="AB3" s="6">
        <v>56.1</v>
      </c>
      <c r="AC3" s="6">
        <v>27.8</v>
      </c>
      <c r="AD3" s="16">
        <v>7.2560000000000002</v>
      </c>
      <c r="AE3" s="6">
        <v>299</v>
      </c>
      <c r="AF3" s="6">
        <v>50.4</v>
      </c>
      <c r="AG3" s="6">
        <v>7.09</v>
      </c>
      <c r="AH3" s="40">
        <f>AF3/100</f>
        <v>0.504</v>
      </c>
      <c r="AI3" s="6">
        <v>34</v>
      </c>
      <c r="AJ3" s="6">
        <v>2.88</v>
      </c>
      <c r="AK3" s="44">
        <v>0</v>
      </c>
      <c r="AL3" s="6">
        <v>0</v>
      </c>
      <c r="AM3" s="42">
        <f>BO3</f>
        <v>4.6885555555555508E-3</v>
      </c>
      <c r="AN3" s="6">
        <v>0</v>
      </c>
      <c r="AO3" s="6">
        <v>0</v>
      </c>
      <c r="AP3" s="6"/>
      <c r="AQ3" s="40">
        <v>0</v>
      </c>
      <c r="AR3" s="40">
        <v>0</v>
      </c>
      <c r="AS3" s="40">
        <v>0</v>
      </c>
      <c r="AT3" s="24">
        <v>15</v>
      </c>
      <c r="AU3" s="53">
        <v>1700</v>
      </c>
      <c r="AV3" s="6">
        <v>34</v>
      </c>
      <c r="AW3" s="6">
        <v>7.2</v>
      </c>
      <c r="AX3" s="6">
        <v>50</v>
      </c>
      <c r="AY3" s="21">
        <v>2.9999999999999997E-4</v>
      </c>
      <c r="AZ3" s="8"/>
      <c r="BA3" s="9">
        <v>3.9999999999999957E-3</v>
      </c>
      <c r="BB3" s="21">
        <v>9.9999999999999995E-8</v>
      </c>
      <c r="BC3" s="8">
        <f>AY3*K3*BE3/1000</f>
        <v>6.3801863999999996E-3</v>
      </c>
      <c r="BD3" s="9">
        <f t="shared" ref="BD3:BD66" si="0">BC3*24*60</f>
        <v>9.187468415999998</v>
      </c>
      <c r="BE3" s="9">
        <f t="shared" ref="BE3:BE10" si="1">AU3+SUM(AJ3:AL3,AN3:AO3)-(AT3*(D3+1))</f>
        <v>1687.88</v>
      </c>
      <c r="BF3" s="10">
        <f>IF(ISBLANK(AN3),"",IFERROR(AN3/BE3,0))</f>
        <v>0</v>
      </c>
      <c r="BG3" s="10">
        <f>IF(ISBLANK(AN3),"",AN3/AU3)</f>
        <v>0</v>
      </c>
      <c r="BH3" s="10">
        <f>AM3*24*60</f>
        <v>6.751519999999994</v>
      </c>
      <c r="BI3" s="10" t="str">
        <f>IF(B3="Python",AZ3*BE3/24/60,"")</f>
        <v/>
      </c>
      <c r="BJ3" s="10">
        <f>IF(B3="Julia",BA3*BE3/24/60,"")</f>
        <v>4.6885555555555508E-3</v>
      </c>
      <c r="BK3" s="35" t="str">
        <f>IF(B3="No MPC", AY3*K3*BE3/1000,"")</f>
        <v/>
      </c>
      <c r="BL3" s="10" t="str">
        <f>IF(B3="Python",AZ3*BE3,"")</f>
        <v/>
      </c>
      <c r="BM3" s="50">
        <f t="shared" ref="BM3" si="2">IF(B3="Julia",BB3*BE3,"")</f>
        <v>1.6878800000000001E-4</v>
      </c>
      <c r="BN3" s="27">
        <f>IF(BI3&lt;&gt;"",BI3/0.000385,IF(BJ3&lt;&gt;"",BJ3/0.000385,BK3/0.000385))</f>
        <v>12.178066378066367</v>
      </c>
      <c r="BO3" s="37">
        <f>IF(BI3&lt;&gt;"",BI3,IF(BJ3&lt;&gt;"",BJ3,BK3))</f>
        <v>4.6885555555555508E-3</v>
      </c>
      <c r="BP3" s="32">
        <f>IF(BL3&lt;&gt;"",BL3,BM3)</f>
        <v>1.6878800000000001E-4</v>
      </c>
    </row>
    <row r="4" spans="1:68" x14ac:dyDescent="0.3">
      <c r="A4" s="1" t="s">
        <v>76</v>
      </c>
      <c r="B4" t="s">
        <v>75</v>
      </c>
      <c r="C4">
        <v>12</v>
      </c>
      <c r="D4">
        <v>0</v>
      </c>
      <c r="F4" s="61"/>
      <c r="G4">
        <v>146.51</v>
      </c>
      <c r="H4" s="44"/>
      <c r="I4" s="44"/>
      <c r="J4" s="44">
        <v>12.1</v>
      </c>
      <c r="K4" s="44">
        <v>11.9</v>
      </c>
      <c r="L4" s="44">
        <v>97.9</v>
      </c>
      <c r="M4" s="44">
        <v>16.7</v>
      </c>
      <c r="N4" s="44">
        <v>323</v>
      </c>
      <c r="O4" s="44">
        <v>0.64</v>
      </c>
      <c r="P4" s="44">
        <v>0.61</v>
      </c>
      <c r="Q4" s="44">
        <v>5.86</v>
      </c>
      <c r="R4" s="44"/>
      <c r="S4" s="44">
        <v>0.97</v>
      </c>
      <c r="T4" s="44">
        <v>2.4900000000000002</v>
      </c>
      <c r="U4" s="44">
        <v>1.02</v>
      </c>
      <c r="V4" s="44">
        <v>7.2439999999999998</v>
      </c>
      <c r="W4" s="44">
        <v>72.8</v>
      </c>
      <c r="X4" s="44">
        <v>68.5</v>
      </c>
      <c r="Y4" s="44">
        <v>6.59</v>
      </c>
      <c r="Z4" s="44">
        <v>109.1</v>
      </c>
      <c r="AA4" s="44">
        <v>30.7</v>
      </c>
      <c r="AB4" s="44">
        <v>63.9</v>
      </c>
      <c r="AC4" s="44">
        <v>55.9</v>
      </c>
      <c r="AD4" s="17">
        <v>7.2850000000000001</v>
      </c>
      <c r="AE4" s="44">
        <v>299</v>
      </c>
      <c r="AF4" s="44">
        <v>49.6</v>
      </c>
      <c r="AG4" s="44">
        <v>7.09</v>
      </c>
      <c r="AH4" s="45">
        <f t="shared" ref="AH4" si="3">AF4/100</f>
        <v>0.496</v>
      </c>
      <c r="AI4" s="44">
        <v>34</v>
      </c>
      <c r="AJ4" s="44">
        <v>4.2300000000000004</v>
      </c>
      <c r="AK4" s="44">
        <v>0</v>
      </c>
      <c r="AL4" s="44">
        <v>0</v>
      </c>
      <c r="AM4" s="45">
        <f t="shared" ref="AM4" si="4">BO4</f>
        <v>4.6923055555555511E-3</v>
      </c>
      <c r="AN4" s="44">
        <v>0</v>
      </c>
      <c r="AO4" s="44">
        <v>0</v>
      </c>
      <c r="AP4" s="44"/>
      <c r="AQ4" s="45">
        <v>0</v>
      </c>
      <c r="AR4" s="45">
        <v>0</v>
      </c>
      <c r="AS4" s="45">
        <v>0</v>
      </c>
      <c r="AT4" s="25">
        <v>15</v>
      </c>
      <c r="AU4" s="54">
        <v>1700</v>
      </c>
      <c r="AV4" s="44">
        <v>34</v>
      </c>
      <c r="AW4" s="44">
        <v>7.2</v>
      </c>
      <c r="AX4" s="44">
        <v>50</v>
      </c>
      <c r="AY4" s="22">
        <v>2.9999999999999997E-4</v>
      </c>
      <c r="AZ4" s="11"/>
      <c r="BA4" s="46">
        <v>3.9999999999999957E-3</v>
      </c>
      <c r="BB4" s="22">
        <v>9.9999999999999995E-8</v>
      </c>
      <c r="BC4" s="11">
        <f t="shared" ref="BC4" si="5">AY4*K4*BE4/1000</f>
        <v>6.030551099999999E-3</v>
      </c>
      <c r="BD4" s="46">
        <f t="shared" ref="BD4" si="6">BC4*24*60</f>
        <v>8.6839935839999978</v>
      </c>
      <c r="BE4" s="46">
        <f t="shared" si="1"/>
        <v>1689.23</v>
      </c>
      <c r="BF4" s="47">
        <f t="shared" ref="BF4:BF67" si="7">IF(ISBLANK(AN4),"",IFERROR(AN4/BE4,0))</f>
        <v>0</v>
      </c>
      <c r="BG4" s="47">
        <f t="shared" ref="BG4:BG67" si="8">IF(ISBLANK(AN4),"",AN4/AU4)</f>
        <v>0</v>
      </c>
      <c r="BH4" s="47">
        <f t="shared" ref="BH4" si="9">AM4*24*60</f>
        <v>6.7569199999999938</v>
      </c>
      <c r="BI4" s="47" t="str">
        <f t="shared" ref="BI4:BI67" si="10">IF(B4="Python",AZ4*BE4/24/60,"")</f>
        <v/>
      </c>
      <c r="BJ4" s="47">
        <f t="shared" ref="BJ4:BJ5" si="11">IF(B4="Julia",BA4*BE4/24/60,"")</f>
        <v>4.6923055555555511E-3</v>
      </c>
      <c r="BK4" s="48" t="str">
        <f>IF(B4="No MPC", AY4*K4*BE4/1000,"")</f>
        <v/>
      </c>
      <c r="BL4" s="47" t="str">
        <f>IF(B4="Python",AZ4*BE4,"")</f>
        <v/>
      </c>
      <c r="BM4" s="51">
        <f>IF(B4="Julia",BB4*BE4,"")</f>
        <v>1.68923E-4</v>
      </c>
      <c r="BN4" s="28">
        <f t="shared" ref="BN4" si="12">IF(BI4&lt;&gt;"",BI4/0.000385,IF(BJ4&lt;&gt;"",BJ4/0.000385,BK4/0.000385))</f>
        <v>12.187806637806627</v>
      </c>
      <c r="BO4" s="49">
        <f t="shared" ref="BO4" si="13">IF(BI4&lt;&gt;"",BI4,IF(BJ4&lt;&gt;"",BJ4,BK4))</f>
        <v>4.6923055555555511E-3</v>
      </c>
      <c r="BP4" s="30">
        <f t="shared" ref="BP4" si="14">IF(BL4&lt;&gt;"",BL4,BM4)</f>
        <v>1.68923E-4</v>
      </c>
    </row>
    <row r="5" spans="1:68" x14ac:dyDescent="0.3">
      <c r="A5" s="1" t="s">
        <v>77</v>
      </c>
      <c r="B5" t="s">
        <v>75</v>
      </c>
      <c r="C5">
        <v>12</v>
      </c>
      <c r="D5">
        <v>0</v>
      </c>
      <c r="F5" s="61"/>
      <c r="G5">
        <v>146.51</v>
      </c>
      <c r="H5" s="44"/>
      <c r="I5" s="44"/>
      <c r="J5" s="44">
        <v>12.6</v>
      </c>
      <c r="K5" s="44">
        <v>12.4</v>
      </c>
      <c r="L5" s="44">
        <v>97.9</v>
      </c>
      <c r="M5" s="44">
        <v>16.7</v>
      </c>
      <c r="N5" s="44">
        <v>322</v>
      </c>
      <c r="O5" s="44">
        <v>0.66</v>
      </c>
      <c r="P5" s="44">
        <v>0.61</v>
      </c>
      <c r="Q5" s="44">
        <v>5.81</v>
      </c>
      <c r="R5" s="44"/>
      <c r="S5" s="44">
        <v>0.99</v>
      </c>
      <c r="T5" s="44">
        <v>2.44</v>
      </c>
      <c r="U5" s="44">
        <v>1.03</v>
      </c>
      <c r="V5" s="44">
        <v>7.3230000000000004</v>
      </c>
      <c r="W5" s="44">
        <v>54</v>
      </c>
      <c r="X5" s="44">
        <v>77.099999999999994</v>
      </c>
      <c r="Y5" s="44">
        <v>6.62</v>
      </c>
      <c r="Z5" s="44">
        <v>108.8</v>
      </c>
      <c r="AA5" s="44">
        <v>27.3</v>
      </c>
      <c r="AB5" s="44">
        <v>47.3</v>
      </c>
      <c r="AC5" s="44">
        <v>63.2</v>
      </c>
      <c r="AD5" s="17">
        <v>7.3659999999999997</v>
      </c>
      <c r="AE5" s="44">
        <v>301</v>
      </c>
      <c r="AF5" s="44">
        <v>49.9</v>
      </c>
      <c r="AG5" s="44">
        <v>7.09</v>
      </c>
      <c r="AH5" s="45">
        <f t="shared" ref="AH5:AH8" si="15">AF5/100</f>
        <v>0.499</v>
      </c>
      <c r="AI5" s="44">
        <v>34</v>
      </c>
      <c r="AJ5" s="44">
        <v>4.3</v>
      </c>
      <c r="AK5" s="44">
        <v>0</v>
      </c>
      <c r="AL5" s="44">
        <v>0</v>
      </c>
      <c r="AM5" s="45">
        <f t="shared" ref="AM5:AM8" si="16">BO5</f>
        <v>4.6924999999999944E-3</v>
      </c>
      <c r="AN5" s="44">
        <v>0</v>
      </c>
      <c r="AO5" s="44">
        <v>0</v>
      </c>
      <c r="AP5" s="44"/>
      <c r="AQ5" s="45">
        <v>0</v>
      </c>
      <c r="AR5" s="45">
        <v>0</v>
      </c>
      <c r="AS5" s="45">
        <v>0</v>
      </c>
      <c r="AT5" s="25">
        <v>15</v>
      </c>
      <c r="AU5" s="54">
        <v>1700</v>
      </c>
      <c r="AV5" s="44">
        <v>34</v>
      </c>
      <c r="AW5" s="44">
        <v>7.2</v>
      </c>
      <c r="AX5" s="44">
        <v>50</v>
      </c>
      <c r="AY5" s="22">
        <v>2.9999999999999997E-4</v>
      </c>
      <c r="AZ5" s="11"/>
      <c r="BA5" s="46">
        <v>3.9999999999999957E-3</v>
      </c>
      <c r="BB5" s="22">
        <v>0</v>
      </c>
      <c r="BC5" s="11">
        <f t="shared" ref="BC5:BC66" si="17">AY5*K5*BE5/1000</f>
        <v>6.2841959999999997E-3</v>
      </c>
      <c r="BD5" s="46">
        <f t="shared" si="0"/>
        <v>9.0492422399999999</v>
      </c>
      <c r="BE5" s="46">
        <f t="shared" si="1"/>
        <v>1689.3</v>
      </c>
      <c r="BF5" s="47">
        <f t="shared" si="7"/>
        <v>0</v>
      </c>
      <c r="BG5" s="47">
        <f t="shared" si="8"/>
        <v>0</v>
      </c>
      <c r="BH5" s="47">
        <f t="shared" ref="BH5:BH66" si="18">AM5*24*60</f>
        <v>6.7571999999999912</v>
      </c>
      <c r="BI5" s="47" t="str">
        <f t="shared" si="10"/>
        <v/>
      </c>
      <c r="BJ5" s="47">
        <f t="shared" si="11"/>
        <v>4.6924999999999944E-3</v>
      </c>
      <c r="BK5" s="48" t="str">
        <f>IF(B5="No MPC", AY5*K5*BE5/1000,"")</f>
        <v/>
      </c>
      <c r="BL5" s="47" t="str">
        <f>IF(B5="Python",AZ5*BE5,"")</f>
        <v/>
      </c>
      <c r="BM5" s="51">
        <f>IF(B5="Julia",BB5*BE5,"")</f>
        <v>0</v>
      </c>
      <c r="BN5" s="28">
        <f t="shared" ref="BN5:BN8" si="19">IF(BI5&lt;&gt;"",BI5/0.000385,IF(BJ5&lt;&gt;"",BJ5/0.000385,BK5/0.000385))</f>
        <v>12.188311688311675</v>
      </c>
      <c r="BO5" s="49">
        <f t="shared" ref="BO5:BO8" si="20">IF(BI5&lt;&gt;"",BI5,IF(BJ5&lt;&gt;"",BJ5,BK5))</f>
        <v>4.6924999999999944E-3</v>
      </c>
      <c r="BP5" s="30">
        <f t="shared" ref="BP5:BP66" si="21">IF(BL5&lt;&gt;"",BL5,BM5)</f>
        <v>0</v>
      </c>
    </row>
    <row r="6" spans="1:68" x14ac:dyDescent="0.3">
      <c r="A6" s="1" t="s">
        <v>78</v>
      </c>
      <c r="B6" t="s">
        <v>79</v>
      </c>
      <c r="C6">
        <v>12</v>
      </c>
      <c r="D6">
        <v>0</v>
      </c>
      <c r="F6" s="61"/>
      <c r="G6">
        <v>146.51</v>
      </c>
      <c r="H6" s="44"/>
      <c r="I6" s="44"/>
      <c r="J6" s="44">
        <v>13.5</v>
      </c>
      <c r="K6" s="44">
        <v>13.3</v>
      </c>
      <c r="L6" s="44">
        <v>98.3</v>
      </c>
      <c r="M6" s="44">
        <v>17</v>
      </c>
      <c r="N6" s="44">
        <v>324</v>
      </c>
      <c r="O6" s="44">
        <v>0.74</v>
      </c>
      <c r="P6" s="44">
        <v>0.69</v>
      </c>
      <c r="Q6" s="44">
        <v>5.67</v>
      </c>
      <c r="R6" s="44"/>
      <c r="S6" s="44">
        <v>0.72</v>
      </c>
      <c r="T6" s="44">
        <v>2.42</v>
      </c>
      <c r="U6" s="44">
        <v>1.1299999999999999</v>
      </c>
      <c r="V6" s="44">
        <v>7.2439999999999998</v>
      </c>
      <c r="W6" s="44">
        <v>70.099999999999994</v>
      </c>
      <c r="X6" s="44">
        <v>52.8</v>
      </c>
      <c r="Y6" s="44">
        <v>6.79</v>
      </c>
      <c r="Z6" s="44">
        <v>115.2</v>
      </c>
      <c r="AA6" s="44">
        <v>29.5</v>
      </c>
      <c r="AB6" s="44">
        <v>61.5</v>
      </c>
      <c r="AC6" s="44">
        <v>42.8</v>
      </c>
      <c r="AD6" s="17">
        <v>7.2850000000000001</v>
      </c>
      <c r="AE6" s="44">
        <v>299</v>
      </c>
      <c r="AF6" s="44">
        <v>50.2</v>
      </c>
      <c r="AG6" s="44">
        <v>7.09</v>
      </c>
      <c r="AH6" s="45">
        <f t="shared" ref="AH6" si="22">AF6/100</f>
        <v>0.502</v>
      </c>
      <c r="AI6" s="44">
        <v>34</v>
      </c>
      <c r="AJ6" s="44">
        <v>5.58</v>
      </c>
      <c r="AK6" s="44">
        <v>0</v>
      </c>
      <c r="AL6" s="44">
        <v>0</v>
      </c>
      <c r="AM6" s="45">
        <f t="shared" ref="AM6" si="23">BO6</f>
        <v>6.9947619765678131E-3</v>
      </c>
      <c r="AN6" s="44">
        <v>0</v>
      </c>
      <c r="AO6" s="44">
        <v>0</v>
      </c>
      <c r="AP6" s="44"/>
      <c r="AQ6" s="45">
        <v>0</v>
      </c>
      <c r="AR6" s="45">
        <v>0</v>
      </c>
      <c r="AS6" s="45">
        <v>0</v>
      </c>
      <c r="AT6" s="25">
        <v>15</v>
      </c>
      <c r="AU6" s="54">
        <v>1700</v>
      </c>
      <c r="AV6" s="44">
        <v>34</v>
      </c>
      <c r="AW6" s="44">
        <v>7.2</v>
      </c>
      <c r="AX6" s="44">
        <v>50</v>
      </c>
      <c r="AY6" s="22">
        <v>2.9999999999999997E-4</v>
      </c>
      <c r="AZ6" s="11">
        <v>5.9579891198627997E-3</v>
      </c>
      <c r="BB6" s="22"/>
      <c r="BC6" s="11">
        <f t="shared" ref="BC6" si="24">AY6*K6*BE6/1000</f>
        <v>6.7454141999999991E-3</v>
      </c>
      <c r="BD6" s="46">
        <f t="shared" ref="BD6" si="25">BC6*24*60</f>
        <v>9.7133964479999975</v>
      </c>
      <c r="BE6" s="46">
        <f t="shared" si="1"/>
        <v>1690.58</v>
      </c>
      <c r="BF6" s="47">
        <f t="shared" si="7"/>
        <v>0</v>
      </c>
      <c r="BG6" s="47">
        <f t="shared" si="8"/>
        <v>0</v>
      </c>
      <c r="BH6" s="47">
        <f t="shared" ref="BH6" si="26">AM6*24*60</f>
        <v>10.072457246257651</v>
      </c>
      <c r="BI6" s="47">
        <f>IF(B6="Python",AZ6*BE6/24/60,"")</f>
        <v>6.9947619765678131E-3</v>
      </c>
      <c r="BJ6" s="48" t="str">
        <f>IF(B6="Julia",BA6*BE6/24/60,"")</f>
        <v/>
      </c>
      <c r="BK6" s="48" t="str">
        <f t="shared" ref="BK6" si="27">IF(B6="No MPC", AY6*K6*BE6/1000,"")</f>
        <v/>
      </c>
      <c r="BL6" s="47">
        <v>0</v>
      </c>
      <c r="BM6" s="51" t="str">
        <f t="shared" ref="BM6:BM69" si="28">IF(B6="Julia",BB6*BE6,"")</f>
        <v/>
      </c>
      <c r="BN6" s="28">
        <f t="shared" ref="BN6" si="29">IF(BI6&lt;&gt;"",BI6/0.000385,IF(BJ6&lt;&gt;"",BJ6/0.000385,BK6/0.000385))</f>
        <v>18.168212926150165</v>
      </c>
      <c r="BO6" s="49">
        <f t="shared" ref="BO6" si="30">IF(BI6&lt;&gt;"",BI6,IF(BJ6&lt;&gt;"",BJ6,BK6))</f>
        <v>6.9947619765678131E-3</v>
      </c>
      <c r="BP6" s="30">
        <f>IF(BL6&lt;&gt;"",BL6,BM6)</f>
        <v>0</v>
      </c>
    </row>
    <row r="7" spans="1:68" x14ac:dyDescent="0.3">
      <c r="A7" s="1" t="s">
        <v>80</v>
      </c>
      <c r="B7" t="s">
        <v>79</v>
      </c>
      <c r="C7">
        <v>12</v>
      </c>
      <c r="D7">
        <v>0</v>
      </c>
      <c r="F7" s="61"/>
      <c r="G7">
        <v>146.51</v>
      </c>
      <c r="H7" s="44"/>
      <c r="I7" s="44"/>
      <c r="J7" s="44">
        <v>12.7</v>
      </c>
      <c r="K7" s="44">
        <v>12.5</v>
      </c>
      <c r="L7" s="44">
        <v>98.1</v>
      </c>
      <c r="M7" s="44">
        <v>17</v>
      </c>
      <c r="N7" s="44">
        <v>324</v>
      </c>
      <c r="O7" s="44">
        <v>0.75</v>
      </c>
      <c r="P7" s="44">
        <v>0.65</v>
      </c>
      <c r="Q7" s="44">
        <v>5.71</v>
      </c>
      <c r="R7" s="44"/>
      <c r="S7" s="44">
        <v>0.71</v>
      </c>
      <c r="T7" s="44">
        <v>2.41</v>
      </c>
      <c r="U7" s="44">
        <v>1.1299999999999999</v>
      </c>
      <c r="V7" s="44">
        <v>7.2309999999999999</v>
      </c>
      <c r="W7" s="44">
        <v>71.5</v>
      </c>
      <c r="X7" s="44">
        <v>49.5</v>
      </c>
      <c r="Y7" s="44">
        <v>6.69</v>
      </c>
      <c r="Z7" s="44">
        <v>111.9</v>
      </c>
      <c r="AA7" s="44">
        <v>29.2</v>
      </c>
      <c r="AB7" s="44">
        <v>62.7</v>
      </c>
      <c r="AC7" s="44">
        <v>40.1</v>
      </c>
      <c r="AD7" s="17">
        <v>7.2720000000000002</v>
      </c>
      <c r="AE7" s="44">
        <v>302</v>
      </c>
      <c r="AF7" s="44">
        <v>50.2</v>
      </c>
      <c r="AG7" s="44">
        <v>7.09</v>
      </c>
      <c r="AH7" s="45">
        <f t="shared" si="15"/>
        <v>0.502</v>
      </c>
      <c r="AI7" s="44">
        <v>34</v>
      </c>
      <c r="AJ7" s="44">
        <v>5.44</v>
      </c>
      <c r="AK7" s="44">
        <v>0</v>
      </c>
      <c r="AL7" s="44">
        <v>0</v>
      </c>
      <c r="AM7" s="45">
        <f t="shared" si="16"/>
        <v>6.9941827276256046E-3</v>
      </c>
      <c r="AN7" s="44">
        <v>0</v>
      </c>
      <c r="AO7" s="44">
        <v>0</v>
      </c>
      <c r="AP7" s="44"/>
      <c r="AQ7" s="45">
        <v>0</v>
      </c>
      <c r="AR7" s="45">
        <v>0</v>
      </c>
      <c r="AS7" s="45">
        <v>0</v>
      </c>
      <c r="AT7" s="25">
        <v>15</v>
      </c>
      <c r="AU7" s="54">
        <v>1700</v>
      </c>
      <c r="AV7" s="44">
        <v>34</v>
      </c>
      <c r="AW7" s="44">
        <v>7.2</v>
      </c>
      <c r="AX7" s="44">
        <v>50</v>
      </c>
      <c r="AY7" s="22">
        <v>2.9999999999999997E-4</v>
      </c>
      <c r="AZ7" s="11">
        <v>5.9579891198627997E-3</v>
      </c>
      <c r="BB7" s="22"/>
      <c r="BC7" s="11">
        <f t="shared" si="17"/>
        <v>6.33915E-3</v>
      </c>
      <c r="BD7" s="46">
        <f t="shared" si="0"/>
        <v>9.1283759999999994</v>
      </c>
      <c r="BE7" s="46">
        <f t="shared" si="1"/>
        <v>1690.44</v>
      </c>
      <c r="BF7" s="47">
        <f t="shared" si="7"/>
        <v>0</v>
      </c>
      <c r="BG7" s="47">
        <f t="shared" si="8"/>
        <v>0</v>
      </c>
      <c r="BH7" s="47">
        <f t="shared" si="18"/>
        <v>10.071623127780871</v>
      </c>
      <c r="BI7" s="47">
        <f t="shared" si="10"/>
        <v>6.9941827276256046E-3</v>
      </c>
      <c r="BJ7" s="48" t="str">
        <f t="shared" ref="BJ7:BJ70" si="31">IF(B7="Julia",BA7*BE7/24/60,"")</f>
        <v/>
      </c>
      <c r="BK7" s="48" t="str">
        <f t="shared" ref="BK7:BK66" si="32">IF(B7="No MPC", AY7*K7*BE7/1000,"")</f>
        <v/>
      </c>
      <c r="BL7" s="47">
        <v>0</v>
      </c>
      <c r="BM7" s="51" t="str">
        <f t="shared" si="28"/>
        <v/>
      </c>
      <c r="BN7" s="28">
        <f t="shared" si="19"/>
        <v>18.16670838344313</v>
      </c>
      <c r="BO7" s="49">
        <f t="shared" si="20"/>
        <v>6.9941827276256046E-3</v>
      </c>
      <c r="BP7" s="30">
        <f t="shared" si="21"/>
        <v>0</v>
      </c>
    </row>
    <row r="8" spans="1:68" ht="15" thickBot="1" x14ac:dyDescent="0.35">
      <c r="A8" s="4" t="s">
        <v>81</v>
      </c>
      <c r="B8" s="5" t="s">
        <v>79</v>
      </c>
      <c r="C8" s="5">
        <v>12</v>
      </c>
      <c r="D8" s="5">
        <v>0</v>
      </c>
      <c r="E8" s="5"/>
      <c r="F8" s="62"/>
      <c r="G8" s="5">
        <v>146.51</v>
      </c>
      <c r="H8" s="7"/>
      <c r="I8" s="7"/>
      <c r="J8" s="7">
        <v>12.2</v>
      </c>
      <c r="K8" s="7">
        <v>12</v>
      </c>
      <c r="L8" s="7">
        <v>98.2</v>
      </c>
      <c r="M8" s="7">
        <v>17</v>
      </c>
      <c r="N8" s="7">
        <v>325</v>
      </c>
      <c r="O8" s="7">
        <v>0.76</v>
      </c>
      <c r="P8" s="7">
        <v>0.66</v>
      </c>
      <c r="Q8" s="7">
        <v>5.66</v>
      </c>
      <c r="R8" s="7"/>
      <c r="S8" s="7">
        <v>0.63</v>
      </c>
      <c r="T8" s="7">
        <v>2.4300000000000002</v>
      </c>
      <c r="U8" s="7">
        <v>1.18</v>
      </c>
      <c r="V8" s="7">
        <v>7.266</v>
      </c>
      <c r="W8" s="7">
        <v>67.8</v>
      </c>
      <c r="X8" s="7">
        <v>61.7</v>
      </c>
      <c r="Y8" s="7">
        <v>6.66</v>
      </c>
      <c r="Z8" s="7">
        <v>112.3</v>
      </c>
      <c r="AA8" s="7">
        <v>30</v>
      </c>
      <c r="AB8" s="7">
        <v>59.5</v>
      </c>
      <c r="AC8" s="7">
        <v>50.2</v>
      </c>
      <c r="AD8" s="18">
        <v>7.3070000000000004</v>
      </c>
      <c r="AE8" s="7">
        <v>300</v>
      </c>
      <c r="AF8" s="7">
        <v>49.6</v>
      </c>
      <c r="AG8" s="7">
        <v>7.08</v>
      </c>
      <c r="AH8" s="41">
        <f t="shared" si="15"/>
        <v>0.496</v>
      </c>
      <c r="AI8" s="7">
        <v>34</v>
      </c>
      <c r="AJ8" s="7">
        <v>6.34</v>
      </c>
      <c r="AK8" s="7">
        <v>0</v>
      </c>
      <c r="AL8" s="7">
        <v>0</v>
      </c>
      <c r="AM8" s="41">
        <f t="shared" si="16"/>
        <v>8.5187856633376826E-3</v>
      </c>
      <c r="AN8" s="7">
        <v>0</v>
      </c>
      <c r="AO8" s="7">
        <v>0</v>
      </c>
      <c r="AP8" s="7"/>
      <c r="AQ8" s="41">
        <v>0</v>
      </c>
      <c r="AR8" s="41">
        <v>0</v>
      </c>
      <c r="AS8" s="41">
        <v>0</v>
      </c>
      <c r="AT8" s="26">
        <v>15</v>
      </c>
      <c r="AU8" s="55">
        <v>1700</v>
      </c>
      <c r="AV8" s="7">
        <v>34</v>
      </c>
      <c r="AW8" s="7">
        <v>7.2</v>
      </c>
      <c r="AX8" s="7">
        <v>50</v>
      </c>
      <c r="AY8" s="23">
        <v>2.9999999999999997E-4</v>
      </c>
      <c r="AZ8" s="12">
        <v>7.2528594813616801E-3</v>
      </c>
      <c r="BA8" s="5"/>
      <c r="BB8" s="23"/>
      <c r="BC8" s="12">
        <f t="shared" si="17"/>
        <v>6.0888239999999996E-3</v>
      </c>
      <c r="BD8" s="13">
        <f t="shared" si="0"/>
        <v>8.7679065600000001</v>
      </c>
      <c r="BE8" s="13">
        <f t="shared" si="1"/>
        <v>1691.34</v>
      </c>
      <c r="BF8" s="14">
        <f t="shared" si="7"/>
        <v>0</v>
      </c>
      <c r="BG8" s="14">
        <f t="shared" si="8"/>
        <v>0</v>
      </c>
      <c r="BH8" s="14">
        <f t="shared" si="18"/>
        <v>12.267051355206263</v>
      </c>
      <c r="BI8" s="14">
        <f t="shared" si="10"/>
        <v>8.5187856633376826E-3</v>
      </c>
      <c r="BJ8" s="48" t="str">
        <f t="shared" si="31"/>
        <v/>
      </c>
      <c r="BK8" s="36" t="str">
        <f t="shared" si="32"/>
        <v/>
      </c>
      <c r="BL8" s="14">
        <v>0</v>
      </c>
      <c r="BM8" s="52" t="str">
        <f t="shared" si="28"/>
        <v/>
      </c>
      <c r="BN8" s="29">
        <f t="shared" si="19"/>
        <v>22.126716008669305</v>
      </c>
      <c r="BO8" s="38">
        <f t="shared" si="20"/>
        <v>8.5187856633376826E-3</v>
      </c>
      <c r="BP8" s="31">
        <f t="shared" si="21"/>
        <v>0</v>
      </c>
    </row>
    <row r="9" spans="1:68" x14ac:dyDescent="0.3">
      <c r="A9" s="2" t="s">
        <v>74</v>
      </c>
      <c r="B9" s="3" t="s">
        <v>75</v>
      </c>
      <c r="C9" s="3">
        <v>12</v>
      </c>
      <c r="D9" s="3">
        <v>1</v>
      </c>
      <c r="E9" s="3"/>
      <c r="F9" s="60"/>
      <c r="G9" s="3">
        <v>509.83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16"/>
      <c r="AE9" s="6"/>
      <c r="AF9" s="6"/>
      <c r="AG9" s="6"/>
      <c r="AH9" s="40">
        <f>AF9/100</f>
        <v>0</v>
      </c>
      <c r="AI9" s="6"/>
      <c r="AJ9" s="6"/>
      <c r="AK9" s="44"/>
      <c r="AL9" s="6"/>
      <c r="AM9" s="42">
        <f>BO9</f>
        <v>4.6805555555555498E-3</v>
      </c>
      <c r="AN9" s="6"/>
      <c r="AO9" s="6"/>
      <c r="AP9" s="6"/>
      <c r="AQ9" s="40">
        <f>AN9-AN3</f>
        <v>0</v>
      </c>
      <c r="AR9" s="40">
        <f>AO9-AO3</f>
        <v>0</v>
      </c>
      <c r="AS9" s="40">
        <f>AP9-AP3</f>
        <v>0</v>
      </c>
      <c r="AT9" s="24">
        <v>15</v>
      </c>
      <c r="AU9" s="53">
        <v>1700</v>
      </c>
      <c r="AV9" s="6">
        <v>34</v>
      </c>
      <c r="AW9" s="6">
        <v>7.2</v>
      </c>
      <c r="AX9" s="6">
        <v>50</v>
      </c>
      <c r="AY9" s="21">
        <v>2.9999999999999997E-4</v>
      </c>
      <c r="AZ9" s="8"/>
      <c r="BA9" s="9">
        <v>4.0359281437125699E-3</v>
      </c>
      <c r="BB9" s="21">
        <v>1.0089820359281437E-7</v>
      </c>
      <c r="BC9" s="8">
        <f t="shared" si="17"/>
        <v>0</v>
      </c>
      <c r="BD9" s="9">
        <f t="shared" si="0"/>
        <v>0</v>
      </c>
      <c r="BE9" s="9">
        <f t="shared" si="1"/>
        <v>1670</v>
      </c>
      <c r="BF9" s="10" t="str">
        <f t="shared" si="7"/>
        <v/>
      </c>
      <c r="BG9" s="10" t="str">
        <f t="shared" si="8"/>
        <v/>
      </c>
      <c r="BH9" s="10">
        <f t="shared" si="18"/>
        <v>6.7399999999999922</v>
      </c>
      <c r="BI9" s="10" t="str">
        <f t="shared" si="10"/>
        <v/>
      </c>
      <c r="BJ9" s="10">
        <f t="shared" si="31"/>
        <v>4.6805555555555498E-3</v>
      </c>
      <c r="BK9" s="35" t="str">
        <f t="shared" si="32"/>
        <v/>
      </c>
      <c r="BL9" s="10" t="str">
        <f>IF(IF(B9&lt;&gt;"Julia",((5-Q9)*BE9)/400, "")&lt;0,0,IF(B9&lt;&gt;"Julia",((5-Q9)*BE9)/400, ""))</f>
        <v/>
      </c>
      <c r="BM9" s="50">
        <f t="shared" si="28"/>
        <v>1.685E-4</v>
      </c>
      <c r="BN9" s="27">
        <f>IF(BI9&lt;&gt;"",BI9/0.000385,IF(BJ9&lt;&gt;"",BJ9/0.000385,BK9/0.000385))</f>
        <v>12.157287157287143</v>
      </c>
      <c r="BO9" s="37">
        <f>IF(BI9&lt;&gt;"",BI9,IF(BJ9&lt;&gt;"",BJ9,BK9))</f>
        <v>4.6805555555555498E-3</v>
      </c>
      <c r="BP9" s="32">
        <f t="shared" si="21"/>
        <v>1.685E-4</v>
      </c>
    </row>
    <row r="10" spans="1:68" x14ac:dyDescent="0.3">
      <c r="A10" s="1" t="s">
        <v>76</v>
      </c>
      <c r="B10" t="s">
        <v>75</v>
      </c>
      <c r="C10">
        <v>12</v>
      </c>
      <c r="D10">
        <v>1</v>
      </c>
      <c r="F10" s="61"/>
      <c r="G10">
        <v>509.83</v>
      </c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17"/>
      <c r="AE10" s="44"/>
      <c r="AF10" s="44"/>
      <c r="AG10" s="44"/>
      <c r="AH10" s="45">
        <f t="shared" ref="AH10:AH14" si="33">AF10/100</f>
        <v>0</v>
      </c>
      <c r="AI10" s="44"/>
      <c r="AJ10" s="44"/>
      <c r="AK10" s="44"/>
      <c r="AL10" s="44"/>
      <c r="AM10" s="45">
        <f t="shared" ref="AM10:AM14" si="34">BO10</f>
        <v>4.6805555555555498E-3</v>
      </c>
      <c r="AN10" s="44"/>
      <c r="AO10" s="44"/>
      <c r="AP10" s="44"/>
      <c r="AQ10" s="45">
        <f t="shared" ref="AQ10:AQ73" si="35">AN10-AN4</f>
        <v>0</v>
      </c>
      <c r="AR10" s="45">
        <f t="shared" ref="AR10:AR73" si="36">AO10-AO4</f>
        <v>0</v>
      </c>
      <c r="AS10" s="45">
        <f t="shared" ref="AS10:AS73" si="37">AP10-AP4</f>
        <v>0</v>
      </c>
      <c r="AT10" s="25">
        <v>15</v>
      </c>
      <c r="AU10" s="54">
        <v>1700</v>
      </c>
      <c r="AV10" s="44">
        <v>34</v>
      </c>
      <c r="AW10" s="44">
        <v>7.2</v>
      </c>
      <c r="AX10" s="44">
        <v>50</v>
      </c>
      <c r="AY10" s="22">
        <v>2.9999999999999997E-4</v>
      </c>
      <c r="AZ10" s="11"/>
      <c r="BA10" s="46">
        <v>4.0359281437125699E-3</v>
      </c>
      <c r="BB10" s="22">
        <v>1.0089820359281437E-7</v>
      </c>
      <c r="BC10" s="11">
        <f t="shared" si="17"/>
        <v>0</v>
      </c>
      <c r="BD10" s="46">
        <f t="shared" si="0"/>
        <v>0</v>
      </c>
      <c r="BE10" s="46">
        <f t="shared" si="1"/>
        <v>1670</v>
      </c>
      <c r="BF10" s="47" t="str">
        <f t="shared" si="7"/>
        <v/>
      </c>
      <c r="BG10" s="47" t="str">
        <f t="shared" si="8"/>
        <v/>
      </c>
      <c r="BH10" s="47">
        <f t="shared" si="18"/>
        <v>6.7399999999999922</v>
      </c>
      <c r="BI10" s="47" t="str">
        <f t="shared" si="10"/>
        <v/>
      </c>
      <c r="BJ10" s="47">
        <f t="shared" si="31"/>
        <v>4.6805555555555498E-3</v>
      </c>
      <c r="BK10" s="48" t="str">
        <f t="shared" si="32"/>
        <v/>
      </c>
      <c r="BL10" s="47" t="str">
        <f t="shared" ref="BL10:BL14" si="38">IF(IF(B10&lt;&gt;"Julia",((5-Q10)*BE10)/400, "")&lt;0,0,IF(B10&lt;&gt;"Julia",((5-Q10)*BE10)/400, ""))</f>
        <v/>
      </c>
      <c r="BM10" s="51">
        <f t="shared" si="28"/>
        <v>1.685E-4</v>
      </c>
      <c r="BN10" s="28">
        <f t="shared" ref="BN10:BN14" si="39">IF(BI10&lt;&gt;"",BI10/0.000385,IF(BJ10&lt;&gt;"",BJ10/0.000385,BK10/0.000385))</f>
        <v>12.157287157287143</v>
      </c>
      <c r="BO10" s="49">
        <f t="shared" ref="BO10:BO14" si="40">IF(BI10&lt;&gt;"",BI10,IF(BJ10&lt;&gt;"",BJ10,BK10))</f>
        <v>4.6805555555555498E-3</v>
      </c>
      <c r="BP10" s="30">
        <f t="shared" si="21"/>
        <v>1.685E-4</v>
      </c>
    </row>
    <row r="11" spans="1:68" x14ac:dyDescent="0.3">
      <c r="A11" s="1" t="s">
        <v>77</v>
      </c>
      <c r="B11" t="s">
        <v>75</v>
      </c>
      <c r="C11">
        <v>12</v>
      </c>
      <c r="D11">
        <v>1</v>
      </c>
      <c r="F11" s="61"/>
      <c r="G11">
        <v>509.83</v>
      </c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17"/>
      <c r="AE11" s="44"/>
      <c r="AF11" s="44"/>
      <c r="AG11" s="44"/>
      <c r="AH11" s="45">
        <f t="shared" si="33"/>
        <v>0</v>
      </c>
      <c r="AI11" s="44"/>
      <c r="AJ11" s="44"/>
      <c r="AK11" s="44"/>
      <c r="AL11" s="44"/>
      <c r="AM11" s="45">
        <f t="shared" si="34"/>
        <v>4.6805555555555498E-3</v>
      </c>
      <c r="AN11" s="44"/>
      <c r="AO11" s="44"/>
      <c r="AP11" s="44"/>
      <c r="AQ11" s="45">
        <f t="shared" si="35"/>
        <v>0</v>
      </c>
      <c r="AR11" s="45">
        <f t="shared" si="36"/>
        <v>0</v>
      </c>
      <c r="AS11" s="45">
        <f t="shared" si="37"/>
        <v>0</v>
      </c>
      <c r="AT11" s="25">
        <v>15</v>
      </c>
      <c r="AU11" s="54">
        <v>1700</v>
      </c>
      <c r="AV11" s="44">
        <v>34</v>
      </c>
      <c r="AW11" s="44">
        <v>7.2</v>
      </c>
      <c r="AX11" s="44">
        <v>50</v>
      </c>
      <c r="AY11" s="22">
        <v>2.9999999999999997E-4</v>
      </c>
      <c r="AZ11" s="11"/>
      <c r="BA11" s="46">
        <v>4.0359281437125699E-3</v>
      </c>
      <c r="BB11" s="22">
        <v>1.0089820359281437E-7</v>
      </c>
      <c r="BC11" s="11">
        <f t="shared" si="17"/>
        <v>0</v>
      </c>
      <c r="BD11" s="46">
        <f t="shared" si="0"/>
        <v>0</v>
      </c>
      <c r="BE11" s="46">
        <f t="shared" ref="BE11:BE71" si="41">AU11+SUM(AJ11:AL11,AN11:AO11)-(AT11*(D11+1))</f>
        <v>1670</v>
      </c>
      <c r="BF11" s="47" t="str">
        <f t="shared" si="7"/>
        <v/>
      </c>
      <c r="BG11" s="47" t="str">
        <f t="shared" si="8"/>
        <v/>
      </c>
      <c r="BH11" s="47">
        <f t="shared" si="18"/>
        <v>6.7399999999999922</v>
      </c>
      <c r="BI11" s="47" t="str">
        <f t="shared" si="10"/>
        <v/>
      </c>
      <c r="BJ11" s="47">
        <f t="shared" si="31"/>
        <v>4.6805555555555498E-3</v>
      </c>
      <c r="BK11" s="48" t="str">
        <f t="shared" si="32"/>
        <v/>
      </c>
      <c r="BL11" s="47" t="str">
        <f t="shared" si="38"/>
        <v/>
      </c>
      <c r="BM11" s="51">
        <f t="shared" si="28"/>
        <v>1.685E-4</v>
      </c>
      <c r="BN11" s="28">
        <f t="shared" si="39"/>
        <v>12.157287157287143</v>
      </c>
      <c r="BO11" s="49">
        <f t="shared" si="40"/>
        <v>4.6805555555555498E-3</v>
      </c>
      <c r="BP11" s="30">
        <f t="shared" si="21"/>
        <v>1.685E-4</v>
      </c>
    </row>
    <row r="12" spans="1:68" x14ac:dyDescent="0.3">
      <c r="A12" s="1" t="s">
        <v>78</v>
      </c>
      <c r="B12" t="s">
        <v>79</v>
      </c>
      <c r="C12">
        <v>12</v>
      </c>
      <c r="D12">
        <v>1</v>
      </c>
      <c r="E12" t="s">
        <v>82</v>
      </c>
      <c r="F12" s="61"/>
      <c r="G12">
        <v>509.83</v>
      </c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17"/>
      <c r="AE12" s="44"/>
      <c r="AF12" s="44"/>
      <c r="AG12" s="44"/>
      <c r="AH12" s="45">
        <f t="shared" si="33"/>
        <v>0</v>
      </c>
      <c r="AI12" s="44"/>
      <c r="AJ12" s="44"/>
      <c r="AK12" s="44"/>
      <c r="AL12" s="44"/>
      <c r="AM12" s="45">
        <f t="shared" si="34"/>
        <v>6.9096123820631085E-3</v>
      </c>
      <c r="AN12" s="44"/>
      <c r="AO12" s="44"/>
      <c r="AP12" s="44"/>
      <c r="AQ12" s="45">
        <f>AN12-AN6</f>
        <v>0</v>
      </c>
      <c r="AR12" s="45">
        <f t="shared" si="36"/>
        <v>0</v>
      </c>
      <c r="AS12" s="45">
        <f t="shared" si="37"/>
        <v>0</v>
      </c>
      <c r="AT12" s="25">
        <v>15</v>
      </c>
      <c r="AU12" s="54">
        <v>1700</v>
      </c>
      <c r="AV12" s="44">
        <v>34</v>
      </c>
      <c r="AW12" s="44">
        <v>7.2</v>
      </c>
      <c r="AX12" s="44">
        <v>50</v>
      </c>
      <c r="AY12" s="22">
        <v>2.9999999999999997E-4</v>
      </c>
      <c r="AZ12" s="11">
        <v>5.9579891198627997E-3</v>
      </c>
      <c r="BB12" s="22"/>
      <c r="BC12" s="11">
        <f t="shared" si="17"/>
        <v>0</v>
      </c>
      <c r="BD12" s="46">
        <f t="shared" si="0"/>
        <v>0</v>
      </c>
      <c r="BE12" s="46">
        <f t="shared" si="41"/>
        <v>1670</v>
      </c>
      <c r="BF12" s="47" t="str">
        <f t="shared" si="7"/>
        <v/>
      </c>
      <c r="BG12" s="47" t="str">
        <f t="shared" si="8"/>
        <v/>
      </c>
      <c r="BH12" s="47">
        <f t="shared" si="18"/>
        <v>9.9498418301708753</v>
      </c>
      <c r="BI12" s="47">
        <f t="shared" si="10"/>
        <v>6.9096123820631085E-3</v>
      </c>
      <c r="BJ12" s="48" t="str">
        <f t="shared" si="31"/>
        <v/>
      </c>
      <c r="BK12" s="48" t="str">
        <f t="shared" si="32"/>
        <v/>
      </c>
      <c r="BL12" s="47">
        <f t="shared" si="38"/>
        <v>20.875</v>
      </c>
      <c r="BM12" s="51" t="str">
        <f t="shared" si="28"/>
        <v/>
      </c>
      <c r="BN12" s="28">
        <f t="shared" si="39"/>
        <v>17.947045148215867</v>
      </c>
      <c r="BO12" s="49">
        <f t="shared" si="40"/>
        <v>6.9096123820631085E-3</v>
      </c>
      <c r="BP12" s="30">
        <f>IF(BL12&lt;&gt;"",BL12,BM12)</f>
        <v>20.875</v>
      </c>
    </row>
    <row r="13" spans="1:68" x14ac:dyDescent="0.3">
      <c r="A13" s="1" t="s">
        <v>80</v>
      </c>
      <c r="B13" t="s">
        <v>79</v>
      </c>
      <c r="C13">
        <v>12</v>
      </c>
      <c r="D13">
        <v>1</v>
      </c>
      <c r="E13" t="s">
        <v>82</v>
      </c>
      <c r="F13" s="61"/>
      <c r="G13">
        <v>509.83</v>
      </c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17"/>
      <c r="AE13" s="44"/>
      <c r="AF13" s="44"/>
      <c r="AG13" s="44"/>
      <c r="AH13" s="45">
        <f t="shared" si="33"/>
        <v>0</v>
      </c>
      <c r="AI13" s="44"/>
      <c r="AJ13" s="44"/>
      <c r="AK13" s="44"/>
      <c r="AL13" s="44"/>
      <c r="AM13" s="45">
        <f t="shared" si="34"/>
        <v>6.9096123820631085E-3</v>
      </c>
      <c r="AN13" s="44"/>
      <c r="AO13" s="44"/>
      <c r="AP13" s="44"/>
      <c r="AQ13" s="45">
        <f t="shared" si="35"/>
        <v>0</v>
      </c>
      <c r="AR13" s="45">
        <f t="shared" si="36"/>
        <v>0</v>
      </c>
      <c r="AS13" s="45">
        <f t="shared" si="37"/>
        <v>0</v>
      </c>
      <c r="AT13" s="25">
        <v>15</v>
      </c>
      <c r="AU13" s="54">
        <v>1700</v>
      </c>
      <c r="AV13" s="44">
        <v>34</v>
      </c>
      <c r="AW13" s="44">
        <v>7.2</v>
      </c>
      <c r="AX13" s="44">
        <v>50</v>
      </c>
      <c r="AY13" s="22">
        <v>2.9999999999999997E-4</v>
      </c>
      <c r="AZ13" s="11">
        <v>5.9579891198627997E-3</v>
      </c>
      <c r="BB13" s="22"/>
      <c r="BC13" s="11">
        <f t="shared" si="17"/>
        <v>0</v>
      </c>
      <c r="BD13" s="46">
        <f t="shared" si="0"/>
        <v>0</v>
      </c>
      <c r="BE13" s="46">
        <f t="shared" si="41"/>
        <v>1670</v>
      </c>
      <c r="BF13" s="47" t="str">
        <f t="shared" si="7"/>
        <v/>
      </c>
      <c r="BG13" s="47" t="str">
        <f t="shared" si="8"/>
        <v/>
      </c>
      <c r="BH13" s="47">
        <f t="shared" si="18"/>
        <v>9.9498418301708753</v>
      </c>
      <c r="BI13" s="47">
        <f t="shared" si="10"/>
        <v>6.9096123820631085E-3</v>
      </c>
      <c r="BJ13" s="48" t="str">
        <f t="shared" si="31"/>
        <v/>
      </c>
      <c r="BK13" s="48" t="str">
        <f t="shared" si="32"/>
        <v/>
      </c>
      <c r="BL13" s="47">
        <f t="shared" si="38"/>
        <v>20.875</v>
      </c>
      <c r="BM13" s="51" t="str">
        <f t="shared" si="28"/>
        <v/>
      </c>
      <c r="BN13" s="28">
        <f t="shared" si="39"/>
        <v>17.947045148215867</v>
      </c>
      <c r="BO13" s="49">
        <f t="shared" si="40"/>
        <v>6.9096123820631085E-3</v>
      </c>
      <c r="BP13" s="30">
        <f t="shared" si="21"/>
        <v>20.875</v>
      </c>
    </row>
    <row r="14" spans="1:68" ht="15" thickBot="1" x14ac:dyDescent="0.35">
      <c r="A14" s="4" t="s">
        <v>81</v>
      </c>
      <c r="B14" s="5" t="s">
        <v>79</v>
      </c>
      <c r="C14" s="5">
        <v>12</v>
      </c>
      <c r="D14" s="5">
        <v>1</v>
      </c>
      <c r="E14" s="5" t="s">
        <v>82</v>
      </c>
      <c r="F14" s="62"/>
      <c r="G14" s="5">
        <v>509.83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18"/>
      <c r="AE14" s="7"/>
      <c r="AF14" s="7"/>
      <c r="AG14" s="7"/>
      <c r="AH14" s="41">
        <f t="shared" si="33"/>
        <v>0</v>
      </c>
      <c r="AI14" s="7"/>
      <c r="AJ14" s="7"/>
      <c r="AK14" s="7"/>
      <c r="AL14" s="7"/>
      <c r="AM14" s="41">
        <f t="shared" si="34"/>
        <v>8.4113023151902808E-3</v>
      </c>
      <c r="AN14" s="7"/>
      <c r="AO14" s="7"/>
      <c r="AP14" s="7"/>
      <c r="AQ14" s="41">
        <f t="shared" si="35"/>
        <v>0</v>
      </c>
      <c r="AR14" s="41">
        <f t="shared" si="36"/>
        <v>0</v>
      </c>
      <c r="AS14" s="41">
        <f t="shared" si="37"/>
        <v>0</v>
      </c>
      <c r="AT14" s="26">
        <v>15</v>
      </c>
      <c r="AU14" s="55">
        <v>1700</v>
      </c>
      <c r="AV14" s="7">
        <v>34</v>
      </c>
      <c r="AW14" s="7">
        <v>7.2</v>
      </c>
      <c r="AX14" s="7">
        <v>50</v>
      </c>
      <c r="AY14" s="23">
        <v>2.9999999999999997E-4</v>
      </c>
      <c r="AZ14" s="12">
        <v>7.2528594813616801E-3</v>
      </c>
      <c r="BA14" s="5"/>
      <c r="BB14" s="23"/>
      <c r="BC14" s="12">
        <f t="shared" si="17"/>
        <v>0</v>
      </c>
      <c r="BD14" s="13">
        <f t="shared" si="0"/>
        <v>0</v>
      </c>
      <c r="BE14" s="13">
        <f t="shared" si="41"/>
        <v>1670</v>
      </c>
      <c r="BF14" s="14" t="str">
        <f t="shared" si="7"/>
        <v/>
      </c>
      <c r="BG14" s="14" t="str">
        <f t="shared" si="8"/>
        <v/>
      </c>
      <c r="BH14" s="14">
        <f t="shared" si="18"/>
        <v>12.112275333874006</v>
      </c>
      <c r="BI14" s="14">
        <f t="shared" si="10"/>
        <v>8.4113023151902808E-3</v>
      </c>
      <c r="BJ14" s="48" t="str">
        <f t="shared" si="31"/>
        <v/>
      </c>
      <c r="BK14" s="36" t="str">
        <f t="shared" si="32"/>
        <v/>
      </c>
      <c r="BL14" s="14">
        <f t="shared" si="38"/>
        <v>20.875</v>
      </c>
      <c r="BM14" s="52" t="str">
        <f t="shared" si="28"/>
        <v/>
      </c>
      <c r="BN14" s="29">
        <f t="shared" si="39"/>
        <v>21.847538481013718</v>
      </c>
      <c r="BO14" s="38">
        <f t="shared" si="40"/>
        <v>8.4113023151902808E-3</v>
      </c>
      <c r="BP14" s="31">
        <f t="shared" si="21"/>
        <v>20.875</v>
      </c>
    </row>
    <row r="15" spans="1:68" x14ac:dyDescent="0.3">
      <c r="A15" s="2" t="s">
        <v>74</v>
      </c>
      <c r="B15" s="3" t="s">
        <v>75</v>
      </c>
      <c r="C15" s="3">
        <v>12</v>
      </c>
      <c r="D15" s="3">
        <v>2</v>
      </c>
      <c r="E15" s="3"/>
      <c r="F15" s="60"/>
      <c r="G15">
        <v>997.91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16"/>
      <c r="AE15" s="6"/>
      <c r="AF15" s="6"/>
      <c r="AG15" s="6"/>
      <c r="AH15" s="40">
        <f>AF15/100</f>
        <v>0</v>
      </c>
      <c r="AI15" s="6"/>
      <c r="AJ15" s="6"/>
      <c r="AK15" s="44"/>
      <c r="AL15" s="6"/>
      <c r="AM15" s="42">
        <f>BO15</f>
        <v>4.6805555555555498E-3</v>
      </c>
      <c r="AN15" s="6"/>
      <c r="AO15" s="6"/>
      <c r="AP15" s="6"/>
      <c r="AQ15" s="40">
        <f t="shared" si="35"/>
        <v>0</v>
      </c>
      <c r="AR15" s="40">
        <f t="shared" si="36"/>
        <v>0</v>
      </c>
      <c r="AS15" s="40">
        <f t="shared" si="37"/>
        <v>0</v>
      </c>
      <c r="AT15" s="24">
        <v>15</v>
      </c>
      <c r="AU15" s="53">
        <v>1700</v>
      </c>
      <c r="AV15" s="6">
        <v>34</v>
      </c>
      <c r="AW15" s="6">
        <v>7.2</v>
      </c>
      <c r="AX15" s="6">
        <v>50</v>
      </c>
      <c r="AY15" s="21">
        <v>2.9999999999999997E-4</v>
      </c>
      <c r="AZ15" s="8"/>
      <c r="BA15" s="9">
        <v>4.072507552870086E-3</v>
      </c>
      <c r="BB15" s="21">
        <v>1.0181268882175226E-7</v>
      </c>
      <c r="BC15" s="8">
        <f t="shared" si="17"/>
        <v>0</v>
      </c>
      <c r="BD15" s="9">
        <f t="shared" si="0"/>
        <v>0</v>
      </c>
      <c r="BE15" s="9">
        <f t="shared" si="41"/>
        <v>1655</v>
      </c>
      <c r="BF15" s="10" t="str">
        <f t="shared" si="7"/>
        <v/>
      </c>
      <c r="BG15" s="10" t="str">
        <f t="shared" si="8"/>
        <v/>
      </c>
      <c r="BH15" s="10">
        <f t="shared" si="18"/>
        <v>6.7399999999999922</v>
      </c>
      <c r="BI15" s="10" t="str">
        <f t="shared" si="10"/>
        <v/>
      </c>
      <c r="BJ15" s="10">
        <f t="shared" si="31"/>
        <v>4.6805555555555498E-3</v>
      </c>
      <c r="BK15" s="35" t="str">
        <f t="shared" si="32"/>
        <v/>
      </c>
      <c r="BL15" s="10" t="str">
        <f t="shared" ref="BL15:BL17" si="42">IF(IF(B15&lt;&gt;"Julia",((1.5-Q15)*BE15)/400, "")&lt;0,0,IF(B15&lt;&gt;"Julia",((3-Q15)*BE15)/400, ""))</f>
        <v/>
      </c>
      <c r="BM15" s="50">
        <f t="shared" si="28"/>
        <v>1.685E-4</v>
      </c>
      <c r="BN15" s="27">
        <f>IF(BI15&lt;&gt;"",BI15/0.000385,IF(BJ15&lt;&gt;"",BJ15/0.000385,BK15/0.000385))</f>
        <v>12.157287157287143</v>
      </c>
      <c r="BO15" s="37">
        <f>IF(BI15&lt;&gt;"",BI15,IF(BJ15&lt;&gt;"",BJ15,BK15))</f>
        <v>4.6805555555555498E-3</v>
      </c>
      <c r="BP15" s="32">
        <f t="shared" si="21"/>
        <v>1.685E-4</v>
      </c>
    </row>
    <row r="16" spans="1:68" x14ac:dyDescent="0.3">
      <c r="A16" s="1" t="s">
        <v>76</v>
      </c>
      <c r="B16" t="s">
        <v>75</v>
      </c>
      <c r="C16">
        <v>12</v>
      </c>
      <c r="D16">
        <v>2</v>
      </c>
      <c r="F16" s="61"/>
      <c r="G16">
        <v>997.91</v>
      </c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17"/>
      <c r="AE16" s="44"/>
      <c r="AF16" s="44"/>
      <c r="AG16" s="44"/>
      <c r="AH16" s="45">
        <f t="shared" ref="AH16:AH20" si="43">AF16/100</f>
        <v>0</v>
      </c>
      <c r="AI16" s="44"/>
      <c r="AJ16" s="44"/>
      <c r="AK16" s="44"/>
      <c r="AL16" s="44"/>
      <c r="AM16" s="45">
        <f t="shared" ref="AM16:AM20" si="44">BO16</f>
        <v>4.6805555555555498E-3</v>
      </c>
      <c r="AN16" s="44"/>
      <c r="AO16" s="44"/>
      <c r="AP16" s="44"/>
      <c r="AQ16" s="45">
        <f t="shared" si="35"/>
        <v>0</v>
      </c>
      <c r="AR16" s="45">
        <f t="shared" si="36"/>
        <v>0</v>
      </c>
      <c r="AS16" s="45">
        <f t="shared" si="37"/>
        <v>0</v>
      </c>
      <c r="AT16" s="25">
        <v>15</v>
      </c>
      <c r="AU16" s="54">
        <v>1700</v>
      </c>
      <c r="AV16" s="44">
        <v>34</v>
      </c>
      <c r="AW16" s="44">
        <v>7.2</v>
      </c>
      <c r="AX16" s="44">
        <v>50</v>
      </c>
      <c r="AY16" s="22">
        <v>2.9999999999999997E-4</v>
      </c>
      <c r="AZ16" s="11"/>
      <c r="BA16" s="46">
        <v>4.072507552870086E-3</v>
      </c>
      <c r="BB16" s="22">
        <v>1.0181268882175226E-7</v>
      </c>
      <c r="BC16" s="11">
        <f t="shared" si="17"/>
        <v>0</v>
      </c>
      <c r="BD16" s="46">
        <f t="shared" si="0"/>
        <v>0</v>
      </c>
      <c r="BE16" s="46">
        <f t="shared" si="41"/>
        <v>1655</v>
      </c>
      <c r="BF16" s="47" t="str">
        <f t="shared" si="7"/>
        <v/>
      </c>
      <c r="BG16" s="47" t="str">
        <f t="shared" si="8"/>
        <v/>
      </c>
      <c r="BH16" s="47">
        <f t="shared" si="18"/>
        <v>6.7399999999999922</v>
      </c>
      <c r="BI16" s="47" t="str">
        <f t="shared" si="10"/>
        <v/>
      </c>
      <c r="BJ16" s="47">
        <f t="shared" si="31"/>
        <v>4.6805555555555498E-3</v>
      </c>
      <c r="BK16" s="48" t="str">
        <f t="shared" si="32"/>
        <v/>
      </c>
      <c r="BL16" s="47" t="str">
        <f t="shared" si="42"/>
        <v/>
      </c>
      <c r="BM16" s="51">
        <f t="shared" si="28"/>
        <v>1.685E-4</v>
      </c>
      <c r="BN16" s="28">
        <f t="shared" ref="BN16:BN20" si="45">IF(BI16&lt;&gt;"",BI16/0.000385,IF(BJ16&lt;&gt;"",BJ16/0.000385,BK16/0.000385))</f>
        <v>12.157287157287143</v>
      </c>
      <c r="BO16" s="49">
        <f t="shared" ref="BO16:BO20" si="46">IF(BI16&lt;&gt;"",BI16,IF(BJ16&lt;&gt;"",BJ16,BK16))</f>
        <v>4.6805555555555498E-3</v>
      </c>
      <c r="BP16" s="30">
        <f t="shared" si="21"/>
        <v>1.685E-4</v>
      </c>
    </row>
    <row r="17" spans="1:68" x14ac:dyDescent="0.3">
      <c r="A17" s="1" t="s">
        <v>77</v>
      </c>
      <c r="B17" t="s">
        <v>75</v>
      </c>
      <c r="C17">
        <v>12</v>
      </c>
      <c r="D17">
        <v>2</v>
      </c>
      <c r="F17" s="61"/>
      <c r="G17">
        <v>997.91</v>
      </c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17"/>
      <c r="AE17" s="44"/>
      <c r="AF17" s="44"/>
      <c r="AG17" s="44"/>
      <c r="AH17" s="45">
        <f t="shared" si="43"/>
        <v>0</v>
      </c>
      <c r="AI17" s="44"/>
      <c r="AJ17" s="44"/>
      <c r="AK17" s="44"/>
      <c r="AL17" s="44"/>
      <c r="AM17" s="45">
        <f t="shared" si="44"/>
        <v>4.6805555555555498E-3</v>
      </c>
      <c r="AN17" s="44"/>
      <c r="AO17" s="44"/>
      <c r="AP17" s="44"/>
      <c r="AQ17" s="45">
        <f t="shared" si="35"/>
        <v>0</v>
      </c>
      <c r="AR17" s="45">
        <f t="shared" si="36"/>
        <v>0</v>
      </c>
      <c r="AS17" s="45">
        <f t="shared" si="37"/>
        <v>0</v>
      </c>
      <c r="AT17" s="25">
        <v>15</v>
      </c>
      <c r="AU17" s="54">
        <v>1700</v>
      </c>
      <c r="AV17" s="44">
        <v>34</v>
      </c>
      <c r="AW17" s="44">
        <v>7.2</v>
      </c>
      <c r="AX17" s="44">
        <v>50</v>
      </c>
      <c r="AY17" s="22">
        <v>2.9999999999999997E-4</v>
      </c>
      <c r="AZ17" s="11"/>
      <c r="BA17" s="46">
        <v>4.072507552870086E-3</v>
      </c>
      <c r="BB17" s="22">
        <v>1.0181268882175226E-7</v>
      </c>
      <c r="BC17" s="11">
        <f t="shared" si="17"/>
        <v>0</v>
      </c>
      <c r="BD17" s="46">
        <f t="shared" si="0"/>
        <v>0</v>
      </c>
      <c r="BE17" s="46">
        <f t="shared" si="41"/>
        <v>1655</v>
      </c>
      <c r="BF17" s="47" t="str">
        <f t="shared" si="7"/>
        <v/>
      </c>
      <c r="BG17" s="47" t="str">
        <f t="shared" si="8"/>
        <v/>
      </c>
      <c r="BH17" s="47">
        <f t="shared" si="18"/>
        <v>6.7399999999999922</v>
      </c>
      <c r="BI17" s="47" t="str">
        <f t="shared" si="10"/>
        <v/>
      </c>
      <c r="BJ17" s="47">
        <f t="shared" si="31"/>
        <v>4.6805555555555498E-3</v>
      </c>
      <c r="BK17" s="48" t="str">
        <f t="shared" si="32"/>
        <v/>
      </c>
      <c r="BL17" s="47" t="str">
        <f t="shared" si="42"/>
        <v/>
      </c>
      <c r="BM17" s="51">
        <f t="shared" si="28"/>
        <v>1.685E-4</v>
      </c>
      <c r="BN17" s="28">
        <f t="shared" si="45"/>
        <v>12.157287157287143</v>
      </c>
      <c r="BO17" s="49">
        <f t="shared" si="46"/>
        <v>4.6805555555555498E-3</v>
      </c>
      <c r="BP17" s="30">
        <f t="shared" si="21"/>
        <v>1.685E-4</v>
      </c>
    </row>
    <row r="18" spans="1:68" x14ac:dyDescent="0.3">
      <c r="A18" s="1" t="s">
        <v>78</v>
      </c>
      <c r="B18" t="s">
        <v>79</v>
      </c>
      <c r="C18">
        <v>12</v>
      </c>
      <c r="D18">
        <v>2</v>
      </c>
      <c r="E18" t="s">
        <v>83</v>
      </c>
      <c r="F18" s="61"/>
      <c r="G18">
        <v>997.91</v>
      </c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17"/>
      <c r="AE18" s="44"/>
      <c r="AF18" s="44"/>
      <c r="AG18" s="44"/>
      <c r="AH18" s="45">
        <f t="shared" si="43"/>
        <v>0</v>
      </c>
      <c r="AI18" s="44"/>
      <c r="AJ18" s="44"/>
      <c r="AK18" s="44"/>
      <c r="AL18" s="44"/>
      <c r="AM18" s="45">
        <f t="shared" si="44"/>
        <v>6.8475499953978697E-3</v>
      </c>
      <c r="AN18" s="44"/>
      <c r="AO18" s="44"/>
      <c r="AP18" s="44"/>
      <c r="AQ18" s="45">
        <f t="shared" si="35"/>
        <v>0</v>
      </c>
      <c r="AR18" s="45">
        <f t="shared" si="36"/>
        <v>0</v>
      </c>
      <c r="AS18" s="45">
        <f t="shared" si="37"/>
        <v>0</v>
      </c>
      <c r="AT18" s="25">
        <v>15</v>
      </c>
      <c r="AU18" s="54">
        <v>1700</v>
      </c>
      <c r="AV18" s="44">
        <v>34</v>
      </c>
      <c r="AW18" s="44">
        <v>7.2</v>
      </c>
      <c r="AX18" s="44">
        <v>50</v>
      </c>
      <c r="AY18" s="22">
        <v>2.9999999999999997E-4</v>
      </c>
      <c r="AZ18" s="11">
        <v>5.9579891198627997E-3</v>
      </c>
      <c r="BB18" s="22"/>
      <c r="BC18" s="11">
        <f t="shared" si="17"/>
        <v>0</v>
      </c>
      <c r="BD18" s="46">
        <f t="shared" si="0"/>
        <v>0</v>
      </c>
      <c r="BE18" s="46">
        <f t="shared" si="41"/>
        <v>1655</v>
      </c>
      <c r="BF18" s="47" t="str">
        <f t="shared" si="7"/>
        <v/>
      </c>
      <c r="BG18" s="47" t="str">
        <f t="shared" si="8"/>
        <v/>
      </c>
      <c r="BH18" s="47">
        <f t="shared" si="18"/>
        <v>9.8604719933729328</v>
      </c>
      <c r="BI18" s="47">
        <f t="shared" si="10"/>
        <v>6.8475499953978697E-3</v>
      </c>
      <c r="BJ18" s="48" t="str">
        <f t="shared" si="31"/>
        <v/>
      </c>
      <c r="BK18" s="48" t="str">
        <f t="shared" si="32"/>
        <v/>
      </c>
      <c r="BL18" s="47">
        <f>IF(IF(B18&lt;&gt;"Julia",((1.5-Q18)*BE18)/400, "")&lt;0,0,IF(B18&lt;&gt;"Julia",((3-Q18)*BE18)/400, ""))</f>
        <v>12.4125</v>
      </c>
      <c r="BM18" s="51" t="str">
        <f t="shared" si="28"/>
        <v/>
      </c>
      <c r="BN18" s="28">
        <f t="shared" si="45"/>
        <v>17.785844143890571</v>
      </c>
      <c r="BO18" s="49">
        <f t="shared" si="46"/>
        <v>6.8475499953978697E-3</v>
      </c>
      <c r="BP18" s="30">
        <f t="shared" si="21"/>
        <v>12.4125</v>
      </c>
    </row>
    <row r="19" spans="1:68" x14ac:dyDescent="0.3">
      <c r="A19" s="1" t="s">
        <v>80</v>
      </c>
      <c r="B19" t="s">
        <v>79</v>
      </c>
      <c r="C19">
        <v>12</v>
      </c>
      <c r="D19">
        <v>2</v>
      </c>
      <c r="E19" t="s">
        <v>83</v>
      </c>
      <c r="F19" s="61"/>
      <c r="G19">
        <v>997.91</v>
      </c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17"/>
      <c r="AE19" s="44"/>
      <c r="AF19" s="44"/>
      <c r="AG19" s="44"/>
      <c r="AH19" s="45">
        <f t="shared" si="43"/>
        <v>0</v>
      </c>
      <c r="AI19" s="44"/>
      <c r="AJ19" s="44"/>
      <c r="AK19" s="44"/>
      <c r="AL19" s="44"/>
      <c r="AM19" s="45">
        <f t="shared" si="44"/>
        <v>6.8475499953978697E-3</v>
      </c>
      <c r="AN19" s="44"/>
      <c r="AO19" s="44"/>
      <c r="AP19" s="44"/>
      <c r="AQ19" s="45">
        <f t="shared" si="35"/>
        <v>0</v>
      </c>
      <c r="AR19" s="45">
        <f t="shared" si="36"/>
        <v>0</v>
      </c>
      <c r="AS19" s="45">
        <f t="shared" si="37"/>
        <v>0</v>
      </c>
      <c r="AT19" s="25">
        <v>15</v>
      </c>
      <c r="AU19" s="54">
        <v>1700</v>
      </c>
      <c r="AV19" s="44">
        <v>34</v>
      </c>
      <c r="AW19" s="44">
        <v>7.2</v>
      </c>
      <c r="AX19" s="44">
        <v>50</v>
      </c>
      <c r="AY19" s="22">
        <v>2.9999999999999997E-4</v>
      </c>
      <c r="AZ19" s="11">
        <v>5.9579891198627997E-3</v>
      </c>
      <c r="BB19" s="22"/>
      <c r="BC19" s="11">
        <f t="shared" si="17"/>
        <v>0</v>
      </c>
      <c r="BD19" s="46">
        <f t="shared" si="0"/>
        <v>0</v>
      </c>
      <c r="BE19" s="46">
        <f t="shared" si="41"/>
        <v>1655</v>
      </c>
      <c r="BF19" s="47" t="str">
        <f t="shared" si="7"/>
        <v/>
      </c>
      <c r="BG19" s="47" t="str">
        <f t="shared" si="8"/>
        <v/>
      </c>
      <c r="BH19" s="47">
        <f t="shared" si="18"/>
        <v>9.8604719933729328</v>
      </c>
      <c r="BI19" s="47">
        <f t="shared" si="10"/>
        <v>6.8475499953978697E-3</v>
      </c>
      <c r="BJ19" s="48" t="str">
        <f t="shared" si="31"/>
        <v/>
      </c>
      <c r="BK19" s="48" t="str">
        <f t="shared" si="32"/>
        <v/>
      </c>
      <c r="BL19" s="47">
        <f t="shared" ref="BL19:BL80" si="47">IF(IF(B19&lt;&gt;"Julia",((1.5-Q19)*BE19)/400, "")&lt;0,0,IF(B19&lt;&gt;"Julia",((3-Q19)*BE19)/400, ""))</f>
        <v>12.4125</v>
      </c>
      <c r="BM19" s="51" t="str">
        <f t="shared" si="28"/>
        <v/>
      </c>
      <c r="BN19" s="28">
        <f t="shared" si="45"/>
        <v>17.785844143890571</v>
      </c>
      <c r="BO19" s="49">
        <f t="shared" si="46"/>
        <v>6.8475499953978697E-3</v>
      </c>
      <c r="BP19" s="30">
        <f t="shared" si="21"/>
        <v>12.4125</v>
      </c>
    </row>
    <row r="20" spans="1:68" ht="15" thickBot="1" x14ac:dyDescent="0.35">
      <c r="A20" s="4" t="s">
        <v>81</v>
      </c>
      <c r="B20" s="5" t="s">
        <v>79</v>
      </c>
      <c r="C20" s="5">
        <v>12</v>
      </c>
      <c r="D20" s="5">
        <v>2</v>
      </c>
      <c r="E20" s="5" t="s">
        <v>83</v>
      </c>
      <c r="F20" s="62"/>
      <c r="G20">
        <v>997.91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18"/>
      <c r="AE20" s="7"/>
      <c r="AF20" s="7"/>
      <c r="AG20" s="7"/>
      <c r="AH20" s="41">
        <f t="shared" si="43"/>
        <v>0</v>
      </c>
      <c r="AI20" s="7"/>
      <c r="AJ20" s="7"/>
      <c r="AK20" s="7"/>
      <c r="AL20" s="7"/>
      <c r="AM20" s="41">
        <f t="shared" si="44"/>
        <v>8.3357516955927646E-3</v>
      </c>
      <c r="AN20" s="7"/>
      <c r="AO20" s="7"/>
      <c r="AP20" s="7"/>
      <c r="AQ20" s="41">
        <f t="shared" si="35"/>
        <v>0</v>
      </c>
      <c r="AR20" s="41">
        <f t="shared" si="36"/>
        <v>0</v>
      </c>
      <c r="AS20" s="41">
        <f t="shared" si="37"/>
        <v>0</v>
      </c>
      <c r="AT20" s="26">
        <v>15</v>
      </c>
      <c r="AU20" s="55">
        <v>1700</v>
      </c>
      <c r="AV20" s="7">
        <v>34</v>
      </c>
      <c r="AW20" s="7">
        <v>7.2</v>
      </c>
      <c r="AX20" s="7">
        <v>50</v>
      </c>
      <c r="AY20" s="23">
        <v>2.9999999999999997E-4</v>
      </c>
      <c r="AZ20" s="12">
        <v>7.2528594813616801E-3</v>
      </c>
      <c r="BA20" s="5"/>
      <c r="BB20" s="23"/>
      <c r="BC20" s="12">
        <f t="shared" si="17"/>
        <v>0</v>
      </c>
      <c r="BD20" s="13">
        <f t="shared" si="0"/>
        <v>0</v>
      </c>
      <c r="BE20" s="13">
        <f t="shared" si="41"/>
        <v>1655</v>
      </c>
      <c r="BF20" s="14" t="str">
        <f t="shared" si="7"/>
        <v/>
      </c>
      <c r="BG20" s="14" t="str">
        <f t="shared" si="8"/>
        <v/>
      </c>
      <c r="BH20" s="14">
        <f t="shared" si="18"/>
        <v>12.003482441653579</v>
      </c>
      <c r="BI20" s="14">
        <f t="shared" si="10"/>
        <v>8.3357516955927646E-3</v>
      </c>
      <c r="BJ20" s="48" t="str">
        <f t="shared" si="31"/>
        <v/>
      </c>
      <c r="BK20" s="36" t="str">
        <f t="shared" si="32"/>
        <v/>
      </c>
      <c r="BL20" s="14">
        <f t="shared" si="47"/>
        <v>12.4125</v>
      </c>
      <c r="BM20" s="52" t="str">
        <f t="shared" si="28"/>
        <v/>
      </c>
      <c r="BN20" s="29">
        <f t="shared" si="45"/>
        <v>21.651303105435755</v>
      </c>
      <c r="BO20" s="38">
        <f t="shared" si="46"/>
        <v>8.3357516955927646E-3</v>
      </c>
      <c r="BP20" s="31">
        <f t="shared" si="21"/>
        <v>12.4125</v>
      </c>
    </row>
    <row r="21" spans="1:68" x14ac:dyDescent="0.3">
      <c r="A21" s="2" t="s">
        <v>74</v>
      </c>
      <c r="B21" s="3" t="s">
        <v>75</v>
      </c>
      <c r="C21" s="3">
        <v>12</v>
      </c>
      <c r="D21" s="3">
        <v>3</v>
      </c>
      <c r="E21" s="3"/>
      <c r="F21" s="60"/>
      <c r="G21" s="3">
        <v>1505.08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16"/>
      <c r="AE21" s="6"/>
      <c r="AF21" s="6"/>
      <c r="AG21" s="6"/>
      <c r="AH21" s="40">
        <f>AF21/100</f>
        <v>0</v>
      </c>
      <c r="AI21" s="6"/>
      <c r="AJ21" s="6"/>
      <c r="AK21" s="44"/>
      <c r="AL21" s="6"/>
      <c r="AM21" s="42">
        <f>BO21</f>
        <v>4.6805555555555498E-3</v>
      </c>
      <c r="AN21" s="6"/>
      <c r="AO21" s="6"/>
      <c r="AP21" s="6"/>
      <c r="AQ21" s="40">
        <f t="shared" si="35"/>
        <v>0</v>
      </c>
      <c r="AR21" s="40">
        <f t="shared" si="36"/>
        <v>0</v>
      </c>
      <c r="AS21" s="40">
        <f t="shared" si="37"/>
        <v>0</v>
      </c>
      <c r="AT21" s="24">
        <v>15</v>
      </c>
      <c r="AU21" s="53">
        <v>1700</v>
      </c>
      <c r="AV21" s="6">
        <v>34</v>
      </c>
      <c r="AW21" s="6">
        <v>7.2</v>
      </c>
      <c r="AX21" s="6">
        <v>50</v>
      </c>
      <c r="AY21" s="21">
        <v>2.9999999999999997E-4</v>
      </c>
      <c r="AZ21" s="8"/>
      <c r="BA21" s="9">
        <v>4.1097560975609706E-3</v>
      </c>
      <c r="BB21" s="21">
        <v>1.0274390243902439E-7</v>
      </c>
      <c r="BC21" s="8">
        <f t="shared" si="17"/>
        <v>0</v>
      </c>
      <c r="BD21" s="9">
        <f t="shared" si="0"/>
        <v>0</v>
      </c>
      <c r="BE21" s="9">
        <f t="shared" si="41"/>
        <v>1640</v>
      </c>
      <c r="BF21" s="10" t="str">
        <f t="shared" si="7"/>
        <v/>
      </c>
      <c r="BG21" s="10" t="str">
        <f t="shared" si="8"/>
        <v/>
      </c>
      <c r="BH21" s="10">
        <f t="shared" si="18"/>
        <v>6.7399999999999922</v>
      </c>
      <c r="BI21" s="10" t="str">
        <f t="shared" si="10"/>
        <v/>
      </c>
      <c r="BJ21" s="10">
        <f t="shared" si="31"/>
        <v>4.6805555555555498E-3</v>
      </c>
      <c r="BK21" s="35" t="str">
        <f t="shared" si="32"/>
        <v/>
      </c>
      <c r="BL21" s="10" t="str">
        <f t="shared" si="47"/>
        <v/>
      </c>
      <c r="BM21" s="50">
        <f t="shared" si="28"/>
        <v>1.685E-4</v>
      </c>
      <c r="BN21" s="27">
        <f>IF(BI21&lt;&gt;"",BI21/0.000385,IF(BJ21&lt;&gt;"",BJ21/0.000385,BK21/0.000385))</f>
        <v>12.157287157287143</v>
      </c>
      <c r="BO21" s="37">
        <f>IF(BI21&lt;&gt;"",BI21,IF(BJ21&lt;&gt;"",BJ21,BK21))</f>
        <v>4.6805555555555498E-3</v>
      </c>
      <c r="BP21" s="32">
        <f t="shared" si="21"/>
        <v>1.685E-4</v>
      </c>
    </row>
    <row r="22" spans="1:68" x14ac:dyDescent="0.3">
      <c r="A22" s="1" t="s">
        <v>76</v>
      </c>
      <c r="B22" t="s">
        <v>75</v>
      </c>
      <c r="C22">
        <v>12</v>
      </c>
      <c r="D22">
        <v>3</v>
      </c>
      <c r="F22" s="61"/>
      <c r="G22">
        <v>1505.08</v>
      </c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17"/>
      <c r="AE22" s="44"/>
      <c r="AF22" s="44"/>
      <c r="AG22" s="44"/>
      <c r="AH22" s="45">
        <f t="shared" ref="AH22:AH26" si="48">AF22/100</f>
        <v>0</v>
      </c>
      <c r="AI22" s="44"/>
      <c r="AJ22" s="44"/>
      <c r="AK22" s="44"/>
      <c r="AL22" s="44"/>
      <c r="AM22" s="45">
        <f t="shared" ref="AM22:AM26" si="49">BO22</f>
        <v>4.6805555555555498E-3</v>
      </c>
      <c r="AN22" s="44"/>
      <c r="AO22" s="44"/>
      <c r="AP22" s="44"/>
      <c r="AQ22" s="45">
        <f t="shared" si="35"/>
        <v>0</v>
      </c>
      <c r="AR22" s="45">
        <f t="shared" si="36"/>
        <v>0</v>
      </c>
      <c r="AS22" s="45">
        <f t="shared" si="37"/>
        <v>0</v>
      </c>
      <c r="AT22" s="25">
        <v>15</v>
      </c>
      <c r="AU22" s="54">
        <v>1700</v>
      </c>
      <c r="AV22" s="44">
        <v>34</v>
      </c>
      <c r="AW22" s="44">
        <v>7.2</v>
      </c>
      <c r="AX22" s="44">
        <v>50</v>
      </c>
      <c r="AY22" s="22">
        <v>2.9999999999999997E-4</v>
      </c>
      <c r="AZ22" s="11"/>
      <c r="BA22" s="46">
        <v>4.1097560975609706E-3</v>
      </c>
      <c r="BB22" s="22">
        <v>1.0274390243902439E-7</v>
      </c>
      <c r="BC22" s="11">
        <f t="shared" si="17"/>
        <v>0</v>
      </c>
      <c r="BD22" s="46">
        <f t="shared" si="0"/>
        <v>0</v>
      </c>
      <c r="BE22" s="46">
        <f t="shared" si="41"/>
        <v>1640</v>
      </c>
      <c r="BF22" s="47" t="str">
        <f t="shared" si="7"/>
        <v/>
      </c>
      <c r="BG22" s="47" t="str">
        <f t="shared" si="8"/>
        <v/>
      </c>
      <c r="BH22" s="47">
        <f t="shared" si="18"/>
        <v>6.7399999999999922</v>
      </c>
      <c r="BI22" s="47" t="str">
        <f t="shared" si="10"/>
        <v/>
      </c>
      <c r="BJ22" s="47">
        <f t="shared" si="31"/>
        <v>4.6805555555555498E-3</v>
      </c>
      <c r="BK22" s="48" t="str">
        <f t="shared" si="32"/>
        <v/>
      </c>
      <c r="BL22" s="47" t="str">
        <f t="shared" si="47"/>
        <v/>
      </c>
      <c r="BM22" s="51">
        <f t="shared" si="28"/>
        <v>1.685E-4</v>
      </c>
      <c r="BN22" s="28">
        <f t="shared" ref="BN22:BN26" si="50">IF(BI22&lt;&gt;"",BI22/0.000385,IF(BJ22&lt;&gt;"",BJ22/0.000385,BK22/0.000385))</f>
        <v>12.157287157287143</v>
      </c>
      <c r="BO22" s="49">
        <f t="shared" ref="BO22:BO26" si="51">IF(BI22&lt;&gt;"",BI22,IF(BJ22&lt;&gt;"",BJ22,BK22))</f>
        <v>4.6805555555555498E-3</v>
      </c>
      <c r="BP22" s="30">
        <f t="shared" si="21"/>
        <v>1.685E-4</v>
      </c>
    </row>
    <row r="23" spans="1:68" x14ac:dyDescent="0.3">
      <c r="A23" s="1" t="s">
        <v>77</v>
      </c>
      <c r="B23" t="s">
        <v>75</v>
      </c>
      <c r="C23">
        <v>12</v>
      </c>
      <c r="D23">
        <v>3</v>
      </c>
      <c r="F23" s="61"/>
      <c r="G23">
        <v>1505.08</v>
      </c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17"/>
      <c r="AE23" s="44"/>
      <c r="AF23" s="44"/>
      <c r="AG23" s="44"/>
      <c r="AH23" s="45">
        <f t="shared" si="48"/>
        <v>0</v>
      </c>
      <c r="AI23" s="44"/>
      <c r="AJ23" s="44"/>
      <c r="AK23" s="44"/>
      <c r="AL23" s="44"/>
      <c r="AM23" s="45">
        <f t="shared" si="49"/>
        <v>4.6805555555555498E-3</v>
      </c>
      <c r="AN23" s="44"/>
      <c r="AO23" s="44"/>
      <c r="AP23" s="44"/>
      <c r="AQ23" s="45">
        <f t="shared" si="35"/>
        <v>0</v>
      </c>
      <c r="AR23" s="45">
        <f t="shared" si="36"/>
        <v>0</v>
      </c>
      <c r="AS23" s="45">
        <f t="shared" si="37"/>
        <v>0</v>
      </c>
      <c r="AT23" s="25">
        <v>15</v>
      </c>
      <c r="AU23" s="54">
        <v>1700</v>
      </c>
      <c r="AV23" s="44">
        <v>34</v>
      </c>
      <c r="AW23" s="44">
        <v>7.2</v>
      </c>
      <c r="AX23" s="44">
        <v>50</v>
      </c>
      <c r="AY23" s="22">
        <v>2.9999999999999997E-4</v>
      </c>
      <c r="AZ23" s="11"/>
      <c r="BA23" s="46">
        <v>4.1097560975609706E-3</v>
      </c>
      <c r="BB23" s="22">
        <v>1.0274390243902439E-7</v>
      </c>
      <c r="BC23" s="11">
        <f t="shared" si="17"/>
        <v>0</v>
      </c>
      <c r="BD23" s="46">
        <f t="shared" si="0"/>
        <v>0</v>
      </c>
      <c r="BE23" s="46">
        <f t="shared" si="41"/>
        <v>1640</v>
      </c>
      <c r="BF23" s="47" t="str">
        <f t="shared" si="7"/>
        <v/>
      </c>
      <c r="BG23" s="47" t="str">
        <f t="shared" si="8"/>
        <v/>
      </c>
      <c r="BH23" s="47">
        <f t="shared" si="18"/>
        <v>6.7399999999999922</v>
      </c>
      <c r="BI23" s="47" t="str">
        <f t="shared" si="10"/>
        <v/>
      </c>
      <c r="BJ23" s="47">
        <f t="shared" si="31"/>
        <v>4.6805555555555498E-3</v>
      </c>
      <c r="BK23" s="48" t="str">
        <f t="shared" si="32"/>
        <v/>
      </c>
      <c r="BL23" s="47" t="str">
        <f t="shared" si="47"/>
        <v/>
      </c>
      <c r="BM23" s="51">
        <f t="shared" si="28"/>
        <v>1.685E-4</v>
      </c>
      <c r="BN23" s="28">
        <f t="shared" si="50"/>
        <v>12.157287157287143</v>
      </c>
      <c r="BO23" s="49">
        <f t="shared" si="51"/>
        <v>4.6805555555555498E-3</v>
      </c>
      <c r="BP23" s="30">
        <f t="shared" si="21"/>
        <v>1.685E-4</v>
      </c>
    </row>
    <row r="24" spans="1:68" x14ac:dyDescent="0.3">
      <c r="A24" s="1" t="s">
        <v>78</v>
      </c>
      <c r="B24" t="s">
        <v>79</v>
      </c>
      <c r="C24">
        <v>12</v>
      </c>
      <c r="D24">
        <v>3</v>
      </c>
      <c r="F24" s="61"/>
      <c r="G24">
        <v>1505.08</v>
      </c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17"/>
      <c r="AE24" s="44"/>
      <c r="AF24" s="44"/>
      <c r="AG24" s="44"/>
      <c r="AH24" s="45">
        <f t="shared" si="48"/>
        <v>0</v>
      </c>
      <c r="AI24" s="44"/>
      <c r="AJ24" s="44"/>
      <c r="AK24" s="44"/>
      <c r="AL24" s="44"/>
      <c r="AM24" s="45">
        <f t="shared" si="49"/>
        <v>6.7854876087326326E-3</v>
      </c>
      <c r="AN24" s="44"/>
      <c r="AO24" s="44"/>
      <c r="AP24" s="44"/>
      <c r="AQ24" s="45">
        <f t="shared" si="35"/>
        <v>0</v>
      </c>
      <c r="AR24" s="45">
        <f t="shared" si="36"/>
        <v>0</v>
      </c>
      <c r="AS24" s="45">
        <f t="shared" si="37"/>
        <v>0</v>
      </c>
      <c r="AT24" s="25">
        <v>15</v>
      </c>
      <c r="AU24" s="54">
        <v>1700</v>
      </c>
      <c r="AV24" s="44">
        <v>34</v>
      </c>
      <c r="AW24" s="44">
        <v>7.2</v>
      </c>
      <c r="AX24" s="44">
        <v>50</v>
      </c>
      <c r="AY24" s="22">
        <v>2.9999999999999997E-4</v>
      </c>
      <c r="AZ24" s="11">
        <v>5.9579891198627997E-3</v>
      </c>
      <c r="BB24" s="22"/>
      <c r="BC24" s="11">
        <f t="shared" si="17"/>
        <v>0</v>
      </c>
      <c r="BD24" s="46">
        <f t="shared" si="0"/>
        <v>0</v>
      </c>
      <c r="BE24" s="46">
        <f t="shared" si="41"/>
        <v>1640</v>
      </c>
      <c r="BF24" s="47" t="str">
        <f t="shared" si="7"/>
        <v/>
      </c>
      <c r="BG24" s="47" t="str">
        <f t="shared" si="8"/>
        <v/>
      </c>
      <c r="BH24" s="47">
        <f t="shared" si="18"/>
        <v>9.7711021565749903</v>
      </c>
      <c r="BI24" s="47">
        <f t="shared" si="10"/>
        <v>6.7854876087326326E-3</v>
      </c>
      <c r="BJ24" s="48" t="str">
        <f t="shared" si="31"/>
        <v/>
      </c>
      <c r="BK24" s="48" t="str">
        <f t="shared" si="32"/>
        <v/>
      </c>
      <c r="BL24" s="47">
        <f t="shared" si="47"/>
        <v>12.3</v>
      </c>
      <c r="BM24" s="51" t="str">
        <f t="shared" si="28"/>
        <v/>
      </c>
      <c r="BN24" s="28">
        <f t="shared" si="50"/>
        <v>17.624643139565279</v>
      </c>
      <c r="BO24" s="49">
        <f t="shared" si="51"/>
        <v>6.7854876087326326E-3</v>
      </c>
      <c r="BP24" s="30">
        <f t="shared" si="21"/>
        <v>12.3</v>
      </c>
    </row>
    <row r="25" spans="1:68" x14ac:dyDescent="0.3">
      <c r="A25" s="1" t="s">
        <v>80</v>
      </c>
      <c r="B25" t="s">
        <v>79</v>
      </c>
      <c r="C25">
        <v>12</v>
      </c>
      <c r="D25">
        <v>3</v>
      </c>
      <c r="F25" s="61"/>
      <c r="G25">
        <v>1505.08</v>
      </c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17"/>
      <c r="AE25" s="44"/>
      <c r="AF25" s="44"/>
      <c r="AG25" s="44"/>
      <c r="AH25" s="45">
        <f t="shared" si="48"/>
        <v>0</v>
      </c>
      <c r="AI25" s="44"/>
      <c r="AJ25" s="44"/>
      <c r="AK25" s="44"/>
      <c r="AL25" s="44"/>
      <c r="AM25" s="45">
        <f t="shared" si="49"/>
        <v>6.7854876087326326E-3</v>
      </c>
      <c r="AN25" s="44"/>
      <c r="AO25" s="44"/>
      <c r="AP25" s="44"/>
      <c r="AQ25" s="45">
        <f t="shared" si="35"/>
        <v>0</v>
      </c>
      <c r="AR25" s="45">
        <f t="shared" si="36"/>
        <v>0</v>
      </c>
      <c r="AS25" s="45">
        <f t="shared" si="37"/>
        <v>0</v>
      </c>
      <c r="AT25" s="25">
        <v>15</v>
      </c>
      <c r="AU25" s="54">
        <v>1700</v>
      </c>
      <c r="AV25" s="44">
        <v>34</v>
      </c>
      <c r="AW25" s="44">
        <v>7.2</v>
      </c>
      <c r="AX25" s="44">
        <v>50</v>
      </c>
      <c r="AY25" s="22">
        <v>2.9999999999999997E-4</v>
      </c>
      <c r="AZ25" s="11">
        <v>5.9579891198627997E-3</v>
      </c>
      <c r="BB25" s="22"/>
      <c r="BC25" s="11">
        <f t="shared" si="17"/>
        <v>0</v>
      </c>
      <c r="BD25" s="46">
        <f t="shared" si="0"/>
        <v>0</v>
      </c>
      <c r="BE25" s="46">
        <f t="shared" si="41"/>
        <v>1640</v>
      </c>
      <c r="BF25" s="47" t="str">
        <f t="shared" si="7"/>
        <v/>
      </c>
      <c r="BG25" s="47" t="str">
        <f t="shared" si="8"/>
        <v/>
      </c>
      <c r="BH25" s="47">
        <f t="shared" si="18"/>
        <v>9.7711021565749903</v>
      </c>
      <c r="BI25" s="47">
        <f t="shared" si="10"/>
        <v>6.7854876087326326E-3</v>
      </c>
      <c r="BJ25" s="48" t="str">
        <f t="shared" si="31"/>
        <v/>
      </c>
      <c r="BK25" s="48" t="str">
        <f t="shared" si="32"/>
        <v/>
      </c>
      <c r="BL25" s="47">
        <f t="shared" si="47"/>
        <v>12.3</v>
      </c>
      <c r="BM25" s="51" t="str">
        <f t="shared" si="28"/>
        <v/>
      </c>
      <c r="BN25" s="28">
        <f t="shared" si="50"/>
        <v>17.624643139565279</v>
      </c>
      <c r="BO25" s="49">
        <f t="shared" si="51"/>
        <v>6.7854876087326326E-3</v>
      </c>
      <c r="BP25" s="30">
        <f t="shared" si="21"/>
        <v>12.3</v>
      </c>
    </row>
    <row r="26" spans="1:68" ht="15" thickBot="1" x14ac:dyDescent="0.35">
      <c r="A26" s="4" t="s">
        <v>81</v>
      </c>
      <c r="B26" s="5" t="s">
        <v>79</v>
      </c>
      <c r="C26" s="5">
        <v>12</v>
      </c>
      <c r="D26" s="5">
        <v>3</v>
      </c>
      <c r="E26" s="5"/>
      <c r="F26" s="62"/>
      <c r="G26" s="5">
        <v>1505.08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18"/>
      <c r="AE26" s="7"/>
      <c r="AF26" s="7"/>
      <c r="AG26" s="7"/>
      <c r="AH26" s="41">
        <f t="shared" si="48"/>
        <v>0</v>
      </c>
      <c r="AI26" s="7"/>
      <c r="AJ26" s="7"/>
      <c r="AK26" s="7"/>
      <c r="AL26" s="7"/>
      <c r="AM26" s="41">
        <f t="shared" si="49"/>
        <v>8.2602010759952466E-3</v>
      </c>
      <c r="AN26" s="7"/>
      <c r="AO26" s="7"/>
      <c r="AP26" s="7"/>
      <c r="AQ26" s="41">
        <f t="shared" si="35"/>
        <v>0</v>
      </c>
      <c r="AR26" s="41">
        <f t="shared" si="36"/>
        <v>0</v>
      </c>
      <c r="AS26" s="41">
        <f t="shared" si="37"/>
        <v>0</v>
      </c>
      <c r="AT26" s="26">
        <v>15</v>
      </c>
      <c r="AU26" s="55">
        <v>1700</v>
      </c>
      <c r="AV26" s="7">
        <v>34</v>
      </c>
      <c r="AW26" s="7">
        <v>7.2</v>
      </c>
      <c r="AX26" s="7">
        <v>50</v>
      </c>
      <c r="AY26" s="23">
        <v>2.9999999999999997E-4</v>
      </c>
      <c r="AZ26" s="12">
        <v>7.2528594813616801E-3</v>
      </c>
      <c r="BA26" s="5"/>
      <c r="BB26" s="23"/>
      <c r="BC26" s="12">
        <f t="shared" si="17"/>
        <v>0</v>
      </c>
      <c r="BD26" s="13">
        <f t="shared" si="0"/>
        <v>0</v>
      </c>
      <c r="BE26" s="13">
        <f t="shared" si="41"/>
        <v>1640</v>
      </c>
      <c r="BF26" s="14" t="str">
        <f t="shared" si="7"/>
        <v/>
      </c>
      <c r="BG26" s="14" t="str">
        <f t="shared" si="8"/>
        <v/>
      </c>
      <c r="BH26" s="14">
        <f t="shared" si="18"/>
        <v>11.894689549433155</v>
      </c>
      <c r="BI26" s="14">
        <f t="shared" si="10"/>
        <v>8.2602010759952466E-3</v>
      </c>
      <c r="BJ26" s="48" t="str">
        <f t="shared" si="31"/>
        <v/>
      </c>
      <c r="BK26" s="36" t="str">
        <f t="shared" si="32"/>
        <v/>
      </c>
      <c r="BL26" s="14">
        <f t="shared" si="47"/>
        <v>12.3</v>
      </c>
      <c r="BM26" s="52" t="str">
        <f t="shared" si="28"/>
        <v/>
      </c>
      <c r="BN26" s="29">
        <f t="shared" si="50"/>
        <v>21.455067729857785</v>
      </c>
      <c r="BO26" s="38">
        <f t="shared" si="51"/>
        <v>8.2602010759952466E-3</v>
      </c>
      <c r="BP26" s="31">
        <f t="shared" si="21"/>
        <v>12.3</v>
      </c>
    </row>
    <row r="27" spans="1:68" x14ac:dyDescent="0.3">
      <c r="A27" s="2" t="s">
        <v>74</v>
      </c>
      <c r="B27" s="3" t="s">
        <v>75</v>
      </c>
      <c r="C27" s="3">
        <v>12</v>
      </c>
      <c r="D27" s="3">
        <v>4</v>
      </c>
      <c r="E27" s="3"/>
      <c r="F27" s="60"/>
      <c r="G27" s="3">
        <v>2119.61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16"/>
      <c r="AE27" s="6"/>
      <c r="AF27" s="6"/>
      <c r="AG27" s="6"/>
      <c r="AH27" s="40">
        <f>AF27/100</f>
        <v>0</v>
      </c>
      <c r="AI27" s="6"/>
      <c r="AJ27" s="6"/>
      <c r="AK27" s="44"/>
      <c r="AL27" s="6"/>
      <c r="AM27" s="42">
        <f>BO27</f>
        <v>4.6805555555555498E-3</v>
      </c>
      <c r="AN27" s="6"/>
      <c r="AO27" s="6"/>
      <c r="AP27" s="6"/>
      <c r="AQ27" s="40">
        <f t="shared" si="35"/>
        <v>0</v>
      </c>
      <c r="AR27" s="40">
        <f t="shared" si="36"/>
        <v>0</v>
      </c>
      <c r="AS27" s="40">
        <f t="shared" si="37"/>
        <v>0</v>
      </c>
      <c r="AT27" s="24">
        <v>15</v>
      </c>
      <c r="AU27" s="53">
        <v>1700</v>
      </c>
      <c r="AV27" s="6">
        <v>34</v>
      </c>
      <c r="AW27" s="6">
        <v>7.2</v>
      </c>
      <c r="AX27" s="6">
        <v>50</v>
      </c>
      <c r="AY27" s="21">
        <v>2.9999999999999997E-4</v>
      </c>
      <c r="AZ27" s="8"/>
      <c r="BA27" s="9">
        <v>4.1476923076923028E-3</v>
      </c>
      <c r="BB27" s="21">
        <v>1.0369230769230769E-7</v>
      </c>
      <c r="BC27" s="8">
        <f t="shared" si="17"/>
        <v>0</v>
      </c>
      <c r="BD27" s="9">
        <f t="shared" si="0"/>
        <v>0</v>
      </c>
      <c r="BE27" s="9">
        <f t="shared" si="41"/>
        <v>1625</v>
      </c>
      <c r="BF27" s="10" t="str">
        <f t="shared" si="7"/>
        <v/>
      </c>
      <c r="BG27" s="10" t="str">
        <f t="shared" si="8"/>
        <v/>
      </c>
      <c r="BH27" s="10">
        <f t="shared" si="18"/>
        <v>6.7399999999999922</v>
      </c>
      <c r="BI27" s="10" t="str">
        <f t="shared" si="10"/>
        <v/>
      </c>
      <c r="BJ27" s="10">
        <f t="shared" si="31"/>
        <v>4.6805555555555498E-3</v>
      </c>
      <c r="BK27" s="35" t="str">
        <f t="shared" si="32"/>
        <v/>
      </c>
      <c r="BL27" s="10" t="str">
        <f t="shared" si="47"/>
        <v/>
      </c>
      <c r="BM27" s="50">
        <f t="shared" si="28"/>
        <v>1.685E-4</v>
      </c>
      <c r="BN27" s="27">
        <f>IF(BI27&lt;&gt;"",BI27/0.000385,IF(BJ27&lt;&gt;"",BJ27/0.000385,BK27/0.000385))</f>
        <v>12.157287157287143</v>
      </c>
      <c r="BO27" s="37">
        <f>IF(BI27&lt;&gt;"",BI27,IF(BJ27&lt;&gt;"",BJ27,BK27))</f>
        <v>4.6805555555555498E-3</v>
      </c>
      <c r="BP27" s="32">
        <f t="shared" si="21"/>
        <v>1.685E-4</v>
      </c>
    </row>
    <row r="28" spans="1:68" x14ac:dyDescent="0.3">
      <c r="A28" s="1" t="s">
        <v>76</v>
      </c>
      <c r="B28" t="s">
        <v>75</v>
      </c>
      <c r="C28">
        <v>12</v>
      </c>
      <c r="D28">
        <v>4</v>
      </c>
      <c r="F28" s="61"/>
      <c r="G28">
        <v>2119.61</v>
      </c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17"/>
      <c r="AE28" s="44"/>
      <c r="AF28" s="44"/>
      <c r="AG28" s="44"/>
      <c r="AH28" s="45">
        <f t="shared" ref="AH28:AH32" si="52">AF28/100</f>
        <v>0</v>
      </c>
      <c r="AI28" s="44"/>
      <c r="AJ28" s="44"/>
      <c r="AK28" s="44"/>
      <c r="AL28" s="44"/>
      <c r="AM28" s="45">
        <f t="shared" ref="AM28:AM32" si="53">BO28</f>
        <v>4.6805555555555498E-3</v>
      </c>
      <c r="AN28" s="44"/>
      <c r="AO28" s="44"/>
      <c r="AP28" s="44"/>
      <c r="AQ28" s="45">
        <f t="shared" si="35"/>
        <v>0</v>
      </c>
      <c r="AR28" s="45">
        <f t="shared" si="36"/>
        <v>0</v>
      </c>
      <c r="AS28" s="45">
        <f t="shared" si="37"/>
        <v>0</v>
      </c>
      <c r="AT28" s="25">
        <v>15</v>
      </c>
      <c r="AU28" s="54">
        <v>1700</v>
      </c>
      <c r="AV28" s="44">
        <v>34</v>
      </c>
      <c r="AW28" s="44">
        <v>7.2</v>
      </c>
      <c r="AX28" s="44">
        <v>50</v>
      </c>
      <c r="AY28" s="22">
        <v>2.9999999999999997E-4</v>
      </c>
      <c r="AZ28" s="11"/>
      <c r="BA28" s="46">
        <v>4.1476923076923028E-3</v>
      </c>
      <c r="BB28" s="22">
        <v>1.0369230769230769E-7</v>
      </c>
      <c r="BC28" s="11">
        <f t="shared" si="17"/>
        <v>0</v>
      </c>
      <c r="BD28" s="46">
        <f t="shared" si="0"/>
        <v>0</v>
      </c>
      <c r="BE28" s="46">
        <f t="shared" si="41"/>
        <v>1625</v>
      </c>
      <c r="BF28" s="47" t="str">
        <f t="shared" si="7"/>
        <v/>
      </c>
      <c r="BG28" s="47" t="str">
        <f t="shared" si="8"/>
        <v/>
      </c>
      <c r="BH28" s="47">
        <f t="shared" si="18"/>
        <v>6.7399999999999922</v>
      </c>
      <c r="BI28" s="47" t="str">
        <f t="shared" si="10"/>
        <v/>
      </c>
      <c r="BJ28" s="47">
        <f t="shared" si="31"/>
        <v>4.6805555555555498E-3</v>
      </c>
      <c r="BK28" s="48" t="str">
        <f t="shared" si="32"/>
        <v/>
      </c>
      <c r="BL28" s="47" t="str">
        <f t="shared" si="47"/>
        <v/>
      </c>
      <c r="BM28" s="51">
        <f t="shared" si="28"/>
        <v>1.685E-4</v>
      </c>
      <c r="BN28" s="28">
        <f t="shared" ref="BN28:BN32" si="54">IF(BI28&lt;&gt;"",BI28/0.000385,IF(BJ28&lt;&gt;"",BJ28/0.000385,BK28/0.000385))</f>
        <v>12.157287157287143</v>
      </c>
      <c r="BO28" s="49">
        <f t="shared" ref="BO28:BO32" si="55">IF(BI28&lt;&gt;"",BI28,IF(BJ28&lt;&gt;"",BJ28,BK28))</f>
        <v>4.6805555555555498E-3</v>
      </c>
      <c r="BP28" s="30">
        <f t="shared" si="21"/>
        <v>1.685E-4</v>
      </c>
    </row>
    <row r="29" spans="1:68" x14ac:dyDescent="0.3">
      <c r="A29" s="1" t="s">
        <v>77</v>
      </c>
      <c r="B29" t="s">
        <v>75</v>
      </c>
      <c r="C29">
        <v>12</v>
      </c>
      <c r="D29">
        <v>4</v>
      </c>
      <c r="F29" s="61"/>
      <c r="G29">
        <v>2119.61</v>
      </c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17"/>
      <c r="AE29" s="44"/>
      <c r="AF29" s="44"/>
      <c r="AG29" s="44"/>
      <c r="AH29" s="45">
        <f t="shared" si="52"/>
        <v>0</v>
      </c>
      <c r="AI29" s="44"/>
      <c r="AJ29" s="44"/>
      <c r="AK29" s="44"/>
      <c r="AL29" s="44"/>
      <c r="AM29" s="45">
        <f t="shared" si="53"/>
        <v>4.6805555555555498E-3</v>
      </c>
      <c r="AN29" s="44"/>
      <c r="AO29" s="44"/>
      <c r="AP29" s="44"/>
      <c r="AQ29" s="45">
        <f t="shared" si="35"/>
        <v>0</v>
      </c>
      <c r="AR29" s="45">
        <f t="shared" si="36"/>
        <v>0</v>
      </c>
      <c r="AS29" s="45">
        <f t="shared" si="37"/>
        <v>0</v>
      </c>
      <c r="AT29" s="25">
        <v>15</v>
      </c>
      <c r="AU29" s="54">
        <v>1700</v>
      </c>
      <c r="AV29" s="44">
        <v>34</v>
      </c>
      <c r="AW29" s="44">
        <v>7.2</v>
      </c>
      <c r="AX29" s="44">
        <v>50</v>
      </c>
      <c r="AY29" s="22">
        <v>2.9999999999999997E-4</v>
      </c>
      <c r="AZ29" s="11"/>
      <c r="BA29" s="46">
        <v>4.1476923076923028E-3</v>
      </c>
      <c r="BB29" s="22">
        <v>1.0369230769230769E-7</v>
      </c>
      <c r="BC29" s="11">
        <f t="shared" si="17"/>
        <v>0</v>
      </c>
      <c r="BD29" s="46">
        <f t="shared" si="0"/>
        <v>0</v>
      </c>
      <c r="BE29" s="46">
        <f t="shared" si="41"/>
        <v>1625</v>
      </c>
      <c r="BF29" s="47" t="str">
        <f t="shared" si="7"/>
        <v/>
      </c>
      <c r="BG29" s="47" t="str">
        <f t="shared" si="8"/>
        <v/>
      </c>
      <c r="BH29" s="47">
        <f t="shared" si="18"/>
        <v>6.7399999999999922</v>
      </c>
      <c r="BI29" s="47" t="str">
        <f t="shared" si="10"/>
        <v/>
      </c>
      <c r="BJ29" s="47">
        <f t="shared" si="31"/>
        <v>4.6805555555555498E-3</v>
      </c>
      <c r="BK29" s="48" t="str">
        <f t="shared" si="32"/>
        <v/>
      </c>
      <c r="BL29" s="47" t="str">
        <f t="shared" si="47"/>
        <v/>
      </c>
      <c r="BM29" s="51">
        <f t="shared" si="28"/>
        <v>1.685E-4</v>
      </c>
      <c r="BN29" s="28">
        <f t="shared" si="54"/>
        <v>12.157287157287143</v>
      </c>
      <c r="BO29" s="49">
        <f t="shared" si="55"/>
        <v>4.6805555555555498E-3</v>
      </c>
      <c r="BP29" s="30">
        <f t="shared" si="21"/>
        <v>1.685E-4</v>
      </c>
    </row>
    <row r="30" spans="1:68" x14ac:dyDescent="0.3">
      <c r="A30" s="1" t="s">
        <v>78</v>
      </c>
      <c r="B30" t="s">
        <v>79</v>
      </c>
      <c r="C30">
        <v>12</v>
      </c>
      <c r="D30">
        <v>4</v>
      </c>
      <c r="F30" s="61"/>
      <c r="G30">
        <v>2119.61</v>
      </c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17"/>
      <c r="AE30" s="44"/>
      <c r="AF30" s="44"/>
      <c r="AG30" s="44"/>
      <c r="AH30" s="45">
        <f t="shared" si="52"/>
        <v>0</v>
      </c>
      <c r="AI30" s="44"/>
      <c r="AJ30" s="44"/>
      <c r="AK30" s="44"/>
      <c r="AL30" s="44"/>
      <c r="AM30" s="45">
        <f t="shared" si="53"/>
        <v>6.7234252220673956E-3</v>
      </c>
      <c r="AN30" s="44"/>
      <c r="AO30" s="44"/>
      <c r="AP30" s="44"/>
      <c r="AQ30" s="45">
        <f t="shared" si="35"/>
        <v>0</v>
      </c>
      <c r="AR30" s="45">
        <f t="shared" si="36"/>
        <v>0</v>
      </c>
      <c r="AS30" s="45">
        <f t="shared" si="37"/>
        <v>0</v>
      </c>
      <c r="AT30" s="25">
        <v>15</v>
      </c>
      <c r="AU30" s="54">
        <v>1700</v>
      </c>
      <c r="AV30" s="44">
        <v>34</v>
      </c>
      <c r="AW30" s="44">
        <v>7.2</v>
      </c>
      <c r="AX30" s="44">
        <v>50</v>
      </c>
      <c r="AY30" s="22">
        <v>2.9999999999999997E-4</v>
      </c>
      <c r="AZ30" s="11">
        <v>5.9579891198627997E-3</v>
      </c>
      <c r="BB30" s="22"/>
      <c r="BC30" s="11">
        <f t="shared" si="17"/>
        <v>0</v>
      </c>
      <c r="BD30" s="46">
        <f t="shared" si="0"/>
        <v>0</v>
      </c>
      <c r="BE30" s="46">
        <f t="shared" si="41"/>
        <v>1625</v>
      </c>
      <c r="BF30" s="47" t="str">
        <f t="shared" si="7"/>
        <v/>
      </c>
      <c r="BG30" s="47" t="str">
        <f t="shared" si="8"/>
        <v/>
      </c>
      <c r="BH30" s="47">
        <f t="shared" si="18"/>
        <v>9.6817323197770495</v>
      </c>
      <c r="BI30" s="47">
        <f t="shared" si="10"/>
        <v>6.7234252220673956E-3</v>
      </c>
      <c r="BJ30" s="48" t="str">
        <f t="shared" si="31"/>
        <v/>
      </c>
      <c r="BK30" s="48" t="str">
        <f t="shared" si="32"/>
        <v/>
      </c>
      <c r="BL30" s="47">
        <f t="shared" si="47"/>
        <v>12.1875</v>
      </c>
      <c r="BM30" s="51" t="str">
        <f t="shared" si="28"/>
        <v/>
      </c>
      <c r="BN30" s="28">
        <f t="shared" si="54"/>
        <v>17.46344213523999</v>
      </c>
      <c r="BO30" s="49">
        <f t="shared" si="55"/>
        <v>6.7234252220673956E-3</v>
      </c>
      <c r="BP30" s="30">
        <f t="shared" si="21"/>
        <v>12.1875</v>
      </c>
    </row>
    <row r="31" spans="1:68" x14ac:dyDescent="0.3">
      <c r="A31" s="1" t="s">
        <v>80</v>
      </c>
      <c r="B31" t="s">
        <v>79</v>
      </c>
      <c r="C31">
        <v>12</v>
      </c>
      <c r="D31">
        <v>4</v>
      </c>
      <c r="F31" s="61"/>
      <c r="G31">
        <v>2119.61</v>
      </c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17"/>
      <c r="AE31" s="44"/>
      <c r="AF31" s="44"/>
      <c r="AG31" s="44"/>
      <c r="AH31" s="45">
        <f t="shared" si="52"/>
        <v>0</v>
      </c>
      <c r="AI31" s="44"/>
      <c r="AJ31" s="44"/>
      <c r="AK31" s="44"/>
      <c r="AL31" s="44"/>
      <c r="AM31" s="45">
        <f t="shared" si="53"/>
        <v>6.7234252220673956E-3</v>
      </c>
      <c r="AN31" s="44"/>
      <c r="AO31" s="44"/>
      <c r="AP31" s="44"/>
      <c r="AQ31" s="45">
        <f t="shared" si="35"/>
        <v>0</v>
      </c>
      <c r="AR31" s="45">
        <f t="shared" si="36"/>
        <v>0</v>
      </c>
      <c r="AS31" s="45">
        <f t="shared" si="37"/>
        <v>0</v>
      </c>
      <c r="AT31" s="25">
        <v>15</v>
      </c>
      <c r="AU31" s="54">
        <v>1700</v>
      </c>
      <c r="AV31" s="44">
        <v>34</v>
      </c>
      <c r="AW31" s="44">
        <v>7.2</v>
      </c>
      <c r="AX31" s="44">
        <v>50</v>
      </c>
      <c r="AY31" s="22">
        <v>2.9999999999999997E-4</v>
      </c>
      <c r="AZ31" s="11">
        <v>5.9579891198627997E-3</v>
      </c>
      <c r="BB31" s="22"/>
      <c r="BC31" s="11">
        <f t="shared" si="17"/>
        <v>0</v>
      </c>
      <c r="BD31" s="46">
        <f t="shared" si="0"/>
        <v>0</v>
      </c>
      <c r="BE31" s="46">
        <f t="shared" si="41"/>
        <v>1625</v>
      </c>
      <c r="BF31" s="47" t="str">
        <f t="shared" si="7"/>
        <v/>
      </c>
      <c r="BG31" s="47" t="str">
        <f t="shared" si="8"/>
        <v/>
      </c>
      <c r="BH31" s="47">
        <f t="shared" si="18"/>
        <v>9.6817323197770495</v>
      </c>
      <c r="BI31" s="47">
        <f t="shared" si="10"/>
        <v>6.7234252220673956E-3</v>
      </c>
      <c r="BJ31" s="48" t="str">
        <f t="shared" si="31"/>
        <v/>
      </c>
      <c r="BK31" s="48" t="str">
        <f t="shared" si="32"/>
        <v/>
      </c>
      <c r="BL31" s="47">
        <f t="shared" si="47"/>
        <v>12.1875</v>
      </c>
      <c r="BM31" s="51" t="str">
        <f t="shared" si="28"/>
        <v/>
      </c>
      <c r="BN31" s="28">
        <f t="shared" si="54"/>
        <v>17.46344213523999</v>
      </c>
      <c r="BO31" s="49">
        <f t="shared" si="55"/>
        <v>6.7234252220673956E-3</v>
      </c>
      <c r="BP31" s="30">
        <f t="shared" si="21"/>
        <v>12.1875</v>
      </c>
    </row>
    <row r="32" spans="1:68" ht="15" thickBot="1" x14ac:dyDescent="0.35">
      <c r="A32" s="4" t="s">
        <v>81</v>
      </c>
      <c r="B32" s="5" t="s">
        <v>79</v>
      </c>
      <c r="C32" s="5">
        <v>12</v>
      </c>
      <c r="D32" s="5">
        <v>4</v>
      </c>
      <c r="E32" s="5"/>
      <c r="F32" s="62"/>
      <c r="G32" s="5">
        <v>2119.61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18"/>
      <c r="AE32" s="7"/>
      <c r="AF32" s="7"/>
      <c r="AG32" s="7"/>
      <c r="AH32" s="41">
        <f t="shared" si="52"/>
        <v>0</v>
      </c>
      <c r="AI32" s="7"/>
      <c r="AJ32" s="7"/>
      <c r="AK32" s="7"/>
      <c r="AL32" s="7"/>
      <c r="AM32" s="41">
        <f t="shared" si="53"/>
        <v>8.1846504563977285E-3</v>
      </c>
      <c r="AN32" s="7"/>
      <c r="AO32" s="7"/>
      <c r="AP32" s="7"/>
      <c r="AQ32" s="41">
        <f t="shared" si="35"/>
        <v>0</v>
      </c>
      <c r="AR32" s="41">
        <f t="shared" si="36"/>
        <v>0</v>
      </c>
      <c r="AS32" s="41">
        <f t="shared" si="37"/>
        <v>0</v>
      </c>
      <c r="AT32" s="26">
        <v>15</v>
      </c>
      <c r="AU32" s="55">
        <v>1700</v>
      </c>
      <c r="AV32" s="7">
        <v>34</v>
      </c>
      <c r="AW32" s="7">
        <v>7.2</v>
      </c>
      <c r="AX32" s="7">
        <v>50</v>
      </c>
      <c r="AY32" s="23">
        <v>2.9999999999999997E-4</v>
      </c>
      <c r="AZ32" s="12">
        <v>7.2528594813616801E-3</v>
      </c>
      <c r="BA32" s="5"/>
      <c r="BB32" s="23"/>
      <c r="BC32" s="12">
        <f t="shared" si="17"/>
        <v>0</v>
      </c>
      <c r="BD32" s="13">
        <f t="shared" si="0"/>
        <v>0</v>
      </c>
      <c r="BE32" s="13">
        <f t="shared" si="41"/>
        <v>1625</v>
      </c>
      <c r="BF32" s="14" t="str">
        <f t="shared" si="7"/>
        <v/>
      </c>
      <c r="BG32" s="14" t="str">
        <f t="shared" si="8"/>
        <v/>
      </c>
      <c r="BH32" s="14">
        <f t="shared" si="18"/>
        <v>11.78589665721273</v>
      </c>
      <c r="BI32" s="14">
        <f t="shared" si="10"/>
        <v>8.1846504563977285E-3</v>
      </c>
      <c r="BJ32" s="48" t="str">
        <f t="shared" si="31"/>
        <v/>
      </c>
      <c r="BK32" s="36" t="str">
        <f t="shared" si="32"/>
        <v/>
      </c>
      <c r="BL32" s="14">
        <f t="shared" si="47"/>
        <v>12.1875</v>
      </c>
      <c r="BM32" s="52" t="str">
        <f t="shared" si="28"/>
        <v/>
      </c>
      <c r="BN32" s="29">
        <f t="shared" si="54"/>
        <v>21.258832354279814</v>
      </c>
      <c r="BO32" s="38">
        <f t="shared" si="55"/>
        <v>8.1846504563977285E-3</v>
      </c>
      <c r="BP32" s="31">
        <f t="shared" si="21"/>
        <v>12.1875</v>
      </c>
    </row>
    <row r="33" spans="1:68" x14ac:dyDescent="0.3">
      <c r="A33" s="2" t="s">
        <v>74</v>
      </c>
      <c r="B33" s="3" t="s">
        <v>75</v>
      </c>
      <c r="C33" s="3">
        <v>12</v>
      </c>
      <c r="D33" s="3">
        <v>5</v>
      </c>
      <c r="E33" s="3"/>
      <c r="F33" s="60"/>
      <c r="G33" s="3">
        <v>2716.05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16"/>
      <c r="AE33" s="6"/>
      <c r="AF33" s="6"/>
      <c r="AG33" s="6"/>
      <c r="AH33" s="40">
        <f>AF33/100</f>
        <v>0</v>
      </c>
      <c r="AI33" s="6"/>
      <c r="AJ33" s="6"/>
      <c r="AK33" s="44"/>
      <c r="AL33" s="6"/>
      <c r="AM33" s="42">
        <f>BO33</f>
        <v>4.6805555555555498E-3</v>
      </c>
      <c r="AN33" s="6"/>
      <c r="AO33" s="6"/>
      <c r="AP33" s="6"/>
      <c r="AQ33" s="40">
        <f t="shared" si="35"/>
        <v>0</v>
      </c>
      <c r="AR33" s="40">
        <f t="shared" si="36"/>
        <v>0</v>
      </c>
      <c r="AS33" s="40">
        <f t="shared" si="37"/>
        <v>0</v>
      </c>
      <c r="AT33" s="24">
        <v>15</v>
      </c>
      <c r="AU33" s="53">
        <v>1700</v>
      </c>
      <c r="AV33" s="6">
        <v>34</v>
      </c>
      <c r="AW33" s="6">
        <v>7.2</v>
      </c>
      <c r="AX33" s="6">
        <v>50</v>
      </c>
      <c r="AY33" s="21">
        <v>2.9999999999999997E-4</v>
      </c>
      <c r="AZ33" s="8"/>
      <c r="BA33" s="9">
        <v>4.1863354037267033E-3</v>
      </c>
      <c r="BB33" s="21">
        <v>1.046583850931677E-7</v>
      </c>
      <c r="BC33" s="8">
        <f t="shared" si="17"/>
        <v>0</v>
      </c>
      <c r="BD33" s="9">
        <f t="shared" si="0"/>
        <v>0</v>
      </c>
      <c r="BE33" s="9">
        <f t="shared" si="41"/>
        <v>1610</v>
      </c>
      <c r="BF33" s="10" t="str">
        <f t="shared" si="7"/>
        <v/>
      </c>
      <c r="BG33" s="10" t="str">
        <f t="shared" si="8"/>
        <v/>
      </c>
      <c r="BH33" s="10">
        <f t="shared" si="18"/>
        <v>6.7399999999999922</v>
      </c>
      <c r="BI33" s="10" t="str">
        <f t="shared" si="10"/>
        <v/>
      </c>
      <c r="BJ33" s="10">
        <f t="shared" si="31"/>
        <v>4.6805555555555498E-3</v>
      </c>
      <c r="BK33" s="35" t="str">
        <f t="shared" si="32"/>
        <v/>
      </c>
      <c r="BL33" s="10" t="str">
        <f t="shared" si="47"/>
        <v/>
      </c>
      <c r="BM33" s="50">
        <f t="shared" si="28"/>
        <v>1.685E-4</v>
      </c>
      <c r="BN33" s="27">
        <f>IF(BI33&lt;&gt;"",BI33/0.000385,IF(BJ33&lt;&gt;"",BJ33/0.000385,BK33/0.000385))</f>
        <v>12.157287157287143</v>
      </c>
      <c r="BO33" s="37">
        <f>IF(BI33&lt;&gt;"",BI33,IF(BJ33&lt;&gt;"",BJ33,BK33))</f>
        <v>4.6805555555555498E-3</v>
      </c>
      <c r="BP33" s="32">
        <f t="shared" si="21"/>
        <v>1.685E-4</v>
      </c>
    </row>
    <row r="34" spans="1:68" x14ac:dyDescent="0.3">
      <c r="A34" s="1" t="s">
        <v>76</v>
      </c>
      <c r="B34" t="s">
        <v>75</v>
      </c>
      <c r="C34">
        <v>12</v>
      </c>
      <c r="D34">
        <v>5</v>
      </c>
      <c r="F34" s="61"/>
      <c r="G34">
        <v>2716.05</v>
      </c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17"/>
      <c r="AE34" s="44"/>
      <c r="AF34" s="44"/>
      <c r="AG34" s="44"/>
      <c r="AH34" s="45">
        <f t="shared" ref="AH34:AH38" si="56">AF34/100</f>
        <v>0</v>
      </c>
      <c r="AI34" s="44"/>
      <c r="AJ34" s="44"/>
      <c r="AK34" s="44"/>
      <c r="AL34" s="44"/>
      <c r="AM34" s="45">
        <f t="shared" ref="AM34:AM38" si="57">BO34</f>
        <v>4.6805555555555498E-3</v>
      </c>
      <c r="AN34" s="44"/>
      <c r="AO34" s="44"/>
      <c r="AP34" s="44"/>
      <c r="AQ34" s="45">
        <f t="shared" si="35"/>
        <v>0</v>
      </c>
      <c r="AR34" s="45">
        <f t="shared" si="36"/>
        <v>0</v>
      </c>
      <c r="AS34" s="45">
        <f t="shared" si="37"/>
        <v>0</v>
      </c>
      <c r="AT34" s="25">
        <v>15</v>
      </c>
      <c r="AU34" s="54">
        <v>1700</v>
      </c>
      <c r="AV34" s="44">
        <v>34</v>
      </c>
      <c r="AW34" s="44">
        <v>7.2</v>
      </c>
      <c r="AX34" s="44">
        <v>50</v>
      </c>
      <c r="AY34" s="22">
        <v>2.9999999999999997E-4</v>
      </c>
      <c r="AZ34" s="11"/>
      <c r="BA34" s="46">
        <v>4.1863354037267033E-3</v>
      </c>
      <c r="BB34" s="22">
        <v>1.046583850931677E-7</v>
      </c>
      <c r="BC34" s="11">
        <f t="shared" si="17"/>
        <v>0</v>
      </c>
      <c r="BD34" s="46">
        <f t="shared" si="0"/>
        <v>0</v>
      </c>
      <c r="BE34" s="46">
        <f t="shared" si="41"/>
        <v>1610</v>
      </c>
      <c r="BF34" s="47" t="str">
        <f t="shared" si="7"/>
        <v/>
      </c>
      <c r="BG34" s="47" t="str">
        <f t="shared" si="8"/>
        <v/>
      </c>
      <c r="BH34" s="47">
        <f t="shared" si="18"/>
        <v>6.7399999999999922</v>
      </c>
      <c r="BI34" s="47" t="str">
        <f t="shared" si="10"/>
        <v/>
      </c>
      <c r="BJ34" s="47">
        <f t="shared" si="31"/>
        <v>4.6805555555555498E-3</v>
      </c>
      <c r="BK34" s="48" t="str">
        <f t="shared" si="32"/>
        <v/>
      </c>
      <c r="BL34" s="47" t="str">
        <f t="shared" si="47"/>
        <v/>
      </c>
      <c r="BM34" s="51">
        <f t="shared" si="28"/>
        <v>1.685E-4</v>
      </c>
      <c r="BN34" s="28">
        <f t="shared" ref="BN34:BN38" si="58">IF(BI34&lt;&gt;"",BI34/0.000385,IF(BJ34&lt;&gt;"",BJ34/0.000385,BK34/0.000385))</f>
        <v>12.157287157287143</v>
      </c>
      <c r="BO34" s="49">
        <f t="shared" ref="BO34:BO38" si="59">IF(BI34&lt;&gt;"",BI34,IF(BJ34&lt;&gt;"",BJ34,BK34))</f>
        <v>4.6805555555555498E-3</v>
      </c>
      <c r="BP34" s="30">
        <f t="shared" si="21"/>
        <v>1.685E-4</v>
      </c>
    </row>
    <row r="35" spans="1:68" x14ac:dyDescent="0.3">
      <c r="A35" s="1" t="s">
        <v>77</v>
      </c>
      <c r="B35" t="s">
        <v>75</v>
      </c>
      <c r="C35">
        <v>12</v>
      </c>
      <c r="D35">
        <v>5</v>
      </c>
      <c r="F35" s="61"/>
      <c r="G35">
        <v>2716.05</v>
      </c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17"/>
      <c r="AE35" s="44"/>
      <c r="AF35" s="44"/>
      <c r="AG35" s="44"/>
      <c r="AH35" s="45">
        <f t="shared" si="56"/>
        <v>0</v>
      </c>
      <c r="AI35" s="44"/>
      <c r="AJ35" s="44"/>
      <c r="AK35" s="44"/>
      <c r="AL35" s="44"/>
      <c r="AM35" s="45">
        <f t="shared" si="57"/>
        <v>4.6805555555555498E-3</v>
      </c>
      <c r="AN35" s="44"/>
      <c r="AO35" s="44"/>
      <c r="AP35" s="44"/>
      <c r="AQ35" s="45">
        <f t="shared" si="35"/>
        <v>0</v>
      </c>
      <c r="AR35" s="45">
        <f t="shared" si="36"/>
        <v>0</v>
      </c>
      <c r="AS35" s="45">
        <f t="shared" si="37"/>
        <v>0</v>
      </c>
      <c r="AT35" s="25">
        <v>15</v>
      </c>
      <c r="AU35" s="54">
        <v>1700</v>
      </c>
      <c r="AV35" s="44">
        <v>34</v>
      </c>
      <c r="AW35" s="44">
        <v>7.2</v>
      </c>
      <c r="AX35" s="44">
        <v>50</v>
      </c>
      <c r="AY35" s="22">
        <v>2.9999999999999997E-4</v>
      </c>
      <c r="AZ35" s="11"/>
      <c r="BA35" s="46">
        <v>4.1863354037267033E-3</v>
      </c>
      <c r="BB35" s="22">
        <v>1.046583850931677E-7</v>
      </c>
      <c r="BC35" s="11">
        <f t="shared" si="17"/>
        <v>0</v>
      </c>
      <c r="BD35" s="46">
        <f t="shared" si="0"/>
        <v>0</v>
      </c>
      <c r="BE35" s="46">
        <f t="shared" si="41"/>
        <v>1610</v>
      </c>
      <c r="BF35" s="47" t="str">
        <f t="shared" si="7"/>
        <v/>
      </c>
      <c r="BG35" s="47" t="str">
        <f t="shared" si="8"/>
        <v/>
      </c>
      <c r="BH35" s="47">
        <f t="shared" si="18"/>
        <v>6.7399999999999922</v>
      </c>
      <c r="BI35" s="47" t="str">
        <f t="shared" si="10"/>
        <v/>
      </c>
      <c r="BJ35" s="47">
        <f t="shared" si="31"/>
        <v>4.6805555555555498E-3</v>
      </c>
      <c r="BK35" s="48" t="str">
        <f t="shared" si="32"/>
        <v/>
      </c>
      <c r="BL35" s="47" t="str">
        <f t="shared" si="47"/>
        <v/>
      </c>
      <c r="BM35" s="51">
        <f t="shared" si="28"/>
        <v>1.685E-4</v>
      </c>
      <c r="BN35" s="28">
        <f t="shared" si="58"/>
        <v>12.157287157287143</v>
      </c>
      <c r="BO35" s="49">
        <f t="shared" si="59"/>
        <v>4.6805555555555498E-3</v>
      </c>
      <c r="BP35" s="30">
        <f t="shared" si="21"/>
        <v>1.685E-4</v>
      </c>
    </row>
    <row r="36" spans="1:68" x14ac:dyDescent="0.3">
      <c r="A36" s="1" t="s">
        <v>78</v>
      </c>
      <c r="B36" t="s">
        <v>79</v>
      </c>
      <c r="C36">
        <v>12</v>
      </c>
      <c r="D36">
        <v>5</v>
      </c>
      <c r="F36" s="61"/>
      <c r="G36">
        <v>2716.05</v>
      </c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17"/>
      <c r="AE36" s="44"/>
      <c r="AF36" s="44"/>
      <c r="AG36" s="44"/>
      <c r="AH36" s="45">
        <f t="shared" si="56"/>
        <v>0</v>
      </c>
      <c r="AI36" s="44"/>
      <c r="AJ36" s="44"/>
      <c r="AK36" s="44"/>
      <c r="AL36" s="44"/>
      <c r="AM36" s="45">
        <f t="shared" si="57"/>
        <v>6.6613628354021577E-3</v>
      </c>
      <c r="AN36" s="44"/>
      <c r="AO36" s="44"/>
      <c r="AP36" s="44"/>
      <c r="AQ36" s="45">
        <f t="shared" si="35"/>
        <v>0</v>
      </c>
      <c r="AR36" s="45">
        <f t="shared" si="36"/>
        <v>0</v>
      </c>
      <c r="AS36" s="45">
        <f t="shared" si="37"/>
        <v>0</v>
      </c>
      <c r="AT36" s="25">
        <v>15</v>
      </c>
      <c r="AU36" s="54">
        <v>1700</v>
      </c>
      <c r="AV36" s="44">
        <v>34</v>
      </c>
      <c r="AW36" s="44">
        <v>7.2</v>
      </c>
      <c r="AX36" s="44">
        <v>50</v>
      </c>
      <c r="AY36" s="22">
        <v>2.9999999999999997E-4</v>
      </c>
      <c r="AZ36" s="11">
        <v>5.9579891198627997E-3</v>
      </c>
      <c r="BB36" s="22"/>
      <c r="BC36" s="11">
        <f t="shared" si="17"/>
        <v>0</v>
      </c>
      <c r="BD36" s="46">
        <f t="shared" si="0"/>
        <v>0</v>
      </c>
      <c r="BE36" s="46">
        <f t="shared" si="41"/>
        <v>1610</v>
      </c>
      <c r="BF36" s="47" t="str">
        <f t="shared" si="7"/>
        <v/>
      </c>
      <c r="BG36" s="47" t="str">
        <f t="shared" si="8"/>
        <v/>
      </c>
      <c r="BH36" s="47">
        <f t="shared" si="18"/>
        <v>9.592362482979107</v>
      </c>
      <c r="BI36" s="47">
        <f t="shared" si="10"/>
        <v>6.6613628354021577E-3</v>
      </c>
      <c r="BJ36" s="48" t="str">
        <f t="shared" si="31"/>
        <v/>
      </c>
      <c r="BK36" s="48" t="str">
        <f t="shared" si="32"/>
        <v/>
      </c>
      <c r="BL36" s="47">
        <f t="shared" si="47"/>
        <v>12.074999999999999</v>
      </c>
      <c r="BM36" s="51" t="str">
        <f t="shared" si="28"/>
        <v/>
      </c>
      <c r="BN36" s="28">
        <f t="shared" si="58"/>
        <v>17.302241130914695</v>
      </c>
      <c r="BO36" s="49">
        <f t="shared" si="59"/>
        <v>6.6613628354021577E-3</v>
      </c>
      <c r="BP36" s="30">
        <f t="shared" si="21"/>
        <v>12.074999999999999</v>
      </c>
    </row>
    <row r="37" spans="1:68" x14ac:dyDescent="0.3">
      <c r="A37" s="1" t="s">
        <v>80</v>
      </c>
      <c r="B37" t="s">
        <v>79</v>
      </c>
      <c r="C37">
        <v>12</v>
      </c>
      <c r="D37">
        <v>5</v>
      </c>
      <c r="F37" s="61"/>
      <c r="G37">
        <v>2716.05</v>
      </c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17"/>
      <c r="AE37" s="44"/>
      <c r="AF37" s="44"/>
      <c r="AG37" s="44"/>
      <c r="AH37" s="45">
        <f t="shared" si="56"/>
        <v>0</v>
      </c>
      <c r="AI37" s="44"/>
      <c r="AJ37" s="44"/>
      <c r="AK37" s="44"/>
      <c r="AL37" s="44"/>
      <c r="AM37" s="45">
        <f t="shared" si="57"/>
        <v>6.6613628354021577E-3</v>
      </c>
      <c r="AN37" s="44"/>
      <c r="AO37" s="44"/>
      <c r="AP37" s="44"/>
      <c r="AQ37" s="45">
        <f t="shared" si="35"/>
        <v>0</v>
      </c>
      <c r="AR37" s="45">
        <f t="shared" si="36"/>
        <v>0</v>
      </c>
      <c r="AS37" s="45">
        <f t="shared" si="37"/>
        <v>0</v>
      </c>
      <c r="AT37" s="25">
        <v>15</v>
      </c>
      <c r="AU37" s="54">
        <v>1700</v>
      </c>
      <c r="AV37" s="44">
        <v>34</v>
      </c>
      <c r="AW37" s="44">
        <v>7.2</v>
      </c>
      <c r="AX37" s="44">
        <v>50</v>
      </c>
      <c r="AY37" s="22">
        <v>2.9999999999999997E-4</v>
      </c>
      <c r="AZ37" s="11">
        <v>5.9579891198627997E-3</v>
      </c>
      <c r="BB37" s="22"/>
      <c r="BC37" s="11">
        <f t="shared" si="17"/>
        <v>0</v>
      </c>
      <c r="BD37" s="46">
        <f t="shared" si="0"/>
        <v>0</v>
      </c>
      <c r="BE37" s="46">
        <f t="shared" si="41"/>
        <v>1610</v>
      </c>
      <c r="BF37" s="47" t="str">
        <f t="shared" si="7"/>
        <v/>
      </c>
      <c r="BG37" s="47" t="str">
        <f t="shared" si="8"/>
        <v/>
      </c>
      <c r="BH37" s="47">
        <f t="shared" si="18"/>
        <v>9.592362482979107</v>
      </c>
      <c r="BI37" s="47">
        <f t="shared" si="10"/>
        <v>6.6613628354021577E-3</v>
      </c>
      <c r="BJ37" s="48" t="str">
        <f t="shared" si="31"/>
        <v/>
      </c>
      <c r="BK37" s="48" t="str">
        <f t="shared" si="32"/>
        <v/>
      </c>
      <c r="BL37" s="47">
        <f t="shared" si="47"/>
        <v>12.074999999999999</v>
      </c>
      <c r="BM37" s="51" t="str">
        <f t="shared" si="28"/>
        <v/>
      </c>
      <c r="BN37" s="28">
        <f t="shared" si="58"/>
        <v>17.302241130914695</v>
      </c>
      <c r="BO37" s="49">
        <f t="shared" si="59"/>
        <v>6.6613628354021577E-3</v>
      </c>
      <c r="BP37" s="30">
        <f t="shared" si="21"/>
        <v>12.074999999999999</v>
      </c>
    </row>
    <row r="38" spans="1:68" ht="15" thickBot="1" x14ac:dyDescent="0.35">
      <c r="A38" s="4" t="s">
        <v>81</v>
      </c>
      <c r="B38" s="5" t="s">
        <v>79</v>
      </c>
      <c r="C38" s="5">
        <v>12</v>
      </c>
      <c r="D38" s="5">
        <v>5</v>
      </c>
      <c r="E38" s="5"/>
      <c r="F38" s="62"/>
      <c r="G38" s="5">
        <v>2716.05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18"/>
      <c r="AE38" s="7"/>
      <c r="AF38" s="7"/>
      <c r="AG38" s="7"/>
      <c r="AH38" s="41">
        <f t="shared" si="56"/>
        <v>0</v>
      </c>
      <c r="AI38" s="7"/>
      <c r="AJ38" s="7"/>
      <c r="AK38" s="7"/>
      <c r="AL38" s="7"/>
      <c r="AM38" s="41">
        <f t="shared" si="57"/>
        <v>8.1090998368002123E-3</v>
      </c>
      <c r="AN38" s="7"/>
      <c r="AO38" s="7"/>
      <c r="AP38" s="7"/>
      <c r="AQ38" s="41">
        <f t="shared" si="35"/>
        <v>0</v>
      </c>
      <c r="AR38" s="41">
        <f t="shared" si="36"/>
        <v>0</v>
      </c>
      <c r="AS38" s="41">
        <f t="shared" si="37"/>
        <v>0</v>
      </c>
      <c r="AT38" s="26">
        <v>15</v>
      </c>
      <c r="AU38" s="55">
        <v>1700</v>
      </c>
      <c r="AV38" s="7">
        <v>34</v>
      </c>
      <c r="AW38" s="7">
        <v>7.2</v>
      </c>
      <c r="AX38" s="7">
        <v>50</v>
      </c>
      <c r="AY38" s="23">
        <v>2.9999999999999997E-4</v>
      </c>
      <c r="AZ38" s="12">
        <v>7.2528594813616801E-3</v>
      </c>
      <c r="BA38" s="5"/>
      <c r="BB38" s="23"/>
      <c r="BC38" s="12">
        <f t="shared" si="17"/>
        <v>0</v>
      </c>
      <c r="BD38" s="13">
        <f t="shared" si="0"/>
        <v>0</v>
      </c>
      <c r="BE38" s="13">
        <f t="shared" si="41"/>
        <v>1610</v>
      </c>
      <c r="BF38" s="14" t="str">
        <f t="shared" si="7"/>
        <v/>
      </c>
      <c r="BG38" s="14" t="str">
        <f t="shared" si="8"/>
        <v/>
      </c>
      <c r="BH38" s="14">
        <f t="shared" si="18"/>
        <v>11.677103764992305</v>
      </c>
      <c r="BI38" s="14">
        <f t="shared" si="10"/>
        <v>8.1090998368002123E-3</v>
      </c>
      <c r="BJ38" s="48" t="str">
        <f t="shared" si="31"/>
        <v/>
      </c>
      <c r="BK38" s="36" t="str">
        <f t="shared" si="32"/>
        <v/>
      </c>
      <c r="BL38" s="14">
        <f t="shared" si="47"/>
        <v>12.074999999999999</v>
      </c>
      <c r="BM38" s="52" t="str">
        <f t="shared" si="28"/>
        <v/>
      </c>
      <c r="BN38" s="29">
        <f t="shared" si="58"/>
        <v>21.062596978701851</v>
      </c>
      <c r="BO38" s="38">
        <f t="shared" si="59"/>
        <v>8.1090998368002123E-3</v>
      </c>
      <c r="BP38" s="31">
        <f t="shared" si="21"/>
        <v>12.074999999999999</v>
      </c>
    </row>
    <row r="39" spans="1:68" x14ac:dyDescent="0.3">
      <c r="A39" s="2" t="s">
        <v>74</v>
      </c>
      <c r="B39" s="3" t="s">
        <v>75</v>
      </c>
      <c r="C39" s="3">
        <v>12</v>
      </c>
      <c r="D39" s="3">
        <v>6</v>
      </c>
      <c r="E39" s="3"/>
      <c r="F39" s="60"/>
      <c r="G39" s="3">
        <v>3307.9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16"/>
      <c r="AE39" s="6"/>
      <c r="AF39" s="6"/>
      <c r="AG39" s="6"/>
      <c r="AH39" s="40">
        <f>AF39/100</f>
        <v>0</v>
      </c>
      <c r="AI39" s="6"/>
      <c r="AJ39" s="6"/>
      <c r="AK39" s="44"/>
      <c r="AL39" s="6"/>
      <c r="AM39" s="42">
        <f>BO39</f>
        <v>4.6805555555555498E-3</v>
      </c>
      <c r="AN39" s="6"/>
      <c r="AO39" s="6"/>
      <c r="AP39" s="6"/>
      <c r="AQ39" s="40">
        <f t="shared" si="35"/>
        <v>0</v>
      </c>
      <c r="AR39" s="40">
        <f t="shared" si="36"/>
        <v>0</v>
      </c>
      <c r="AS39" s="40">
        <f t="shared" si="37"/>
        <v>0</v>
      </c>
      <c r="AT39" s="24">
        <v>15</v>
      </c>
      <c r="AU39" s="53">
        <v>1700</v>
      </c>
      <c r="AV39" s="6">
        <v>34</v>
      </c>
      <c r="AW39" s="6">
        <v>7.2</v>
      </c>
      <c r="AX39" s="6">
        <v>50</v>
      </c>
      <c r="AY39" s="21">
        <v>2.9999999999999997E-4</v>
      </c>
      <c r="AZ39" s="8"/>
      <c r="BA39" s="9">
        <v>4.2257053291535999E-3</v>
      </c>
      <c r="BB39" s="21">
        <v>1.0564263322884013E-7</v>
      </c>
      <c r="BC39" s="8">
        <f t="shared" si="17"/>
        <v>0</v>
      </c>
      <c r="BD39" s="9">
        <f t="shared" si="0"/>
        <v>0</v>
      </c>
      <c r="BE39" s="9">
        <f t="shared" si="41"/>
        <v>1595</v>
      </c>
      <c r="BF39" s="10" t="str">
        <f t="shared" si="7"/>
        <v/>
      </c>
      <c r="BG39" s="10" t="str">
        <f t="shared" si="8"/>
        <v/>
      </c>
      <c r="BH39" s="10">
        <f t="shared" si="18"/>
        <v>6.7399999999999922</v>
      </c>
      <c r="BI39" s="10" t="str">
        <f t="shared" si="10"/>
        <v/>
      </c>
      <c r="BJ39" s="10">
        <f t="shared" si="31"/>
        <v>4.6805555555555498E-3</v>
      </c>
      <c r="BK39" s="35" t="str">
        <f t="shared" si="32"/>
        <v/>
      </c>
      <c r="BL39" s="10" t="str">
        <f t="shared" si="47"/>
        <v/>
      </c>
      <c r="BM39" s="50">
        <f t="shared" si="28"/>
        <v>1.685E-4</v>
      </c>
      <c r="BN39" s="27">
        <f>IF(BI39&lt;&gt;"",BI39/0.000385,IF(BJ39&lt;&gt;"",BJ39/0.000385,BK39/0.000385))</f>
        <v>12.157287157287143</v>
      </c>
      <c r="BO39" s="37">
        <f>IF(BI39&lt;&gt;"",BI39,IF(BJ39&lt;&gt;"",BJ39,BK39))</f>
        <v>4.6805555555555498E-3</v>
      </c>
      <c r="BP39" s="32">
        <f t="shared" si="21"/>
        <v>1.685E-4</v>
      </c>
    </row>
    <row r="40" spans="1:68" x14ac:dyDescent="0.3">
      <c r="A40" s="1" t="s">
        <v>76</v>
      </c>
      <c r="B40" t="s">
        <v>75</v>
      </c>
      <c r="C40">
        <v>12</v>
      </c>
      <c r="D40">
        <v>6</v>
      </c>
      <c r="F40" s="61"/>
      <c r="G40">
        <v>3307.9</v>
      </c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17"/>
      <c r="AE40" s="44"/>
      <c r="AF40" s="44"/>
      <c r="AG40" s="44"/>
      <c r="AH40" s="45">
        <f t="shared" ref="AH40:AH44" si="60">AF40/100</f>
        <v>0</v>
      </c>
      <c r="AI40" s="44"/>
      <c r="AJ40" s="44"/>
      <c r="AK40" s="44"/>
      <c r="AL40" s="44"/>
      <c r="AM40" s="45">
        <f t="shared" ref="AM40:AM44" si="61">BO40</f>
        <v>4.6805555555555498E-3</v>
      </c>
      <c r="AN40" s="44"/>
      <c r="AO40" s="44"/>
      <c r="AP40" s="44"/>
      <c r="AQ40" s="45">
        <f t="shared" si="35"/>
        <v>0</v>
      </c>
      <c r="AR40" s="45">
        <f t="shared" si="36"/>
        <v>0</v>
      </c>
      <c r="AS40" s="45">
        <f t="shared" si="37"/>
        <v>0</v>
      </c>
      <c r="AT40" s="25">
        <v>15</v>
      </c>
      <c r="AU40" s="54">
        <v>1700</v>
      </c>
      <c r="AV40" s="44">
        <v>34</v>
      </c>
      <c r="AW40" s="44">
        <v>7.2</v>
      </c>
      <c r="AX40" s="44">
        <v>50</v>
      </c>
      <c r="AY40" s="22">
        <v>2.9999999999999997E-4</v>
      </c>
      <c r="AZ40" s="11"/>
      <c r="BA40" s="46">
        <v>4.2257053291535999E-3</v>
      </c>
      <c r="BB40" s="22">
        <v>1.0564263322884013E-7</v>
      </c>
      <c r="BC40" s="11">
        <f t="shared" si="17"/>
        <v>0</v>
      </c>
      <c r="BD40" s="46">
        <f t="shared" si="0"/>
        <v>0</v>
      </c>
      <c r="BE40" s="46">
        <f t="shared" si="41"/>
        <v>1595</v>
      </c>
      <c r="BF40" s="47" t="str">
        <f t="shared" si="7"/>
        <v/>
      </c>
      <c r="BG40" s="47" t="str">
        <f t="shared" si="8"/>
        <v/>
      </c>
      <c r="BH40" s="47">
        <f t="shared" si="18"/>
        <v>6.7399999999999922</v>
      </c>
      <c r="BI40" s="47" t="str">
        <f t="shared" si="10"/>
        <v/>
      </c>
      <c r="BJ40" s="47">
        <f t="shared" si="31"/>
        <v>4.6805555555555498E-3</v>
      </c>
      <c r="BK40" s="48" t="str">
        <f t="shared" si="32"/>
        <v/>
      </c>
      <c r="BL40" s="47" t="str">
        <f t="shared" si="47"/>
        <v/>
      </c>
      <c r="BM40" s="51">
        <f t="shared" si="28"/>
        <v>1.685E-4</v>
      </c>
      <c r="BN40" s="28">
        <f t="shared" ref="BN40:BN44" si="62">IF(BI40&lt;&gt;"",BI40/0.000385,IF(BJ40&lt;&gt;"",BJ40/0.000385,BK40/0.000385))</f>
        <v>12.157287157287143</v>
      </c>
      <c r="BO40" s="49">
        <f t="shared" ref="BO40:BO44" si="63">IF(BI40&lt;&gt;"",BI40,IF(BJ40&lt;&gt;"",BJ40,BK40))</f>
        <v>4.6805555555555498E-3</v>
      </c>
      <c r="BP40" s="30">
        <f t="shared" si="21"/>
        <v>1.685E-4</v>
      </c>
    </row>
    <row r="41" spans="1:68" x14ac:dyDescent="0.3">
      <c r="A41" s="1" t="s">
        <v>77</v>
      </c>
      <c r="B41" t="s">
        <v>75</v>
      </c>
      <c r="C41">
        <v>12</v>
      </c>
      <c r="D41">
        <v>6</v>
      </c>
      <c r="F41" s="61"/>
      <c r="G41">
        <v>3307.9</v>
      </c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17"/>
      <c r="AE41" s="44"/>
      <c r="AF41" s="44"/>
      <c r="AG41" s="44"/>
      <c r="AH41" s="45">
        <f t="shared" si="60"/>
        <v>0</v>
      </c>
      <c r="AI41" s="44"/>
      <c r="AJ41" s="44"/>
      <c r="AK41" s="44"/>
      <c r="AL41" s="44"/>
      <c r="AM41" s="45">
        <f t="shared" si="61"/>
        <v>4.6805555555555498E-3</v>
      </c>
      <c r="AN41" s="44"/>
      <c r="AO41" s="44"/>
      <c r="AP41" s="44"/>
      <c r="AQ41" s="45">
        <f t="shared" si="35"/>
        <v>0</v>
      </c>
      <c r="AR41" s="45">
        <f t="shared" si="36"/>
        <v>0</v>
      </c>
      <c r="AS41" s="45">
        <f t="shared" si="37"/>
        <v>0</v>
      </c>
      <c r="AT41" s="25">
        <v>15</v>
      </c>
      <c r="AU41" s="54">
        <v>1700</v>
      </c>
      <c r="AV41" s="44">
        <v>34</v>
      </c>
      <c r="AW41" s="44">
        <v>7.2</v>
      </c>
      <c r="AX41" s="44">
        <v>50</v>
      </c>
      <c r="AY41" s="22">
        <v>2.9999999999999997E-4</v>
      </c>
      <c r="AZ41" s="11"/>
      <c r="BA41" s="46">
        <v>4.2257053291535999E-3</v>
      </c>
      <c r="BB41" s="22">
        <v>1.0564263322884013E-7</v>
      </c>
      <c r="BC41" s="11">
        <f t="shared" si="17"/>
        <v>0</v>
      </c>
      <c r="BD41" s="46">
        <f t="shared" si="0"/>
        <v>0</v>
      </c>
      <c r="BE41" s="46">
        <f t="shared" si="41"/>
        <v>1595</v>
      </c>
      <c r="BF41" s="47" t="str">
        <f t="shared" si="7"/>
        <v/>
      </c>
      <c r="BG41" s="47" t="str">
        <f t="shared" si="8"/>
        <v/>
      </c>
      <c r="BH41" s="47">
        <f t="shared" si="18"/>
        <v>6.7399999999999922</v>
      </c>
      <c r="BI41" s="47" t="str">
        <f t="shared" si="10"/>
        <v/>
      </c>
      <c r="BJ41" s="47">
        <f t="shared" si="31"/>
        <v>4.6805555555555498E-3</v>
      </c>
      <c r="BK41" s="48" t="str">
        <f t="shared" si="32"/>
        <v/>
      </c>
      <c r="BL41" s="47" t="str">
        <f t="shared" si="47"/>
        <v/>
      </c>
      <c r="BM41" s="51">
        <f t="shared" si="28"/>
        <v>1.685E-4</v>
      </c>
      <c r="BN41" s="28">
        <f t="shared" si="62"/>
        <v>12.157287157287143</v>
      </c>
      <c r="BO41" s="49">
        <f t="shared" si="63"/>
        <v>4.6805555555555498E-3</v>
      </c>
      <c r="BP41" s="30">
        <f t="shared" si="21"/>
        <v>1.685E-4</v>
      </c>
    </row>
    <row r="42" spans="1:68" x14ac:dyDescent="0.3">
      <c r="A42" s="1" t="s">
        <v>78</v>
      </c>
      <c r="B42" t="s">
        <v>79</v>
      </c>
      <c r="C42">
        <v>12</v>
      </c>
      <c r="D42">
        <v>6</v>
      </c>
      <c r="F42" s="61"/>
      <c r="G42">
        <v>3307.9</v>
      </c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17"/>
      <c r="AE42" s="44"/>
      <c r="AF42" s="44"/>
      <c r="AG42" s="44"/>
      <c r="AH42" s="45">
        <f t="shared" si="60"/>
        <v>0</v>
      </c>
      <c r="AI42" s="44"/>
      <c r="AJ42" s="44"/>
      <c r="AK42" s="44"/>
      <c r="AL42" s="44"/>
      <c r="AM42" s="45">
        <f t="shared" si="61"/>
        <v>6.5993004487369215E-3</v>
      </c>
      <c r="AN42" s="44"/>
      <c r="AO42" s="44"/>
      <c r="AP42" s="44"/>
      <c r="AQ42" s="45">
        <f t="shared" si="35"/>
        <v>0</v>
      </c>
      <c r="AR42" s="45">
        <f t="shared" si="36"/>
        <v>0</v>
      </c>
      <c r="AS42" s="45">
        <f t="shared" si="37"/>
        <v>0</v>
      </c>
      <c r="AT42" s="25">
        <v>15</v>
      </c>
      <c r="AU42" s="54">
        <v>1700</v>
      </c>
      <c r="AV42" s="44">
        <v>34</v>
      </c>
      <c r="AW42" s="44">
        <v>7.2</v>
      </c>
      <c r="AX42" s="44">
        <v>50</v>
      </c>
      <c r="AY42" s="22">
        <v>2.9999999999999997E-4</v>
      </c>
      <c r="AZ42" s="11">
        <v>5.9579891198627997E-3</v>
      </c>
      <c r="BB42" s="22"/>
      <c r="BC42" s="11">
        <f t="shared" si="17"/>
        <v>0</v>
      </c>
      <c r="BD42" s="46">
        <f t="shared" si="0"/>
        <v>0</v>
      </c>
      <c r="BE42" s="46">
        <f t="shared" si="41"/>
        <v>1595</v>
      </c>
      <c r="BF42" s="47" t="str">
        <f t="shared" si="7"/>
        <v/>
      </c>
      <c r="BG42" s="47" t="str">
        <f t="shared" si="8"/>
        <v/>
      </c>
      <c r="BH42" s="47">
        <f t="shared" si="18"/>
        <v>9.5029926461811662</v>
      </c>
      <c r="BI42" s="47">
        <f t="shared" si="10"/>
        <v>6.5993004487369215E-3</v>
      </c>
      <c r="BJ42" s="48" t="str">
        <f t="shared" si="31"/>
        <v/>
      </c>
      <c r="BK42" s="48" t="str">
        <f t="shared" si="32"/>
        <v/>
      </c>
      <c r="BL42" s="47">
        <f t="shared" si="47"/>
        <v>11.9625</v>
      </c>
      <c r="BM42" s="51" t="str">
        <f t="shared" si="28"/>
        <v/>
      </c>
      <c r="BN42" s="28">
        <f t="shared" si="62"/>
        <v>17.141040126589406</v>
      </c>
      <c r="BO42" s="49">
        <f t="shared" si="63"/>
        <v>6.5993004487369215E-3</v>
      </c>
      <c r="BP42" s="30">
        <f t="shared" si="21"/>
        <v>11.9625</v>
      </c>
    </row>
    <row r="43" spans="1:68" x14ac:dyDescent="0.3">
      <c r="A43" s="1" t="s">
        <v>80</v>
      </c>
      <c r="B43" t="s">
        <v>79</v>
      </c>
      <c r="C43">
        <v>12</v>
      </c>
      <c r="D43">
        <v>6</v>
      </c>
      <c r="F43" s="61"/>
      <c r="G43">
        <v>3307.9</v>
      </c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17"/>
      <c r="AE43" s="44"/>
      <c r="AF43" s="44"/>
      <c r="AG43" s="44"/>
      <c r="AH43" s="45">
        <f t="shared" si="60"/>
        <v>0</v>
      </c>
      <c r="AI43" s="44"/>
      <c r="AJ43" s="44"/>
      <c r="AK43" s="44"/>
      <c r="AL43" s="44"/>
      <c r="AM43" s="45">
        <f t="shared" si="61"/>
        <v>6.5993004487369215E-3</v>
      </c>
      <c r="AN43" s="44"/>
      <c r="AO43" s="44"/>
      <c r="AP43" s="44"/>
      <c r="AQ43" s="45">
        <f t="shared" si="35"/>
        <v>0</v>
      </c>
      <c r="AR43" s="45">
        <f t="shared" si="36"/>
        <v>0</v>
      </c>
      <c r="AS43" s="45">
        <f t="shared" si="37"/>
        <v>0</v>
      </c>
      <c r="AT43" s="25">
        <v>15</v>
      </c>
      <c r="AU43" s="54">
        <v>1700</v>
      </c>
      <c r="AV43" s="44">
        <v>34</v>
      </c>
      <c r="AW43" s="44">
        <v>7.2</v>
      </c>
      <c r="AX43" s="44">
        <v>50</v>
      </c>
      <c r="AY43" s="22">
        <v>2.9999999999999997E-4</v>
      </c>
      <c r="AZ43" s="11">
        <v>5.9579891198627997E-3</v>
      </c>
      <c r="BB43" s="22"/>
      <c r="BC43" s="11">
        <f t="shared" si="17"/>
        <v>0</v>
      </c>
      <c r="BD43" s="46">
        <f t="shared" si="0"/>
        <v>0</v>
      </c>
      <c r="BE43" s="46">
        <f t="shared" si="41"/>
        <v>1595</v>
      </c>
      <c r="BF43" s="47" t="str">
        <f t="shared" si="7"/>
        <v/>
      </c>
      <c r="BG43" s="47" t="str">
        <f t="shared" si="8"/>
        <v/>
      </c>
      <c r="BH43" s="47">
        <f t="shared" si="18"/>
        <v>9.5029926461811662</v>
      </c>
      <c r="BI43" s="47">
        <f t="shared" si="10"/>
        <v>6.5993004487369215E-3</v>
      </c>
      <c r="BJ43" s="48" t="str">
        <f t="shared" si="31"/>
        <v/>
      </c>
      <c r="BK43" s="48" t="str">
        <f t="shared" si="32"/>
        <v/>
      </c>
      <c r="BL43" s="47">
        <f t="shared" si="47"/>
        <v>11.9625</v>
      </c>
      <c r="BM43" s="51" t="str">
        <f t="shared" si="28"/>
        <v/>
      </c>
      <c r="BN43" s="28">
        <f t="shared" si="62"/>
        <v>17.141040126589406</v>
      </c>
      <c r="BO43" s="49">
        <f t="shared" si="63"/>
        <v>6.5993004487369215E-3</v>
      </c>
      <c r="BP43" s="30">
        <f t="shared" si="21"/>
        <v>11.9625</v>
      </c>
    </row>
    <row r="44" spans="1:68" ht="15" thickBot="1" x14ac:dyDescent="0.35">
      <c r="A44" s="4" t="s">
        <v>81</v>
      </c>
      <c r="B44" s="5" t="s">
        <v>79</v>
      </c>
      <c r="C44" s="5">
        <v>12</v>
      </c>
      <c r="D44" s="5">
        <v>6</v>
      </c>
      <c r="E44" s="5"/>
      <c r="F44" s="62"/>
      <c r="G44" s="5">
        <v>3307.9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18"/>
      <c r="AE44" s="7"/>
      <c r="AF44" s="7"/>
      <c r="AG44" s="7"/>
      <c r="AH44" s="41">
        <f t="shared" si="60"/>
        <v>0</v>
      </c>
      <c r="AI44" s="7"/>
      <c r="AJ44" s="7"/>
      <c r="AK44" s="7"/>
      <c r="AL44" s="7"/>
      <c r="AM44" s="41">
        <f t="shared" si="61"/>
        <v>8.0335492172026943E-3</v>
      </c>
      <c r="AN44" s="7"/>
      <c r="AO44" s="7"/>
      <c r="AP44" s="7"/>
      <c r="AQ44" s="41">
        <f t="shared" si="35"/>
        <v>0</v>
      </c>
      <c r="AR44" s="41">
        <f t="shared" si="36"/>
        <v>0</v>
      </c>
      <c r="AS44" s="41">
        <f t="shared" si="37"/>
        <v>0</v>
      </c>
      <c r="AT44" s="26">
        <v>15</v>
      </c>
      <c r="AU44" s="55">
        <v>1700</v>
      </c>
      <c r="AV44" s="7">
        <v>34</v>
      </c>
      <c r="AW44" s="7">
        <v>7.2</v>
      </c>
      <c r="AX44" s="7">
        <v>50</v>
      </c>
      <c r="AY44" s="23">
        <v>2.9999999999999997E-4</v>
      </c>
      <c r="AZ44" s="12">
        <v>7.2528594813616801E-3</v>
      </c>
      <c r="BA44" s="5"/>
      <c r="BB44" s="23"/>
      <c r="BC44" s="12">
        <f t="shared" si="17"/>
        <v>0</v>
      </c>
      <c r="BD44" s="13">
        <f t="shared" si="0"/>
        <v>0</v>
      </c>
      <c r="BE44" s="13">
        <f t="shared" si="41"/>
        <v>1595</v>
      </c>
      <c r="BF44" s="14" t="str">
        <f t="shared" si="7"/>
        <v/>
      </c>
      <c r="BG44" s="14" t="str">
        <f t="shared" si="8"/>
        <v/>
      </c>
      <c r="BH44" s="14">
        <f t="shared" si="18"/>
        <v>11.56831087277188</v>
      </c>
      <c r="BI44" s="14">
        <f t="shared" si="10"/>
        <v>8.0335492172026943E-3</v>
      </c>
      <c r="BJ44" s="48" t="str">
        <f t="shared" si="31"/>
        <v/>
      </c>
      <c r="BK44" s="36" t="str">
        <f t="shared" si="32"/>
        <v/>
      </c>
      <c r="BL44" s="14">
        <f t="shared" si="47"/>
        <v>11.9625</v>
      </c>
      <c r="BM44" s="52" t="str">
        <f t="shared" si="28"/>
        <v/>
      </c>
      <c r="BN44" s="29">
        <f t="shared" si="62"/>
        <v>20.866361603123881</v>
      </c>
      <c r="BO44" s="38">
        <f t="shared" si="63"/>
        <v>8.0335492172026943E-3</v>
      </c>
      <c r="BP44" s="31">
        <f t="shared" si="21"/>
        <v>11.9625</v>
      </c>
    </row>
    <row r="45" spans="1:68" x14ac:dyDescent="0.3">
      <c r="A45" s="2" t="s">
        <v>74</v>
      </c>
      <c r="B45" s="3" t="s">
        <v>75</v>
      </c>
      <c r="C45" s="3">
        <v>12</v>
      </c>
      <c r="D45" s="3">
        <v>7</v>
      </c>
      <c r="E45" s="3"/>
      <c r="F45" s="60"/>
      <c r="G45" s="3">
        <v>3888.32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16"/>
      <c r="AE45" s="6"/>
      <c r="AF45" s="6"/>
      <c r="AG45" s="6"/>
      <c r="AH45" s="40">
        <f>AF45/100</f>
        <v>0</v>
      </c>
      <c r="AI45" s="6"/>
      <c r="AJ45" s="6"/>
      <c r="AK45" s="44"/>
      <c r="AL45" s="6"/>
      <c r="AM45" s="42">
        <f>BO45</f>
        <v>4.6805555555555498E-3</v>
      </c>
      <c r="AN45" s="6"/>
      <c r="AO45" s="6"/>
      <c r="AP45" s="6"/>
      <c r="AQ45" s="40">
        <f t="shared" si="35"/>
        <v>0</v>
      </c>
      <c r="AR45" s="40">
        <f t="shared" si="36"/>
        <v>0</v>
      </c>
      <c r="AS45" s="40">
        <f t="shared" si="37"/>
        <v>0</v>
      </c>
      <c r="AT45" s="24">
        <v>15</v>
      </c>
      <c r="AU45" s="53">
        <v>1700</v>
      </c>
      <c r="AV45" s="6">
        <v>34</v>
      </c>
      <c r="AW45" s="6">
        <v>7.2</v>
      </c>
      <c r="AX45" s="6">
        <v>50</v>
      </c>
      <c r="AY45" s="21">
        <v>2.9999999999999997E-4</v>
      </c>
      <c r="AZ45" s="8"/>
      <c r="BA45" s="9">
        <v>4.2658227848101212E-3</v>
      </c>
      <c r="BB45" s="21">
        <v>1.0664556962025316E-7</v>
      </c>
      <c r="BC45" s="8">
        <f t="shared" si="17"/>
        <v>0</v>
      </c>
      <c r="BD45" s="9">
        <f t="shared" si="0"/>
        <v>0</v>
      </c>
      <c r="BE45" s="9">
        <f t="shared" si="41"/>
        <v>1580</v>
      </c>
      <c r="BF45" s="10" t="str">
        <f t="shared" si="7"/>
        <v/>
      </c>
      <c r="BG45" s="10" t="str">
        <f t="shared" si="8"/>
        <v/>
      </c>
      <c r="BH45" s="10">
        <f t="shared" si="18"/>
        <v>6.7399999999999922</v>
      </c>
      <c r="BI45" s="10" t="str">
        <f t="shared" si="10"/>
        <v/>
      </c>
      <c r="BJ45" s="10">
        <f t="shared" si="31"/>
        <v>4.6805555555555498E-3</v>
      </c>
      <c r="BK45" s="35" t="str">
        <f t="shared" si="32"/>
        <v/>
      </c>
      <c r="BL45" s="10" t="str">
        <f t="shared" si="47"/>
        <v/>
      </c>
      <c r="BM45" s="50">
        <f t="shared" si="28"/>
        <v>1.685E-4</v>
      </c>
      <c r="BN45" s="27">
        <f>IF(BI45&lt;&gt;"",BI45/0.000385,IF(BJ45&lt;&gt;"",BJ45/0.000385,BK45/0.000385))</f>
        <v>12.157287157287143</v>
      </c>
      <c r="BO45" s="37">
        <f>IF(BI45&lt;&gt;"",BI45,IF(BJ45&lt;&gt;"",BJ45,BK45))</f>
        <v>4.6805555555555498E-3</v>
      </c>
      <c r="BP45" s="32">
        <f t="shared" si="21"/>
        <v>1.685E-4</v>
      </c>
    </row>
    <row r="46" spans="1:68" x14ac:dyDescent="0.3">
      <c r="A46" s="1" t="s">
        <v>76</v>
      </c>
      <c r="B46" t="s">
        <v>75</v>
      </c>
      <c r="C46">
        <v>12</v>
      </c>
      <c r="D46">
        <v>7</v>
      </c>
      <c r="F46" s="61"/>
      <c r="G46">
        <v>3888.32</v>
      </c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17"/>
      <c r="AE46" s="44"/>
      <c r="AF46" s="44"/>
      <c r="AG46" s="44"/>
      <c r="AH46" s="45">
        <f t="shared" ref="AH46:AH50" si="64">AF46/100</f>
        <v>0</v>
      </c>
      <c r="AI46" s="44"/>
      <c r="AJ46" s="44"/>
      <c r="AK46" s="44"/>
      <c r="AL46" s="44"/>
      <c r="AM46" s="45">
        <f t="shared" ref="AM46:AM50" si="65">BO46</f>
        <v>4.6805555555555498E-3</v>
      </c>
      <c r="AN46" s="44"/>
      <c r="AO46" s="44"/>
      <c r="AP46" s="44"/>
      <c r="AQ46" s="45">
        <f t="shared" si="35"/>
        <v>0</v>
      </c>
      <c r="AR46" s="45">
        <f t="shared" si="36"/>
        <v>0</v>
      </c>
      <c r="AS46" s="45">
        <f t="shared" si="37"/>
        <v>0</v>
      </c>
      <c r="AT46" s="25">
        <v>15</v>
      </c>
      <c r="AU46" s="54">
        <v>1700</v>
      </c>
      <c r="AV46" s="44">
        <v>34</v>
      </c>
      <c r="AW46" s="44">
        <v>7.2</v>
      </c>
      <c r="AX46" s="44">
        <v>50</v>
      </c>
      <c r="AY46" s="22">
        <v>2.9999999999999997E-4</v>
      </c>
      <c r="AZ46" s="11"/>
      <c r="BA46" s="46">
        <v>4.2658227848101212E-3</v>
      </c>
      <c r="BB46" s="22">
        <v>1.0664556962025316E-7</v>
      </c>
      <c r="BC46" s="11">
        <f t="shared" si="17"/>
        <v>0</v>
      </c>
      <c r="BD46" s="46">
        <f t="shared" si="0"/>
        <v>0</v>
      </c>
      <c r="BE46" s="46">
        <f t="shared" si="41"/>
        <v>1580</v>
      </c>
      <c r="BF46" s="47" t="str">
        <f t="shared" si="7"/>
        <v/>
      </c>
      <c r="BG46" s="47" t="str">
        <f t="shared" si="8"/>
        <v/>
      </c>
      <c r="BH46" s="47">
        <f t="shared" si="18"/>
        <v>6.7399999999999922</v>
      </c>
      <c r="BI46" s="47" t="str">
        <f t="shared" si="10"/>
        <v/>
      </c>
      <c r="BJ46" s="47">
        <f t="shared" si="31"/>
        <v>4.6805555555555498E-3</v>
      </c>
      <c r="BK46" s="48" t="str">
        <f t="shared" si="32"/>
        <v/>
      </c>
      <c r="BL46" s="47" t="str">
        <f t="shared" si="47"/>
        <v/>
      </c>
      <c r="BM46" s="51">
        <f t="shared" si="28"/>
        <v>1.685E-4</v>
      </c>
      <c r="BN46" s="28">
        <f t="shared" ref="BN46:BN50" si="66">IF(BI46&lt;&gt;"",BI46/0.000385,IF(BJ46&lt;&gt;"",BJ46/0.000385,BK46/0.000385))</f>
        <v>12.157287157287143</v>
      </c>
      <c r="BO46" s="49">
        <f t="shared" ref="BO46:BO50" si="67">IF(BI46&lt;&gt;"",BI46,IF(BJ46&lt;&gt;"",BJ46,BK46))</f>
        <v>4.6805555555555498E-3</v>
      </c>
      <c r="BP46" s="30">
        <f t="shared" si="21"/>
        <v>1.685E-4</v>
      </c>
    </row>
    <row r="47" spans="1:68" x14ac:dyDescent="0.3">
      <c r="A47" s="1" t="s">
        <v>77</v>
      </c>
      <c r="B47" t="s">
        <v>75</v>
      </c>
      <c r="C47">
        <v>12</v>
      </c>
      <c r="D47">
        <v>7</v>
      </c>
      <c r="F47" s="61"/>
      <c r="G47">
        <v>3888.32</v>
      </c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17"/>
      <c r="AE47" s="44"/>
      <c r="AF47" s="44"/>
      <c r="AG47" s="44"/>
      <c r="AH47" s="45">
        <f t="shared" si="64"/>
        <v>0</v>
      </c>
      <c r="AI47" s="44"/>
      <c r="AJ47" s="44"/>
      <c r="AK47" s="44"/>
      <c r="AL47" s="44"/>
      <c r="AM47" s="45">
        <f t="shared" si="65"/>
        <v>4.6805555555555498E-3</v>
      </c>
      <c r="AN47" s="44"/>
      <c r="AO47" s="44"/>
      <c r="AP47" s="44"/>
      <c r="AQ47" s="45">
        <f t="shared" si="35"/>
        <v>0</v>
      </c>
      <c r="AR47" s="45">
        <f t="shared" si="36"/>
        <v>0</v>
      </c>
      <c r="AS47" s="45">
        <f t="shared" si="37"/>
        <v>0</v>
      </c>
      <c r="AT47" s="25">
        <v>15</v>
      </c>
      <c r="AU47" s="54">
        <v>1700</v>
      </c>
      <c r="AV47" s="44">
        <v>34</v>
      </c>
      <c r="AW47" s="44">
        <v>7.2</v>
      </c>
      <c r="AX47" s="44">
        <v>50</v>
      </c>
      <c r="AY47" s="22">
        <v>2.9999999999999997E-4</v>
      </c>
      <c r="AZ47" s="11"/>
      <c r="BA47" s="46">
        <v>4.2658227848101212E-3</v>
      </c>
      <c r="BB47" s="22">
        <v>1.0664556962025316E-7</v>
      </c>
      <c r="BC47" s="11">
        <f t="shared" si="17"/>
        <v>0</v>
      </c>
      <c r="BD47" s="46">
        <f t="shared" si="0"/>
        <v>0</v>
      </c>
      <c r="BE47" s="46">
        <f t="shared" si="41"/>
        <v>1580</v>
      </c>
      <c r="BF47" s="47" t="str">
        <f t="shared" si="7"/>
        <v/>
      </c>
      <c r="BG47" s="47" t="str">
        <f t="shared" si="8"/>
        <v/>
      </c>
      <c r="BH47" s="47">
        <f t="shared" si="18"/>
        <v>6.7399999999999922</v>
      </c>
      <c r="BI47" s="47" t="str">
        <f t="shared" si="10"/>
        <v/>
      </c>
      <c r="BJ47" s="47">
        <f t="shared" si="31"/>
        <v>4.6805555555555498E-3</v>
      </c>
      <c r="BK47" s="48" t="str">
        <f t="shared" si="32"/>
        <v/>
      </c>
      <c r="BL47" s="47" t="str">
        <f t="shared" si="47"/>
        <v/>
      </c>
      <c r="BM47" s="51">
        <f t="shared" si="28"/>
        <v>1.685E-4</v>
      </c>
      <c r="BN47" s="28">
        <f t="shared" si="66"/>
        <v>12.157287157287143</v>
      </c>
      <c r="BO47" s="49">
        <f t="shared" si="67"/>
        <v>4.6805555555555498E-3</v>
      </c>
      <c r="BP47" s="30">
        <f t="shared" si="21"/>
        <v>1.685E-4</v>
      </c>
    </row>
    <row r="48" spans="1:68" x14ac:dyDescent="0.3">
      <c r="A48" s="1" t="s">
        <v>78</v>
      </c>
      <c r="B48" t="s">
        <v>79</v>
      </c>
      <c r="C48">
        <v>12</v>
      </c>
      <c r="D48">
        <v>7</v>
      </c>
      <c r="F48" s="61"/>
      <c r="G48">
        <v>3888.32</v>
      </c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17"/>
      <c r="AE48" s="44"/>
      <c r="AF48" s="44"/>
      <c r="AG48" s="44"/>
      <c r="AH48" s="45">
        <f t="shared" si="64"/>
        <v>0</v>
      </c>
      <c r="AI48" s="44"/>
      <c r="AJ48" s="44"/>
      <c r="AK48" s="44"/>
      <c r="AL48" s="44"/>
      <c r="AM48" s="45">
        <f t="shared" si="65"/>
        <v>6.5372380620716828E-3</v>
      </c>
      <c r="AN48" s="44"/>
      <c r="AO48" s="44"/>
      <c r="AP48" s="44"/>
      <c r="AQ48" s="45">
        <f t="shared" si="35"/>
        <v>0</v>
      </c>
      <c r="AR48" s="45">
        <f t="shared" si="36"/>
        <v>0</v>
      </c>
      <c r="AS48" s="45">
        <f t="shared" si="37"/>
        <v>0</v>
      </c>
      <c r="AT48" s="25">
        <v>15</v>
      </c>
      <c r="AU48" s="54">
        <v>1700</v>
      </c>
      <c r="AV48" s="44">
        <v>34</v>
      </c>
      <c r="AW48" s="44">
        <v>7.2</v>
      </c>
      <c r="AX48" s="44">
        <v>50</v>
      </c>
      <c r="AY48" s="22">
        <v>2.9999999999999997E-4</v>
      </c>
      <c r="AZ48" s="11">
        <v>5.9579891198627997E-3</v>
      </c>
      <c r="BB48" s="22"/>
      <c r="BC48" s="11">
        <f t="shared" si="17"/>
        <v>0</v>
      </c>
      <c r="BD48" s="46">
        <f t="shared" si="0"/>
        <v>0</v>
      </c>
      <c r="BE48" s="46">
        <f t="shared" si="41"/>
        <v>1580</v>
      </c>
      <c r="BF48" s="47" t="str">
        <f t="shared" si="7"/>
        <v/>
      </c>
      <c r="BG48" s="47" t="str">
        <f t="shared" si="8"/>
        <v/>
      </c>
      <c r="BH48" s="47">
        <f t="shared" si="18"/>
        <v>9.4136228093832237</v>
      </c>
      <c r="BI48" s="47">
        <f t="shared" si="10"/>
        <v>6.5372380620716828E-3</v>
      </c>
      <c r="BJ48" s="48" t="str">
        <f t="shared" si="31"/>
        <v/>
      </c>
      <c r="BK48" s="48" t="str">
        <f t="shared" si="32"/>
        <v/>
      </c>
      <c r="BL48" s="47">
        <f t="shared" si="47"/>
        <v>11.85</v>
      </c>
      <c r="BM48" s="51" t="str">
        <f t="shared" si="28"/>
        <v/>
      </c>
      <c r="BN48" s="28">
        <f t="shared" si="66"/>
        <v>16.979839122264114</v>
      </c>
      <c r="BO48" s="49">
        <f t="shared" si="67"/>
        <v>6.5372380620716828E-3</v>
      </c>
      <c r="BP48" s="30">
        <f t="shared" si="21"/>
        <v>11.85</v>
      </c>
    </row>
    <row r="49" spans="1:68" x14ac:dyDescent="0.3">
      <c r="A49" s="1" t="s">
        <v>80</v>
      </c>
      <c r="B49" t="s">
        <v>79</v>
      </c>
      <c r="C49">
        <v>12</v>
      </c>
      <c r="D49">
        <v>7</v>
      </c>
      <c r="F49" s="61"/>
      <c r="G49">
        <v>3888.32</v>
      </c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17"/>
      <c r="AE49" s="44"/>
      <c r="AF49" s="44"/>
      <c r="AG49" s="44"/>
      <c r="AH49" s="45">
        <f t="shared" si="64"/>
        <v>0</v>
      </c>
      <c r="AI49" s="44"/>
      <c r="AJ49" s="44"/>
      <c r="AK49" s="44"/>
      <c r="AL49" s="44"/>
      <c r="AM49" s="45">
        <f t="shared" si="65"/>
        <v>6.5372380620716828E-3</v>
      </c>
      <c r="AN49" s="44"/>
      <c r="AO49" s="44"/>
      <c r="AP49" s="44"/>
      <c r="AQ49" s="45">
        <f t="shared" si="35"/>
        <v>0</v>
      </c>
      <c r="AR49" s="45">
        <f t="shared" si="36"/>
        <v>0</v>
      </c>
      <c r="AS49" s="45">
        <f t="shared" si="37"/>
        <v>0</v>
      </c>
      <c r="AT49" s="25">
        <v>15</v>
      </c>
      <c r="AU49" s="54">
        <v>1700</v>
      </c>
      <c r="AV49" s="44">
        <v>34</v>
      </c>
      <c r="AW49" s="44">
        <v>7.2</v>
      </c>
      <c r="AX49" s="44">
        <v>50</v>
      </c>
      <c r="AY49" s="22">
        <v>2.9999999999999997E-4</v>
      </c>
      <c r="AZ49" s="11">
        <v>5.9579891198627997E-3</v>
      </c>
      <c r="BB49" s="22"/>
      <c r="BC49" s="11">
        <f t="shared" si="17"/>
        <v>0</v>
      </c>
      <c r="BD49" s="46">
        <f t="shared" si="0"/>
        <v>0</v>
      </c>
      <c r="BE49" s="46">
        <f t="shared" si="41"/>
        <v>1580</v>
      </c>
      <c r="BF49" s="47" t="str">
        <f t="shared" si="7"/>
        <v/>
      </c>
      <c r="BG49" s="47" t="str">
        <f t="shared" si="8"/>
        <v/>
      </c>
      <c r="BH49" s="47">
        <f t="shared" si="18"/>
        <v>9.4136228093832237</v>
      </c>
      <c r="BI49" s="47">
        <f t="shared" si="10"/>
        <v>6.5372380620716828E-3</v>
      </c>
      <c r="BJ49" s="48" t="str">
        <f t="shared" si="31"/>
        <v/>
      </c>
      <c r="BK49" s="48" t="str">
        <f t="shared" si="32"/>
        <v/>
      </c>
      <c r="BL49" s="47">
        <f t="shared" si="47"/>
        <v>11.85</v>
      </c>
      <c r="BM49" s="51" t="str">
        <f t="shared" si="28"/>
        <v/>
      </c>
      <c r="BN49" s="28">
        <f t="shared" si="66"/>
        <v>16.979839122264114</v>
      </c>
      <c r="BO49" s="49">
        <f t="shared" si="67"/>
        <v>6.5372380620716828E-3</v>
      </c>
      <c r="BP49" s="30">
        <f t="shared" si="21"/>
        <v>11.85</v>
      </c>
    </row>
    <row r="50" spans="1:68" ht="15" thickBot="1" x14ac:dyDescent="0.35">
      <c r="A50" s="4" t="s">
        <v>81</v>
      </c>
      <c r="B50" s="5" t="s">
        <v>79</v>
      </c>
      <c r="C50" s="5">
        <v>12</v>
      </c>
      <c r="D50" s="5">
        <v>7</v>
      </c>
      <c r="E50" s="5"/>
      <c r="F50" s="62"/>
      <c r="G50" s="5">
        <v>3888.32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18"/>
      <c r="AE50" s="7"/>
      <c r="AF50" s="7"/>
      <c r="AG50" s="7"/>
      <c r="AH50" s="41">
        <f t="shared" si="64"/>
        <v>0</v>
      </c>
      <c r="AI50" s="7"/>
      <c r="AJ50" s="7"/>
      <c r="AK50" s="7"/>
      <c r="AL50" s="7"/>
      <c r="AM50" s="41">
        <f t="shared" si="65"/>
        <v>7.9579985976051763E-3</v>
      </c>
      <c r="AN50" s="7"/>
      <c r="AO50" s="7"/>
      <c r="AP50" s="7"/>
      <c r="AQ50" s="41">
        <f t="shared" si="35"/>
        <v>0</v>
      </c>
      <c r="AR50" s="41">
        <f t="shared" si="36"/>
        <v>0</v>
      </c>
      <c r="AS50" s="41">
        <f t="shared" si="37"/>
        <v>0</v>
      </c>
      <c r="AT50" s="26">
        <v>15</v>
      </c>
      <c r="AU50" s="55">
        <v>1700</v>
      </c>
      <c r="AV50" s="7">
        <v>34</v>
      </c>
      <c r="AW50" s="7">
        <v>7.2</v>
      </c>
      <c r="AX50" s="7">
        <v>50</v>
      </c>
      <c r="AY50" s="23">
        <v>2.9999999999999997E-4</v>
      </c>
      <c r="AZ50" s="12">
        <v>7.2528594813616801E-3</v>
      </c>
      <c r="BA50" s="5"/>
      <c r="BB50" s="23"/>
      <c r="BC50" s="12">
        <f t="shared" si="17"/>
        <v>0</v>
      </c>
      <c r="BD50" s="13">
        <f t="shared" si="0"/>
        <v>0</v>
      </c>
      <c r="BE50" s="13">
        <f t="shared" si="41"/>
        <v>1580</v>
      </c>
      <c r="BF50" s="14" t="str">
        <f t="shared" si="7"/>
        <v/>
      </c>
      <c r="BG50" s="14" t="str">
        <f t="shared" si="8"/>
        <v/>
      </c>
      <c r="BH50" s="14">
        <f t="shared" si="18"/>
        <v>11.459517980551455</v>
      </c>
      <c r="BI50" s="14">
        <f t="shared" si="10"/>
        <v>7.9579985976051763E-3</v>
      </c>
      <c r="BJ50" s="48" t="str">
        <f t="shared" si="31"/>
        <v/>
      </c>
      <c r="BK50" s="36" t="str">
        <f t="shared" si="32"/>
        <v/>
      </c>
      <c r="BL50" s="14">
        <f t="shared" si="47"/>
        <v>11.85</v>
      </c>
      <c r="BM50" s="52" t="str">
        <f t="shared" si="28"/>
        <v/>
      </c>
      <c r="BN50" s="29">
        <f t="shared" si="66"/>
        <v>20.670126227545914</v>
      </c>
      <c r="BO50" s="38">
        <f t="shared" si="67"/>
        <v>7.9579985976051763E-3</v>
      </c>
      <c r="BP50" s="31">
        <f t="shared" si="21"/>
        <v>11.85</v>
      </c>
    </row>
    <row r="51" spans="1:68" x14ac:dyDescent="0.3">
      <c r="A51" s="2" t="s">
        <v>74</v>
      </c>
      <c r="B51" s="3" t="s">
        <v>75</v>
      </c>
      <c r="C51" s="3">
        <v>12</v>
      </c>
      <c r="D51" s="3">
        <v>8</v>
      </c>
      <c r="E51" s="3"/>
      <c r="F51" s="60"/>
      <c r="G51" s="3">
        <v>4309.7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16"/>
      <c r="AE51" s="6"/>
      <c r="AF51" s="6"/>
      <c r="AG51" s="6"/>
      <c r="AH51" s="40">
        <f>AF51/100</f>
        <v>0</v>
      </c>
      <c r="AI51" s="6"/>
      <c r="AJ51" s="6"/>
      <c r="AK51" s="44"/>
      <c r="AL51" s="6"/>
      <c r="AM51" s="42">
        <f>BO51</f>
        <v>4.6805555555555498E-3</v>
      </c>
      <c r="AN51" s="6"/>
      <c r="AO51" s="6"/>
      <c r="AP51" s="6"/>
      <c r="AQ51" s="40">
        <f t="shared" si="35"/>
        <v>0</v>
      </c>
      <c r="AR51" s="40">
        <f t="shared" si="36"/>
        <v>0</v>
      </c>
      <c r="AS51" s="40">
        <f t="shared" si="37"/>
        <v>0</v>
      </c>
      <c r="AT51" s="24">
        <v>15</v>
      </c>
      <c r="AU51" s="53">
        <v>1700</v>
      </c>
      <c r="AV51" s="6">
        <v>34</v>
      </c>
      <c r="AW51" s="6">
        <v>7.2</v>
      </c>
      <c r="AX51" s="6">
        <v>50</v>
      </c>
      <c r="AY51" s="21">
        <v>2.9999999999999997E-4</v>
      </c>
      <c r="AZ51" s="8"/>
      <c r="BA51" s="9">
        <v>4.3067092651757136E-3</v>
      </c>
      <c r="BB51" s="21">
        <v>1.0766773162939298E-7</v>
      </c>
      <c r="BC51" s="8">
        <f t="shared" si="17"/>
        <v>0</v>
      </c>
      <c r="BD51" s="9">
        <f t="shared" si="0"/>
        <v>0</v>
      </c>
      <c r="BE51" s="9">
        <f t="shared" si="41"/>
        <v>1565</v>
      </c>
      <c r="BF51" s="10" t="str">
        <f t="shared" si="7"/>
        <v/>
      </c>
      <c r="BG51" s="10" t="str">
        <f t="shared" si="8"/>
        <v/>
      </c>
      <c r="BH51" s="10">
        <f t="shared" si="18"/>
        <v>6.7399999999999922</v>
      </c>
      <c r="BI51" s="10" t="str">
        <f t="shared" si="10"/>
        <v/>
      </c>
      <c r="BJ51" s="10">
        <f t="shared" si="31"/>
        <v>4.6805555555555498E-3</v>
      </c>
      <c r="BK51" s="35" t="str">
        <f t="shared" si="32"/>
        <v/>
      </c>
      <c r="BL51" s="10" t="str">
        <f t="shared" si="47"/>
        <v/>
      </c>
      <c r="BM51" s="50">
        <f t="shared" si="28"/>
        <v>1.685E-4</v>
      </c>
      <c r="BN51" s="27">
        <f>IF(BI51&lt;&gt;"",BI51/0.000385,IF(BJ51&lt;&gt;"",BJ51/0.000385,BK51/0.000385))</f>
        <v>12.157287157287143</v>
      </c>
      <c r="BO51" s="37">
        <f>IF(BI51&lt;&gt;"",BI51,IF(BJ51&lt;&gt;"",BJ51,BK51))</f>
        <v>4.6805555555555498E-3</v>
      </c>
      <c r="BP51" s="32">
        <f t="shared" si="21"/>
        <v>1.685E-4</v>
      </c>
    </row>
    <row r="52" spans="1:68" x14ac:dyDescent="0.3">
      <c r="A52" s="1" t="s">
        <v>76</v>
      </c>
      <c r="B52" t="s">
        <v>75</v>
      </c>
      <c r="C52">
        <v>12</v>
      </c>
      <c r="D52">
        <v>8</v>
      </c>
      <c r="F52" s="61"/>
      <c r="G52">
        <v>4309.7</v>
      </c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17"/>
      <c r="AE52" s="44"/>
      <c r="AF52" s="44"/>
      <c r="AG52" s="44"/>
      <c r="AH52" s="45">
        <f t="shared" ref="AH52:AH56" si="68">AF52/100</f>
        <v>0</v>
      </c>
      <c r="AI52" s="44"/>
      <c r="AJ52" s="44"/>
      <c r="AK52" s="44"/>
      <c r="AL52" s="44"/>
      <c r="AM52" s="45">
        <f t="shared" ref="AM52:AM56" si="69">BO52</f>
        <v>4.6805555555555498E-3</v>
      </c>
      <c r="AN52" s="44"/>
      <c r="AO52" s="44"/>
      <c r="AP52" s="44"/>
      <c r="AQ52" s="45">
        <f t="shared" si="35"/>
        <v>0</v>
      </c>
      <c r="AR52" s="45">
        <f t="shared" si="36"/>
        <v>0</v>
      </c>
      <c r="AS52" s="45">
        <f t="shared" si="37"/>
        <v>0</v>
      </c>
      <c r="AT52" s="25">
        <v>15</v>
      </c>
      <c r="AU52" s="54">
        <v>1700</v>
      </c>
      <c r="AV52" s="44">
        <v>34</v>
      </c>
      <c r="AW52" s="44">
        <v>7.2</v>
      </c>
      <c r="AX52" s="44">
        <v>50</v>
      </c>
      <c r="AY52" s="22">
        <v>2.9999999999999997E-4</v>
      </c>
      <c r="AZ52" s="11"/>
      <c r="BA52" s="46">
        <v>4.3067092651757136E-3</v>
      </c>
      <c r="BB52" s="22">
        <v>1.0766773162939298E-7</v>
      </c>
      <c r="BC52" s="11">
        <f t="shared" si="17"/>
        <v>0</v>
      </c>
      <c r="BD52" s="46">
        <f t="shared" si="0"/>
        <v>0</v>
      </c>
      <c r="BE52" s="46">
        <f t="shared" si="41"/>
        <v>1565</v>
      </c>
      <c r="BF52" s="47" t="str">
        <f t="shared" si="7"/>
        <v/>
      </c>
      <c r="BG52" s="47" t="str">
        <f t="shared" si="8"/>
        <v/>
      </c>
      <c r="BH52" s="47">
        <f t="shared" si="18"/>
        <v>6.7399999999999922</v>
      </c>
      <c r="BI52" s="47" t="str">
        <f t="shared" si="10"/>
        <v/>
      </c>
      <c r="BJ52" s="47">
        <f t="shared" si="31"/>
        <v>4.6805555555555498E-3</v>
      </c>
      <c r="BK52" s="48" t="str">
        <f t="shared" si="32"/>
        <v/>
      </c>
      <c r="BL52" s="47" t="str">
        <f t="shared" si="47"/>
        <v/>
      </c>
      <c r="BM52" s="51">
        <f t="shared" si="28"/>
        <v>1.685E-4</v>
      </c>
      <c r="BN52" s="28">
        <f t="shared" ref="BN52:BN56" si="70">IF(BI52&lt;&gt;"",BI52/0.000385,IF(BJ52&lt;&gt;"",BJ52/0.000385,BK52/0.000385))</f>
        <v>12.157287157287143</v>
      </c>
      <c r="BO52" s="49">
        <f t="shared" ref="BO52:BO56" si="71">IF(BI52&lt;&gt;"",BI52,IF(BJ52&lt;&gt;"",BJ52,BK52))</f>
        <v>4.6805555555555498E-3</v>
      </c>
      <c r="BP52" s="30">
        <f t="shared" si="21"/>
        <v>1.685E-4</v>
      </c>
    </row>
    <row r="53" spans="1:68" x14ac:dyDescent="0.3">
      <c r="A53" s="1" t="s">
        <v>77</v>
      </c>
      <c r="B53" t="s">
        <v>75</v>
      </c>
      <c r="C53">
        <v>12</v>
      </c>
      <c r="D53">
        <v>8</v>
      </c>
      <c r="F53" s="61"/>
      <c r="G53">
        <v>4309.7</v>
      </c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17"/>
      <c r="AE53" s="44"/>
      <c r="AF53" s="44"/>
      <c r="AG53" s="44"/>
      <c r="AH53" s="45">
        <f t="shared" si="68"/>
        <v>0</v>
      </c>
      <c r="AI53" s="44"/>
      <c r="AJ53" s="44"/>
      <c r="AK53" s="44"/>
      <c r="AL53" s="44"/>
      <c r="AM53" s="45">
        <f t="shared" si="69"/>
        <v>4.6805555555555498E-3</v>
      </c>
      <c r="AN53" s="44"/>
      <c r="AO53" s="44"/>
      <c r="AP53" s="44"/>
      <c r="AQ53" s="45">
        <f t="shared" si="35"/>
        <v>0</v>
      </c>
      <c r="AR53" s="45">
        <f t="shared" si="36"/>
        <v>0</v>
      </c>
      <c r="AS53" s="45">
        <f t="shared" si="37"/>
        <v>0</v>
      </c>
      <c r="AT53" s="25">
        <v>15</v>
      </c>
      <c r="AU53" s="54">
        <v>1700</v>
      </c>
      <c r="AV53" s="44">
        <v>34</v>
      </c>
      <c r="AW53" s="44">
        <v>7.2</v>
      </c>
      <c r="AX53" s="44">
        <v>50</v>
      </c>
      <c r="AY53" s="22">
        <v>2.9999999999999997E-4</v>
      </c>
      <c r="AZ53" s="11"/>
      <c r="BA53" s="46">
        <v>4.3067092651757136E-3</v>
      </c>
      <c r="BB53" s="22">
        <v>1.0766773162939298E-7</v>
      </c>
      <c r="BC53" s="11">
        <f t="shared" si="17"/>
        <v>0</v>
      </c>
      <c r="BD53" s="46">
        <f t="shared" si="0"/>
        <v>0</v>
      </c>
      <c r="BE53" s="46">
        <f t="shared" si="41"/>
        <v>1565</v>
      </c>
      <c r="BF53" s="47" t="str">
        <f t="shared" si="7"/>
        <v/>
      </c>
      <c r="BG53" s="47" t="str">
        <f t="shared" si="8"/>
        <v/>
      </c>
      <c r="BH53" s="47">
        <f t="shared" si="18"/>
        <v>6.7399999999999922</v>
      </c>
      <c r="BI53" s="47" t="str">
        <f t="shared" si="10"/>
        <v/>
      </c>
      <c r="BJ53" s="47">
        <f t="shared" si="31"/>
        <v>4.6805555555555498E-3</v>
      </c>
      <c r="BK53" s="48" t="str">
        <f t="shared" si="32"/>
        <v/>
      </c>
      <c r="BL53" s="47" t="str">
        <f t="shared" si="47"/>
        <v/>
      </c>
      <c r="BM53" s="51">
        <f t="shared" si="28"/>
        <v>1.685E-4</v>
      </c>
      <c r="BN53" s="28">
        <f t="shared" si="70"/>
        <v>12.157287157287143</v>
      </c>
      <c r="BO53" s="49">
        <f t="shared" si="71"/>
        <v>4.6805555555555498E-3</v>
      </c>
      <c r="BP53" s="30">
        <f t="shared" si="21"/>
        <v>1.685E-4</v>
      </c>
    </row>
    <row r="54" spans="1:68" x14ac:dyDescent="0.3">
      <c r="A54" s="1" t="s">
        <v>78</v>
      </c>
      <c r="B54" t="s">
        <v>79</v>
      </c>
      <c r="C54">
        <v>12</v>
      </c>
      <c r="D54">
        <v>8</v>
      </c>
      <c r="F54" s="61"/>
      <c r="G54">
        <v>4309.7</v>
      </c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17"/>
      <c r="AE54" s="44"/>
      <c r="AF54" s="44"/>
      <c r="AG54" s="44"/>
      <c r="AH54" s="45">
        <f t="shared" si="68"/>
        <v>0</v>
      </c>
      <c r="AI54" s="44"/>
      <c r="AJ54" s="44"/>
      <c r="AK54" s="44"/>
      <c r="AL54" s="44"/>
      <c r="AM54" s="45">
        <f t="shared" si="69"/>
        <v>6.4751756754064449E-3</v>
      </c>
      <c r="AN54" s="44"/>
      <c r="AO54" s="44"/>
      <c r="AP54" s="44"/>
      <c r="AQ54" s="45">
        <f t="shared" si="35"/>
        <v>0</v>
      </c>
      <c r="AR54" s="45">
        <f t="shared" si="36"/>
        <v>0</v>
      </c>
      <c r="AS54" s="45">
        <f t="shared" si="37"/>
        <v>0</v>
      </c>
      <c r="AT54" s="25">
        <v>15</v>
      </c>
      <c r="AU54" s="54">
        <v>1700</v>
      </c>
      <c r="AV54" s="44">
        <v>34</v>
      </c>
      <c r="AW54" s="44">
        <v>7.2</v>
      </c>
      <c r="AX54" s="44">
        <v>50</v>
      </c>
      <c r="AY54" s="22">
        <v>2.9999999999999997E-4</v>
      </c>
      <c r="AZ54" s="11">
        <v>5.9579891198627997E-3</v>
      </c>
      <c r="BB54" s="22"/>
      <c r="BC54" s="11">
        <f t="shared" si="17"/>
        <v>0</v>
      </c>
      <c r="BD54" s="46">
        <f t="shared" si="0"/>
        <v>0</v>
      </c>
      <c r="BE54" s="46">
        <f t="shared" si="41"/>
        <v>1565</v>
      </c>
      <c r="BF54" s="47" t="str">
        <f t="shared" si="7"/>
        <v/>
      </c>
      <c r="BG54" s="47" t="str">
        <f t="shared" si="8"/>
        <v/>
      </c>
      <c r="BH54" s="47">
        <f t="shared" si="18"/>
        <v>9.3242529725852794</v>
      </c>
      <c r="BI54" s="47">
        <f t="shared" si="10"/>
        <v>6.4751756754064449E-3</v>
      </c>
      <c r="BJ54" s="48" t="str">
        <f t="shared" si="31"/>
        <v/>
      </c>
      <c r="BK54" s="48" t="str">
        <f t="shared" si="32"/>
        <v/>
      </c>
      <c r="BL54" s="47">
        <f t="shared" si="47"/>
        <v>11.737500000000001</v>
      </c>
      <c r="BM54" s="51" t="str">
        <f t="shared" si="28"/>
        <v/>
      </c>
      <c r="BN54" s="28">
        <f t="shared" si="70"/>
        <v>16.818638117938818</v>
      </c>
      <c r="BO54" s="49">
        <f t="shared" si="71"/>
        <v>6.4751756754064449E-3</v>
      </c>
      <c r="BP54" s="30">
        <f t="shared" si="21"/>
        <v>11.737500000000001</v>
      </c>
    </row>
    <row r="55" spans="1:68" x14ac:dyDescent="0.3">
      <c r="A55" s="1" t="s">
        <v>80</v>
      </c>
      <c r="B55" t="s">
        <v>79</v>
      </c>
      <c r="C55">
        <v>12</v>
      </c>
      <c r="D55">
        <v>8</v>
      </c>
      <c r="F55" s="61"/>
      <c r="G55">
        <v>4309.7</v>
      </c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17"/>
      <c r="AE55" s="44"/>
      <c r="AF55" s="44"/>
      <c r="AG55" s="44"/>
      <c r="AH55" s="45">
        <f t="shared" si="68"/>
        <v>0</v>
      </c>
      <c r="AI55" s="44"/>
      <c r="AJ55" s="44"/>
      <c r="AK55" s="44"/>
      <c r="AL55" s="44"/>
      <c r="AM55" s="45">
        <f t="shared" si="69"/>
        <v>6.4751756754064449E-3</v>
      </c>
      <c r="AN55" s="44"/>
      <c r="AO55" s="44"/>
      <c r="AP55" s="44"/>
      <c r="AQ55" s="45">
        <f t="shared" si="35"/>
        <v>0</v>
      </c>
      <c r="AR55" s="45">
        <f t="shared" si="36"/>
        <v>0</v>
      </c>
      <c r="AS55" s="45">
        <f t="shared" si="37"/>
        <v>0</v>
      </c>
      <c r="AT55" s="25">
        <v>15</v>
      </c>
      <c r="AU55" s="54">
        <v>1700</v>
      </c>
      <c r="AV55" s="44">
        <v>34</v>
      </c>
      <c r="AW55" s="44">
        <v>7.2</v>
      </c>
      <c r="AX55" s="44">
        <v>50</v>
      </c>
      <c r="AY55" s="22">
        <v>2.9999999999999997E-4</v>
      </c>
      <c r="AZ55" s="11">
        <v>5.9579891198627997E-3</v>
      </c>
      <c r="BB55" s="22"/>
      <c r="BC55" s="11">
        <f t="shared" si="17"/>
        <v>0</v>
      </c>
      <c r="BD55" s="46">
        <f t="shared" si="0"/>
        <v>0</v>
      </c>
      <c r="BE55" s="46">
        <f t="shared" si="41"/>
        <v>1565</v>
      </c>
      <c r="BF55" s="47" t="str">
        <f t="shared" si="7"/>
        <v/>
      </c>
      <c r="BG55" s="47" t="str">
        <f t="shared" si="8"/>
        <v/>
      </c>
      <c r="BH55" s="47">
        <f t="shared" si="18"/>
        <v>9.3242529725852794</v>
      </c>
      <c r="BI55" s="47">
        <f t="shared" si="10"/>
        <v>6.4751756754064449E-3</v>
      </c>
      <c r="BJ55" s="48" t="str">
        <f t="shared" si="31"/>
        <v/>
      </c>
      <c r="BK55" s="48" t="str">
        <f t="shared" si="32"/>
        <v/>
      </c>
      <c r="BL55" s="47">
        <f t="shared" si="47"/>
        <v>11.737500000000001</v>
      </c>
      <c r="BM55" s="51" t="str">
        <f t="shared" si="28"/>
        <v/>
      </c>
      <c r="BN55" s="28">
        <f t="shared" si="70"/>
        <v>16.818638117938818</v>
      </c>
      <c r="BO55" s="49">
        <f t="shared" si="71"/>
        <v>6.4751756754064449E-3</v>
      </c>
      <c r="BP55" s="30">
        <f t="shared" si="21"/>
        <v>11.737500000000001</v>
      </c>
    </row>
    <row r="56" spans="1:68" ht="15" thickBot="1" x14ac:dyDescent="0.35">
      <c r="A56" s="4" t="s">
        <v>81</v>
      </c>
      <c r="B56" s="5" t="s">
        <v>79</v>
      </c>
      <c r="C56" s="5">
        <v>12</v>
      </c>
      <c r="D56" s="5">
        <v>8</v>
      </c>
      <c r="E56" s="5"/>
      <c r="F56" s="62"/>
      <c r="G56" s="5">
        <v>4309.7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18"/>
      <c r="AE56" s="7"/>
      <c r="AF56" s="7"/>
      <c r="AG56" s="7"/>
      <c r="AH56" s="41">
        <f t="shared" si="68"/>
        <v>0</v>
      </c>
      <c r="AI56" s="7"/>
      <c r="AJ56" s="7"/>
      <c r="AK56" s="7"/>
      <c r="AL56" s="7"/>
      <c r="AM56" s="41">
        <f t="shared" si="69"/>
        <v>7.8824479780076583E-3</v>
      </c>
      <c r="AN56" s="7"/>
      <c r="AO56" s="7"/>
      <c r="AP56" s="7"/>
      <c r="AQ56" s="41">
        <f t="shared" si="35"/>
        <v>0</v>
      </c>
      <c r="AR56" s="41">
        <f t="shared" si="36"/>
        <v>0</v>
      </c>
      <c r="AS56" s="41">
        <f t="shared" si="37"/>
        <v>0</v>
      </c>
      <c r="AT56" s="26">
        <v>15</v>
      </c>
      <c r="AU56" s="55">
        <v>1700</v>
      </c>
      <c r="AV56" s="7">
        <v>34</v>
      </c>
      <c r="AW56" s="7">
        <v>7.2</v>
      </c>
      <c r="AX56" s="7">
        <v>50</v>
      </c>
      <c r="AY56" s="23">
        <v>2.9999999999999997E-4</v>
      </c>
      <c r="AZ56" s="12">
        <v>7.2528594813616801E-3</v>
      </c>
      <c r="BA56" s="5"/>
      <c r="BB56" s="23"/>
      <c r="BC56" s="12">
        <f t="shared" si="17"/>
        <v>0</v>
      </c>
      <c r="BD56" s="13">
        <f t="shared" si="0"/>
        <v>0</v>
      </c>
      <c r="BE56" s="13">
        <f t="shared" si="41"/>
        <v>1565</v>
      </c>
      <c r="BF56" s="14" t="str">
        <f t="shared" si="7"/>
        <v/>
      </c>
      <c r="BG56" s="14" t="str">
        <f t="shared" si="8"/>
        <v/>
      </c>
      <c r="BH56" s="14">
        <f t="shared" si="18"/>
        <v>11.350725088331028</v>
      </c>
      <c r="BI56" s="14">
        <f t="shared" si="10"/>
        <v>7.8824479780076583E-3</v>
      </c>
      <c r="BJ56" s="48" t="str">
        <f t="shared" si="31"/>
        <v/>
      </c>
      <c r="BK56" s="36" t="str">
        <f t="shared" si="32"/>
        <v/>
      </c>
      <c r="BL56" s="14">
        <f t="shared" si="47"/>
        <v>11.737500000000001</v>
      </c>
      <c r="BM56" s="52" t="str">
        <f t="shared" si="28"/>
        <v/>
      </c>
      <c r="BN56" s="29">
        <f t="shared" si="70"/>
        <v>20.473890851967944</v>
      </c>
      <c r="BO56" s="38">
        <f t="shared" si="71"/>
        <v>7.8824479780076583E-3</v>
      </c>
      <c r="BP56" s="31">
        <f t="shared" si="21"/>
        <v>11.737500000000001</v>
      </c>
    </row>
    <row r="57" spans="1:68" x14ac:dyDescent="0.3">
      <c r="A57" s="2" t="s">
        <v>74</v>
      </c>
      <c r="B57" s="3" t="s">
        <v>75</v>
      </c>
      <c r="C57" s="3">
        <v>12</v>
      </c>
      <c r="D57" s="3">
        <v>9</v>
      </c>
      <c r="E57" s="3"/>
      <c r="F57" s="60"/>
      <c r="G57" s="3">
        <v>4805.7299999999996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16"/>
      <c r="AE57" s="6"/>
      <c r="AF57" s="6"/>
      <c r="AG57" s="6"/>
      <c r="AH57" s="40">
        <f>AF57/100</f>
        <v>0</v>
      </c>
      <c r="AI57" s="6"/>
      <c r="AJ57" s="6"/>
      <c r="AK57" s="44"/>
      <c r="AL57" s="6"/>
      <c r="AM57" s="42">
        <f>BO57</f>
        <v>4.6805555555555507E-3</v>
      </c>
      <c r="AN57" s="6"/>
      <c r="AO57" s="6"/>
      <c r="AP57" s="6"/>
      <c r="AQ57" s="40">
        <f t="shared" si="35"/>
        <v>0</v>
      </c>
      <c r="AR57" s="40">
        <f t="shared" si="36"/>
        <v>0</v>
      </c>
      <c r="AS57" s="40">
        <f t="shared" si="37"/>
        <v>0</v>
      </c>
      <c r="AT57" s="24">
        <v>15</v>
      </c>
      <c r="AU57" s="53">
        <v>1700</v>
      </c>
      <c r="AV57" s="6">
        <v>34</v>
      </c>
      <c r="AW57" s="6">
        <v>7.2</v>
      </c>
      <c r="AX57" s="6">
        <v>50</v>
      </c>
      <c r="AY57" s="21">
        <v>2.9999999999999997E-4</v>
      </c>
      <c r="AZ57" s="8"/>
      <c r="BA57" s="9">
        <v>4.3483870967741889E-3</v>
      </c>
      <c r="BB57" s="21">
        <v>1.0870967741935485E-7</v>
      </c>
      <c r="BC57" s="8">
        <f t="shared" si="17"/>
        <v>0</v>
      </c>
      <c r="BD57" s="9">
        <f t="shared" si="0"/>
        <v>0</v>
      </c>
      <c r="BE57" s="9">
        <f t="shared" si="41"/>
        <v>1550</v>
      </c>
      <c r="BF57" s="10" t="str">
        <f t="shared" si="7"/>
        <v/>
      </c>
      <c r="BG57" s="10" t="str">
        <f t="shared" si="8"/>
        <v/>
      </c>
      <c r="BH57" s="10">
        <f t="shared" si="18"/>
        <v>6.7399999999999931</v>
      </c>
      <c r="BI57" s="10" t="str">
        <f t="shared" si="10"/>
        <v/>
      </c>
      <c r="BJ57" s="10">
        <f t="shared" si="31"/>
        <v>4.6805555555555507E-3</v>
      </c>
      <c r="BK57" s="35" t="str">
        <f t="shared" si="32"/>
        <v/>
      </c>
      <c r="BL57" s="10" t="str">
        <f t="shared" si="47"/>
        <v/>
      </c>
      <c r="BM57" s="50">
        <f t="shared" si="28"/>
        <v>1.685E-4</v>
      </c>
      <c r="BN57" s="27">
        <f>IF(BI57&lt;&gt;"",BI57/0.000385,IF(BJ57&lt;&gt;"",BJ57/0.000385,BK57/0.000385))</f>
        <v>12.157287157287145</v>
      </c>
      <c r="BO57" s="37">
        <f>IF(BI57&lt;&gt;"",BI57,IF(BJ57&lt;&gt;"",BJ57,BK57))</f>
        <v>4.6805555555555507E-3</v>
      </c>
      <c r="BP57" s="32">
        <f t="shared" si="21"/>
        <v>1.685E-4</v>
      </c>
    </row>
    <row r="58" spans="1:68" x14ac:dyDescent="0.3">
      <c r="A58" s="1" t="s">
        <v>76</v>
      </c>
      <c r="B58" t="s">
        <v>75</v>
      </c>
      <c r="C58">
        <v>12</v>
      </c>
      <c r="D58">
        <v>9</v>
      </c>
      <c r="F58" s="61"/>
      <c r="G58">
        <v>4805.7299999999996</v>
      </c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17"/>
      <c r="AE58" s="44"/>
      <c r="AF58" s="44"/>
      <c r="AG58" s="44"/>
      <c r="AH58" s="45">
        <f t="shared" ref="AH58:AH62" si="72">AF58/100</f>
        <v>0</v>
      </c>
      <c r="AI58" s="44"/>
      <c r="AJ58" s="44"/>
      <c r="AK58" s="44"/>
      <c r="AL58" s="44"/>
      <c r="AM58" s="45">
        <f t="shared" ref="AM58:AM62" si="73">BO58</f>
        <v>4.6805555555555507E-3</v>
      </c>
      <c r="AN58" s="44"/>
      <c r="AO58" s="44"/>
      <c r="AP58" s="44"/>
      <c r="AQ58" s="45">
        <f t="shared" si="35"/>
        <v>0</v>
      </c>
      <c r="AR58" s="45">
        <f t="shared" si="36"/>
        <v>0</v>
      </c>
      <c r="AS58" s="45">
        <f t="shared" si="37"/>
        <v>0</v>
      </c>
      <c r="AT58" s="25">
        <v>15</v>
      </c>
      <c r="AU58" s="54">
        <v>1700</v>
      </c>
      <c r="AV58" s="44">
        <v>34</v>
      </c>
      <c r="AW58" s="44">
        <v>7.2</v>
      </c>
      <c r="AX58" s="44">
        <v>50</v>
      </c>
      <c r="AY58" s="22">
        <v>2.9999999999999997E-4</v>
      </c>
      <c r="AZ58" s="11"/>
      <c r="BA58" s="46">
        <v>4.3483870967741889E-3</v>
      </c>
      <c r="BB58" s="22">
        <v>1.0870967741935485E-7</v>
      </c>
      <c r="BC58" s="11">
        <f t="shared" si="17"/>
        <v>0</v>
      </c>
      <c r="BD58" s="46">
        <f t="shared" si="0"/>
        <v>0</v>
      </c>
      <c r="BE58" s="46">
        <f t="shared" si="41"/>
        <v>1550</v>
      </c>
      <c r="BF58" s="47" t="str">
        <f t="shared" si="7"/>
        <v/>
      </c>
      <c r="BG58" s="47" t="str">
        <f t="shared" si="8"/>
        <v/>
      </c>
      <c r="BH58" s="47">
        <f t="shared" si="18"/>
        <v>6.7399999999999931</v>
      </c>
      <c r="BI58" s="47" t="str">
        <f t="shared" si="10"/>
        <v/>
      </c>
      <c r="BJ58" s="47">
        <f t="shared" si="31"/>
        <v>4.6805555555555507E-3</v>
      </c>
      <c r="BK58" s="48" t="str">
        <f t="shared" si="32"/>
        <v/>
      </c>
      <c r="BL58" s="47" t="str">
        <f t="shared" si="47"/>
        <v/>
      </c>
      <c r="BM58" s="51">
        <f t="shared" si="28"/>
        <v>1.685E-4</v>
      </c>
      <c r="BN58" s="28">
        <f t="shared" ref="BN58:BN62" si="74">IF(BI58&lt;&gt;"",BI58/0.000385,IF(BJ58&lt;&gt;"",BJ58/0.000385,BK58/0.000385))</f>
        <v>12.157287157287145</v>
      </c>
      <c r="BO58" s="49">
        <f t="shared" ref="BO58:BO62" si="75">IF(BI58&lt;&gt;"",BI58,IF(BJ58&lt;&gt;"",BJ58,BK58))</f>
        <v>4.6805555555555507E-3</v>
      </c>
      <c r="BP58" s="30">
        <f t="shared" si="21"/>
        <v>1.685E-4</v>
      </c>
    </row>
    <row r="59" spans="1:68" x14ac:dyDescent="0.3">
      <c r="A59" s="1" t="s">
        <v>77</v>
      </c>
      <c r="B59" t="s">
        <v>75</v>
      </c>
      <c r="C59">
        <v>12</v>
      </c>
      <c r="D59">
        <v>9</v>
      </c>
      <c r="F59" s="61"/>
      <c r="G59">
        <v>4805.7299999999996</v>
      </c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17"/>
      <c r="AE59" s="44"/>
      <c r="AF59" s="44"/>
      <c r="AG59" s="44"/>
      <c r="AH59" s="45">
        <f t="shared" si="72"/>
        <v>0</v>
      </c>
      <c r="AI59" s="44"/>
      <c r="AJ59" s="44"/>
      <c r="AK59" s="44"/>
      <c r="AL59" s="44"/>
      <c r="AM59" s="45">
        <f t="shared" si="73"/>
        <v>4.6805555555555507E-3</v>
      </c>
      <c r="AN59" s="44"/>
      <c r="AO59" s="44"/>
      <c r="AP59" s="44"/>
      <c r="AQ59" s="45">
        <f t="shared" si="35"/>
        <v>0</v>
      </c>
      <c r="AR59" s="45">
        <f t="shared" si="36"/>
        <v>0</v>
      </c>
      <c r="AS59" s="45">
        <f t="shared" si="37"/>
        <v>0</v>
      </c>
      <c r="AT59" s="25">
        <v>15</v>
      </c>
      <c r="AU59" s="54">
        <v>1700</v>
      </c>
      <c r="AV59" s="44">
        <v>34</v>
      </c>
      <c r="AW59" s="44">
        <v>7.2</v>
      </c>
      <c r="AX59" s="44">
        <v>50</v>
      </c>
      <c r="AY59" s="22">
        <v>2.9999999999999997E-4</v>
      </c>
      <c r="AZ59" s="11"/>
      <c r="BA59" s="46">
        <v>4.3483870967741889E-3</v>
      </c>
      <c r="BB59" s="22">
        <v>1.0870967741935485E-7</v>
      </c>
      <c r="BC59" s="11">
        <f t="shared" si="17"/>
        <v>0</v>
      </c>
      <c r="BD59" s="46">
        <f t="shared" si="0"/>
        <v>0</v>
      </c>
      <c r="BE59" s="46">
        <f t="shared" si="41"/>
        <v>1550</v>
      </c>
      <c r="BF59" s="47" t="str">
        <f t="shared" si="7"/>
        <v/>
      </c>
      <c r="BG59" s="47" t="str">
        <f t="shared" si="8"/>
        <v/>
      </c>
      <c r="BH59" s="47">
        <f t="shared" si="18"/>
        <v>6.7399999999999931</v>
      </c>
      <c r="BI59" s="47" t="str">
        <f t="shared" si="10"/>
        <v/>
      </c>
      <c r="BJ59" s="47">
        <f t="shared" si="31"/>
        <v>4.6805555555555507E-3</v>
      </c>
      <c r="BK59" s="48" t="str">
        <f t="shared" si="32"/>
        <v/>
      </c>
      <c r="BL59" s="47" t="str">
        <f t="shared" si="47"/>
        <v/>
      </c>
      <c r="BM59" s="51">
        <f t="shared" si="28"/>
        <v>1.685E-4</v>
      </c>
      <c r="BN59" s="28">
        <f t="shared" si="74"/>
        <v>12.157287157287145</v>
      </c>
      <c r="BO59" s="49">
        <f t="shared" si="75"/>
        <v>4.6805555555555507E-3</v>
      </c>
      <c r="BP59" s="30">
        <f t="shared" si="21"/>
        <v>1.685E-4</v>
      </c>
    </row>
    <row r="60" spans="1:68" x14ac:dyDescent="0.3">
      <c r="A60" s="1" t="s">
        <v>78</v>
      </c>
      <c r="B60" t="s">
        <v>79</v>
      </c>
      <c r="C60">
        <v>12</v>
      </c>
      <c r="D60">
        <v>9</v>
      </c>
      <c r="F60" s="61"/>
      <c r="G60">
        <v>4805.7299999999996</v>
      </c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17"/>
      <c r="AE60" s="44"/>
      <c r="AF60" s="44"/>
      <c r="AG60" s="44"/>
      <c r="AH60" s="45">
        <f t="shared" si="72"/>
        <v>0</v>
      </c>
      <c r="AI60" s="44"/>
      <c r="AJ60" s="44"/>
      <c r="AK60" s="44"/>
      <c r="AL60" s="44"/>
      <c r="AM60" s="45">
        <f t="shared" si="73"/>
        <v>6.4131132887412087E-3</v>
      </c>
      <c r="AN60" s="44"/>
      <c r="AO60" s="44"/>
      <c r="AP60" s="44"/>
      <c r="AQ60" s="45">
        <f t="shared" si="35"/>
        <v>0</v>
      </c>
      <c r="AR60" s="45">
        <f t="shared" si="36"/>
        <v>0</v>
      </c>
      <c r="AS60" s="45">
        <f t="shared" si="37"/>
        <v>0</v>
      </c>
      <c r="AT60" s="25">
        <v>15</v>
      </c>
      <c r="AU60" s="54">
        <v>1700</v>
      </c>
      <c r="AV60" s="44">
        <v>34</v>
      </c>
      <c r="AW60" s="44">
        <v>7.2</v>
      </c>
      <c r="AX60" s="44">
        <v>50</v>
      </c>
      <c r="AY60" s="22">
        <v>2.9999999999999997E-4</v>
      </c>
      <c r="AZ60" s="11">
        <v>5.9579891198627997E-3</v>
      </c>
      <c r="BB60" s="22"/>
      <c r="BC60" s="11">
        <f t="shared" si="17"/>
        <v>0</v>
      </c>
      <c r="BD60" s="46">
        <f t="shared" si="0"/>
        <v>0</v>
      </c>
      <c r="BE60" s="46">
        <f t="shared" si="41"/>
        <v>1550</v>
      </c>
      <c r="BF60" s="47" t="str">
        <f t="shared" si="7"/>
        <v/>
      </c>
      <c r="BG60" s="47" t="str">
        <f t="shared" si="8"/>
        <v/>
      </c>
      <c r="BH60" s="47">
        <f t="shared" si="18"/>
        <v>9.2348831357873404</v>
      </c>
      <c r="BI60" s="47">
        <f t="shared" si="10"/>
        <v>6.4131132887412087E-3</v>
      </c>
      <c r="BJ60" s="48" t="str">
        <f t="shared" si="31"/>
        <v/>
      </c>
      <c r="BK60" s="48" t="str">
        <f t="shared" si="32"/>
        <v/>
      </c>
      <c r="BL60" s="47">
        <f t="shared" si="47"/>
        <v>11.625</v>
      </c>
      <c r="BM60" s="51" t="str">
        <f t="shared" si="28"/>
        <v/>
      </c>
      <c r="BN60" s="28">
        <f t="shared" si="74"/>
        <v>16.657437113613529</v>
      </c>
      <c r="BO60" s="49">
        <f t="shared" si="75"/>
        <v>6.4131132887412087E-3</v>
      </c>
      <c r="BP60" s="30">
        <f t="shared" si="21"/>
        <v>11.625</v>
      </c>
    </row>
    <row r="61" spans="1:68" x14ac:dyDescent="0.3">
      <c r="A61" s="1" t="s">
        <v>80</v>
      </c>
      <c r="B61" t="s">
        <v>79</v>
      </c>
      <c r="C61">
        <v>12</v>
      </c>
      <c r="D61">
        <v>9</v>
      </c>
      <c r="F61" s="61"/>
      <c r="G61">
        <v>4805.7299999999996</v>
      </c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17"/>
      <c r="AE61" s="44"/>
      <c r="AF61" s="44"/>
      <c r="AG61" s="44"/>
      <c r="AH61" s="45">
        <f t="shared" si="72"/>
        <v>0</v>
      </c>
      <c r="AI61" s="44"/>
      <c r="AJ61" s="44"/>
      <c r="AK61" s="44"/>
      <c r="AL61" s="44"/>
      <c r="AM61" s="45">
        <f t="shared" si="73"/>
        <v>6.4131132887412087E-3</v>
      </c>
      <c r="AN61" s="44"/>
      <c r="AO61" s="44"/>
      <c r="AP61" s="44"/>
      <c r="AQ61" s="45">
        <f t="shared" si="35"/>
        <v>0</v>
      </c>
      <c r="AR61" s="45">
        <f t="shared" si="36"/>
        <v>0</v>
      </c>
      <c r="AS61" s="45">
        <f t="shared" si="37"/>
        <v>0</v>
      </c>
      <c r="AT61" s="25">
        <v>15</v>
      </c>
      <c r="AU61" s="54">
        <v>1700</v>
      </c>
      <c r="AV61" s="44">
        <v>34</v>
      </c>
      <c r="AW61" s="44">
        <v>7.2</v>
      </c>
      <c r="AX61" s="44">
        <v>50</v>
      </c>
      <c r="AY61" s="22">
        <v>2.9999999999999997E-4</v>
      </c>
      <c r="AZ61" s="11">
        <v>5.9579891198627997E-3</v>
      </c>
      <c r="BB61" s="22"/>
      <c r="BC61" s="11">
        <f t="shared" si="17"/>
        <v>0</v>
      </c>
      <c r="BD61" s="46">
        <f t="shared" si="0"/>
        <v>0</v>
      </c>
      <c r="BE61" s="46">
        <f t="shared" si="41"/>
        <v>1550</v>
      </c>
      <c r="BF61" s="47" t="str">
        <f t="shared" si="7"/>
        <v/>
      </c>
      <c r="BG61" s="47" t="str">
        <f t="shared" si="8"/>
        <v/>
      </c>
      <c r="BH61" s="47">
        <f t="shared" si="18"/>
        <v>9.2348831357873404</v>
      </c>
      <c r="BI61" s="47">
        <f t="shared" si="10"/>
        <v>6.4131132887412087E-3</v>
      </c>
      <c r="BJ61" s="48" t="str">
        <f t="shared" si="31"/>
        <v/>
      </c>
      <c r="BK61" s="48" t="str">
        <f t="shared" si="32"/>
        <v/>
      </c>
      <c r="BL61" s="47">
        <f t="shared" si="47"/>
        <v>11.625</v>
      </c>
      <c r="BM61" s="51" t="str">
        <f t="shared" si="28"/>
        <v/>
      </c>
      <c r="BN61" s="28">
        <f t="shared" si="74"/>
        <v>16.657437113613529</v>
      </c>
      <c r="BO61" s="49">
        <f t="shared" si="75"/>
        <v>6.4131132887412087E-3</v>
      </c>
      <c r="BP61" s="30">
        <f t="shared" si="21"/>
        <v>11.625</v>
      </c>
    </row>
    <row r="62" spans="1:68" x14ac:dyDescent="0.3">
      <c r="A62" s="4" t="s">
        <v>81</v>
      </c>
      <c r="B62" s="5" t="s">
        <v>79</v>
      </c>
      <c r="C62" s="5">
        <v>12</v>
      </c>
      <c r="D62" s="5">
        <v>9</v>
      </c>
      <c r="E62" s="5"/>
      <c r="F62" s="62"/>
      <c r="G62" s="5">
        <v>4805.7299999999996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18"/>
      <c r="AE62" s="7"/>
      <c r="AF62" s="7"/>
      <c r="AG62" s="7"/>
      <c r="AH62" s="41">
        <f t="shared" si="72"/>
        <v>0</v>
      </c>
      <c r="AI62" s="7"/>
      <c r="AJ62" s="7"/>
      <c r="AK62" s="7"/>
      <c r="AL62" s="7"/>
      <c r="AM62" s="41">
        <f t="shared" si="73"/>
        <v>7.8068973584101411E-3</v>
      </c>
      <c r="AN62" s="7"/>
      <c r="AO62" s="7"/>
      <c r="AP62" s="7"/>
      <c r="AQ62" s="41">
        <f t="shared" si="35"/>
        <v>0</v>
      </c>
      <c r="AR62" s="41">
        <f t="shared" si="36"/>
        <v>0</v>
      </c>
      <c r="AS62" s="41">
        <f t="shared" si="37"/>
        <v>0</v>
      </c>
      <c r="AT62" s="26">
        <v>15</v>
      </c>
      <c r="AU62" s="55">
        <v>1700</v>
      </c>
      <c r="AV62" s="7">
        <v>34</v>
      </c>
      <c r="AW62" s="7">
        <v>7.2</v>
      </c>
      <c r="AX62" s="7">
        <v>50</v>
      </c>
      <c r="AY62" s="23">
        <v>2.9999999999999997E-4</v>
      </c>
      <c r="AZ62" s="12">
        <v>7.2528594813616801E-3</v>
      </c>
      <c r="BA62" s="5"/>
      <c r="BB62" s="23"/>
      <c r="BC62" s="12">
        <f t="shared" si="17"/>
        <v>0</v>
      </c>
      <c r="BD62" s="13">
        <f t="shared" si="0"/>
        <v>0</v>
      </c>
      <c r="BE62" s="13">
        <f t="shared" si="41"/>
        <v>1550</v>
      </c>
      <c r="BF62" s="14" t="str">
        <f t="shared" si="7"/>
        <v/>
      </c>
      <c r="BG62" s="14" t="str">
        <f t="shared" si="8"/>
        <v/>
      </c>
      <c r="BH62" s="14">
        <f t="shared" si="18"/>
        <v>11.241932196110604</v>
      </c>
      <c r="BI62" s="14">
        <f t="shared" si="10"/>
        <v>7.8068973584101411E-3</v>
      </c>
      <c r="BJ62" s="48" t="str">
        <f t="shared" si="31"/>
        <v/>
      </c>
      <c r="BK62" s="36" t="str">
        <f t="shared" si="32"/>
        <v/>
      </c>
      <c r="BL62" s="14">
        <f t="shared" si="47"/>
        <v>11.625</v>
      </c>
      <c r="BM62" s="52" t="str">
        <f t="shared" si="28"/>
        <v/>
      </c>
      <c r="BN62" s="29">
        <f t="shared" si="74"/>
        <v>20.277655476389977</v>
      </c>
      <c r="BO62" s="38">
        <f t="shared" si="75"/>
        <v>7.8068973584101411E-3</v>
      </c>
      <c r="BP62" s="31">
        <f t="shared" si="21"/>
        <v>11.625</v>
      </c>
    </row>
    <row r="63" spans="1:68" x14ac:dyDescent="0.3">
      <c r="A63" s="2" t="s">
        <v>74</v>
      </c>
      <c r="B63" s="3" t="s">
        <v>75</v>
      </c>
      <c r="C63" s="3">
        <v>12</v>
      </c>
      <c r="D63" s="3">
        <v>10</v>
      </c>
      <c r="E63" s="3"/>
      <c r="F63" s="60"/>
      <c r="G63" s="63">
        <v>5497.99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16"/>
      <c r="AE63" s="6"/>
      <c r="AF63" s="6"/>
      <c r="AG63" s="6"/>
      <c r="AH63" s="40">
        <f>AF63/100</f>
        <v>0</v>
      </c>
      <c r="AI63" s="6"/>
      <c r="AJ63" s="6"/>
      <c r="AK63" s="44"/>
      <c r="AL63" s="6"/>
      <c r="AM63" s="42">
        <f>BO63</f>
        <v>4.6805555555555498E-3</v>
      </c>
      <c r="AN63" s="6"/>
      <c r="AO63" s="6"/>
      <c r="AP63" s="6"/>
      <c r="AQ63" s="40">
        <f t="shared" si="35"/>
        <v>0</v>
      </c>
      <c r="AR63" s="40">
        <f t="shared" si="36"/>
        <v>0</v>
      </c>
      <c r="AS63" s="40">
        <f t="shared" si="37"/>
        <v>0</v>
      </c>
      <c r="AT63" s="24">
        <v>15</v>
      </c>
      <c r="AU63" s="53">
        <v>1700</v>
      </c>
      <c r="AV63" s="6">
        <v>34</v>
      </c>
      <c r="AW63" s="6">
        <v>7.2</v>
      </c>
      <c r="AX63" s="6">
        <v>50</v>
      </c>
      <c r="AY63" s="21">
        <v>2.9999999999999997E-4</v>
      </c>
      <c r="AZ63" s="8"/>
      <c r="BA63" s="9">
        <v>4.3908794788273565E-3</v>
      </c>
      <c r="BB63" s="21">
        <v>1.0977198697068404E-7</v>
      </c>
      <c r="BC63" s="8">
        <f t="shared" si="17"/>
        <v>0</v>
      </c>
      <c r="BD63" s="9">
        <f t="shared" si="0"/>
        <v>0</v>
      </c>
      <c r="BE63" s="9">
        <f t="shared" si="41"/>
        <v>1535</v>
      </c>
      <c r="BF63" s="10" t="str">
        <f t="shared" si="7"/>
        <v/>
      </c>
      <c r="BG63" s="10" t="str">
        <f t="shared" si="8"/>
        <v/>
      </c>
      <c r="BH63" s="10">
        <f t="shared" si="18"/>
        <v>6.7399999999999922</v>
      </c>
      <c r="BI63" s="10" t="str">
        <f t="shared" si="10"/>
        <v/>
      </c>
      <c r="BJ63" s="10">
        <f t="shared" si="31"/>
        <v>4.6805555555555498E-3</v>
      </c>
      <c r="BK63" s="35" t="str">
        <f t="shared" si="32"/>
        <v/>
      </c>
      <c r="BL63" s="10" t="str">
        <f t="shared" si="47"/>
        <v/>
      </c>
      <c r="BM63" s="50">
        <f t="shared" si="28"/>
        <v>1.685E-4</v>
      </c>
      <c r="BN63" s="27">
        <f>IF(BI63&lt;&gt;"",BI63/0.000385,IF(BJ63&lt;&gt;"",BJ63/0.000385,BK63/0.000385))</f>
        <v>12.157287157287143</v>
      </c>
      <c r="BO63" s="37">
        <f>IF(BI63&lt;&gt;"",BI63,IF(BJ63&lt;&gt;"",BJ63,BK63))</f>
        <v>4.6805555555555498E-3</v>
      </c>
      <c r="BP63" s="32">
        <f t="shared" si="21"/>
        <v>1.685E-4</v>
      </c>
    </row>
    <row r="64" spans="1:68" x14ac:dyDescent="0.3">
      <c r="A64" s="1" t="s">
        <v>76</v>
      </c>
      <c r="B64" t="s">
        <v>75</v>
      </c>
      <c r="C64">
        <v>12</v>
      </c>
      <c r="D64">
        <v>10</v>
      </c>
      <c r="F64" s="61"/>
      <c r="G64" s="64">
        <v>5497.99</v>
      </c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17"/>
      <c r="AE64" s="44"/>
      <c r="AF64" s="44"/>
      <c r="AG64" s="44"/>
      <c r="AH64" s="45">
        <f t="shared" ref="AH64:AH68" si="76">AF64/100</f>
        <v>0</v>
      </c>
      <c r="AI64" s="44"/>
      <c r="AJ64" s="44"/>
      <c r="AK64" s="44"/>
      <c r="AL64" s="44"/>
      <c r="AM64" s="45">
        <f t="shared" ref="AM64:AM68" si="77">BO64</f>
        <v>4.6805555555555498E-3</v>
      </c>
      <c r="AN64" s="44"/>
      <c r="AO64" s="44"/>
      <c r="AP64" s="44"/>
      <c r="AQ64" s="45">
        <f t="shared" si="35"/>
        <v>0</v>
      </c>
      <c r="AR64" s="45">
        <f t="shared" si="36"/>
        <v>0</v>
      </c>
      <c r="AS64" s="45">
        <f t="shared" si="37"/>
        <v>0</v>
      </c>
      <c r="AT64" s="25">
        <v>15</v>
      </c>
      <c r="AU64" s="54">
        <v>1700</v>
      </c>
      <c r="AV64" s="44">
        <v>34</v>
      </c>
      <c r="AW64" s="44">
        <v>7.2</v>
      </c>
      <c r="AX64" s="44">
        <v>50</v>
      </c>
      <c r="AY64" s="22">
        <v>2.9999999999999997E-4</v>
      </c>
      <c r="AZ64" s="11"/>
      <c r="BA64" s="46">
        <v>4.3908794788273565E-3</v>
      </c>
      <c r="BB64" s="22">
        <v>1.0977198697068404E-7</v>
      </c>
      <c r="BC64" s="11">
        <f t="shared" si="17"/>
        <v>0</v>
      </c>
      <c r="BD64" s="46">
        <f t="shared" si="0"/>
        <v>0</v>
      </c>
      <c r="BE64" s="46">
        <f t="shared" si="41"/>
        <v>1535</v>
      </c>
      <c r="BF64" s="47" t="str">
        <f t="shared" si="7"/>
        <v/>
      </c>
      <c r="BG64" s="47" t="str">
        <f t="shared" si="8"/>
        <v/>
      </c>
      <c r="BH64" s="47">
        <f t="shared" si="18"/>
        <v>6.7399999999999922</v>
      </c>
      <c r="BI64" s="47" t="str">
        <f t="shared" si="10"/>
        <v/>
      </c>
      <c r="BJ64" s="47">
        <f t="shared" si="31"/>
        <v>4.6805555555555498E-3</v>
      </c>
      <c r="BK64" s="48" t="str">
        <f t="shared" si="32"/>
        <v/>
      </c>
      <c r="BL64" s="47" t="str">
        <f t="shared" si="47"/>
        <v/>
      </c>
      <c r="BM64" s="51">
        <f t="shared" si="28"/>
        <v>1.685E-4</v>
      </c>
      <c r="BN64" s="28">
        <f t="shared" ref="BN64:BN68" si="78">IF(BI64&lt;&gt;"",BI64/0.000385,IF(BJ64&lt;&gt;"",BJ64/0.000385,BK64/0.000385))</f>
        <v>12.157287157287143</v>
      </c>
      <c r="BO64" s="49">
        <f t="shared" ref="BO64:BO68" si="79">IF(BI64&lt;&gt;"",BI64,IF(BJ64&lt;&gt;"",BJ64,BK64))</f>
        <v>4.6805555555555498E-3</v>
      </c>
      <c r="BP64" s="30">
        <f t="shared" si="21"/>
        <v>1.685E-4</v>
      </c>
    </row>
    <row r="65" spans="1:68" x14ac:dyDescent="0.3">
      <c r="A65" s="1" t="s">
        <v>77</v>
      </c>
      <c r="B65" t="s">
        <v>75</v>
      </c>
      <c r="C65">
        <v>12</v>
      </c>
      <c r="D65">
        <v>10</v>
      </c>
      <c r="F65" s="61"/>
      <c r="G65" s="64">
        <v>5497.99</v>
      </c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17"/>
      <c r="AE65" s="44"/>
      <c r="AF65" s="44"/>
      <c r="AG65" s="44"/>
      <c r="AH65" s="45">
        <f t="shared" si="76"/>
        <v>0</v>
      </c>
      <c r="AI65" s="44"/>
      <c r="AJ65" s="44"/>
      <c r="AK65" s="44"/>
      <c r="AL65" s="44"/>
      <c r="AM65" s="45">
        <f t="shared" si="77"/>
        <v>4.6805555555555498E-3</v>
      </c>
      <c r="AN65" s="44"/>
      <c r="AO65" s="44"/>
      <c r="AP65" s="44"/>
      <c r="AQ65" s="45">
        <f t="shared" si="35"/>
        <v>0</v>
      </c>
      <c r="AR65" s="45">
        <f t="shared" si="36"/>
        <v>0</v>
      </c>
      <c r="AS65" s="45">
        <f t="shared" si="37"/>
        <v>0</v>
      </c>
      <c r="AT65" s="25">
        <v>15</v>
      </c>
      <c r="AU65" s="54">
        <v>1700</v>
      </c>
      <c r="AV65" s="44">
        <v>34</v>
      </c>
      <c r="AW65" s="44">
        <v>7.2</v>
      </c>
      <c r="AX65" s="44">
        <v>50</v>
      </c>
      <c r="AY65" s="22">
        <v>2.9999999999999997E-4</v>
      </c>
      <c r="AZ65" s="11"/>
      <c r="BA65" s="46">
        <v>4.3908794788273565E-3</v>
      </c>
      <c r="BB65" s="22">
        <v>1.0977198697068404E-7</v>
      </c>
      <c r="BC65" s="11">
        <f t="shared" si="17"/>
        <v>0</v>
      </c>
      <c r="BD65" s="46">
        <f t="shared" si="0"/>
        <v>0</v>
      </c>
      <c r="BE65" s="46">
        <f t="shared" si="41"/>
        <v>1535</v>
      </c>
      <c r="BF65" s="47" t="str">
        <f t="shared" si="7"/>
        <v/>
      </c>
      <c r="BG65" s="47" t="str">
        <f t="shared" si="8"/>
        <v/>
      </c>
      <c r="BH65" s="47">
        <f t="shared" si="18"/>
        <v>6.7399999999999922</v>
      </c>
      <c r="BI65" s="47" t="str">
        <f t="shared" si="10"/>
        <v/>
      </c>
      <c r="BJ65" s="47">
        <f t="shared" si="31"/>
        <v>4.6805555555555498E-3</v>
      </c>
      <c r="BK65" s="48" t="str">
        <f t="shared" si="32"/>
        <v/>
      </c>
      <c r="BL65" s="47" t="str">
        <f t="shared" si="47"/>
        <v/>
      </c>
      <c r="BM65" s="51">
        <f t="shared" si="28"/>
        <v>1.685E-4</v>
      </c>
      <c r="BN65" s="28">
        <f t="shared" si="78"/>
        <v>12.157287157287143</v>
      </c>
      <c r="BO65" s="49">
        <f t="shared" si="79"/>
        <v>4.6805555555555498E-3</v>
      </c>
      <c r="BP65" s="30">
        <f t="shared" si="21"/>
        <v>1.685E-4</v>
      </c>
    </row>
    <row r="66" spans="1:68" x14ac:dyDescent="0.3">
      <c r="A66" s="1" t="s">
        <v>78</v>
      </c>
      <c r="B66" t="s">
        <v>79</v>
      </c>
      <c r="C66">
        <v>12</v>
      </c>
      <c r="D66">
        <v>10</v>
      </c>
      <c r="F66" s="61"/>
      <c r="G66" s="64">
        <v>5497.99</v>
      </c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17"/>
      <c r="AE66" s="44"/>
      <c r="AF66" s="44"/>
      <c r="AG66" s="44"/>
      <c r="AH66" s="45">
        <f t="shared" si="76"/>
        <v>0</v>
      </c>
      <c r="AI66" s="44"/>
      <c r="AJ66" s="44"/>
      <c r="AK66" s="44"/>
      <c r="AL66" s="44"/>
      <c r="AM66" s="45">
        <f t="shared" si="77"/>
        <v>6.3510509020759708E-3</v>
      </c>
      <c r="AN66" s="44"/>
      <c r="AO66" s="44"/>
      <c r="AP66" s="44"/>
      <c r="AQ66" s="45">
        <f t="shared" si="35"/>
        <v>0</v>
      </c>
      <c r="AR66" s="45">
        <f t="shared" si="36"/>
        <v>0</v>
      </c>
      <c r="AS66" s="45">
        <f t="shared" si="37"/>
        <v>0</v>
      </c>
      <c r="AT66" s="25">
        <v>15</v>
      </c>
      <c r="AU66" s="54">
        <v>1700</v>
      </c>
      <c r="AV66" s="44">
        <v>34</v>
      </c>
      <c r="AW66" s="44">
        <v>7.2</v>
      </c>
      <c r="AX66" s="44">
        <v>50</v>
      </c>
      <c r="AY66" s="22">
        <v>2.9999999999999997E-4</v>
      </c>
      <c r="AZ66" s="11">
        <v>5.9579891198627997E-3</v>
      </c>
      <c r="BB66" s="22"/>
      <c r="BC66" s="11">
        <f t="shared" si="17"/>
        <v>0</v>
      </c>
      <c r="BD66" s="46">
        <f t="shared" si="0"/>
        <v>0</v>
      </c>
      <c r="BE66" s="46">
        <f t="shared" si="41"/>
        <v>1535</v>
      </c>
      <c r="BF66" s="47" t="str">
        <f t="shared" si="7"/>
        <v/>
      </c>
      <c r="BG66" s="47" t="str">
        <f t="shared" si="8"/>
        <v/>
      </c>
      <c r="BH66" s="47">
        <f t="shared" si="18"/>
        <v>9.1455132989893979</v>
      </c>
      <c r="BI66" s="47">
        <f t="shared" si="10"/>
        <v>6.3510509020759708E-3</v>
      </c>
      <c r="BJ66" s="48" t="str">
        <f t="shared" si="31"/>
        <v/>
      </c>
      <c r="BK66" s="48" t="str">
        <f t="shared" si="32"/>
        <v/>
      </c>
      <c r="BL66" s="47">
        <f t="shared" si="47"/>
        <v>11.512499999999999</v>
      </c>
      <c r="BM66" s="51" t="str">
        <f t="shared" si="28"/>
        <v/>
      </c>
      <c r="BN66" s="28">
        <f t="shared" si="78"/>
        <v>16.496236109288237</v>
      </c>
      <c r="BO66" s="49">
        <f t="shared" si="79"/>
        <v>6.3510509020759708E-3</v>
      </c>
      <c r="BP66" s="30">
        <f t="shared" si="21"/>
        <v>11.512499999999999</v>
      </c>
    </row>
    <row r="67" spans="1:68" x14ac:dyDescent="0.3">
      <c r="A67" s="1" t="s">
        <v>80</v>
      </c>
      <c r="B67" t="s">
        <v>79</v>
      </c>
      <c r="C67">
        <v>12</v>
      </c>
      <c r="D67">
        <v>10</v>
      </c>
      <c r="F67" s="61"/>
      <c r="G67" s="64">
        <v>5497.99</v>
      </c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17"/>
      <c r="AE67" s="44"/>
      <c r="AF67" s="44"/>
      <c r="AG67" s="44"/>
      <c r="AH67" s="45">
        <f t="shared" si="76"/>
        <v>0</v>
      </c>
      <c r="AI67" s="44"/>
      <c r="AJ67" s="44"/>
      <c r="AK67" s="44"/>
      <c r="AL67" s="44"/>
      <c r="AM67" s="45">
        <f t="shared" si="77"/>
        <v>6.3510509020759708E-3</v>
      </c>
      <c r="AN67" s="44"/>
      <c r="AO67" s="44"/>
      <c r="AP67" s="44"/>
      <c r="AQ67" s="45">
        <f t="shared" si="35"/>
        <v>0</v>
      </c>
      <c r="AR67" s="45">
        <f t="shared" si="36"/>
        <v>0</v>
      </c>
      <c r="AS67" s="45">
        <f t="shared" si="37"/>
        <v>0</v>
      </c>
      <c r="AT67" s="25">
        <v>15</v>
      </c>
      <c r="AU67" s="54">
        <v>1700</v>
      </c>
      <c r="AV67" s="44">
        <v>34</v>
      </c>
      <c r="AW67" s="44">
        <v>7.2</v>
      </c>
      <c r="AX67" s="44">
        <v>50</v>
      </c>
      <c r="AY67" s="22">
        <v>2.9999999999999997E-4</v>
      </c>
      <c r="AZ67" s="11">
        <v>5.9579891198627997E-3</v>
      </c>
      <c r="BB67" s="22"/>
      <c r="BC67" s="11">
        <f t="shared" ref="BC67:BC74" si="80">AY67*K67*BE67/1000</f>
        <v>0</v>
      </c>
      <c r="BD67" s="46">
        <f t="shared" ref="BD67:BD74" si="81">BC67*24*60</f>
        <v>0</v>
      </c>
      <c r="BE67" s="46">
        <f t="shared" si="41"/>
        <v>1535</v>
      </c>
      <c r="BF67" s="47" t="str">
        <f t="shared" si="7"/>
        <v/>
      </c>
      <c r="BG67" s="47" t="str">
        <f t="shared" si="8"/>
        <v/>
      </c>
      <c r="BH67" s="47">
        <f t="shared" ref="BH67:BH74" si="82">AM67*24*60</f>
        <v>9.1455132989893979</v>
      </c>
      <c r="BI67" s="47">
        <f t="shared" si="10"/>
        <v>6.3510509020759708E-3</v>
      </c>
      <c r="BJ67" s="48" t="str">
        <f t="shared" si="31"/>
        <v/>
      </c>
      <c r="BK67" s="48" t="str">
        <f t="shared" ref="BK67:BK74" si="83">IF(B67="No MPC", AY67*K67*BE67/1000,"")</f>
        <v/>
      </c>
      <c r="BL67" s="47">
        <f t="shared" si="47"/>
        <v>11.512499999999999</v>
      </c>
      <c r="BM67" s="51" t="str">
        <f t="shared" si="28"/>
        <v/>
      </c>
      <c r="BN67" s="28">
        <f t="shared" si="78"/>
        <v>16.496236109288237</v>
      </c>
      <c r="BO67" s="49">
        <f t="shared" si="79"/>
        <v>6.3510509020759708E-3</v>
      </c>
      <c r="BP67" s="30">
        <f t="shared" ref="BP67:BP74" si="84">IF(BL67&lt;&gt;"",BL67,BM67)</f>
        <v>11.512499999999999</v>
      </c>
    </row>
    <row r="68" spans="1:68" x14ac:dyDescent="0.3">
      <c r="A68" s="4" t="s">
        <v>81</v>
      </c>
      <c r="B68" s="5" t="s">
        <v>79</v>
      </c>
      <c r="C68" s="5">
        <v>12</v>
      </c>
      <c r="D68" s="5">
        <v>10</v>
      </c>
      <c r="E68" s="5"/>
      <c r="F68" s="62"/>
      <c r="G68" s="65">
        <v>5497.99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18"/>
      <c r="AE68" s="7"/>
      <c r="AF68" s="7"/>
      <c r="AG68" s="7"/>
      <c r="AH68" s="41">
        <f t="shared" si="76"/>
        <v>0</v>
      </c>
      <c r="AI68" s="7"/>
      <c r="AJ68" s="7"/>
      <c r="AK68" s="7"/>
      <c r="AL68" s="7"/>
      <c r="AM68" s="41">
        <f t="shared" si="77"/>
        <v>7.731346738812624E-3</v>
      </c>
      <c r="AN68" s="7"/>
      <c r="AO68" s="7"/>
      <c r="AP68" s="7"/>
      <c r="AQ68" s="41">
        <f t="shared" si="35"/>
        <v>0</v>
      </c>
      <c r="AR68" s="41">
        <f t="shared" si="36"/>
        <v>0</v>
      </c>
      <c r="AS68" s="41">
        <f t="shared" si="37"/>
        <v>0</v>
      </c>
      <c r="AT68" s="26">
        <v>15</v>
      </c>
      <c r="AU68" s="55">
        <v>1700</v>
      </c>
      <c r="AV68" s="7">
        <v>34</v>
      </c>
      <c r="AW68" s="7">
        <v>7.2</v>
      </c>
      <c r="AX68" s="7">
        <v>50</v>
      </c>
      <c r="AY68" s="23">
        <v>2.9999999999999997E-4</v>
      </c>
      <c r="AZ68" s="12">
        <v>7.2528594813616801E-3</v>
      </c>
      <c r="BA68" s="5"/>
      <c r="BB68" s="23"/>
      <c r="BC68" s="12">
        <f t="shared" si="80"/>
        <v>0</v>
      </c>
      <c r="BD68" s="13">
        <f t="shared" si="81"/>
        <v>0</v>
      </c>
      <c r="BE68" s="13">
        <f t="shared" si="41"/>
        <v>1535</v>
      </c>
      <c r="BF68" s="14" t="str">
        <f t="shared" ref="BF68:BF80" si="85">IF(ISBLANK(AN68),"",IFERROR(AN68/BE68,0))</f>
        <v/>
      </c>
      <c r="BG68" s="14" t="str">
        <f t="shared" ref="BG68:BG80" si="86">IF(ISBLANK(AN68),"",AN68/AU68)</f>
        <v/>
      </c>
      <c r="BH68" s="14">
        <f t="shared" si="82"/>
        <v>11.133139303890179</v>
      </c>
      <c r="BI68" s="14">
        <f t="shared" ref="BI68:BI80" si="87">IF(B68="Python",AZ68*BE68/24/60,"")</f>
        <v>7.731346738812624E-3</v>
      </c>
      <c r="BJ68" s="48" t="str">
        <f t="shared" si="31"/>
        <v/>
      </c>
      <c r="BK68" s="36" t="str">
        <f t="shared" si="83"/>
        <v/>
      </c>
      <c r="BL68" s="14">
        <f t="shared" si="47"/>
        <v>11.512499999999999</v>
      </c>
      <c r="BM68" s="52" t="str">
        <f t="shared" si="28"/>
        <v/>
      </c>
      <c r="BN68" s="29">
        <f t="shared" si="78"/>
        <v>20.081420100812011</v>
      </c>
      <c r="BO68" s="38">
        <f t="shared" si="79"/>
        <v>7.731346738812624E-3</v>
      </c>
      <c r="BP68" s="31">
        <f t="shared" si="84"/>
        <v>11.512499999999999</v>
      </c>
    </row>
    <row r="69" spans="1:68" x14ac:dyDescent="0.3">
      <c r="A69" s="2" t="s">
        <v>74</v>
      </c>
      <c r="B69" s="3" t="s">
        <v>75</v>
      </c>
      <c r="C69" s="3">
        <v>12</v>
      </c>
      <c r="D69" s="3">
        <v>11</v>
      </c>
      <c r="E69" s="3"/>
      <c r="F69" s="60"/>
      <c r="G69" s="63">
        <v>6057.48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16"/>
      <c r="AE69" s="6"/>
      <c r="AF69" s="6"/>
      <c r="AG69" s="6"/>
      <c r="AH69" s="40">
        <f>AF69/100</f>
        <v>0</v>
      </c>
      <c r="AI69" s="6"/>
      <c r="AJ69" s="6"/>
      <c r="AK69" s="44"/>
      <c r="AL69" s="6"/>
      <c r="AM69" s="42">
        <f>BO69</f>
        <v>4.6805555555555498E-3</v>
      </c>
      <c r="AN69" s="6"/>
      <c r="AO69" s="6"/>
      <c r="AP69" s="6"/>
      <c r="AQ69" s="40">
        <f t="shared" si="35"/>
        <v>0</v>
      </c>
      <c r="AR69" s="40">
        <f t="shared" si="36"/>
        <v>0</v>
      </c>
      <c r="AS69" s="40">
        <f t="shared" si="37"/>
        <v>0</v>
      </c>
      <c r="AT69" s="24">
        <v>15</v>
      </c>
      <c r="AU69" s="53">
        <v>1700</v>
      </c>
      <c r="AV69" s="6">
        <v>34</v>
      </c>
      <c r="AW69" s="6">
        <v>7.2</v>
      </c>
      <c r="AX69" s="6">
        <v>50</v>
      </c>
      <c r="AY69" s="21">
        <v>2.9999999999999997E-4</v>
      </c>
      <c r="AZ69" s="8"/>
      <c r="BA69" s="9">
        <v>4.4342105263157844E-3</v>
      </c>
      <c r="BB69" s="21">
        <v>1.1085526315789473E-7</v>
      </c>
      <c r="BC69" s="8">
        <f t="shared" si="80"/>
        <v>0</v>
      </c>
      <c r="BD69" s="9">
        <f t="shared" si="81"/>
        <v>0</v>
      </c>
      <c r="BE69" s="9">
        <f t="shared" si="41"/>
        <v>1520</v>
      </c>
      <c r="BF69" s="10" t="str">
        <f t="shared" si="85"/>
        <v/>
      </c>
      <c r="BG69" s="10" t="str">
        <f t="shared" si="86"/>
        <v/>
      </c>
      <c r="BH69" s="10">
        <f t="shared" si="82"/>
        <v>6.7399999999999922</v>
      </c>
      <c r="BI69" s="10" t="str">
        <f t="shared" si="87"/>
        <v/>
      </c>
      <c r="BJ69" s="10">
        <f t="shared" si="31"/>
        <v>4.6805555555555498E-3</v>
      </c>
      <c r="BK69" s="35" t="str">
        <f t="shared" si="83"/>
        <v/>
      </c>
      <c r="BL69" s="10" t="str">
        <f t="shared" si="47"/>
        <v/>
      </c>
      <c r="BM69" s="50">
        <f t="shared" si="28"/>
        <v>1.685E-4</v>
      </c>
      <c r="BN69" s="27">
        <f>IF(BI69&lt;&gt;"",BI69/0.000385,IF(BJ69&lt;&gt;"",BJ69/0.000385,BK69/0.000385))</f>
        <v>12.157287157287143</v>
      </c>
      <c r="BO69" s="37">
        <f>IF(BI69&lt;&gt;"",BI69,IF(BJ69&lt;&gt;"",BJ69,BK69))</f>
        <v>4.6805555555555498E-3</v>
      </c>
      <c r="BP69" s="32">
        <f t="shared" si="84"/>
        <v>1.685E-4</v>
      </c>
    </row>
    <row r="70" spans="1:68" x14ac:dyDescent="0.3">
      <c r="A70" s="1" t="s">
        <v>76</v>
      </c>
      <c r="B70" t="s">
        <v>75</v>
      </c>
      <c r="C70">
        <v>12</v>
      </c>
      <c r="D70">
        <v>11</v>
      </c>
      <c r="F70" s="61"/>
      <c r="G70" s="64">
        <v>6057.48</v>
      </c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17"/>
      <c r="AE70" s="44"/>
      <c r="AF70" s="44"/>
      <c r="AG70" s="44"/>
      <c r="AH70" s="45">
        <f t="shared" ref="AH70:AH74" si="88">AF70/100</f>
        <v>0</v>
      </c>
      <c r="AI70" s="44"/>
      <c r="AJ70" s="44"/>
      <c r="AK70" s="44"/>
      <c r="AL70" s="44"/>
      <c r="AM70" s="45">
        <f t="shared" ref="AM70:AM74" si="89">BO70</f>
        <v>4.6805555555555498E-3</v>
      </c>
      <c r="AN70" s="44"/>
      <c r="AO70" s="44"/>
      <c r="AP70" s="44"/>
      <c r="AQ70" s="45">
        <f t="shared" si="35"/>
        <v>0</v>
      </c>
      <c r="AR70" s="45">
        <f t="shared" si="36"/>
        <v>0</v>
      </c>
      <c r="AS70" s="45">
        <f t="shared" si="37"/>
        <v>0</v>
      </c>
      <c r="AT70" s="25">
        <v>15</v>
      </c>
      <c r="AU70" s="54">
        <v>1700</v>
      </c>
      <c r="AV70" s="44">
        <v>34</v>
      </c>
      <c r="AW70" s="44">
        <v>7.2</v>
      </c>
      <c r="AX70" s="44">
        <v>50</v>
      </c>
      <c r="AY70" s="22">
        <v>2.9999999999999997E-4</v>
      </c>
      <c r="AZ70" s="11"/>
      <c r="BA70" s="46">
        <v>4.4342105263157844E-3</v>
      </c>
      <c r="BB70" s="22">
        <v>1.1085526315789473E-7</v>
      </c>
      <c r="BC70" s="11">
        <f t="shared" si="80"/>
        <v>0</v>
      </c>
      <c r="BD70" s="46">
        <f t="shared" si="81"/>
        <v>0</v>
      </c>
      <c r="BE70" s="46">
        <f t="shared" si="41"/>
        <v>1520</v>
      </c>
      <c r="BF70" s="47" t="str">
        <f t="shared" si="85"/>
        <v/>
      </c>
      <c r="BG70" s="47" t="str">
        <f t="shared" si="86"/>
        <v/>
      </c>
      <c r="BH70" s="47">
        <f t="shared" si="82"/>
        <v>6.7399999999999922</v>
      </c>
      <c r="BI70" s="47" t="str">
        <f t="shared" si="87"/>
        <v/>
      </c>
      <c r="BJ70" s="47">
        <f t="shared" si="31"/>
        <v>4.6805555555555498E-3</v>
      </c>
      <c r="BK70" s="48" t="str">
        <f t="shared" si="83"/>
        <v/>
      </c>
      <c r="BL70" s="47" t="str">
        <f t="shared" si="47"/>
        <v/>
      </c>
      <c r="BM70" s="51">
        <f t="shared" ref="BM70:BM80" si="90">IF(B70="Julia",BB70*BE70,"")</f>
        <v>1.685E-4</v>
      </c>
      <c r="BN70" s="28">
        <f t="shared" ref="BN70:BN74" si="91">IF(BI70&lt;&gt;"",BI70/0.000385,IF(BJ70&lt;&gt;"",BJ70/0.000385,BK70/0.000385))</f>
        <v>12.157287157287143</v>
      </c>
      <c r="BO70" s="49">
        <f t="shared" ref="BO70:BO74" si="92">IF(BI70&lt;&gt;"",BI70,IF(BJ70&lt;&gt;"",BJ70,BK70))</f>
        <v>4.6805555555555498E-3</v>
      </c>
      <c r="BP70" s="30">
        <f t="shared" si="84"/>
        <v>1.685E-4</v>
      </c>
    </row>
    <row r="71" spans="1:68" x14ac:dyDescent="0.3">
      <c r="A71" s="1" t="s">
        <v>77</v>
      </c>
      <c r="B71" t="s">
        <v>75</v>
      </c>
      <c r="C71">
        <v>12</v>
      </c>
      <c r="D71">
        <v>11</v>
      </c>
      <c r="F71" s="61"/>
      <c r="G71" s="64">
        <v>6057.48</v>
      </c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17"/>
      <c r="AE71" s="44"/>
      <c r="AF71" s="44"/>
      <c r="AG71" s="44"/>
      <c r="AH71" s="45">
        <f t="shared" si="88"/>
        <v>0</v>
      </c>
      <c r="AI71" s="44"/>
      <c r="AJ71" s="44"/>
      <c r="AK71" s="44"/>
      <c r="AL71" s="44"/>
      <c r="AM71" s="45">
        <f t="shared" si="89"/>
        <v>4.6805555555555498E-3</v>
      </c>
      <c r="AN71" s="44"/>
      <c r="AO71" s="44"/>
      <c r="AP71" s="44"/>
      <c r="AQ71" s="45">
        <f t="shared" si="35"/>
        <v>0</v>
      </c>
      <c r="AR71" s="45">
        <f t="shared" si="36"/>
        <v>0</v>
      </c>
      <c r="AS71" s="45">
        <f t="shared" si="37"/>
        <v>0</v>
      </c>
      <c r="AT71" s="25">
        <v>15</v>
      </c>
      <c r="AU71" s="54">
        <v>1700</v>
      </c>
      <c r="AV71" s="44">
        <v>34</v>
      </c>
      <c r="AW71" s="44">
        <v>7.2</v>
      </c>
      <c r="AX71" s="44">
        <v>50</v>
      </c>
      <c r="AY71" s="22">
        <v>2.9999999999999997E-4</v>
      </c>
      <c r="AZ71" s="11"/>
      <c r="BA71" s="46">
        <v>4.4342105263157844E-3</v>
      </c>
      <c r="BB71" s="22">
        <v>1.1085526315789473E-7</v>
      </c>
      <c r="BC71" s="11">
        <f t="shared" si="80"/>
        <v>0</v>
      </c>
      <c r="BD71" s="46">
        <f t="shared" si="81"/>
        <v>0</v>
      </c>
      <c r="BE71" s="46">
        <f t="shared" si="41"/>
        <v>1520</v>
      </c>
      <c r="BF71" s="47" t="str">
        <f t="shared" si="85"/>
        <v/>
      </c>
      <c r="BG71" s="47" t="str">
        <f t="shared" si="86"/>
        <v/>
      </c>
      <c r="BH71" s="47">
        <f t="shared" si="82"/>
        <v>6.7399999999999922</v>
      </c>
      <c r="BI71" s="47" t="str">
        <f t="shared" si="87"/>
        <v/>
      </c>
      <c r="BJ71" s="47">
        <f t="shared" ref="BJ71:BJ80" si="93">IF(B71="Julia",BA71*BE71/24/60,"")</f>
        <v>4.6805555555555498E-3</v>
      </c>
      <c r="BK71" s="48" t="str">
        <f t="shared" si="83"/>
        <v/>
      </c>
      <c r="BL71" s="47" t="str">
        <f t="shared" si="47"/>
        <v/>
      </c>
      <c r="BM71" s="51">
        <f t="shared" si="90"/>
        <v>1.685E-4</v>
      </c>
      <c r="BN71" s="28">
        <f t="shared" si="91"/>
        <v>12.157287157287143</v>
      </c>
      <c r="BO71" s="49">
        <f t="shared" si="92"/>
        <v>4.6805555555555498E-3</v>
      </c>
      <c r="BP71" s="30">
        <f t="shared" si="84"/>
        <v>1.685E-4</v>
      </c>
    </row>
    <row r="72" spans="1:68" x14ac:dyDescent="0.3">
      <c r="A72" s="1" t="s">
        <v>78</v>
      </c>
      <c r="B72" t="s">
        <v>79</v>
      </c>
      <c r="C72">
        <v>12</v>
      </c>
      <c r="D72">
        <v>11</v>
      </c>
      <c r="F72" s="61"/>
      <c r="G72" s="64">
        <v>6057.48</v>
      </c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17"/>
      <c r="AE72" s="44"/>
      <c r="AF72" s="44"/>
      <c r="AG72" s="44"/>
      <c r="AH72" s="45">
        <f t="shared" si="88"/>
        <v>0</v>
      </c>
      <c r="AI72" s="44"/>
      <c r="AJ72" s="44"/>
      <c r="AK72" s="44"/>
      <c r="AL72" s="44"/>
      <c r="AM72" s="45">
        <f t="shared" si="89"/>
        <v>6.2889885154107329E-3</v>
      </c>
      <c r="AN72" s="44"/>
      <c r="AO72" s="44"/>
      <c r="AP72" s="44"/>
      <c r="AQ72" s="45">
        <f t="shared" si="35"/>
        <v>0</v>
      </c>
      <c r="AR72" s="45">
        <f t="shared" si="36"/>
        <v>0</v>
      </c>
      <c r="AS72" s="45">
        <f t="shared" si="37"/>
        <v>0</v>
      </c>
      <c r="AT72" s="25">
        <v>15</v>
      </c>
      <c r="AU72" s="54">
        <v>1700</v>
      </c>
      <c r="AV72" s="44">
        <v>34</v>
      </c>
      <c r="AW72" s="44">
        <v>7.2</v>
      </c>
      <c r="AX72" s="44">
        <v>50</v>
      </c>
      <c r="AY72" s="22">
        <v>2.9999999999999997E-4</v>
      </c>
      <c r="AZ72" s="11">
        <v>5.9579891198627997E-3</v>
      </c>
      <c r="BB72" s="22"/>
      <c r="BC72" s="11">
        <f t="shared" si="80"/>
        <v>0</v>
      </c>
      <c r="BD72" s="46">
        <f t="shared" si="81"/>
        <v>0</v>
      </c>
      <c r="BE72" s="46">
        <f t="shared" ref="BE72:BE80" si="94">AU72+SUM(AJ72:AL72,AN72:AO72)-(AT72*(D72+1))</f>
        <v>1520</v>
      </c>
      <c r="BF72" s="47" t="str">
        <f t="shared" si="85"/>
        <v/>
      </c>
      <c r="BG72" s="47" t="str">
        <f t="shared" si="86"/>
        <v/>
      </c>
      <c r="BH72" s="47">
        <f t="shared" si="82"/>
        <v>9.0561434621914554</v>
      </c>
      <c r="BI72" s="47">
        <f t="shared" si="87"/>
        <v>6.2889885154107329E-3</v>
      </c>
      <c r="BJ72" s="48" t="str">
        <f t="shared" si="93"/>
        <v/>
      </c>
      <c r="BK72" s="48" t="str">
        <f t="shared" si="83"/>
        <v/>
      </c>
      <c r="BL72" s="47">
        <f t="shared" si="47"/>
        <v>11.4</v>
      </c>
      <c r="BM72" s="51" t="str">
        <f t="shared" si="90"/>
        <v/>
      </c>
      <c r="BN72" s="28">
        <f t="shared" si="91"/>
        <v>16.335035104962945</v>
      </c>
      <c r="BO72" s="49">
        <f t="shared" si="92"/>
        <v>6.2889885154107329E-3</v>
      </c>
      <c r="BP72" s="30">
        <f t="shared" si="84"/>
        <v>11.4</v>
      </c>
    </row>
    <row r="73" spans="1:68" x14ac:dyDescent="0.3">
      <c r="A73" s="1" t="s">
        <v>80</v>
      </c>
      <c r="B73" t="s">
        <v>79</v>
      </c>
      <c r="C73">
        <v>12</v>
      </c>
      <c r="D73">
        <v>11</v>
      </c>
      <c r="F73" s="61"/>
      <c r="G73" s="64">
        <v>6057.48</v>
      </c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17"/>
      <c r="AE73" s="44"/>
      <c r="AF73" s="44"/>
      <c r="AG73" s="44"/>
      <c r="AH73" s="45">
        <f t="shared" si="88"/>
        <v>0</v>
      </c>
      <c r="AI73" s="44"/>
      <c r="AJ73" s="44"/>
      <c r="AK73" s="44"/>
      <c r="AL73" s="44"/>
      <c r="AM73" s="45">
        <f t="shared" si="89"/>
        <v>6.2889885154107329E-3</v>
      </c>
      <c r="AN73" s="44"/>
      <c r="AO73" s="44"/>
      <c r="AP73" s="44"/>
      <c r="AQ73" s="45">
        <f t="shared" si="35"/>
        <v>0</v>
      </c>
      <c r="AR73" s="45">
        <f t="shared" si="36"/>
        <v>0</v>
      </c>
      <c r="AS73" s="45">
        <f t="shared" si="37"/>
        <v>0</v>
      </c>
      <c r="AT73" s="25">
        <v>15</v>
      </c>
      <c r="AU73" s="54">
        <v>1700</v>
      </c>
      <c r="AV73" s="44">
        <v>34</v>
      </c>
      <c r="AW73" s="44">
        <v>7.2</v>
      </c>
      <c r="AX73" s="44">
        <v>50</v>
      </c>
      <c r="AY73" s="22">
        <v>2.9999999999999997E-4</v>
      </c>
      <c r="AZ73" s="11">
        <v>5.9579891198627997E-3</v>
      </c>
      <c r="BB73" s="22"/>
      <c r="BC73" s="11">
        <f t="shared" si="80"/>
        <v>0</v>
      </c>
      <c r="BD73" s="46">
        <f t="shared" si="81"/>
        <v>0</v>
      </c>
      <c r="BE73" s="46">
        <f t="shared" si="94"/>
        <v>1520</v>
      </c>
      <c r="BF73" s="47" t="str">
        <f t="shared" si="85"/>
        <v/>
      </c>
      <c r="BG73" s="47" t="str">
        <f t="shared" si="86"/>
        <v/>
      </c>
      <c r="BH73" s="47">
        <f t="shared" si="82"/>
        <v>9.0561434621914554</v>
      </c>
      <c r="BI73" s="47">
        <f t="shared" si="87"/>
        <v>6.2889885154107329E-3</v>
      </c>
      <c r="BJ73" s="48" t="str">
        <f t="shared" si="93"/>
        <v/>
      </c>
      <c r="BK73" s="48" t="str">
        <f t="shared" si="83"/>
        <v/>
      </c>
      <c r="BL73" s="47">
        <f t="shared" si="47"/>
        <v>11.4</v>
      </c>
      <c r="BM73" s="51" t="str">
        <f t="shared" si="90"/>
        <v/>
      </c>
      <c r="BN73" s="28">
        <f t="shared" si="91"/>
        <v>16.335035104962945</v>
      </c>
      <c r="BO73" s="49">
        <f t="shared" si="92"/>
        <v>6.2889885154107329E-3</v>
      </c>
      <c r="BP73" s="30">
        <f t="shared" si="84"/>
        <v>11.4</v>
      </c>
    </row>
    <row r="74" spans="1:68" x14ac:dyDescent="0.3">
      <c r="A74" s="4" t="s">
        <v>81</v>
      </c>
      <c r="B74" s="5" t="s">
        <v>79</v>
      </c>
      <c r="C74" s="5">
        <v>12</v>
      </c>
      <c r="D74" s="5">
        <v>11</v>
      </c>
      <c r="E74" s="5"/>
      <c r="F74" s="62"/>
      <c r="G74" s="65">
        <v>6057.48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18"/>
      <c r="AE74" s="7"/>
      <c r="AF74" s="7"/>
      <c r="AG74" s="7"/>
      <c r="AH74" s="41">
        <f t="shared" si="88"/>
        <v>0</v>
      </c>
      <c r="AI74" s="7"/>
      <c r="AJ74" s="7"/>
      <c r="AK74" s="7"/>
      <c r="AL74" s="7"/>
      <c r="AM74" s="41">
        <f t="shared" si="89"/>
        <v>7.6557961192151068E-3</v>
      </c>
      <c r="AN74" s="7"/>
      <c r="AO74" s="7"/>
      <c r="AP74" s="7"/>
      <c r="AQ74" s="41">
        <f t="shared" ref="AQ74:AQ80" si="95">AN74-AN68</f>
        <v>0</v>
      </c>
      <c r="AR74" s="41">
        <f t="shared" ref="AR74:AR80" si="96">AO74-AO68</f>
        <v>0</v>
      </c>
      <c r="AS74" s="41">
        <f t="shared" ref="AS74:AS80" si="97">AP74-AP68</f>
        <v>0</v>
      </c>
      <c r="AT74" s="26">
        <v>15</v>
      </c>
      <c r="AU74" s="55">
        <v>1700</v>
      </c>
      <c r="AV74" s="7">
        <v>34</v>
      </c>
      <c r="AW74" s="7">
        <v>7.2</v>
      </c>
      <c r="AX74" s="7">
        <v>50</v>
      </c>
      <c r="AY74" s="23">
        <v>2.9999999999999997E-4</v>
      </c>
      <c r="AZ74" s="12">
        <v>7.2528594813616801E-3</v>
      </c>
      <c r="BA74" s="5"/>
      <c r="BB74" s="23"/>
      <c r="BC74" s="12">
        <f t="shared" si="80"/>
        <v>0</v>
      </c>
      <c r="BD74" s="13">
        <f t="shared" si="81"/>
        <v>0</v>
      </c>
      <c r="BE74" s="13">
        <f t="shared" si="94"/>
        <v>1520</v>
      </c>
      <c r="BF74" s="14" t="str">
        <f t="shared" si="85"/>
        <v/>
      </c>
      <c r="BG74" s="14" t="str">
        <f t="shared" si="86"/>
        <v/>
      </c>
      <c r="BH74" s="14">
        <f t="shared" si="82"/>
        <v>11.024346411669754</v>
      </c>
      <c r="BI74" s="14">
        <f t="shared" si="87"/>
        <v>7.6557961192151068E-3</v>
      </c>
      <c r="BJ74" s="48" t="str">
        <f t="shared" si="93"/>
        <v/>
      </c>
      <c r="BK74" s="36" t="str">
        <f t="shared" si="83"/>
        <v/>
      </c>
      <c r="BL74" s="14">
        <f t="shared" si="47"/>
        <v>11.4</v>
      </c>
      <c r="BM74" s="52" t="str">
        <f t="shared" si="90"/>
        <v/>
      </c>
      <c r="BN74" s="29">
        <f t="shared" si="91"/>
        <v>19.885184725234044</v>
      </c>
      <c r="BO74" s="38">
        <f t="shared" si="92"/>
        <v>7.6557961192151068E-3</v>
      </c>
      <c r="BP74" s="31">
        <f t="shared" si="84"/>
        <v>11.4</v>
      </c>
    </row>
    <row r="75" spans="1:68" x14ac:dyDescent="0.3">
      <c r="A75" s="2" t="s">
        <v>74</v>
      </c>
      <c r="B75" s="3" t="s">
        <v>75</v>
      </c>
      <c r="C75" s="3">
        <v>12</v>
      </c>
      <c r="D75" s="3">
        <v>12</v>
      </c>
      <c r="E75" s="3"/>
      <c r="F75" s="60"/>
      <c r="G75" s="63">
        <v>6478.05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16"/>
      <c r="AE75" s="6"/>
      <c r="AF75" s="6"/>
      <c r="AG75" s="6"/>
      <c r="AH75" s="40">
        <f>AF75/100</f>
        <v>0</v>
      </c>
      <c r="AI75" s="6"/>
      <c r="AJ75" s="6"/>
      <c r="AK75" s="44"/>
      <c r="AL75" s="6"/>
      <c r="AM75" s="42">
        <f>BO75</f>
        <v>4.6805555555555498E-3</v>
      </c>
      <c r="AN75" s="6"/>
      <c r="AO75" s="6"/>
      <c r="AP75" s="6"/>
      <c r="AQ75" s="40">
        <f t="shared" si="95"/>
        <v>0</v>
      </c>
      <c r="AR75" s="40">
        <f t="shared" si="96"/>
        <v>0</v>
      </c>
      <c r="AS75" s="40">
        <f t="shared" si="97"/>
        <v>0</v>
      </c>
      <c r="AT75" s="24">
        <v>15</v>
      </c>
      <c r="AU75" s="53">
        <v>1700</v>
      </c>
      <c r="AV75" s="6">
        <v>34</v>
      </c>
      <c r="AW75" s="6">
        <v>7.2</v>
      </c>
      <c r="AX75" s="6">
        <v>50</v>
      </c>
      <c r="AY75" s="21">
        <v>2.9999999999999997E-4</v>
      </c>
      <c r="AZ75" s="8"/>
      <c r="BA75" s="9">
        <v>4.478405315614613E-3</v>
      </c>
      <c r="BB75" s="21">
        <v>1.1196013289036545E-7</v>
      </c>
      <c r="BC75" s="8">
        <f t="shared" ref="BC75:BC80" si="98">AY75*K75*BE75/1000</f>
        <v>0</v>
      </c>
      <c r="BD75" s="9">
        <f t="shared" ref="BD75:BD80" si="99">BC75*24*60</f>
        <v>0</v>
      </c>
      <c r="BE75" s="9">
        <f t="shared" si="94"/>
        <v>1505</v>
      </c>
      <c r="BF75" s="10" t="str">
        <f t="shared" si="85"/>
        <v/>
      </c>
      <c r="BG75" s="10" t="str">
        <f t="shared" si="86"/>
        <v/>
      </c>
      <c r="BH75" s="10">
        <f t="shared" ref="BH75:BH80" si="100">AM75*24*60</f>
        <v>6.7399999999999922</v>
      </c>
      <c r="BI75" s="10" t="str">
        <f t="shared" si="87"/>
        <v/>
      </c>
      <c r="BJ75" s="10">
        <f t="shared" si="93"/>
        <v>4.6805555555555498E-3</v>
      </c>
      <c r="BK75" s="35" t="str">
        <f t="shared" ref="BK75:BK80" si="101">IF(B75="No MPC", AY75*K75*BE75/1000,"")</f>
        <v/>
      </c>
      <c r="BL75" s="10" t="str">
        <f t="shared" si="47"/>
        <v/>
      </c>
      <c r="BM75" s="50">
        <f t="shared" si="90"/>
        <v>1.685E-4</v>
      </c>
      <c r="BN75" s="27">
        <f>IF(BI75&lt;&gt;"",BI75/0.000385,IF(BJ75&lt;&gt;"",BJ75/0.000385,BK75/0.000385))</f>
        <v>12.157287157287143</v>
      </c>
      <c r="BO75" s="37">
        <f>IF(BI75&lt;&gt;"",BI75,IF(BJ75&lt;&gt;"",BJ75,BK75))</f>
        <v>4.6805555555555498E-3</v>
      </c>
      <c r="BP75" s="32">
        <f t="shared" ref="BP75:BP80" si="102">IF(BL75&lt;&gt;"",BL75,BM75)</f>
        <v>1.685E-4</v>
      </c>
    </row>
    <row r="76" spans="1:68" x14ac:dyDescent="0.3">
      <c r="A76" s="1" t="s">
        <v>76</v>
      </c>
      <c r="B76" t="s">
        <v>75</v>
      </c>
      <c r="C76">
        <v>12</v>
      </c>
      <c r="D76">
        <v>12</v>
      </c>
      <c r="F76" s="61"/>
      <c r="G76" s="64">
        <v>6478.05</v>
      </c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17"/>
      <c r="AE76" s="44"/>
      <c r="AF76" s="44"/>
      <c r="AG76" s="44"/>
      <c r="AH76" s="45">
        <f t="shared" ref="AH76:AH80" si="103">AF76/100</f>
        <v>0</v>
      </c>
      <c r="AI76" s="44"/>
      <c r="AJ76" s="44"/>
      <c r="AK76" s="44"/>
      <c r="AL76" s="44"/>
      <c r="AM76" s="45">
        <f t="shared" ref="AM76:AM80" si="104">BO76</f>
        <v>4.6805555555555498E-3</v>
      </c>
      <c r="AN76" s="44"/>
      <c r="AO76" s="44"/>
      <c r="AP76" s="44"/>
      <c r="AQ76" s="45">
        <f t="shared" si="95"/>
        <v>0</v>
      </c>
      <c r="AR76" s="45">
        <f t="shared" si="96"/>
        <v>0</v>
      </c>
      <c r="AS76" s="45">
        <f t="shared" si="97"/>
        <v>0</v>
      </c>
      <c r="AT76" s="25">
        <v>15</v>
      </c>
      <c r="AU76" s="54">
        <v>1700</v>
      </c>
      <c r="AV76" s="44">
        <v>34</v>
      </c>
      <c r="AW76" s="44">
        <v>7.2</v>
      </c>
      <c r="AX76" s="44">
        <v>50</v>
      </c>
      <c r="AY76" s="22">
        <v>2.9999999999999997E-4</v>
      </c>
      <c r="AZ76" s="11"/>
      <c r="BA76" s="46">
        <v>4.478405315614613E-3</v>
      </c>
      <c r="BB76" s="22">
        <v>1.1196013289036545E-7</v>
      </c>
      <c r="BC76" s="11">
        <f t="shared" si="98"/>
        <v>0</v>
      </c>
      <c r="BD76" s="46">
        <f t="shared" si="99"/>
        <v>0</v>
      </c>
      <c r="BE76" s="46">
        <f t="shared" si="94"/>
        <v>1505</v>
      </c>
      <c r="BF76" s="47" t="str">
        <f t="shared" si="85"/>
        <v/>
      </c>
      <c r="BG76" s="47" t="str">
        <f t="shared" si="86"/>
        <v/>
      </c>
      <c r="BH76" s="47">
        <f t="shared" si="100"/>
        <v>6.7399999999999922</v>
      </c>
      <c r="BI76" s="47" t="str">
        <f t="shared" si="87"/>
        <v/>
      </c>
      <c r="BJ76" s="47">
        <f t="shared" si="93"/>
        <v>4.6805555555555498E-3</v>
      </c>
      <c r="BK76" s="48" t="str">
        <f t="shared" si="101"/>
        <v/>
      </c>
      <c r="BL76" s="47" t="str">
        <f t="shared" si="47"/>
        <v/>
      </c>
      <c r="BM76" s="51">
        <f t="shared" si="90"/>
        <v>1.685E-4</v>
      </c>
      <c r="BN76" s="28">
        <f t="shared" ref="BN76:BN80" si="105">IF(BI76&lt;&gt;"",BI76/0.000385,IF(BJ76&lt;&gt;"",BJ76/0.000385,BK76/0.000385))</f>
        <v>12.157287157287143</v>
      </c>
      <c r="BO76" s="49">
        <f t="shared" ref="BO76:BO80" si="106">IF(BI76&lt;&gt;"",BI76,IF(BJ76&lt;&gt;"",BJ76,BK76))</f>
        <v>4.6805555555555498E-3</v>
      </c>
      <c r="BP76" s="30">
        <f t="shared" si="102"/>
        <v>1.685E-4</v>
      </c>
    </row>
    <row r="77" spans="1:68" x14ac:dyDescent="0.3">
      <c r="A77" s="1" t="s">
        <v>77</v>
      </c>
      <c r="B77" t="s">
        <v>75</v>
      </c>
      <c r="C77">
        <v>12</v>
      </c>
      <c r="D77">
        <v>12</v>
      </c>
      <c r="F77" s="61"/>
      <c r="G77" s="64">
        <v>6478.05</v>
      </c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17"/>
      <c r="AE77" s="44"/>
      <c r="AF77" s="44"/>
      <c r="AG77" s="44"/>
      <c r="AH77" s="45">
        <f t="shared" si="103"/>
        <v>0</v>
      </c>
      <c r="AI77" s="44"/>
      <c r="AJ77" s="44"/>
      <c r="AK77" s="44"/>
      <c r="AL77" s="44"/>
      <c r="AM77" s="45">
        <f t="shared" si="104"/>
        <v>4.6805555555555498E-3</v>
      </c>
      <c r="AN77" s="44"/>
      <c r="AO77" s="44"/>
      <c r="AP77" s="44"/>
      <c r="AQ77" s="45">
        <f t="shared" si="95"/>
        <v>0</v>
      </c>
      <c r="AR77" s="45">
        <f t="shared" si="96"/>
        <v>0</v>
      </c>
      <c r="AS77" s="45">
        <f t="shared" si="97"/>
        <v>0</v>
      </c>
      <c r="AT77" s="25">
        <v>15</v>
      </c>
      <c r="AU77" s="54">
        <v>1700</v>
      </c>
      <c r="AV77" s="44">
        <v>34</v>
      </c>
      <c r="AW77" s="44">
        <v>7.2</v>
      </c>
      <c r="AX77" s="44">
        <v>50</v>
      </c>
      <c r="AY77" s="22">
        <v>2.9999999999999997E-4</v>
      </c>
      <c r="AZ77" s="11"/>
      <c r="BA77" s="46">
        <v>4.478405315614613E-3</v>
      </c>
      <c r="BB77" s="22">
        <v>1.1196013289036545E-7</v>
      </c>
      <c r="BC77" s="11">
        <f t="shared" si="98"/>
        <v>0</v>
      </c>
      <c r="BD77" s="46">
        <f t="shared" si="99"/>
        <v>0</v>
      </c>
      <c r="BE77" s="46">
        <f t="shared" si="94"/>
        <v>1505</v>
      </c>
      <c r="BF77" s="47" t="str">
        <f t="shared" si="85"/>
        <v/>
      </c>
      <c r="BG77" s="47" t="str">
        <f t="shared" si="86"/>
        <v/>
      </c>
      <c r="BH77" s="47">
        <f t="shared" si="100"/>
        <v>6.7399999999999922</v>
      </c>
      <c r="BI77" s="47" t="str">
        <f t="shared" si="87"/>
        <v/>
      </c>
      <c r="BJ77" s="47">
        <f t="shared" si="93"/>
        <v>4.6805555555555498E-3</v>
      </c>
      <c r="BK77" s="48" t="str">
        <f t="shared" si="101"/>
        <v/>
      </c>
      <c r="BL77" s="47" t="str">
        <f t="shared" si="47"/>
        <v/>
      </c>
      <c r="BM77" s="51">
        <f t="shared" si="90"/>
        <v>1.685E-4</v>
      </c>
      <c r="BN77" s="28">
        <f t="shared" si="105"/>
        <v>12.157287157287143</v>
      </c>
      <c r="BO77" s="49">
        <f t="shared" si="106"/>
        <v>4.6805555555555498E-3</v>
      </c>
      <c r="BP77" s="30">
        <f t="shared" si="102"/>
        <v>1.685E-4</v>
      </c>
    </row>
    <row r="78" spans="1:68" x14ac:dyDescent="0.3">
      <c r="A78" s="1" t="s">
        <v>78</v>
      </c>
      <c r="B78" t="s">
        <v>79</v>
      </c>
      <c r="C78">
        <v>12</v>
      </c>
      <c r="D78">
        <v>12</v>
      </c>
      <c r="F78" s="61"/>
      <c r="G78" s="64">
        <v>6478.05</v>
      </c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17"/>
      <c r="AE78" s="44"/>
      <c r="AF78" s="44"/>
      <c r="AG78" s="44"/>
      <c r="AH78" s="45">
        <f t="shared" si="103"/>
        <v>0</v>
      </c>
      <c r="AI78" s="44"/>
      <c r="AJ78" s="44"/>
      <c r="AK78" s="44"/>
      <c r="AL78" s="44"/>
      <c r="AM78" s="45">
        <f t="shared" si="104"/>
        <v>6.226926128745495E-3</v>
      </c>
      <c r="AN78" s="44"/>
      <c r="AO78" s="44"/>
      <c r="AP78" s="44"/>
      <c r="AQ78" s="45">
        <f t="shared" si="95"/>
        <v>0</v>
      </c>
      <c r="AR78" s="45">
        <f t="shared" si="96"/>
        <v>0</v>
      </c>
      <c r="AS78" s="45">
        <f t="shared" si="97"/>
        <v>0</v>
      </c>
      <c r="AT78" s="25">
        <v>15</v>
      </c>
      <c r="AU78" s="54">
        <v>1700</v>
      </c>
      <c r="AV78" s="44">
        <v>34</v>
      </c>
      <c r="AW78" s="44">
        <v>7.2</v>
      </c>
      <c r="AX78" s="44">
        <v>50</v>
      </c>
      <c r="AY78" s="22">
        <v>2.9999999999999997E-4</v>
      </c>
      <c r="AZ78" s="11">
        <v>5.9579891198627997E-3</v>
      </c>
      <c r="BB78" s="22"/>
      <c r="BC78" s="11">
        <f t="shared" si="98"/>
        <v>0</v>
      </c>
      <c r="BD78" s="46">
        <f t="shared" si="99"/>
        <v>0</v>
      </c>
      <c r="BE78" s="46">
        <f t="shared" si="94"/>
        <v>1505</v>
      </c>
      <c r="BF78" s="47" t="str">
        <f t="shared" si="85"/>
        <v/>
      </c>
      <c r="BG78" s="47" t="str">
        <f t="shared" si="86"/>
        <v/>
      </c>
      <c r="BH78" s="47">
        <f t="shared" si="100"/>
        <v>8.9667736253935129</v>
      </c>
      <c r="BI78" s="47">
        <f t="shared" si="87"/>
        <v>6.226926128745495E-3</v>
      </c>
      <c r="BJ78" s="48" t="str">
        <f t="shared" si="93"/>
        <v/>
      </c>
      <c r="BK78" s="48" t="str">
        <f t="shared" si="101"/>
        <v/>
      </c>
      <c r="BL78" s="47">
        <f t="shared" si="47"/>
        <v>11.2875</v>
      </c>
      <c r="BM78" s="51" t="str">
        <f t="shared" si="90"/>
        <v/>
      </c>
      <c r="BN78" s="28">
        <f t="shared" si="105"/>
        <v>16.173834100637649</v>
      </c>
      <c r="BO78" s="49">
        <f t="shared" si="106"/>
        <v>6.226926128745495E-3</v>
      </c>
      <c r="BP78" s="30">
        <f t="shared" si="102"/>
        <v>11.2875</v>
      </c>
    </row>
    <row r="79" spans="1:68" x14ac:dyDescent="0.3">
      <c r="A79" s="1" t="s">
        <v>80</v>
      </c>
      <c r="B79" t="s">
        <v>79</v>
      </c>
      <c r="C79">
        <v>12</v>
      </c>
      <c r="D79">
        <v>12</v>
      </c>
      <c r="F79" s="61"/>
      <c r="G79" s="64">
        <v>6478.05</v>
      </c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17"/>
      <c r="AE79" s="44"/>
      <c r="AF79" s="44"/>
      <c r="AG79" s="44"/>
      <c r="AH79" s="45">
        <f t="shared" si="103"/>
        <v>0</v>
      </c>
      <c r="AI79" s="44"/>
      <c r="AJ79" s="44"/>
      <c r="AK79" s="44"/>
      <c r="AL79" s="44"/>
      <c r="AM79" s="45">
        <f t="shared" si="104"/>
        <v>6.226926128745495E-3</v>
      </c>
      <c r="AN79" s="44"/>
      <c r="AO79" s="44"/>
      <c r="AP79" s="44"/>
      <c r="AQ79" s="45">
        <f t="shared" si="95"/>
        <v>0</v>
      </c>
      <c r="AR79" s="45">
        <f t="shared" si="96"/>
        <v>0</v>
      </c>
      <c r="AS79" s="45">
        <f t="shared" si="97"/>
        <v>0</v>
      </c>
      <c r="AT79" s="25">
        <v>15</v>
      </c>
      <c r="AU79" s="54">
        <v>1700</v>
      </c>
      <c r="AV79" s="44">
        <v>34</v>
      </c>
      <c r="AW79" s="44">
        <v>7.2</v>
      </c>
      <c r="AX79" s="44">
        <v>50</v>
      </c>
      <c r="AY79" s="22">
        <v>2.9999999999999997E-4</v>
      </c>
      <c r="AZ79" s="11">
        <v>5.9579891198627997E-3</v>
      </c>
      <c r="BB79" s="22"/>
      <c r="BC79" s="11">
        <f t="shared" si="98"/>
        <v>0</v>
      </c>
      <c r="BD79" s="46">
        <f t="shared" si="99"/>
        <v>0</v>
      </c>
      <c r="BE79" s="46">
        <f t="shared" si="94"/>
        <v>1505</v>
      </c>
      <c r="BF79" s="47" t="str">
        <f t="shared" si="85"/>
        <v/>
      </c>
      <c r="BG79" s="47" t="str">
        <f t="shared" si="86"/>
        <v/>
      </c>
      <c r="BH79" s="47">
        <f t="shared" si="100"/>
        <v>8.9667736253935129</v>
      </c>
      <c r="BI79" s="47">
        <f t="shared" si="87"/>
        <v>6.226926128745495E-3</v>
      </c>
      <c r="BJ79" s="48" t="str">
        <f t="shared" si="93"/>
        <v/>
      </c>
      <c r="BK79" s="48" t="str">
        <f t="shared" si="101"/>
        <v/>
      </c>
      <c r="BL79" s="47">
        <f t="shared" si="47"/>
        <v>11.2875</v>
      </c>
      <c r="BM79" s="51" t="str">
        <f t="shared" si="90"/>
        <v/>
      </c>
      <c r="BN79" s="28">
        <f t="shared" si="105"/>
        <v>16.173834100637649</v>
      </c>
      <c r="BO79" s="49">
        <f t="shared" si="106"/>
        <v>6.226926128745495E-3</v>
      </c>
      <c r="BP79" s="30">
        <f t="shared" si="102"/>
        <v>11.2875</v>
      </c>
    </row>
    <row r="80" spans="1:68" x14ac:dyDescent="0.3">
      <c r="A80" s="4" t="s">
        <v>81</v>
      </c>
      <c r="B80" s="5" t="s">
        <v>79</v>
      </c>
      <c r="C80" s="5">
        <v>12</v>
      </c>
      <c r="D80" s="5">
        <v>12</v>
      </c>
      <c r="E80" s="5"/>
      <c r="F80" s="62"/>
      <c r="G80" s="65">
        <v>6478.05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18"/>
      <c r="AE80" s="7"/>
      <c r="AF80" s="7"/>
      <c r="AG80" s="7"/>
      <c r="AH80" s="41">
        <f t="shared" si="103"/>
        <v>0</v>
      </c>
      <c r="AI80" s="7"/>
      <c r="AJ80" s="7"/>
      <c r="AK80" s="7"/>
      <c r="AL80" s="7"/>
      <c r="AM80" s="41">
        <f t="shared" si="104"/>
        <v>7.5802454996175888E-3</v>
      </c>
      <c r="AN80" s="7"/>
      <c r="AO80" s="7"/>
      <c r="AP80" s="7"/>
      <c r="AQ80" s="41">
        <f t="shared" si="95"/>
        <v>0</v>
      </c>
      <c r="AR80" s="41">
        <f t="shared" si="96"/>
        <v>0</v>
      </c>
      <c r="AS80" s="41">
        <f t="shared" si="97"/>
        <v>0</v>
      </c>
      <c r="AT80" s="26">
        <v>15</v>
      </c>
      <c r="AU80" s="55">
        <v>1700</v>
      </c>
      <c r="AV80" s="7">
        <v>34</v>
      </c>
      <c r="AW80" s="7">
        <v>7.2</v>
      </c>
      <c r="AX80" s="7">
        <v>50</v>
      </c>
      <c r="AY80" s="23">
        <v>2.9999999999999997E-4</v>
      </c>
      <c r="AZ80" s="12">
        <v>7.2528594813616801E-3</v>
      </c>
      <c r="BA80" s="5"/>
      <c r="BB80" s="23"/>
      <c r="BC80" s="12">
        <f t="shared" si="98"/>
        <v>0</v>
      </c>
      <c r="BD80" s="13">
        <f t="shared" si="99"/>
        <v>0</v>
      </c>
      <c r="BE80" s="13">
        <f t="shared" si="94"/>
        <v>1505</v>
      </c>
      <c r="BF80" s="14" t="str">
        <f t="shared" si="85"/>
        <v/>
      </c>
      <c r="BG80" s="14" t="str">
        <f t="shared" si="86"/>
        <v/>
      </c>
      <c r="BH80" s="14">
        <f t="shared" si="100"/>
        <v>10.915553519449327</v>
      </c>
      <c r="BI80" s="14">
        <f t="shared" si="87"/>
        <v>7.5802454996175888E-3</v>
      </c>
      <c r="BJ80" s="36" t="str">
        <f t="shared" si="93"/>
        <v/>
      </c>
      <c r="BK80" s="36" t="str">
        <f t="shared" si="101"/>
        <v/>
      </c>
      <c r="BL80" s="14">
        <f t="shared" si="47"/>
        <v>11.2875</v>
      </c>
      <c r="BM80" s="52" t="str">
        <f t="shared" si="90"/>
        <v/>
      </c>
      <c r="BN80" s="29">
        <f t="shared" si="105"/>
        <v>19.688949349656077</v>
      </c>
      <c r="BO80" s="38">
        <f t="shared" si="106"/>
        <v>7.5802454996175888E-3</v>
      </c>
      <c r="BP80" s="31">
        <f t="shared" si="102"/>
        <v>11.2875</v>
      </c>
    </row>
    <row r="83" spans="19:28" x14ac:dyDescent="0.3">
      <c r="S83" s="39"/>
    </row>
    <row r="86" spans="19:28" x14ac:dyDescent="0.3">
      <c r="AB86" s="59"/>
    </row>
    <row r="87" spans="19:28" x14ac:dyDescent="0.3">
      <c r="AB87" s="59"/>
    </row>
  </sheetData>
  <autoFilter ref="A2:BM314" xr:uid="{00000000-0001-0000-0000-000000000000}"/>
  <mergeCells count="7">
    <mergeCell ref="A1:F1"/>
    <mergeCell ref="G1:AD1"/>
    <mergeCell ref="BN1:BP1"/>
    <mergeCell ref="BC1:BM1"/>
    <mergeCell ref="AU1:AY1"/>
    <mergeCell ref="AZ1:BB1"/>
    <mergeCell ref="AE1:AT1"/>
  </mergeCells>
  <phoneticPr fontId="18" type="noConversion"/>
  <conditionalFormatting sqref="AZ3:AZ80">
    <cfRule type="expression" dxfId="4" priority="3">
      <formula>IF($B3 = "Python", TRUE, FALSE)</formula>
    </cfRule>
  </conditionalFormatting>
  <conditionalFormatting sqref="BC3:BH80">
    <cfRule type="notContainsBlanks" dxfId="3" priority="13">
      <formula>LEN(TRIM(BC3))&gt;0</formula>
    </cfRule>
  </conditionalFormatting>
  <conditionalFormatting sqref="BA3:BB80">
    <cfRule type="expression" dxfId="2" priority="10">
      <formula>IF($B3 = "Julia", TRUE, FALSE)</formula>
    </cfRule>
  </conditionalFormatting>
  <conditionalFormatting sqref="BC3:BM80">
    <cfRule type="expression" dxfId="1" priority="211">
      <formula>ISNA($BC$3:$BM$80)</formula>
    </cfRule>
    <cfRule type="cellIs" dxfId="0" priority="1" operator="equal">
      <formula>""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1736866-79EE-4C47-B374-7C3565856A36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34d8c884-fe7e-4d4f-a833-b92a2823f74b"/>
    <ds:schemaRef ds:uri="http://schemas.microsoft.com/office/2006/documentManagement/types"/>
    <ds:schemaRef ds:uri="http://schemas.microsoft.com/office/infopath/2007/PartnerControls"/>
    <ds:schemaRef ds:uri="a198008e-c7f6-4ed0-9865-26ace3c97b59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MasterDataTable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2024-08-29T19:08:38Z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