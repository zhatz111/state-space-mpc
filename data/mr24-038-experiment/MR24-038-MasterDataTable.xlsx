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422" documentId="14_{29998BAB-B97E-4D42-B36C-5857DA37A7C9}" xr6:coauthVersionLast="47" xr6:coauthVersionMax="47" xr10:uidLastSave="{E5D559AA-9825-4149-9AC4-E308E382366B}"/>
  <bookViews>
    <workbookView xWindow="-108" yWindow="-108" windowWidth="23256" windowHeight="12576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1" i="1" l="1"/>
  <c r="BA11" i="1"/>
  <c r="BO12" i="1"/>
  <c r="BP4" i="1"/>
  <c r="BP5" i="1"/>
  <c r="BP6" i="1"/>
  <c r="BP7" i="1"/>
  <c r="BP3" i="1"/>
  <c r="BL7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A7" i="1" l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41" i="1"/>
  <c r="BL38" i="1"/>
  <c r="BL35" i="1"/>
  <c r="BL32" i="1"/>
  <c r="BL29" i="1"/>
  <c r="BL26" i="1"/>
  <c r="BL23" i="1"/>
  <c r="BL20" i="1"/>
  <c r="BL17" i="1"/>
  <c r="BL14" i="1"/>
  <c r="BL11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BG28" i="1"/>
  <c r="BG27" i="1"/>
  <c r="BG26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43" i="1"/>
  <c r="BL43" i="1" s="1"/>
  <c r="BP43" i="1" s="1"/>
  <c r="BE42" i="1"/>
  <c r="BL42" i="1" s="1"/>
  <c r="BP42" i="1" s="1"/>
  <c r="BE41" i="1"/>
  <c r="BE40" i="1"/>
  <c r="BL40" i="1" s="1"/>
  <c r="BP40" i="1" s="1"/>
  <c r="BE39" i="1"/>
  <c r="BL39" i="1" s="1"/>
  <c r="BP39" i="1" s="1"/>
  <c r="BE38" i="1"/>
  <c r="BE37" i="1"/>
  <c r="BL37" i="1" s="1"/>
  <c r="BP37" i="1" s="1"/>
  <c r="BE36" i="1"/>
  <c r="BL36" i="1" s="1"/>
  <c r="BP36" i="1" s="1"/>
  <c r="BE35" i="1"/>
  <c r="BE34" i="1"/>
  <c r="BL34" i="1" s="1"/>
  <c r="BP34" i="1" s="1"/>
  <c r="BE33" i="1"/>
  <c r="BL33" i="1" s="1"/>
  <c r="BP33" i="1" s="1"/>
  <c r="BE32" i="1"/>
  <c r="BE31" i="1"/>
  <c r="BL31" i="1" s="1"/>
  <c r="BP31" i="1" s="1"/>
  <c r="BE30" i="1"/>
  <c r="BL30" i="1" s="1"/>
  <c r="BP30" i="1" s="1"/>
  <c r="BE29" i="1"/>
  <c r="BE28" i="1"/>
  <c r="BL28" i="1" s="1"/>
  <c r="BP28" i="1" s="1"/>
  <c r="BE27" i="1"/>
  <c r="BL27" i="1" s="1"/>
  <c r="BP27" i="1" s="1"/>
  <c r="BE26" i="1"/>
  <c r="BE25" i="1"/>
  <c r="BL25" i="1" s="1"/>
  <c r="BP25" i="1" s="1"/>
  <c r="BE24" i="1"/>
  <c r="BL24" i="1" s="1"/>
  <c r="BP24" i="1" s="1"/>
  <c r="BE23" i="1"/>
  <c r="BE22" i="1"/>
  <c r="BL22" i="1" s="1"/>
  <c r="BP22" i="1" s="1"/>
  <c r="BE21" i="1"/>
  <c r="BL21" i="1" s="1"/>
  <c r="BP21" i="1" s="1"/>
  <c r="BE20" i="1"/>
  <c r="BE19" i="1"/>
  <c r="BL19" i="1" s="1"/>
  <c r="BP19" i="1" s="1"/>
  <c r="BE18" i="1"/>
  <c r="BL18" i="1" s="1"/>
  <c r="BP18" i="1" s="1"/>
  <c r="BE17" i="1"/>
  <c r="BE16" i="1"/>
  <c r="BL16" i="1" s="1"/>
  <c r="BP16" i="1" s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41" i="1"/>
  <c r="AR41" i="1"/>
  <c r="AQ42" i="1"/>
  <c r="AR42" i="1"/>
  <c r="AQ43" i="1"/>
  <c r="AR43" i="1"/>
  <c r="AQ38" i="1"/>
  <c r="AR38" i="1"/>
  <c r="AQ39" i="1"/>
  <c r="AR39" i="1"/>
  <c r="AQ40" i="1"/>
  <c r="AR40" i="1"/>
  <c r="AR37" i="1"/>
  <c r="AQ37" i="1"/>
  <c r="AR36" i="1"/>
  <c r="AQ36" i="1"/>
  <c r="AR35" i="1"/>
  <c r="AQ35" i="1"/>
  <c r="AQ32" i="1"/>
  <c r="AR32" i="1"/>
  <c r="AQ33" i="1"/>
  <c r="AR33" i="1"/>
  <c r="AQ34" i="1"/>
  <c r="AR34" i="1"/>
  <c r="AQ29" i="1"/>
  <c r="AR29" i="1"/>
  <c r="AQ30" i="1"/>
  <c r="AR30" i="1"/>
  <c r="AQ31" i="1"/>
  <c r="AR31" i="1"/>
  <c r="BB8" i="1" l="1"/>
  <c r="BA8" i="1"/>
  <c r="AQ26" i="1"/>
  <c r="AR26" i="1"/>
  <c r="AQ27" i="1"/>
  <c r="AR27" i="1"/>
  <c r="AQ28" i="1"/>
  <c r="AR28" i="1"/>
  <c r="AR25" i="1"/>
  <c r="AQ25" i="1"/>
  <c r="AR24" i="1"/>
  <c r="AQ24" i="1"/>
  <c r="AR23" i="1"/>
  <c r="AQ23" i="1"/>
  <c r="AR22" i="1"/>
  <c r="AQ22" i="1"/>
  <c r="AR21" i="1"/>
  <c r="AQ21" i="1"/>
  <c r="AR20" i="1"/>
  <c r="AQ20" i="1"/>
  <c r="AQ18" i="1"/>
  <c r="AR19" i="1"/>
  <c r="AQ19" i="1"/>
  <c r="AR18" i="1"/>
  <c r="AR17" i="1"/>
  <c r="AQ17" i="1"/>
  <c r="AQ14" i="1"/>
  <c r="AR14" i="1"/>
  <c r="AQ15" i="1"/>
  <c r="AR15" i="1"/>
  <c r="AQ16" i="1"/>
  <c r="AR16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43" i="1"/>
  <c r="BO43" i="1" s="1"/>
  <c r="AM43" i="1" s="1"/>
  <c r="BH43" i="1" s="1"/>
  <c r="BI42" i="1"/>
  <c r="BO42" i="1" s="1"/>
  <c r="AM42" i="1" s="1"/>
  <c r="BH42" i="1" s="1"/>
  <c r="BI41" i="1"/>
  <c r="BI40" i="1"/>
  <c r="BO40" i="1" s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1" i="1"/>
  <c r="BI10" i="1"/>
  <c r="BI9" i="1"/>
  <c r="BI7" i="1"/>
  <c r="BI6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6" i="1"/>
  <c r="BF15" i="1"/>
  <c r="BJ14" i="1"/>
  <c r="BJ17" i="1"/>
  <c r="BJ20" i="1"/>
  <c r="BJ23" i="1"/>
  <c r="BJ26" i="1"/>
  <c r="BJ29" i="1"/>
  <c r="BJ32" i="1"/>
  <c r="BJ35" i="1"/>
  <c r="BJ38" i="1"/>
  <c r="BJ41" i="1"/>
  <c r="BI3" i="1"/>
  <c r="BK5" i="1"/>
  <c r="BK43" i="1"/>
  <c r="BK42" i="1"/>
  <c r="BK40" i="1"/>
  <c r="BK39" i="1"/>
  <c r="BK37" i="1"/>
  <c r="BK36" i="1"/>
  <c r="BK34" i="1"/>
  <c r="BK33" i="1"/>
  <c r="BK31" i="1"/>
  <c r="BK30" i="1"/>
  <c r="BK28" i="1"/>
  <c r="BK27" i="1"/>
  <c r="BK25" i="1"/>
  <c r="BK24" i="1"/>
  <c r="BK22" i="1"/>
  <c r="BK21" i="1"/>
  <c r="BK19" i="1"/>
  <c r="BK18" i="1"/>
  <c r="BK16" i="1"/>
  <c r="BK15" i="1"/>
  <c r="BK13" i="1"/>
  <c r="BK12" i="1"/>
  <c r="BK9" i="1"/>
  <c r="BK8" i="1"/>
  <c r="BK6" i="1"/>
  <c r="BK4" i="1"/>
  <c r="BO41" i="1" l="1"/>
  <c r="AM41" i="1" s="1"/>
  <c r="BH41" i="1" s="1"/>
  <c r="BI5" i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P11" i="1" l="1"/>
  <c r="BM14" i="1"/>
  <c r="BP14" i="1" s="1"/>
  <c r="BM17" i="1"/>
  <c r="BP17" i="1" s="1"/>
  <c r="BM20" i="1"/>
  <c r="BP20" i="1" s="1"/>
  <c r="BM23" i="1"/>
  <c r="BP23" i="1" s="1"/>
  <c r="BM26" i="1"/>
  <c r="BP26" i="1" s="1"/>
  <c r="BM29" i="1"/>
  <c r="BP29" i="1" s="1"/>
  <c r="BM32" i="1"/>
  <c r="BP32" i="1" s="1"/>
  <c r="BM35" i="1"/>
  <c r="BP35" i="1" s="1"/>
  <c r="BM38" i="1"/>
  <c r="BP38" i="1" s="1"/>
  <c r="BM41" i="1"/>
  <c r="BP41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AM12" i="1"/>
  <c r="BH12" i="1" s="1"/>
  <c r="BC15" i="1"/>
  <c r="BD15" i="1" s="1"/>
  <c r="BJ15" i="1"/>
  <c r="BC14" i="1"/>
  <c r="BD14" i="1" s="1"/>
  <c r="BK14" i="1"/>
  <c r="BC16" i="1"/>
  <c r="BD16" i="1" s="1"/>
  <c r="BJ16" i="1"/>
  <c r="BF17" i="1"/>
  <c r="BF18" i="1"/>
  <c r="BM15" i="1"/>
  <c r="BF19" i="1"/>
  <c r="BM16" i="1"/>
  <c r="BN15" i="1" l="1"/>
  <c r="BO15" i="1"/>
  <c r="AM15" i="1" s="1"/>
  <c r="BH15" i="1" s="1"/>
  <c r="BN16" i="1"/>
  <c r="BO16" i="1"/>
  <c r="AM16" i="1" s="1"/>
  <c r="BH16" i="1" s="1"/>
  <c r="BN14" i="1"/>
  <c r="BO14" i="1"/>
  <c r="AM14" i="1" s="1"/>
  <c r="BH14" i="1" s="1"/>
  <c r="BC19" i="1"/>
  <c r="BD19" i="1" s="1"/>
  <c r="BJ19" i="1"/>
  <c r="BJ18" i="1"/>
  <c r="BC18" i="1"/>
  <c r="BD18" i="1" s="1"/>
  <c r="BK17" i="1"/>
  <c r="BC17" i="1"/>
  <c r="BD17" i="1" s="1"/>
  <c r="BM18" i="1"/>
  <c r="BM19" i="1"/>
  <c r="BN18" i="1" l="1"/>
  <c r="BO18" i="1"/>
  <c r="AM18" i="1" s="1"/>
  <c r="BH18" i="1" s="1"/>
  <c r="BN19" i="1"/>
  <c r="BO19" i="1"/>
  <c r="AM19" i="1" s="1"/>
  <c r="BH19" i="1" s="1"/>
  <c r="BN17" i="1"/>
  <c r="BO17" i="1"/>
  <c r="AM17" i="1" s="1"/>
  <c r="BH17" i="1" s="1"/>
  <c r="BC22" i="1"/>
  <c r="BD22" i="1" s="1"/>
  <c r="BJ22" i="1"/>
  <c r="BJ21" i="1"/>
  <c r="BC21" i="1"/>
  <c r="BD21" i="1" s="1"/>
  <c r="BK20" i="1"/>
  <c r="BC20" i="1"/>
  <c r="BD20" i="1" s="1"/>
  <c r="BM22" i="1"/>
  <c r="BM21" i="1"/>
  <c r="BN20" i="1" l="1"/>
  <c r="BO20" i="1"/>
  <c r="AM20" i="1" s="1"/>
  <c r="BH20" i="1" s="1"/>
  <c r="BN21" i="1"/>
  <c r="BO21" i="1"/>
  <c r="AM21" i="1" s="1"/>
  <c r="BH21" i="1" s="1"/>
  <c r="BN22" i="1"/>
  <c r="BO22" i="1"/>
  <c r="AM22" i="1" s="1"/>
  <c r="BH22" i="1" s="1"/>
  <c r="BC24" i="1"/>
  <c r="BD24" i="1" s="1"/>
  <c r="BJ24" i="1"/>
  <c r="BC23" i="1"/>
  <c r="BD23" i="1" s="1"/>
  <c r="BK23" i="1"/>
  <c r="BC25" i="1"/>
  <c r="BD25" i="1" s="1"/>
  <c r="BJ25" i="1"/>
  <c r="BM25" i="1"/>
  <c r="BM24" i="1"/>
  <c r="BN24" i="1" l="1"/>
  <c r="BO24" i="1"/>
  <c r="AM24" i="1" s="1"/>
  <c r="BH24" i="1" s="1"/>
  <c r="BN25" i="1"/>
  <c r="BO25" i="1"/>
  <c r="AM25" i="1" s="1"/>
  <c r="BH25" i="1" s="1"/>
  <c r="BN23" i="1"/>
  <c r="BO23" i="1"/>
  <c r="AM23" i="1" s="1"/>
  <c r="BH23" i="1" s="1"/>
  <c r="BC28" i="1"/>
  <c r="BD28" i="1" s="1"/>
  <c r="BJ28" i="1"/>
  <c r="BC26" i="1"/>
  <c r="BD26" i="1" s="1"/>
  <c r="BK26" i="1"/>
  <c r="BJ27" i="1"/>
  <c r="BC27" i="1"/>
  <c r="BD27" i="1" s="1"/>
  <c r="BM28" i="1"/>
  <c r="BM27" i="1"/>
  <c r="BN27" i="1" l="1"/>
  <c r="BO27" i="1"/>
  <c r="AM27" i="1" s="1"/>
  <c r="BH27" i="1" s="1"/>
  <c r="BN26" i="1"/>
  <c r="BO26" i="1"/>
  <c r="AM26" i="1" s="1"/>
  <c r="BH26" i="1" s="1"/>
  <c r="BN28" i="1"/>
  <c r="BO28" i="1"/>
  <c r="AM28" i="1" s="1"/>
  <c r="BH28" i="1" s="1"/>
  <c r="BJ31" i="1"/>
  <c r="BC31" i="1"/>
  <c r="BD31" i="1" s="1"/>
  <c r="BC29" i="1"/>
  <c r="BD29" i="1" s="1"/>
  <c r="BK29" i="1"/>
  <c r="BJ30" i="1"/>
  <c r="BC30" i="1"/>
  <c r="BD30" i="1" s="1"/>
  <c r="BM31" i="1"/>
  <c r="BM30" i="1"/>
  <c r="BN31" i="1" l="1"/>
  <c r="BO31" i="1"/>
  <c r="AM31" i="1" s="1"/>
  <c r="BH31" i="1" s="1"/>
  <c r="BN30" i="1"/>
  <c r="BO30" i="1"/>
  <c r="AM30" i="1" s="1"/>
  <c r="BH30" i="1" s="1"/>
  <c r="BN29" i="1"/>
  <c r="BO29" i="1"/>
  <c r="AM29" i="1" s="1"/>
  <c r="BH29" i="1" s="1"/>
  <c r="BC34" i="1"/>
  <c r="BD34" i="1" s="1"/>
  <c r="BJ34" i="1"/>
  <c r="BC32" i="1"/>
  <c r="BD32" i="1" s="1"/>
  <c r="BK32" i="1"/>
  <c r="BC33" i="1"/>
  <c r="BD33" i="1" s="1"/>
  <c r="BJ33" i="1"/>
  <c r="BM34" i="1"/>
  <c r="BM33" i="1"/>
  <c r="BN34" i="1" l="1"/>
  <c r="BO34" i="1"/>
  <c r="AM34" i="1" s="1"/>
  <c r="BH34" i="1" s="1"/>
  <c r="BN32" i="1"/>
  <c r="BO32" i="1"/>
  <c r="AM32" i="1" s="1"/>
  <c r="BH32" i="1" s="1"/>
  <c r="BN33" i="1"/>
  <c r="BO33" i="1"/>
  <c r="AM33" i="1" s="1"/>
  <c r="BH33" i="1" s="1"/>
  <c r="BJ37" i="1"/>
  <c r="BC37" i="1"/>
  <c r="BD37" i="1" s="1"/>
  <c r="BC36" i="1"/>
  <c r="BD36" i="1" s="1"/>
  <c r="BJ36" i="1"/>
  <c r="BC35" i="1"/>
  <c r="BD35" i="1" s="1"/>
  <c r="BK35" i="1"/>
  <c r="BM36" i="1"/>
  <c r="BM37" i="1"/>
  <c r="BN36" i="1" l="1"/>
  <c r="BO36" i="1"/>
  <c r="AM36" i="1" s="1"/>
  <c r="BH36" i="1" s="1"/>
  <c r="BN37" i="1"/>
  <c r="BO37" i="1"/>
  <c r="AM37" i="1" s="1"/>
  <c r="BH37" i="1" s="1"/>
  <c r="BN35" i="1"/>
  <c r="BO35" i="1"/>
  <c r="AM35" i="1" s="1"/>
  <c r="BH35" i="1" s="1"/>
  <c r="BJ39" i="1"/>
  <c r="BC39" i="1"/>
  <c r="BD39" i="1" s="1"/>
  <c r="BC38" i="1"/>
  <c r="BD38" i="1" s="1"/>
  <c r="BK38" i="1"/>
  <c r="BJ40" i="1"/>
  <c r="BC40" i="1"/>
  <c r="BD40" i="1" s="1"/>
  <c r="BM40" i="1"/>
  <c r="BM39" i="1"/>
  <c r="BN40" i="1" l="1"/>
  <c r="AM40" i="1"/>
  <c r="BH40" i="1" s="1"/>
  <c r="BN39" i="1"/>
  <c r="BO39" i="1"/>
  <c r="AM39" i="1" s="1"/>
  <c r="BH39" i="1" s="1"/>
  <c r="BN38" i="1"/>
  <c r="BO38" i="1"/>
  <c r="AM38" i="1" s="1"/>
  <c r="BH38" i="1" s="1"/>
  <c r="BK41" i="1"/>
  <c r="BN41" i="1" s="1"/>
  <c r="BC41" i="1"/>
  <c r="BD41" i="1" s="1"/>
  <c r="BC43" i="1"/>
  <c r="BD43" i="1" s="1"/>
  <c r="BJ43" i="1"/>
  <c r="BN43" i="1" s="1"/>
  <c r="BC42" i="1"/>
  <c r="BD42" i="1" s="1"/>
  <c r="BJ42" i="1"/>
  <c r="BN42" i="1" s="1"/>
  <c r="BM42" i="1"/>
  <c r="BM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tc={FF16B357-339F-45F1-8E08-77BC469B5CFA}</author>
  </authors>
  <commentList>
    <comment ref="BI12" authorId="0" shapeId="0" xr:uid="{FF16B357-339F-45F1-8E08-77BC469B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Override MPC feed rate with CSFR</t>
      </text>
    </comment>
  </commentList>
</comments>
</file>

<file path=xl/sharedStrings.xml><?xml version="1.0" encoding="utf-8"?>
<sst xmlns="http://schemas.openxmlformats.org/spreadsheetml/2006/main" count="162" uniqueCount="84">
  <si>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</si>
  <si>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</si>
  <si>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</si>
  <si>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</si>
  <si>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</si>
  <si>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</si>
  <si>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</si>
  <si>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</si>
  <si>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</si>
  <si>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</si>
  <si>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</si>
  <si>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</si>
  <si>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</si>
  <si>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</si>
  <si>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</si>
  <si>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</si>
  <si>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</si>
  <si>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</si>
  <si>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</si>
  <si>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</si>
  <si>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</si>
  <si>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</si>
  <si>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</si>
  <si>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</si>
  <si>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</si>
  <si>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</si>
  <si>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</si>
  <si>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</si>
  <si>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</si>
  <si>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</si>
  <si>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</si>
  <si>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</si>
  <si>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</si>
  <si>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</si>
  <si>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</si>
  <si>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</si>
  <si>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</si>
  <si>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</si>
  <si>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</si>
  <si>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</si>
  <si>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</si>
  <si>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</si>
  <si>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</si>
  <si>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</si>
  <si>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</si>
  <si>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</si>
  <si>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</si>
  <si>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</si>
  <si>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</si>
  <si>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</si>
  <si>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</si>
  <si>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</si>
  <si>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</si>
  <si>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</si>
  <si>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</si>
  <si>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</si>
  <si>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</si>
  <si>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</si>
  <si>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</si>
  <si>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</si>
  <si>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</si>
  <si>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</si>
  <si>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</si>
  <si>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</si>
  <si>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</si>
  <si>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</si>
  <si>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</si>
  <si>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</si>
  <si>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</si>
  <si>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</si>
  <si>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</si>
  <si>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</si>
  <si>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</si>
  <si>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</si>
  <si>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</si>
  <si>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</si>
  <si>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</si>
  <si>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</si>
  <si>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</si>
  <si>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</si>
  <si>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</si>
  <si>
    <t>Changed to CSFR flow rate until Julia code was run at 4pm</t>
  </si>
  <si>
    <t>CSFR Flow rates were used</t>
  </si>
  <si>
    <t>Contaminated on day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</si>
</sst>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2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0" fillId="0" borderId="14" xfId="0" applyFont="1" applyBorder="1" applyAlignment="1">
      <alignment horizontal="center" vertical="center" wrapText="1"/>
    </xf>
    <xf numFmtId="0" fontId="0" fillId="0" borderId="12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2" fontId="0" fillId="0" borderId="0" xfId="0" applyNumberFormat="1"/>
    <xf numFmtId="164" fontId="0" fillId="0" borderId="0" xfId="0" applyNumberFormat="1"/>
    <xf numFmtId="164" fontId="0" fillId="38" borderId="0" xfId="0" applyNumberFormat="1" applyFill="1"/>
    <xf numFmtId="1" fontId="0" fillId="0" borderId="0" xfId="0" applyNumberFormat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/>
    <xf numFmtId="166" fontId="0" fillId="39" borderId="16" xfId="0" applyNumberFormat="1" applyFill="1" applyBorder="1"/>
    <xf numFmtId="11" fontId="0" fillId="0" borderId="0" xfId="0" applyNumberFormat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0" xfId="0" applyNumberFormat="1" applyFill="1"/>
    <xf numFmtId="2" fontId="0" fillId="41" borderId="16" xfId="0" applyNumberFormat="1" applyFill="1" applyBorder="1"/>
    <xf numFmtId="164" fontId="24" fillId="38" borderId="0" xfId="0" applyNumberFormat="1" applyFont="1" applyFill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0" fontId="25" fillId="0" borderId="0" xfId="0" applyFont="1"/>
    <xf numFmtId="0" fontId="25" fillId="0" borderId="11" xfId="0" applyFont="1" applyBorder="1"/>
    <xf numFmtId="0" fontId="25" fillId="0" borderId="16" xfId="0" applyFont="1" applyBorder="1"/>
    <xf numFmtId="164" fontId="0" fillId="41" borderId="11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164" fontId="14" fillId="0" borderId="13" xfId="0" applyNumberFormat="1" applyFont="1" applyBorder="1"/>
    <xf numFmtId="164" fontId="14" fillId="0" borderId="15" xfId="0" applyNumberFormat="1" applyFont="1" applyBorder="1"/>
    <xf numFmtId="164" fontId="14" fillId="0" borderId="10" xfId="0" applyNumberFormat="1" applyFont="1" applyBorder="1"/>
    <xf numFmtId="0" fontId="20" fillId="0" borderId="0" xfId="0" applyFont="1" applyAlignment="1">
      <alignment horizontal="center" vertical="center"/>
    </xf>
    <xf numFmtId="164" fontId="14" fillId="38" borderId="0" xfId="0" applyNumberFormat="1" applyFont="1" applyFill="1"/>
    <xf numFmtId="164" fontId="14" fillId="38" borderId="16" xfId="0" applyNumberFormat="1" applyFon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Alignment="1">
      <alignment horizontal="center"/>
    </xf>
    <xf numFmtId="0" fontId="19" fillId="36" borderId="0" xfId="0" applyFont="1" applyFill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 Luo" id="{39B0911F-58E9-4732-93E1-F7F715DFAAAC}" userId="S::yu.8.luo@gsk.com::5e93f0cf-7e56-492e-afc9-2cfd7b5fd26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12" dT="2024-07-20T18:22:09.75" personId="{39B0911F-58E9-4732-93E1-F7F715DFAAAC}" id="{FF16B357-339F-45F1-8E08-77BC469B5CFA}">
    <text>Override MPC feed rate with CSFR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46"/>
  <sheetViews>
    <sheetView tabSelected="1" zoomScale="96" zoomScaleNormal="96" workbookViewId="0">
      <pane xSplit="6" ySplit="2" topLeftCell="G3" activePane="bottomRight" state="frozen"/>
      <selection pane="topRight" activeCell="H1" sqref="H1"/>
      <selection pane="bottomLeft" activeCell="A3" sqref="A3"/>
      <selection pane="bottomRight" activeCell="I16" sqref="I16"/>
    </sheetView>
  </sheetViews>
  <sheetFormatPr defaultColWidth="14.6640625" defaultRowHeight="14.4" x14ac:dyDescent="0.3"/>
  <cols>
    <col min="2" max="4" width="10.6640625" customWidth="1"/>
    <col min="5" max="5" width="24.88671875" customWidth="1"/>
    <col min="6" max="6" width="16.88671875" customWidth="1"/>
    <col min="7" max="18" width="12.6640625" customWidth="1"/>
    <col min="19" max="19" width="15.109375" bestFit="1" customWidth="1"/>
    <col min="20" max="20" width="16.109375" bestFit="1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75" t="s">
        <v>0</v>
      </c>
      <c r="B1" s="75"/>
      <c r="C1" s="75"/>
      <c r="D1" s="75"/>
      <c r="E1" s="75"/>
      <c r="F1" s="75"/>
      <c r="G1" s="76" t="s">
        <v>1</v>
      </c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8"/>
      <c r="AE1" s="89" t="s">
        <v>2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1"/>
      <c r="AU1" s="84" t="s">
        <v>3</v>
      </c>
      <c r="AV1" s="84"/>
      <c r="AW1" s="84"/>
      <c r="AX1" s="84"/>
      <c r="AY1" s="85"/>
      <c r="AZ1" s="86" t="s">
        <v>4</v>
      </c>
      <c r="BA1" s="87"/>
      <c r="BB1" s="88"/>
      <c r="BC1" s="82" t="s">
        <v>5</v>
      </c>
      <c r="BD1" s="83"/>
      <c r="BE1" s="83"/>
      <c r="BF1" s="83"/>
      <c r="BG1" s="83"/>
      <c r="BH1" s="83"/>
      <c r="BI1" s="83"/>
      <c r="BJ1" s="83"/>
      <c r="BK1" s="83"/>
      <c r="BL1" s="83"/>
      <c r="BM1" s="83"/>
      <c r="BN1" s="79" t="s">
        <v>6</v>
      </c>
      <c r="BO1" s="80"/>
      <c r="BP1" s="81"/>
    </row>
    <row r="2" spans="1:68" ht="60.6" thickBot="1" x14ac:dyDescent="0.35">
      <c r="A2" s="26" t="s">
        <v>7</v>
      </c>
      <c r="B2" s="26" t="s">
        <v>8</v>
      </c>
      <c r="C2" s="26" t="s">
        <v>9</v>
      </c>
      <c r="D2" s="26" t="s">
        <v>10</v>
      </c>
      <c r="E2" s="72" t="s">
        <v>11</v>
      </c>
      <c r="F2" s="26" t="s">
        <v>12</v>
      </c>
      <c r="G2" s="40" t="s">
        <v>13</v>
      </c>
      <c r="H2" s="41" t="s">
        <v>14</v>
      </c>
      <c r="I2" s="41" t="s">
        <v>15</v>
      </c>
      <c r="J2" s="44" t="s">
        <v>16</v>
      </c>
      <c r="K2" s="44" t="s">
        <v>17</v>
      </c>
      <c r="L2" s="44" t="s">
        <v>18</v>
      </c>
      <c r="M2" s="44" t="s">
        <v>19</v>
      </c>
      <c r="N2" s="42" t="s">
        <v>20</v>
      </c>
      <c r="O2" s="42" t="s">
        <v>21</v>
      </c>
      <c r="P2" s="42" t="s">
        <v>22</v>
      </c>
      <c r="Q2" s="42" t="s">
        <v>23</v>
      </c>
      <c r="R2" s="42" t="s">
        <v>24</v>
      </c>
      <c r="S2" s="42" t="s">
        <v>25</v>
      </c>
      <c r="T2" s="42" t="s">
        <v>26</v>
      </c>
      <c r="U2" s="42" t="s">
        <v>27</v>
      </c>
      <c r="V2" s="42" t="s">
        <v>28</v>
      </c>
      <c r="W2" s="42" t="s">
        <v>29</v>
      </c>
      <c r="X2" s="42" t="s">
        <v>30</v>
      </c>
      <c r="Y2" s="42" t="s">
        <v>31</v>
      </c>
      <c r="Z2" s="42" t="s">
        <v>32</v>
      </c>
      <c r="AA2" s="42" t="s">
        <v>33</v>
      </c>
      <c r="AB2" s="42" t="s">
        <v>34</v>
      </c>
      <c r="AC2" s="42" t="s">
        <v>35</v>
      </c>
      <c r="AD2" s="43" t="s">
        <v>36</v>
      </c>
      <c r="AE2" s="27" t="s">
        <v>37</v>
      </c>
      <c r="AF2" s="26" t="s">
        <v>38</v>
      </c>
      <c r="AG2" s="26" t="s">
        <v>39</v>
      </c>
      <c r="AH2" s="26" t="s">
        <v>40</v>
      </c>
      <c r="AI2" s="26" t="s">
        <v>41</v>
      </c>
      <c r="AJ2" s="26" t="s">
        <v>42</v>
      </c>
      <c r="AK2" s="26" t="s">
        <v>43</v>
      </c>
      <c r="AL2" s="26" t="s">
        <v>44</v>
      </c>
      <c r="AM2" s="26" t="s">
        <v>45</v>
      </c>
      <c r="AN2" s="26" t="s">
        <v>46</v>
      </c>
      <c r="AO2" s="26" t="s">
        <v>47</v>
      </c>
      <c r="AP2" s="26" t="s">
        <v>48</v>
      </c>
      <c r="AQ2" s="26" t="s">
        <v>49</v>
      </c>
      <c r="AR2" s="26" t="s">
        <v>50</v>
      </c>
      <c r="AS2" s="26" t="s">
        <v>51</v>
      </c>
      <c r="AT2" s="17" t="s">
        <v>52</v>
      </c>
      <c r="AU2" s="26" t="s">
        <v>53</v>
      </c>
      <c r="AV2" s="26" t="s">
        <v>54</v>
      </c>
      <c r="AW2" s="26" t="s">
        <v>55</v>
      </c>
      <c r="AX2" s="26" t="s">
        <v>40</v>
      </c>
      <c r="AY2" s="26" t="s">
        <v>56</v>
      </c>
      <c r="AZ2" s="27" t="s">
        <v>57</v>
      </c>
      <c r="BA2" s="26" t="s">
        <v>58</v>
      </c>
      <c r="BB2" s="17" t="s">
        <v>59</v>
      </c>
      <c r="BC2" s="26" t="s">
        <v>60</v>
      </c>
      <c r="BD2" s="26" t="s">
        <v>61</v>
      </c>
      <c r="BE2" s="26" t="s">
        <v>62</v>
      </c>
      <c r="BF2" s="26" t="s">
        <v>63</v>
      </c>
      <c r="BG2" s="26" t="s">
        <v>64</v>
      </c>
      <c r="BH2" s="26" t="s">
        <v>65</v>
      </c>
      <c r="BI2" s="26" t="s">
        <v>66</v>
      </c>
      <c r="BJ2" s="26" t="s">
        <v>67</v>
      </c>
      <c r="BK2" s="26" t="s">
        <v>68</v>
      </c>
      <c r="BL2" s="26" t="s">
        <v>69</v>
      </c>
      <c r="BM2" s="26" t="s">
        <v>70</v>
      </c>
      <c r="BN2" s="27" t="s">
        <v>71</v>
      </c>
      <c r="BO2" s="26" t="s">
        <v>72</v>
      </c>
      <c r="BP2" s="17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6">
        <v>45491.472488425898</v>
      </c>
      <c r="G3" s="3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9">
        <v>7.0970000000000004</v>
      </c>
      <c r="AE3" s="53">
        <v>300</v>
      </c>
      <c r="AF3" s="6">
        <v>50</v>
      </c>
      <c r="AG3" s="6">
        <v>7.09</v>
      </c>
      <c r="AH3" s="56">
        <f>AF3/100</f>
        <v>0.5</v>
      </c>
      <c r="AI3" s="6">
        <v>34</v>
      </c>
      <c r="AJ3" s="6">
        <v>3.3</v>
      </c>
      <c r="AK3" s="22">
        <v>0</v>
      </c>
      <c r="AL3" s="6">
        <v>0</v>
      </c>
      <c r="AM3" s="65">
        <f>BO3</f>
        <v>4.6805555555555498E-3</v>
      </c>
      <c r="AN3" s="6">
        <v>0</v>
      </c>
      <c r="AO3" s="6">
        <v>0</v>
      </c>
      <c r="AP3" s="6">
        <v>711</v>
      </c>
      <c r="AQ3" s="56">
        <v>0</v>
      </c>
      <c r="AR3" s="56">
        <v>0</v>
      </c>
      <c r="AS3" s="56">
        <v>0</v>
      </c>
      <c r="AT3" s="31">
        <v>15</v>
      </c>
      <c r="AU3" s="15">
        <v>1700</v>
      </c>
      <c r="AV3" s="6">
        <v>34</v>
      </c>
      <c r="AW3" s="6">
        <v>7.2</v>
      </c>
      <c r="AX3" s="6">
        <v>50</v>
      </c>
      <c r="AY3" s="9">
        <v>2.9999999999999997E-4</v>
      </c>
      <c r="AZ3" s="8"/>
      <c r="BA3" s="9">
        <f>BJ3*24*60/BE3</f>
        <v>3.9999999999999957E-3</v>
      </c>
      <c r="BB3" s="28">
        <f>BM3/BE3</f>
        <v>9.9999999999999995E-8</v>
      </c>
      <c r="BC3" s="9">
        <f t="shared" ref="BC3:BC28" si="0">AY3*K3*BE3/1000</f>
        <v>6.1671E-3</v>
      </c>
      <c r="BD3" s="9">
        <f t="shared" ref="BD3:BD28" si="1">BC3*24*60</f>
        <v>8.8806239999999992</v>
      </c>
      <c r="BE3" s="9">
        <f t="shared" ref="BE3:BE5" si="2">AU3-AT3</f>
        <v>1685</v>
      </c>
      <c r="BF3" s="10">
        <f t="shared" ref="BF3:BF28" si="3">IF(ISBLANK(AN3),NA(),IFERROR(AN3/BE3,0))</f>
        <v>0</v>
      </c>
      <c r="BG3" s="10">
        <f t="shared" ref="BG3:BG28" si="4">IF(ISBLANK(AN3),NA(),AN3/AU3)</f>
        <v>0</v>
      </c>
      <c r="BH3" s="10">
        <f t="shared" ref="BH3:BH28" si="5">AM3*24*60</f>
        <v>6.7399999999999922</v>
      </c>
      <c r="BI3" s="10" t="str">
        <f>IF(B3="Python",AZ3*AU3/24/60,"")</f>
        <v/>
      </c>
      <c r="BJ3" s="10">
        <v>4.6805555555555498E-3</v>
      </c>
      <c r="BK3" s="45" t="str">
        <f t="shared" ref="BK3:BK28" si="6">IF(B3="No MPC", AY3*K3*BE3/1000,"")</f>
        <v/>
      </c>
      <c r="BL3" s="10"/>
      <c r="BM3" s="10">
        <v>1.685E-4</v>
      </c>
      <c r="BN3" s="34">
        <f>IF(BI3&lt;&gt;"",BI3/0.000385,IF(BJ3&lt;&gt;"",BJ3/0.000385,BK3/0.000385))</f>
        <v>12.157287157287143</v>
      </c>
      <c r="BO3" s="48">
        <f>IF(BI3&lt;&gt;"",BI3,IF(BJ3&lt;&gt;"",BJ3,BK3))</f>
        <v>4.6805555555555498E-3</v>
      </c>
      <c r="BP3" s="39">
        <f t="shared" ref="BP3:BP28" si="7">IF(BL3&lt;&gt;"",BL3,BM3)</f>
        <v>1.685E-4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67">
        <v>45491.474918981497</v>
      </c>
      <c r="G4">
        <v>146.51</v>
      </c>
      <c r="H4" s="22"/>
      <c r="I4" s="22">
        <v>118.99</v>
      </c>
      <c r="J4" s="22">
        <v>13.1</v>
      </c>
      <c r="K4" s="22">
        <v>12.9</v>
      </c>
      <c r="L4" s="22">
        <v>98.6</v>
      </c>
      <c r="M4" s="22">
        <v>16.7</v>
      </c>
      <c r="N4" s="22">
        <v>329</v>
      </c>
      <c r="O4" s="22">
        <v>0.63</v>
      </c>
      <c r="P4" s="22">
        <v>0.6</v>
      </c>
      <c r="Q4" s="22">
        <v>5.93</v>
      </c>
      <c r="R4" s="22"/>
      <c r="S4" s="22">
        <v>0.98</v>
      </c>
      <c r="T4" s="22">
        <v>2.34</v>
      </c>
      <c r="U4" s="22">
        <v>0.89</v>
      </c>
      <c r="V4" s="22">
        <v>7.0279999999999996</v>
      </c>
      <c r="W4" s="22">
        <v>103</v>
      </c>
      <c r="X4" s="22">
        <v>59.4</v>
      </c>
      <c r="Y4" s="22">
        <v>6.56</v>
      </c>
      <c r="Z4" s="22">
        <v>108.4</v>
      </c>
      <c r="AA4" s="22">
        <v>26.1</v>
      </c>
      <c r="AB4" s="22">
        <v>90.3</v>
      </c>
      <c r="AC4" s="22">
        <v>48.3</v>
      </c>
      <c r="AD4" s="20">
        <v>7.0650000000000004</v>
      </c>
      <c r="AE4" s="54">
        <v>300</v>
      </c>
      <c r="AF4" s="22">
        <v>50</v>
      </c>
      <c r="AG4" s="22">
        <v>7.1</v>
      </c>
      <c r="AH4" s="57">
        <f t="shared" ref="AH4:AH43" si="8">AF4/100</f>
        <v>0.5</v>
      </c>
      <c r="AI4" s="22">
        <v>34</v>
      </c>
      <c r="AJ4" s="22">
        <v>2.94</v>
      </c>
      <c r="AK4" s="22">
        <v>0</v>
      </c>
      <c r="AL4" s="22">
        <v>0</v>
      </c>
      <c r="AM4" s="57">
        <f t="shared" ref="AM4:AM43" si="9">BO4</f>
        <v>4.6805555555555498E-3</v>
      </c>
      <c r="AN4" s="22">
        <v>0</v>
      </c>
      <c r="AO4" s="22">
        <v>0</v>
      </c>
      <c r="AP4" s="22">
        <v>670</v>
      </c>
      <c r="AQ4" s="57">
        <v>0</v>
      </c>
      <c r="AR4" s="57">
        <v>0</v>
      </c>
      <c r="AS4" s="57">
        <v>0</v>
      </c>
      <c r="AT4" s="32">
        <v>15</v>
      </c>
      <c r="AU4" s="25">
        <v>1700</v>
      </c>
      <c r="AV4" s="22">
        <v>34</v>
      </c>
      <c r="AW4" s="22">
        <v>7.2</v>
      </c>
      <c r="AX4" s="22">
        <v>50</v>
      </c>
      <c r="AY4" s="23">
        <v>2.9999999999999997E-4</v>
      </c>
      <c r="AZ4" s="11"/>
      <c r="BA4" s="23">
        <f>BJ4*24*60/BE4</f>
        <v>3.9999999999999957E-3</v>
      </c>
      <c r="BB4" s="29">
        <f>BM4/BE4</f>
        <v>9.9999999999999995E-8</v>
      </c>
      <c r="BC4" s="23">
        <f t="shared" si="0"/>
        <v>6.5209499999999993E-3</v>
      </c>
      <c r="BD4" s="23">
        <f t="shared" si="1"/>
        <v>9.3901679999999992</v>
      </c>
      <c r="BE4" s="23">
        <f t="shared" si="2"/>
        <v>1685</v>
      </c>
      <c r="BF4" s="24">
        <f t="shared" si="3"/>
        <v>0</v>
      </c>
      <c r="BG4" s="24">
        <f t="shared" si="4"/>
        <v>0</v>
      </c>
      <c r="BH4" s="24">
        <f t="shared" si="5"/>
        <v>6.7399999999999922</v>
      </c>
      <c r="BI4" s="24" t="str">
        <f t="shared" ref="BI4:BI29" si="10">IF(B4="Python",AZ4*BE4/24/60,"")</f>
        <v/>
      </c>
      <c r="BJ4" s="24">
        <v>4.6805555555555498E-3</v>
      </c>
      <c r="BK4" s="46" t="str">
        <f t="shared" si="6"/>
        <v/>
      </c>
      <c r="BL4" s="24"/>
      <c r="BM4" s="24">
        <v>1.685E-4</v>
      </c>
      <c r="BN4" s="35">
        <f t="shared" ref="BN4:BN36" si="11">IF(BI4&lt;&gt;"",BI4/0.000385,IF(BJ4&lt;&gt;"",BJ4/0.000385,BK4/0.000385))</f>
        <v>12.157287157287143</v>
      </c>
      <c r="BO4" s="49">
        <f t="shared" ref="BO4:BO36" si="12">IF(BI4&lt;&gt;"",BI4,IF(BJ4&lt;&gt;"",BJ4,BK4))</f>
        <v>4.6805555555555498E-3</v>
      </c>
      <c r="BP4" s="37">
        <f t="shared" si="7"/>
        <v>1.685E-4</v>
      </c>
    </row>
    <row r="5" spans="1:68" x14ac:dyDescent="0.3">
      <c r="A5" s="1" t="s">
        <v>77</v>
      </c>
      <c r="B5" t="s">
        <v>78</v>
      </c>
      <c r="C5">
        <v>12</v>
      </c>
      <c r="D5">
        <v>0</v>
      </c>
      <c r="F5" s="67">
        <v>45491.477488425902</v>
      </c>
      <c r="G5">
        <v>146.51</v>
      </c>
      <c r="H5" s="22"/>
      <c r="I5" s="22">
        <v>118.11</v>
      </c>
      <c r="J5" s="22">
        <v>13.5</v>
      </c>
      <c r="K5" s="22">
        <v>13.3</v>
      </c>
      <c r="L5" s="22">
        <v>98.1</v>
      </c>
      <c r="M5" s="22">
        <v>16.600000000000001</v>
      </c>
      <c r="N5" s="22">
        <v>327</v>
      </c>
      <c r="O5" s="22">
        <v>0.63</v>
      </c>
      <c r="P5" s="22">
        <v>0.61</v>
      </c>
      <c r="Q5" s="22">
        <v>5.96</v>
      </c>
      <c r="R5" s="22"/>
      <c r="S5" s="22">
        <v>0.97</v>
      </c>
      <c r="T5" s="22">
        <v>2.36</v>
      </c>
      <c r="U5" s="22">
        <v>0.93</v>
      </c>
      <c r="V5" s="22">
        <v>7.0679999999999996</v>
      </c>
      <c r="W5" s="22">
        <v>95</v>
      </c>
      <c r="X5" s="22">
        <v>55.9</v>
      </c>
      <c r="Y5" s="22">
        <v>6.59</v>
      </c>
      <c r="Z5" s="22">
        <v>106.4</v>
      </c>
      <c r="AA5" s="22">
        <v>26.4</v>
      </c>
      <c r="AB5" s="22">
        <v>83.4</v>
      </c>
      <c r="AC5" s="22">
        <v>45.4</v>
      </c>
      <c r="AD5" s="20">
        <v>7.1050000000000004</v>
      </c>
      <c r="AE5" s="54">
        <v>300</v>
      </c>
      <c r="AF5" s="22">
        <v>49.3</v>
      </c>
      <c r="AG5" s="22">
        <v>7.1</v>
      </c>
      <c r="AH5" s="57">
        <f t="shared" si="8"/>
        <v>0.49299999999999999</v>
      </c>
      <c r="AI5" s="22">
        <v>34</v>
      </c>
      <c r="AJ5" s="22">
        <v>3.13</v>
      </c>
      <c r="AK5" s="22">
        <v>0</v>
      </c>
      <c r="AL5" s="22">
        <v>0</v>
      </c>
      <c r="AM5" s="57">
        <f t="shared" si="9"/>
        <v>6.9716747687283455E-3</v>
      </c>
      <c r="AN5" s="22">
        <v>0</v>
      </c>
      <c r="AO5" s="22">
        <v>0</v>
      </c>
      <c r="AP5" s="22">
        <v>775</v>
      </c>
      <c r="AQ5" s="57">
        <v>0</v>
      </c>
      <c r="AR5" s="57">
        <v>0</v>
      </c>
      <c r="AS5" s="57">
        <v>0</v>
      </c>
      <c r="AT5" s="32">
        <v>15</v>
      </c>
      <c r="AU5" s="25">
        <v>1700</v>
      </c>
      <c r="AV5" s="22">
        <v>34</v>
      </c>
      <c r="AW5" s="22">
        <v>7.2</v>
      </c>
      <c r="AX5" s="22">
        <v>50</v>
      </c>
      <c r="AY5" s="23">
        <v>2.9999999999999997E-4</v>
      </c>
      <c r="AZ5" s="11">
        <v>5.9579891198627997E-3</v>
      </c>
      <c r="BB5" s="29"/>
      <c r="BC5" s="23">
        <f t="shared" si="0"/>
        <v>6.7231499999999998E-3</v>
      </c>
      <c r="BD5" s="23">
        <f t="shared" si="1"/>
        <v>9.6813359999999999</v>
      </c>
      <c r="BE5" s="23">
        <f t="shared" si="2"/>
        <v>1685</v>
      </c>
      <c r="BF5" s="24">
        <f t="shared" si="3"/>
        <v>0</v>
      </c>
      <c r="BG5" s="24">
        <f t="shared" si="4"/>
        <v>0</v>
      </c>
      <c r="BH5" s="24">
        <f t="shared" si="5"/>
        <v>10.039211666968818</v>
      </c>
      <c r="BI5" s="24">
        <f t="shared" si="10"/>
        <v>6.9716747687283455E-3</v>
      </c>
      <c r="BJ5" s="46" t="str">
        <f t="shared" ref="BJ5:BJ29" si="13">IF(B5="Julia",BA5*BE5/24/60,"")</f>
        <v/>
      </c>
      <c r="BK5" s="46" t="str">
        <f t="shared" si="6"/>
        <v/>
      </c>
      <c r="BL5" s="24">
        <v>0</v>
      </c>
      <c r="BM5" s="24" t="str">
        <f t="shared" ref="BM5:BM29" si="14">IF(B5="Julia",BB5*BE5,"")</f>
        <v/>
      </c>
      <c r="BN5" s="35">
        <f t="shared" si="11"/>
        <v>18.10824615254116</v>
      </c>
      <c r="BO5" s="49">
        <f t="shared" si="12"/>
        <v>6.9716747687283455E-3</v>
      </c>
      <c r="BP5" s="37">
        <f t="shared" si="7"/>
        <v>0</v>
      </c>
    </row>
    <row r="6" spans="1:68" ht="15" thickBot="1" x14ac:dyDescent="0.35">
      <c r="A6" s="4" t="s">
        <v>79</v>
      </c>
      <c r="B6" s="5" t="s">
        <v>78</v>
      </c>
      <c r="C6" s="5">
        <v>12</v>
      </c>
      <c r="D6" s="5">
        <v>0</v>
      </c>
      <c r="E6" s="5"/>
      <c r="F6" s="68">
        <v>45491.480787036999</v>
      </c>
      <c r="G6" s="5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7">
        <v>81.3</v>
      </c>
      <c r="AC6" s="7">
        <v>47.7</v>
      </c>
      <c r="AD6" s="21">
        <v>7.0839999999999996</v>
      </c>
      <c r="AE6" s="55">
        <v>300</v>
      </c>
      <c r="AF6" s="7">
        <v>48.9</v>
      </c>
      <c r="AG6" s="7">
        <v>7.09</v>
      </c>
      <c r="AH6" s="58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58">
        <f t="shared" si="9"/>
        <v>8.4868529347877988E-3</v>
      </c>
      <c r="AN6" s="7">
        <v>0</v>
      </c>
      <c r="AO6" s="7">
        <v>0</v>
      </c>
      <c r="AP6" s="7">
        <v>620</v>
      </c>
      <c r="AQ6" s="58">
        <v>0</v>
      </c>
      <c r="AR6" s="58">
        <v>0</v>
      </c>
      <c r="AS6" s="58">
        <v>0</v>
      </c>
      <c r="AT6" s="33">
        <v>15</v>
      </c>
      <c r="AU6" s="16">
        <v>1700</v>
      </c>
      <c r="AV6" s="7">
        <v>34</v>
      </c>
      <c r="AW6" s="7">
        <v>7.2</v>
      </c>
      <c r="AX6" s="7">
        <v>50</v>
      </c>
      <c r="AY6" s="13">
        <v>2.9999999999999997E-4</v>
      </c>
      <c r="AZ6" s="12">
        <v>7.2528594813616801E-3</v>
      </c>
      <c r="BA6" s="5"/>
      <c r="BB6" s="30"/>
      <c r="BC6" s="13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46" t="str">
        <f t="shared" si="13"/>
        <v/>
      </c>
      <c r="BK6" s="47" t="str">
        <f t="shared" si="6"/>
        <v/>
      </c>
      <c r="BL6" s="14">
        <v>0</v>
      </c>
      <c r="BM6" s="14" t="str">
        <f t="shared" si="14"/>
        <v/>
      </c>
      <c r="BN6" s="36">
        <f t="shared" si="11"/>
        <v>22.043773856591688</v>
      </c>
      <c r="BO6" s="50">
        <f t="shared" si="12"/>
        <v>8.4868529347877988E-3</v>
      </c>
      <c r="BP6" s="38">
        <f t="shared" si="7"/>
        <v>0</v>
      </c>
    </row>
    <row r="7" spans="1:68" x14ac:dyDescent="0.3">
      <c r="A7" s="2" t="s">
        <v>74</v>
      </c>
      <c r="B7" s="3" t="s">
        <v>75</v>
      </c>
      <c r="C7" s="3">
        <v>12</v>
      </c>
      <c r="D7" s="3">
        <v>1</v>
      </c>
      <c r="E7" s="3"/>
      <c r="F7" s="67">
        <v>45492.338194444441</v>
      </c>
      <c r="G7" s="3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9">
        <v>7.101</v>
      </c>
      <c r="AE7" s="53">
        <v>300</v>
      </c>
      <c r="AF7" s="6">
        <v>49.7</v>
      </c>
      <c r="AG7" s="6">
        <v>7.1</v>
      </c>
      <c r="AH7" s="56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56">
        <f t="shared" si="9"/>
        <v>7.0290626807434503E-3</v>
      </c>
      <c r="AN7" s="6">
        <v>5</v>
      </c>
      <c r="AO7" s="6">
        <v>0</v>
      </c>
      <c r="AP7" s="6">
        <v>709</v>
      </c>
      <c r="AQ7" s="56">
        <f t="shared" ref="AQ7:AQ11" si="15">AN7-AN3</f>
        <v>5</v>
      </c>
      <c r="AR7" s="56">
        <f t="shared" ref="AR7:AR11" si="16">AO7-AO3</f>
        <v>0</v>
      </c>
      <c r="AS7" s="56">
        <f>AP3-AP7</f>
        <v>2</v>
      </c>
      <c r="AT7" s="31">
        <v>15</v>
      </c>
      <c r="AU7" s="15">
        <v>1700</v>
      </c>
      <c r="AV7" s="6">
        <v>34</v>
      </c>
      <c r="AW7" s="6">
        <v>7.2</v>
      </c>
      <c r="AX7" s="6">
        <v>50</v>
      </c>
      <c r="AY7" s="9">
        <v>2.9999999999999997E-4</v>
      </c>
      <c r="AZ7" s="8"/>
      <c r="BA7" s="9">
        <f>BJ7*24*60/BE7</f>
        <v>5.9703250402690687E-3</v>
      </c>
      <c r="BB7" s="28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43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45" t="str">
        <f t="shared" si="6"/>
        <v/>
      </c>
      <c r="BL7" s="10" t="str">
        <f>IF(IF(B7&lt;&gt;"Julia",((5-Q7)*BE7)/400, "")&lt;0,0,IF(B7&lt;&gt;"Julia",((5-Q7)*BE7)/400, ""))</f>
        <v/>
      </c>
      <c r="BM7" s="10">
        <v>16.832071720300799</v>
      </c>
      <c r="BN7" s="35">
        <f t="shared" si="11"/>
        <v>18.257305664268703</v>
      </c>
      <c r="BO7" s="49">
        <f t="shared" si="12"/>
        <v>7.0290626807434503E-3</v>
      </c>
      <c r="BP7" s="37">
        <f t="shared" si="7"/>
        <v>16.832071720300799</v>
      </c>
    </row>
    <row r="8" spans="1:68" x14ac:dyDescent="0.3">
      <c r="A8" s="1" t="s">
        <v>76</v>
      </c>
      <c r="B8" t="s">
        <v>75</v>
      </c>
      <c r="C8">
        <v>12</v>
      </c>
      <c r="D8">
        <v>1</v>
      </c>
      <c r="E8" t="s">
        <v>80</v>
      </c>
      <c r="F8" s="67">
        <v>45492.34097222222</v>
      </c>
      <c r="G8">
        <v>509.83</v>
      </c>
      <c r="H8" s="22"/>
      <c r="I8" s="22">
        <v>436.43</v>
      </c>
      <c r="J8" s="22">
        <v>17.8</v>
      </c>
      <c r="K8" s="22">
        <v>17.399999999999999</v>
      </c>
      <c r="L8" s="22">
        <v>97.6</v>
      </c>
      <c r="M8" s="22">
        <v>16.7</v>
      </c>
      <c r="N8" s="22">
        <v>338</v>
      </c>
      <c r="O8" s="22">
        <v>3.49</v>
      </c>
      <c r="P8" s="22">
        <v>0.52</v>
      </c>
      <c r="Q8" s="22">
        <v>0.46</v>
      </c>
      <c r="R8" s="22"/>
      <c r="S8" s="22">
        <v>0.4</v>
      </c>
      <c r="T8" s="22">
        <v>1.81</v>
      </c>
      <c r="U8" s="22">
        <v>3.15</v>
      </c>
      <c r="V8" s="22">
        <v>7.1050000000000004</v>
      </c>
      <c r="W8" s="22">
        <v>137.69999999999999</v>
      </c>
      <c r="X8" s="22">
        <v>24.9</v>
      </c>
      <c r="Y8" s="22">
        <v>137.19999999999999</v>
      </c>
      <c r="Z8" s="22">
        <v>4.97</v>
      </c>
      <c r="AA8" s="22">
        <v>41.9</v>
      </c>
      <c r="AB8" s="22">
        <v>120.8</v>
      </c>
      <c r="AC8" s="22">
        <v>20.100000000000001</v>
      </c>
      <c r="AD8" s="20">
        <v>7.1440000000000001</v>
      </c>
      <c r="AE8" s="54">
        <v>300</v>
      </c>
      <c r="AF8" s="22">
        <v>47.8</v>
      </c>
      <c r="AG8" s="22">
        <v>7.1</v>
      </c>
      <c r="AH8" s="57">
        <f t="shared" si="8"/>
        <v>0.47799999999999998</v>
      </c>
      <c r="AI8" s="22">
        <v>34</v>
      </c>
      <c r="AJ8" s="22">
        <v>19.71</v>
      </c>
      <c r="AK8" s="22">
        <v>0</v>
      </c>
      <c r="AL8" s="22">
        <v>1</v>
      </c>
      <c r="AM8" s="57">
        <f t="shared" si="9"/>
        <v>7.37045380679486E-3</v>
      </c>
      <c r="AN8" s="22">
        <v>5</v>
      </c>
      <c r="AO8" s="22">
        <v>0</v>
      </c>
      <c r="AP8" s="22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32">
        <v>15</v>
      </c>
      <c r="AU8" s="25">
        <v>1700</v>
      </c>
      <c r="AV8" s="22">
        <v>34</v>
      </c>
      <c r="AW8" s="22">
        <v>7.2</v>
      </c>
      <c r="AX8" s="22">
        <v>50</v>
      </c>
      <c r="AY8" s="23">
        <v>2.9999999999999997E-4</v>
      </c>
      <c r="AZ8" s="11"/>
      <c r="BA8" s="23">
        <f>BJ8*24*60/BE8</f>
        <v>6.2590027078831875E-3</v>
      </c>
      <c r="BB8" s="29">
        <f>BM8/BE8</f>
        <v>1.0979069734018257E-2</v>
      </c>
      <c r="BC8" s="11">
        <f t="shared" si="0"/>
        <v>8.8516061999999989E-3</v>
      </c>
      <c r="BD8" s="23">
        <f t="shared" si="1"/>
        <v>12.746312927999998</v>
      </c>
      <c r="BE8" s="23">
        <f t="shared" si="17"/>
        <v>1695.71</v>
      </c>
      <c r="BF8" s="24">
        <f t="shared" si="3"/>
        <v>2.9486173933042795E-3</v>
      </c>
      <c r="BG8" s="24">
        <f t="shared" si="4"/>
        <v>2.9411764705882353E-3</v>
      </c>
      <c r="BH8" s="24">
        <f t="shared" si="5"/>
        <v>10.6134534817846</v>
      </c>
      <c r="BI8" s="24" t="str">
        <f t="shared" si="10"/>
        <v/>
      </c>
      <c r="BJ8" s="24">
        <v>7.37045380679486E-3</v>
      </c>
      <c r="BK8" s="46" t="str">
        <f t="shared" si="6"/>
        <v/>
      </c>
      <c r="BL8" s="24" t="str">
        <f>IF(IF(B8&lt;&gt;"Julia",((5-Q8)*BE8)/400, "")&lt;0,0,IF(B8&lt;&gt;"Julia",((5-Q8)*BE8)/400, ""))</f>
        <v/>
      </c>
      <c r="BM8" s="24">
        <v>18.617318338672099</v>
      </c>
      <c r="BN8" s="35">
        <f t="shared" si="11"/>
        <v>19.144035861804831</v>
      </c>
      <c r="BO8" s="49">
        <f t="shared" si="12"/>
        <v>7.37045380679486E-3</v>
      </c>
      <c r="BP8" s="37">
        <f t="shared" si="7"/>
        <v>18.617318338672099</v>
      </c>
    </row>
    <row r="9" spans="1:68" x14ac:dyDescent="0.3">
      <c r="A9" s="1" t="s">
        <v>77</v>
      </c>
      <c r="B9" t="s">
        <v>78</v>
      </c>
      <c r="C9">
        <v>12</v>
      </c>
      <c r="D9">
        <v>1</v>
      </c>
      <c r="F9" s="67">
        <v>45492.34375</v>
      </c>
      <c r="G9">
        <v>509.83</v>
      </c>
      <c r="H9" s="22"/>
      <c r="I9" s="22">
        <v>433.26</v>
      </c>
      <c r="J9" s="22">
        <v>17.100000000000001</v>
      </c>
      <c r="K9" s="22">
        <v>16.8</v>
      </c>
      <c r="L9" s="22">
        <v>98.4</v>
      </c>
      <c r="M9" s="22">
        <v>17</v>
      </c>
      <c r="N9" s="22">
        <v>339</v>
      </c>
      <c r="O9" s="22">
        <v>1.85</v>
      </c>
      <c r="P9" s="22">
        <v>0.54</v>
      </c>
      <c r="Q9" s="22">
        <v>1.1100000000000001</v>
      </c>
      <c r="R9" s="22"/>
      <c r="S9" s="22">
        <v>0.68</v>
      </c>
      <c r="T9" s="22">
        <v>2.56</v>
      </c>
      <c r="U9" s="22">
        <v>2.99</v>
      </c>
      <c r="V9" s="22">
        <v>7.07</v>
      </c>
      <c r="W9" s="22">
        <v>117.2</v>
      </c>
      <c r="X9" s="22">
        <v>54.1</v>
      </c>
      <c r="Y9" s="22">
        <v>136.30000000000001</v>
      </c>
      <c r="Z9" s="22">
        <v>5</v>
      </c>
      <c r="AA9" s="22">
        <v>32.799999999999997</v>
      </c>
      <c r="AB9" s="22">
        <v>102.8</v>
      </c>
      <c r="AC9" s="22">
        <v>43.9</v>
      </c>
      <c r="AD9" s="20">
        <v>7.1079999999999997</v>
      </c>
      <c r="AE9" s="54">
        <v>300</v>
      </c>
      <c r="AF9" s="22">
        <v>49.5</v>
      </c>
      <c r="AG9" s="22">
        <v>7.1</v>
      </c>
      <c r="AH9" s="57">
        <f t="shared" si="8"/>
        <v>0.495</v>
      </c>
      <c r="AI9" s="22">
        <v>34</v>
      </c>
      <c r="AJ9" s="22">
        <v>19.48</v>
      </c>
      <c r="AK9" s="22">
        <v>0</v>
      </c>
      <c r="AL9" s="22">
        <v>1</v>
      </c>
      <c r="AM9" s="57">
        <f t="shared" si="9"/>
        <v>5.3061875000344899E-3</v>
      </c>
      <c r="AN9" s="22">
        <v>7.5</v>
      </c>
      <c r="AO9" s="22">
        <v>0</v>
      </c>
      <c r="AP9" s="22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32">
        <v>15</v>
      </c>
      <c r="AU9" s="25">
        <v>1700</v>
      </c>
      <c r="AV9" s="22">
        <v>34</v>
      </c>
      <c r="AW9" s="22">
        <v>7.2</v>
      </c>
      <c r="AX9" s="22">
        <v>50</v>
      </c>
      <c r="AY9" s="23">
        <v>2.9999999999999997E-4</v>
      </c>
      <c r="AZ9" s="11">
        <v>4.5000000000292497E-3</v>
      </c>
      <c r="BC9" s="11">
        <f t="shared" si="0"/>
        <v>8.5578191999999987E-3</v>
      </c>
      <c r="BD9" s="23">
        <f t="shared" si="1"/>
        <v>12.323259647999999</v>
      </c>
      <c r="BE9" s="23">
        <f t="shared" si="17"/>
        <v>1697.98</v>
      </c>
      <c r="BF9" s="24">
        <f t="shared" si="3"/>
        <v>4.4170131568098568E-3</v>
      </c>
      <c r="BG9" s="24">
        <f t="shared" si="4"/>
        <v>4.4117647058823529E-3</v>
      </c>
      <c r="BH9" s="24">
        <f t="shared" si="5"/>
        <v>7.640910000049665</v>
      </c>
      <c r="BI9" s="24">
        <f t="shared" si="10"/>
        <v>5.3061875000344899E-3</v>
      </c>
      <c r="BJ9" s="24" t="str">
        <f t="shared" si="13"/>
        <v/>
      </c>
      <c r="BK9" s="46" t="str">
        <f t="shared" si="6"/>
        <v/>
      </c>
      <c r="BL9" s="59">
        <f>IF(IF(B9&lt;&gt;"Julia",((5-Q9)*BE9)/400, "")&lt;0,0,IF(B9&lt;&gt;"Julia",((5-Q9)*BE9)/400, ""))</f>
        <v>16.512855499999997</v>
      </c>
      <c r="BM9" s="24" t="str">
        <f t="shared" si="14"/>
        <v/>
      </c>
      <c r="BN9" s="35">
        <f t="shared" si="11"/>
        <v>13.78230519489478</v>
      </c>
      <c r="BO9" s="49">
        <f t="shared" si="12"/>
        <v>5.3061875000344899E-3</v>
      </c>
      <c r="BP9" s="61">
        <f t="shared" si="7"/>
        <v>16.512855499999997</v>
      </c>
    </row>
    <row r="10" spans="1:68" ht="15" thickBot="1" x14ac:dyDescent="0.35">
      <c r="A10" s="1" t="s">
        <v>79</v>
      </c>
      <c r="B10" t="s">
        <v>78</v>
      </c>
      <c r="C10">
        <v>12</v>
      </c>
      <c r="D10">
        <v>1</v>
      </c>
      <c r="F10" s="67">
        <v>45492.345833333333</v>
      </c>
      <c r="G10" s="5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21">
        <v>7.1079999999999997</v>
      </c>
      <c r="AE10" s="55">
        <v>300</v>
      </c>
      <c r="AF10" s="7">
        <v>50.6</v>
      </c>
      <c r="AG10" s="7">
        <v>7.1</v>
      </c>
      <c r="AH10" s="58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58">
        <f t="shared" si="9"/>
        <v>5.3108750041710312E-3</v>
      </c>
      <c r="AN10" s="7">
        <v>9.1</v>
      </c>
      <c r="AO10" s="7">
        <v>0</v>
      </c>
      <c r="AP10" s="7">
        <v>617</v>
      </c>
      <c r="AQ10" s="58">
        <f t="shared" si="15"/>
        <v>9.1</v>
      </c>
      <c r="AR10" s="58">
        <f t="shared" si="16"/>
        <v>0</v>
      </c>
      <c r="AS10" s="58">
        <f t="shared" si="18"/>
        <v>3</v>
      </c>
      <c r="AT10" s="33">
        <v>15</v>
      </c>
      <c r="AU10" s="16">
        <v>1700</v>
      </c>
      <c r="AV10" s="7">
        <v>34</v>
      </c>
      <c r="AW10" s="7">
        <v>7.2</v>
      </c>
      <c r="AX10" s="7">
        <v>50</v>
      </c>
      <c r="AY10" s="13">
        <v>2.9999999999999997E-4</v>
      </c>
      <c r="AZ10" s="12">
        <v>4.50000000353419E-3</v>
      </c>
      <c r="BA10" s="13"/>
      <c r="BB10" s="1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47" t="str">
        <f t="shared" si="6"/>
        <v/>
      </c>
      <c r="BL10" s="60">
        <f>IF(IF(B10&lt;&gt;"Julia",((5-Q10)*BE10)/400, "")&lt;0,0,IF(B10&lt;&gt;"Julia",((5-Q10)*BE10)/400, ""))</f>
        <v>17.037286999999999</v>
      </c>
      <c r="BM10" s="14" t="str">
        <f t="shared" si="14"/>
        <v/>
      </c>
      <c r="BN10" s="35">
        <f t="shared" si="11"/>
        <v>13.794480530314367</v>
      </c>
      <c r="BO10" s="49">
        <f t="shared" si="12"/>
        <v>5.3108750041710312E-3</v>
      </c>
      <c r="BP10" s="61">
        <f t="shared" si="7"/>
        <v>17.037286999999999</v>
      </c>
    </row>
    <row r="11" spans="1:68" x14ac:dyDescent="0.3">
      <c r="A11" s="2" t="s">
        <v>74</v>
      </c>
      <c r="B11" s="3" t="s">
        <v>75</v>
      </c>
      <c r="C11" s="3">
        <v>12</v>
      </c>
      <c r="D11" s="3">
        <v>2</v>
      </c>
      <c r="E11" s="3" t="s">
        <v>81</v>
      </c>
      <c r="F11" s="66">
        <v>45493.525694444397</v>
      </c>
      <c r="G11">
        <v>997.91</v>
      </c>
      <c r="H11" s="22"/>
      <c r="I11" s="22">
        <v>933.27</v>
      </c>
      <c r="J11" s="22">
        <v>22.8</v>
      </c>
      <c r="K11" s="22">
        <v>22.3</v>
      </c>
      <c r="L11" s="22">
        <v>97.8</v>
      </c>
      <c r="M11" s="22">
        <v>16.899999999999999</v>
      </c>
      <c r="N11" s="22">
        <v>331</v>
      </c>
      <c r="O11" s="22">
        <v>1.6</v>
      </c>
      <c r="P11" s="22">
        <v>0.43</v>
      </c>
      <c r="Q11" s="22">
        <v>0.04</v>
      </c>
      <c r="R11" s="22"/>
      <c r="S11" s="22">
        <v>0.1</v>
      </c>
      <c r="T11" s="22">
        <v>0.04</v>
      </c>
      <c r="U11" s="22">
        <v>3.86</v>
      </c>
      <c r="V11" s="22">
        <v>7.0960000000000001</v>
      </c>
      <c r="W11" s="22">
        <v>126.4</v>
      </c>
      <c r="X11" s="22">
        <v>57.8</v>
      </c>
      <c r="Y11" s="22">
        <v>147.5</v>
      </c>
      <c r="Z11" s="22">
        <v>3.37</v>
      </c>
      <c r="AA11" s="22">
        <v>37.6</v>
      </c>
      <c r="AB11" s="22">
        <v>110.9</v>
      </c>
      <c r="AC11" s="22">
        <v>47</v>
      </c>
      <c r="AD11" s="20">
        <v>7.1340000000000003</v>
      </c>
      <c r="AE11" s="53">
        <v>300</v>
      </c>
      <c r="AF11" s="6">
        <v>51.2</v>
      </c>
      <c r="AG11" s="6">
        <v>7.11</v>
      </c>
      <c r="AH11" s="56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56">
        <f t="shared" si="9"/>
        <v>1.9587601193460299E-2</v>
      </c>
      <c r="AN11" s="6">
        <v>16</v>
      </c>
      <c r="AO11" s="6">
        <v>18</v>
      </c>
      <c r="AP11" s="6">
        <v>695</v>
      </c>
      <c r="AQ11" s="56">
        <f t="shared" si="15"/>
        <v>11</v>
      </c>
      <c r="AR11" s="56">
        <f t="shared" si="16"/>
        <v>18</v>
      </c>
      <c r="AS11" s="56">
        <f t="shared" si="18"/>
        <v>14</v>
      </c>
      <c r="AT11" s="31">
        <v>15</v>
      </c>
      <c r="AU11" s="15">
        <v>1700</v>
      </c>
      <c r="AV11" s="6">
        <v>34</v>
      </c>
      <c r="AW11" s="6">
        <v>7.2</v>
      </c>
      <c r="AX11" s="6">
        <v>50</v>
      </c>
      <c r="AY11" s="9">
        <v>2.9999999999999997E-4</v>
      </c>
      <c r="AZ11" s="8"/>
      <c r="BA11" s="9">
        <f>BJ11*24*60/BE11</f>
        <v>1.6416168450565701E-2</v>
      </c>
      <c r="BB11" s="28">
        <f>BM11/BE11</f>
        <v>7.0438155546433375E-3</v>
      </c>
      <c r="BC11" s="71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28.206145718582832</v>
      </c>
      <c r="BI11" s="10" t="str">
        <f>IF(B11="Python",AZ11*BE11/24/60,"")</f>
        <v/>
      </c>
      <c r="BJ11" s="10">
        <v>1.9587601193460299E-2</v>
      </c>
      <c r="BK11" s="45" t="str">
        <f t="shared" si="6"/>
        <v/>
      </c>
      <c r="BL11" s="10" t="str">
        <f t="shared" ref="BL11:BL43" si="19">IF(IF(B11&lt;&gt;"Julia",((1.5-Q11)*BE11)/400, "")&lt;0,0,IF(B11&lt;&gt;"Julia",((3-Q11)*BE11)/400, ""))</f>
        <v/>
      </c>
      <c r="BM11" s="10">
        <v>12.1026345792793</v>
      </c>
      <c r="BN11" s="34">
        <f t="shared" si="11"/>
        <v>50.876886216780001</v>
      </c>
      <c r="BO11" s="48">
        <f t="shared" si="12"/>
        <v>1.9587601193460299E-2</v>
      </c>
      <c r="BP11" s="39">
        <f t="shared" si="7"/>
        <v>12.1026345792793</v>
      </c>
    </row>
    <row r="12" spans="1:68" x14ac:dyDescent="0.3">
      <c r="A12" s="1" t="s">
        <v>77</v>
      </c>
      <c r="B12" t="s">
        <v>78</v>
      </c>
      <c r="C12">
        <v>12</v>
      </c>
      <c r="D12">
        <v>2</v>
      </c>
      <c r="E12" t="s">
        <v>82</v>
      </c>
      <c r="F12" s="67">
        <v>45493.528472222199</v>
      </c>
      <c r="G12">
        <v>997.91</v>
      </c>
      <c r="H12" s="22"/>
      <c r="I12" s="22">
        <v>919.68</v>
      </c>
      <c r="J12" s="22">
        <v>23.6</v>
      </c>
      <c r="K12" s="22">
        <v>23.1</v>
      </c>
      <c r="L12" s="22">
        <v>98.1</v>
      </c>
      <c r="M12" s="22">
        <v>16.8</v>
      </c>
      <c r="N12" s="22">
        <v>327</v>
      </c>
      <c r="O12" s="22">
        <v>1.55</v>
      </c>
      <c r="P12" s="22">
        <v>0.44</v>
      </c>
      <c r="Q12" s="22">
        <v>0</v>
      </c>
      <c r="R12" s="22"/>
      <c r="S12" s="22">
        <v>0.11</v>
      </c>
      <c r="T12" s="22">
        <v>0.03</v>
      </c>
      <c r="U12" s="22">
        <v>3.55</v>
      </c>
      <c r="V12" s="22">
        <v>7.1550000000000002</v>
      </c>
      <c r="W12" s="22">
        <v>119</v>
      </c>
      <c r="X12" s="22">
        <v>20.399999999999999</v>
      </c>
      <c r="Y12" s="22">
        <v>145.4</v>
      </c>
      <c r="Z12" s="22">
        <v>3.49</v>
      </c>
      <c r="AA12" s="22">
        <v>40.6</v>
      </c>
      <c r="AB12" s="22">
        <v>104.3</v>
      </c>
      <c r="AC12" s="22">
        <v>16.5</v>
      </c>
      <c r="AD12" s="20">
        <v>7.194</v>
      </c>
      <c r="AE12" s="54">
        <v>300</v>
      </c>
      <c r="AF12" s="22">
        <v>51.1</v>
      </c>
      <c r="AG12" s="22">
        <v>7.13</v>
      </c>
      <c r="AH12" s="57">
        <f t="shared" si="8"/>
        <v>0.51100000000000001</v>
      </c>
      <c r="AI12" s="22">
        <v>34</v>
      </c>
      <c r="AJ12" s="22">
        <v>24.361000000000001</v>
      </c>
      <c r="AK12" s="22">
        <v>0</v>
      </c>
      <c r="AL12" s="22">
        <v>3</v>
      </c>
      <c r="AM12" s="57">
        <f t="shared" si="9"/>
        <v>1.190824173E-2</v>
      </c>
      <c r="AN12" s="22">
        <v>16</v>
      </c>
      <c r="AO12" s="22">
        <v>20</v>
      </c>
      <c r="AP12" s="22">
        <v>762</v>
      </c>
      <c r="AQ12" s="57">
        <f t="shared" ref="AQ12:AQ43" si="20">AN12-AN9</f>
        <v>8.5</v>
      </c>
      <c r="AR12" s="57">
        <f t="shared" ref="AR12:AR43" si="21">AO12-AO9</f>
        <v>20</v>
      </c>
      <c r="AS12" s="57">
        <f t="shared" ref="AS12:AS43" si="22">AP9-AP12</f>
        <v>10</v>
      </c>
      <c r="AT12" s="32">
        <v>15</v>
      </c>
      <c r="AU12" s="25">
        <v>1700</v>
      </c>
      <c r="AV12" s="22">
        <v>34</v>
      </c>
      <c r="AW12" s="22">
        <v>7.2</v>
      </c>
      <c r="AX12" s="22">
        <v>50</v>
      </c>
      <c r="AY12" s="23">
        <v>2.9999999999999997E-4</v>
      </c>
      <c r="AZ12" s="11">
        <v>4.4999999999999997E-3</v>
      </c>
      <c r="BB12" s="29"/>
      <c r="BC12" s="69">
        <f t="shared" si="0"/>
        <v>1.190824173E-2</v>
      </c>
      <c r="BD12" s="23">
        <f t="shared" si="1"/>
        <v>17.147868091199999</v>
      </c>
      <c r="BE12" s="23">
        <f t="shared" si="17"/>
        <v>1718.3610000000001</v>
      </c>
      <c r="BF12" s="24">
        <f t="shared" si="3"/>
        <v>9.3111982872050737E-3</v>
      </c>
      <c r="BG12" s="24">
        <f t="shared" si="4"/>
        <v>9.4117647058823521E-3</v>
      </c>
      <c r="BH12" s="24">
        <f t="shared" si="5"/>
        <v>17.147868091199999</v>
      </c>
      <c r="BI12" s="73">
        <v>1.190824173E-2</v>
      </c>
      <c r="BJ12" s="24" t="str">
        <f t="shared" si="13"/>
        <v/>
      </c>
      <c r="BK12" s="46" t="str">
        <f t="shared" si="6"/>
        <v/>
      </c>
      <c r="BL12" s="24">
        <f t="shared" si="19"/>
        <v>12.887707500000001</v>
      </c>
      <c r="BM12" s="24" t="str">
        <f t="shared" si="14"/>
        <v/>
      </c>
      <c r="BN12" s="35">
        <f t="shared" si="11"/>
        <v>30.930498</v>
      </c>
      <c r="BO12" s="49">
        <f>IF(BI12&lt;&gt;"",BI12,IF(BJ12&lt;&gt;"",BJ12,BK12))</f>
        <v>1.190824173E-2</v>
      </c>
      <c r="BP12" s="37">
        <f t="shared" si="7"/>
        <v>12.887707500000001</v>
      </c>
    </row>
    <row r="13" spans="1:68" ht="15" thickBot="1" x14ac:dyDescent="0.35">
      <c r="A13" s="4" t="s">
        <v>79</v>
      </c>
      <c r="B13" s="5" t="s">
        <v>78</v>
      </c>
      <c r="C13" s="5">
        <v>12</v>
      </c>
      <c r="D13" s="5">
        <v>2</v>
      </c>
      <c r="E13" s="5" t="s">
        <v>82</v>
      </c>
      <c r="F13" s="68">
        <v>45493.536805555603</v>
      </c>
      <c r="G13">
        <v>997.91</v>
      </c>
      <c r="H13" s="22"/>
      <c r="I13" s="22">
        <v>949.59</v>
      </c>
      <c r="J13" s="22">
        <v>23.2</v>
      </c>
      <c r="K13" s="22">
        <v>22.7</v>
      </c>
      <c r="L13" s="22">
        <v>97.9</v>
      </c>
      <c r="M13" s="22">
        <v>16.899999999999999</v>
      </c>
      <c r="N13" s="22">
        <v>338</v>
      </c>
      <c r="O13" s="22">
        <v>1.47</v>
      </c>
      <c r="P13" s="22">
        <v>0.43</v>
      </c>
      <c r="Q13" s="22">
        <v>0.45</v>
      </c>
      <c r="R13" s="22"/>
      <c r="S13" s="22">
        <v>0.14000000000000001</v>
      </c>
      <c r="T13" s="22">
        <v>0.01</v>
      </c>
      <c r="U13" s="22">
        <v>4.01</v>
      </c>
      <c r="V13" s="22">
        <v>7.093</v>
      </c>
      <c r="W13" s="22">
        <v>118.1</v>
      </c>
      <c r="X13" s="22">
        <v>30.6</v>
      </c>
      <c r="Y13" s="22">
        <v>148.19999999999999</v>
      </c>
      <c r="Z13" s="22">
        <v>3.26</v>
      </c>
      <c r="AA13" s="22">
        <v>34.9</v>
      </c>
      <c r="AB13" s="22">
        <v>103.6</v>
      </c>
      <c r="AC13" s="22">
        <v>24.7</v>
      </c>
      <c r="AD13" s="20">
        <v>7.1310000000000002</v>
      </c>
      <c r="AE13" s="55">
        <v>300</v>
      </c>
      <c r="AF13" s="7">
        <v>49.5</v>
      </c>
      <c r="AG13" s="7">
        <v>7.1</v>
      </c>
      <c r="AH13" s="58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58">
        <f t="shared" si="9"/>
        <v>1.1710864169999998E-2</v>
      </c>
      <c r="AN13" s="7">
        <v>18</v>
      </c>
      <c r="AO13" s="7">
        <v>18</v>
      </c>
      <c r="AP13" s="7">
        <v>608</v>
      </c>
      <c r="AQ13" s="58">
        <f t="shared" si="20"/>
        <v>8.9</v>
      </c>
      <c r="AR13" s="58">
        <f t="shared" si="21"/>
        <v>18</v>
      </c>
      <c r="AS13" s="58">
        <f t="shared" si="22"/>
        <v>9</v>
      </c>
      <c r="AT13" s="33">
        <v>15</v>
      </c>
      <c r="AU13" s="16">
        <v>1700</v>
      </c>
      <c r="AV13" s="7">
        <v>34</v>
      </c>
      <c r="AW13" s="7">
        <v>7.2</v>
      </c>
      <c r="AX13" s="7">
        <v>50</v>
      </c>
      <c r="AY13" s="13">
        <v>2.9999999999999997E-4</v>
      </c>
      <c r="AZ13" s="12">
        <v>4.5000000009706104E-3</v>
      </c>
      <c r="BB13" s="30"/>
      <c r="BC13" s="70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16.863644404799995</v>
      </c>
      <c r="BI13" s="74">
        <v>1.1710864169999998E-2</v>
      </c>
      <c r="BJ13" s="14" t="str">
        <f t="shared" si="13"/>
        <v/>
      </c>
      <c r="BK13" s="47" t="str">
        <f t="shared" si="6"/>
        <v/>
      </c>
      <c r="BL13" s="14">
        <f t="shared" si="19"/>
        <v>10.962813374999998</v>
      </c>
      <c r="BM13" s="14" t="str">
        <f t="shared" si="14"/>
        <v/>
      </c>
      <c r="BN13" s="36">
        <f t="shared" si="11"/>
        <v>30.41782901298701</v>
      </c>
      <c r="BO13" s="50">
        <f t="shared" si="12"/>
        <v>1.1710864169999998E-2</v>
      </c>
      <c r="BP13" s="38">
        <f t="shared" si="7"/>
        <v>10.962813374999998</v>
      </c>
    </row>
    <row r="14" spans="1:68" x14ac:dyDescent="0.3">
      <c r="A14" s="2" t="s">
        <v>74</v>
      </c>
      <c r="B14" s="3" t="s">
        <v>75</v>
      </c>
      <c r="C14" s="3">
        <v>12</v>
      </c>
      <c r="D14" s="3">
        <v>3</v>
      </c>
      <c r="E14" s="3"/>
      <c r="F14" s="66">
        <v>45494.550289351901</v>
      </c>
      <c r="G14" s="3">
        <v>1505.08</v>
      </c>
      <c r="H14" s="6"/>
      <c r="I14" s="6">
        <v>1446.18</v>
      </c>
      <c r="J14" s="6">
        <v>24</v>
      </c>
      <c r="K14" s="6">
        <v>23.1</v>
      </c>
      <c r="L14" s="6">
        <v>96</v>
      </c>
      <c r="M14" s="6">
        <v>17.100000000000001</v>
      </c>
      <c r="N14" s="6">
        <v>350</v>
      </c>
      <c r="O14" s="6">
        <v>1.58</v>
      </c>
      <c r="P14" s="6">
        <v>0.38</v>
      </c>
      <c r="Q14" s="6">
        <v>2.0099999999999998</v>
      </c>
      <c r="R14" s="6"/>
      <c r="S14" s="6">
        <v>0</v>
      </c>
      <c r="T14" s="6">
        <v>0.03</v>
      </c>
      <c r="U14" s="6">
        <v>2.76</v>
      </c>
      <c r="V14" s="6">
        <v>7.218</v>
      </c>
      <c r="W14" s="6">
        <v>139.80000000000001</v>
      </c>
      <c r="X14" s="6">
        <v>0</v>
      </c>
      <c r="Y14" s="6">
        <v>2.92</v>
      </c>
      <c r="Z14" s="6">
        <v>149</v>
      </c>
      <c r="AA14" s="6">
        <v>55.4</v>
      </c>
      <c r="AB14" s="6">
        <v>122.6</v>
      </c>
      <c r="AC14" s="6">
        <v>0</v>
      </c>
      <c r="AD14" s="19">
        <v>7.2590000000000003</v>
      </c>
      <c r="AE14" s="53">
        <v>300</v>
      </c>
      <c r="AF14" s="6">
        <v>49.2</v>
      </c>
      <c r="AG14" s="6">
        <v>7.19</v>
      </c>
      <c r="AH14" s="56">
        <f t="shared" si="8"/>
        <v>0.49200000000000005</v>
      </c>
      <c r="AI14" s="6">
        <v>34</v>
      </c>
      <c r="AJ14" s="6">
        <v>27.664999999999999</v>
      </c>
      <c r="AK14" s="6">
        <v>0</v>
      </c>
      <c r="AL14" s="6">
        <v>4</v>
      </c>
      <c r="AM14" s="56">
        <f t="shared" si="9"/>
        <v>0</v>
      </c>
      <c r="AN14" s="6">
        <v>42</v>
      </c>
      <c r="AO14" s="6">
        <v>31</v>
      </c>
      <c r="AP14" s="6">
        <v>668</v>
      </c>
      <c r="AQ14" s="56">
        <f t="shared" si="20"/>
        <v>26</v>
      </c>
      <c r="AR14" s="56">
        <f t="shared" si="21"/>
        <v>13</v>
      </c>
      <c r="AS14" s="56">
        <f t="shared" si="22"/>
        <v>27</v>
      </c>
      <c r="AT14" s="31">
        <v>15</v>
      </c>
      <c r="AU14" s="15">
        <v>1700</v>
      </c>
      <c r="AV14" s="6">
        <v>34</v>
      </c>
      <c r="AW14" s="6">
        <v>7.2</v>
      </c>
      <c r="AX14" s="6">
        <v>50</v>
      </c>
      <c r="AY14" s="9">
        <v>2.9999999999999997E-4</v>
      </c>
      <c r="AZ14" s="8"/>
      <c r="BA14" s="9"/>
      <c r="BB14" s="28"/>
      <c r="BC14" s="8">
        <f t="shared" si="0"/>
        <v>1.2090528449999999E-2</v>
      </c>
      <c r="BD14" s="9">
        <f t="shared" si="1"/>
        <v>17.410360967999999</v>
      </c>
      <c r="BE14" s="9">
        <f t="shared" si="17"/>
        <v>1744.665</v>
      </c>
      <c r="BF14" s="10">
        <f t="shared" si="3"/>
        <v>2.4073389447257783E-2</v>
      </c>
      <c r="BG14" s="10">
        <f t="shared" si="4"/>
        <v>2.4705882352941175E-2</v>
      </c>
      <c r="BH14" s="10">
        <f t="shared" si="5"/>
        <v>0</v>
      </c>
      <c r="BI14" s="10" t="str">
        <f t="shared" si="10"/>
        <v/>
      </c>
      <c r="BJ14" s="10">
        <f t="shared" si="13"/>
        <v>0</v>
      </c>
      <c r="BK14" s="45" t="str">
        <f t="shared" si="6"/>
        <v/>
      </c>
      <c r="BL14" s="10" t="str">
        <f t="shared" si="19"/>
        <v/>
      </c>
      <c r="BM14" s="10">
        <f t="shared" si="14"/>
        <v>0</v>
      </c>
      <c r="BN14" s="35">
        <f t="shared" si="11"/>
        <v>0</v>
      </c>
      <c r="BO14" s="49">
        <f t="shared" si="12"/>
        <v>0</v>
      </c>
      <c r="BP14" s="37">
        <f t="shared" si="7"/>
        <v>0</v>
      </c>
    </row>
    <row r="15" spans="1:68" x14ac:dyDescent="0.3">
      <c r="A15" s="1" t="s">
        <v>77</v>
      </c>
      <c r="B15" t="s">
        <v>78</v>
      </c>
      <c r="C15">
        <v>12</v>
      </c>
      <c r="D15">
        <v>3</v>
      </c>
      <c r="F15" s="67">
        <v>45494.554664351897</v>
      </c>
      <c r="G15">
        <v>1505.08</v>
      </c>
      <c r="H15" s="22"/>
      <c r="I15" s="22">
        <v>1350.49</v>
      </c>
      <c r="J15" s="22">
        <v>24</v>
      </c>
      <c r="K15" s="22">
        <v>22.7</v>
      </c>
      <c r="L15" s="22">
        <v>94.4</v>
      </c>
      <c r="M15" s="22">
        <v>16.5</v>
      </c>
      <c r="N15" s="22">
        <v>372</v>
      </c>
      <c r="O15" s="22">
        <v>2.68</v>
      </c>
      <c r="P15" s="22">
        <v>0.4</v>
      </c>
      <c r="Q15" s="22">
        <v>0.01</v>
      </c>
      <c r="R15" s="22"/>
      <c r="S15" s="22">
        <v>0.08</v>
      </c>
      <c r="T15" s="22">
        <v>0.1</v>
      </c>
      <c r="U15" s="22">
        <v>3.17</v>
      </c>
      <c r="V15" s="22">
        <v>7.3440000000000003</v>
      </c>
      <c r="W15" s="22">
        <v>146.69999999999999</v>
      </c>
      <c r="X15" s="22">
        <v>0</v>
      </c>
      <c r="Y15" s="22">
        <v>3.6</v>
      </c>
      <c r="Z15" s="22">
        <v>167.8</v>
      </c>
      <c r="AA15" s="22">
        <v>78</v>
      </c>
      <c r="AB15" s="22">
        <v>128.6</v>
      </c>
      <c r="AC15" s="22">
        <v>0</v>
      </c>
      <c r="AD15" s="20">
        <v>7.3869999999999996</v>
      </c>
      <c r="AE15" s="54">
        <v>300</v>
      </c>
      <c r="AF15" s="22">
        <v>52.2</v>
      </c>
      <c r="AG15" s="22">
        <v>7.29</v>
      </c>
      <c r="AH15" s="57">
        <f t="shared" si="8"/>
        <v>0.52200000000000002</v>
      </c>
      <c r="AI15" s="22">
        <v>34</v>
      </c>
      <c r="AJ15" s="22">
        <v>37.567</v>
      </c>
      <c r="AK15" s="22">
        <v>0</v>
      </c>
      <c r="AL15" s="22">
        <v>4</v>
      </c>
      <c r="AM15" s="57">
        <f t="shared" si="9"/>
        <v>0</v>
      </c>
      <c r="AN15" s="22">
        <v>33</v>
      </c>
      <c r="AO15" s="22">
        <v>34</v>
      </c>
      <c r="AP15" s="22">
        <v>743</v>
      </c>
      <c r="AQ15" s="57">
        <f t="shared" si="20"/>
        <v>17</v>
      </c>
      <c r="AR15" s="57">
        <f t="shared" si="21"/>
        <v>14</v>
      </c>
      <c r="AS15" s="57">
        <f t="shared" si="22"/>
        <v>19</v>
      </c>
      <c r="AT15" s="32">
        <v>15</v>
      </c>
      <c r="AU15" s="25">
        <v>1700</v>
      </c>
      <c r="AV15" s="22">
        <v>34</v>
      </c>
      <c r="AW15" s="22">
        <v>7.2</v>
      </c>
      <c r="AX15" s="22">
        <v>50</v>
      </c>
      <c r="AY15" s="23">
        <v>2.9999999999999997E-4</v>
      </c>
      <c r="AZ15" s="11"/>
      <c r="BA15" s="23"/>
      <c r="BB15" s="29"/>
      <c r="BC15" s="11">
        <f t="shared" si="0"/>
        <v>1.1907741269999999E-2</v>
      </c>
      <c r="BD15" s="23">
        <f t="shared" si="1"/>
        <v>17.147147428799997</v>
      </c>
      <c r="BE15" s="23">
        <f t="shared" si="17"/>
        <v>1748.567</v>
      </c>
      <c r="BF15" s="24">
        <f t="shared" si="3"/>
        <v>1.8872596817851417E-2</v>
      </c>
      <c r="BG15" s="24">
        <f t="shared" si="4"/>
        <v>1.9411764705882354E-2</v>
      </c>
      <c r="BH15" s="24">
        <f t="shared" si="5"/>
        <v>0</v>
      </c>
      <c r="BI15" s="24">
        <f t="shared" si="10"/>
        <v>0</v>
      </c>
      <c r="BJ15" s="24" t="str">
        <f t="shared" si="13"/>
        <v/>
      </c>
      <c r="BK15" s="46" t="str">
        <f t="shared" si="6"/>
        <v/>
      </c>
      <c r="BL15" s="24">
        <f t="shared" si="19"/>
        <v>13.070538324999999</v>
      </c>
      <c r="BM15" s="24" t="str">
        <f t="shared" si="14"/>
        <v/>
      </c>
      <c r="BN15" s="35">
        <f t="shared" si="11"/>
        <v>0</v>
      </c>
      <c r="BO15" s="49">
        <f t="shared" si="12"/>
        <v>0</v>
      </c>
      <c r="BP15" s="37">
        <f t="shared" si="7"/>
        <v>13.070538324999999</v>
      </c>
    </row>
    <row r="16" spans="1:68" ht="15" thickBot="1" x14ac:dyDescent="0.35">
      <c r="A16" s="4" t="s">
        <v>79</v>
      </c>
      <c r="B16" s="5" t="s">
        <v>78</v>
      </c>
      <c r="C16" s="5">
        <v>12</v>
      </c>
      <c r="D16" s="5">
        <v>3</v>
      </c>
      <c r="E16" s="5" t="s">
        <v>83</v>
      </c>
      <c r="F16" s="68"/>
      <c r="G16" s="5">
        <v>1505.08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1"/>
      <c r="AE16" s="55">
        <v>300</v>
      </c>
      <c r="AF16" s="7">
        <v>11.1</v>
      </c>
      <c r="AG16" s="7">
        <v>7.31</v>
      </c>
      <c r="AH16" s="58">
        <f t="shared" si="8"/>
        <v>0.111</v>
      </c>
      <c r="AI16" s="7">
        <v>34</v>
      </c>
      <c r="AJ16" s="7">
        <v>38.723999999999997</v>
      </c>
      <c r="AK16" s="7">
        <v>8.9086999999999996</v>
      </c>
      <c r="AL16" s="7">
        <v>3</v>
      </c>
      <c r="AM16" s="58">
        <f t="shared" si="9"/>
        <v>0</v>
      </c>
      <c r="AN16" s="7">
        <v>34</v>
      </c>
      <c r="AO16" s="7">
        <v>30</v>
      </c>
      <c r="AP16" s="7">
        <v>591</v>
      </c>
      <c r="AQ16" s="58">
        <f t="shared" si="20"/>
        <v>16</v>
      </c>
      <c r="AR16" s="58">
        <f t="shared" si="21"/>
        <v>12</v>
      </c>
      <c r="AS16" s="58">
        <f t="shared" si="22"/>
        <v>17</v>
      </c>
      <c r="AT16" s="33">
        <v>15</v>
      </c>
      <c r="AU16" s="16">
        <v>1700</v>
      </c>
      <c r="AV16" s="7">
        <v>34</v>
      </c>
      <c r="AW16" s="7">
        <v>7.2</v>
      </c>
      <c r="AX16" s="7">
        <v>50</v>
      </c>
      <c r="AY16" s="13">
        <v>2.9999999999999997E-4</v>
      </c>
      <c r="AZ16" s="12"/>
      <c r="BA16" s="13"/>
      <c r="BB16" s="30"/>
      <c r="BC16" s="12">
        <f t="shared" si="0"/>
        <v>0</v>
      </c>
      <c r="BD16" s="13">
        <f t="shared" si="1"/>
        <v>0</v>
      </c>
      <c r="BE16" s="13">
        <f t="shared" si="17"/>
        <v>1754.6327000000001</v>
      </c>
      <c r="BF16" s="14">
        <f t="shared" si="3"/>
        <v>1.9377274799449479E-2</v>
      </c>
      <c r="BG16" s="14">
        <f t="shared" si="4"/>
        <v>0.02</v>
      </c>
      <c r="BH16" s="14">
        <f t="shared" si="5"/>
        <v>0</v>
      </c>
      <c r="BI16" s="14">
        <f t="shared" si="10"/>
        <v>0</v>
      </c>
      <c r="BJ16" s="14" t="str">
        <f t="shared" si="13"/>
        <v/>
      </c>
      <c r="BK16" s="47" t="str">
        <f t="shared" si="6"/>
        <v/>
      </c>
      <c r="BL16" s="14">
        <f t="shared" si="19"/>
        <v>13.15974525</v>
      </c>
      <c r="BM16" s="14" t="str">
        <f t="shared" si="14"/>
        <v/>
      </c>
      <c r="BN16" s="35">
        <f t="shared" si="11"/>
        <v>0</v>
      </c>
      <c r="BO16" s="49">
        <f t="shared" si="12"/>
        <v>0</v>
      </c>
      <c r="BP16" s="37">
        <f t="shared" si="7"/>
        <v>13.15974525</v>
      </c>
    </row>
    <row r="17" spans="1:68" x14ac:dyDescent="0.3">
      <c r="A17" s="1" t="s">
        <v>74</v>
      </c>
      <c r="B17" t="s">
        <v>75</v>
      </c>
      <c r="C17">
        <v>12</v>
      </c>
      <c r="D17">
        <v>4</v>
      </c>
      <c r="F17" s="67"/>
      <c r="G17">
        <v>2119.61</v>
      </c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0"/>
      <c r="AE17" s="53"/>
      <c r="AF17" s="6"/>
      <c r="AG17" s="6"/>
      <c r="AH17" s="56">
        <f t="shared" si="8"/>
        <v>0</v>
      </c>
      <c r="AI17" s="6"/>
      <c r="AJ17" s="6"/>
      <c r="AK17" s="6"/>
      <c r="AL17" s="6"/>
      <c r="AM17" s="56">
        <f t="shared" si="9"/>
        <v>0</v>
      </c>
      <c r="AN17" s="6"/>
      <c r="AO17" s="6"/>
      <c r="AP17" s="6"/>
      <c r="AQ17" s="56">
        <f t="shared" si="20"/>
        <v>-42</v>
      </c>
      <c r="AR17" s="56">
        <f t="shared" si="21"/>
        <v>-31</v>
      </c>
      <c r="AS17" s="56">
        <f t="shared" si="22"/>
        <v>668</v>
      </c>
      <c r="AT17" s="31">
        <v>15</v>
      </c>
      <c r="AU17" s="15">
        <v>1700</v>
      </c>
      <c r="AV17" s="6">
        <v>34</v>
      </c>
      <c r="AW17" s="6">
        <v>7.2</v>
      </c>
      <c r="AX17" s="6">
        <v>50</v>
      </c>
      <c r="AY17" s="9">
        <v>2.9999999999999997E-4</v>
      </c>
      <c r="AZ17" s="8"/>
      <c r="BA17" s="9"/>
      <c r="BB17" s="28"/>
      <c r="BC17" s="8">
        <f t="shared" si="0"/>
        <v>0</v>
      </c>
      <c r="BD17" s="9">
        <f t="shared" si="1"/>
        <v>0</v>
      </c>
      <c r="BE17" s="9">
        <f t="shared" si="17"/>
        <v>1625</v>
      </c>
      <c r="BF17" s="10" t="e">
        <f t="shared" si="3"/>
        <v>#N/A</v>
      </c>
      <c r="BG17" s="10" t="e">
        <f t="shared" si="4"/>
        <v>#N/A</v>
      </c>
      <c r="BH17" s="10">
        <f t="shared" si="5"/>
        <v>0</v>
      </c>
      <c r="BI17" s="10" t="str">
        <f t="shared" si="10"/>
        <v/>
      </c>
      <c r="BJ17" s="10">
        <f t="shared" si="13"/>
        <v>0</v>
      </c>
      <c r="BK17" s="45" t="str">
        <f t="shared" si="6"/>
        <v/>
      </c>
      <c r="BL17" s="10" t="str">
        <f t="shared" si="19"/>
        <v/>
      </c>
      <c r="BM17" s="10">
        <f t="shared" si="14"/>
        <v>0</v>
      </c>
      <c r="BN17" s="34">
        <f t="shared" si="11"/>
        <v>0</v>
      </c>
      <c r="BO17" s="48">
        <f t="shared" si="12"/>
        <v>0</v>
      </c>
      <c r="BP17" s="39">
        <f t="shared" si="7"/>
        <v>0</v>
      </c>
    </row>
    <row r="18" spans="1:68" x14ac:dyDescent="0.3">
      <c r="A18" s="1" t="s">
        <v>77</v>
      </c>
      <c r="B18" t="s">
        <v>78</v>
      </c>
      <c r="C18">
        <v>12</v>
      </c>
      <c r="D18">
        <v>4</v>
      </c>
      <c r="F18" s="67"/>
      <c r="G18">
        <v>2119.61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0"/>
      <c r="AE18" s="54"/>
      <c r="AF18" s="22"/>
      <c r="AG18" s="22"/>
      <c r="AH18" s="57">
        <f t="shared" si="8"/>
        <v>0</v>
      </c>
      <c r="AI18" s="22"/>
      <c r="AJ18" s="22"/>
      <c r="AK18" s="22"/>
      <c r="AL18" s="22"/>
      <c r="AM18" s="57">
        <f t="shared" si="9"/>
        <v>0</v>
      </c>
      <c r="AN18" s="22"/>
      <c r="AO18" s="22"/>
      <c r="AP18" s="22"/>
      <c r="AQ18" s="57">
        <f t="shared" si="20"/>
        <v>-33</v>
      </c>
      <c r="AR18" s="57">
        <f t="shared" si="21"/>
        <v>-34</v>
      </c>
      <c r="AS18" s="57">
        <f t="shared" si="22"/>
        <v>743</v>
      </c>
      <c r="AT18" s="32">
        <v>15</v>
      </c>
      <c r="AU18" s="25">
        <v>1700</v>
      </c>
      <c r="AV18" s="22">
        <v>34</v>
      </c>
      <c r="AW18" s="22">
        <v>7.2</v>
      </c>
      <c r="AX18" s="22">
        <v>50</v>
      </c>
      <c r="AY18" s="23">
        <v>2.9999999999999997E-4</v>
      </c>
      <c r="AZ18" s="11"/>
      <c r="BA18" s="23"/>
      <c r="BB18" s="29"/>
      <c r="BC18" s="11">
        <f t="shared" si="0"/>
        <v>0</v>
      </c>
      <c r="BD18" s="23">
        <f t="shared" si="1"/>
        <v>0</v>
      </c>
      <c r="BE18" s="23">
        <f t="shared" si="17"/>
        <v>1625</v>
      </c>
      <c r="BF18" s="24" t="e">
        <f t="shared" si="3"/>
        <v>#N/A</v>
      </c>
      <c r="BG18" s="24" t="e">
        <f t="shared" si="4"/>
        <v>#N/A</v>
      </c>
      <c r="BH18" s="24">
        <f t="shared" si="5"/>
        <v>0</v>
      </c>
      <c r="BI18" s="24">
        <f t="shared" si="10"/>
        <v>0</v>
      </c>
      <c r="BJ18" s="24" t="str">
        <f t="shared" si="13"/>
        <v/>
      </c>
      <c r="BK18" s="46" t="str">
        <f t="shared" si="6"/>
        <v/>
      </c>
      <c r="BL18" s="24">
        <f t="shared" si="19"/>
        <v>12.1875</v>
      </c>
      <c r="BM18" s="24" t="str">
        <f t="shared" si="14"/>
        <v/>
      </c>
      <c r="BN18" s="35">
        <f t="shared" si="11"/>
        <v>0</v>
      </c>
      <c r="BO18" s="49">
        <f t="shared" si="12"/>
        <v>0</v>
      </c>
      <c r="BP18" s="37">
        <f t="shared" si="7"/>
        <v>12.1875</v>
      </c>
    </row>
    <row r="19" spans="1:68" ht="15" thickBot="1" x14ac:dyDescent="0.35">
      <c r="A19" s="1" t="s">
        <v>79</v>
      </c>
      <c r="B19" t="s">
        <v>78</v>
      </c>
      <c r="C19">
        <v>12</v>
      </c>
      <c r="D19">
        <v>4</v>
      </c>
      <c r="F19" s="67"/>
      <c r="G19">
        <v>2119.61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0"/>
      <c r="AE19" s="55"/>
      <c r="AF19" s="7"/>
      <c r="AG19" s="7"/>
      <c r="AH19" s="58">
        <f t="shared" si="8"/>
        <v>0</v>
      </c>
      <c r="AI19" s="7"/>
      <c r="AJ19" s="7"/>
      <c r="AK19" s="7"/>
      <c r="AL19" s="7"/>
      <c r="AM19" s="58">
        <f t="shared" si="9"/>
        <v>0</v>
      </c>
      <c r="AN19" s="7"/>
      <c r="AO19" s="7"/>
      <c r="AP19" s="7"/>
      <c r="AQ19" s="58">
        <f t="shared" si="20"/>
        <v>-34</v>
      </c>
      <c r="AR19" s="58">
        <f t="shared" si="21"/>
        <v>-30</v>
      </c>
      <c r="AS19" s="58">
        <f t="shared" si="22"/>
        <v>591</v>
      </c>
      <c r="AT19" s="33">
        <v>15</v>
      </c>
      <c r="AU19" s="16">
        <v>1700</v>
      </c>
      <c r="AV19" s="7">
        <v>34</v>
      </c>
      <c r="AW19" s="7">
        <v>7.2</v>
      </c>
      <c r="AX19" s="7">
        <v>50</v>
      </c>
      <c r="AY19" s="13">
        <v>2.9999999999999997E-4</v>
      </c>
      <c r="AZ19" s="12"/>
      <c r="BA19" s="13"/>
      <c r="BB19" s="30"/>
      <c r="BC19" s="12">
        <f t="shared" si="0"/>
        <v>0</v>
      </c>
      <c r="BD19" s="13">
        <f t="shared" si="1"/>
        <v>0</v>
      </c>
      <c r="BE19" s="13">
        <f t="shared" si="17"/>
        <v>1625</v>
      </c>
      <c r="BF19" s="14" t="e">
        <f t="shared" si="3"/>
        <v>#N/A</v>
      </c>
      <c r="BG19" s="14" t="e">
        <f t="shared" si="4"/>
        <v>#N/A</v>
      </c>
      <c r="BH19" s="14">
        <f t="shared" si="5"/>
        <v>0</v>
      </c>
      <c r="BI19" s="14">
        <f t="shared" si="10"/>
        <v>0</v>
      </c>
      <c r="BJ19" s="14" t="str">
        <f t="shared" si="13"/>
        <v/>
      </c>
      <c r="BK19" s="47" t="str">
        <f t="shared" si="6"/>
        <v/>
      </c>
      <c r="BL19" s="14">
        <f t="shared" si="19"/>
        <v>12.1875</v>
      </c>
      <c r="BM19" s="14" t="str">
        <f t="shared" si="14"/>
        <v/>
      </c>
      <c r="BN19" s="36">
        <f t="shared" si="11"/>
        <v>0</v>
      </c>
      <c r="BO19" s="50">
        <f t="shared" si="12"/>
        <v>0</v>
      </c>
      <c r="BP19" s="38">
        <f t="shared" si="7"/>
        <v>12.1875</v>
      </c>
    </row>
    <row r="20" spans="1:68" x14ac:dyDescent="0.3">
      <c r="A20" s="2" t="s">
        <v>74</v>
      </c>
      <c r="B20" s="3" t="s">
        <v>75</v>
      </c>
      <c r="C20" s="3">
        <v>12</v>
      </c>
      <c r="D20" s="3">
        <v>5</v>
      </c>
      <c r="E20" s="3"/>
      <c r="F20" s="66"/>
      <c r="G20" s="3">
        <v>2716.05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19"/>
      <c r="AE20" s="53"/>
      <c r="AF20" s="6"/>
      <c r="AG20" s="6"/>
      <c r="AH20" s="56">
        <f t="shared" si="8"/>
        <v>0</v>
      </c>
      <c r="AI20" s="6"/>
      <c r="AJ20" s="6"/>
      <c r="AK20" s="6"/>
      <c r="AL20" s="6"/>
      <c r="AM20" s="56">
        <f t="shared" si="9"/>
        <v>0</v>
      </c>
      <c r="AN20" s="6"/>
      <c r="AO20" s="6"/>
      <c r="AP20" s="6"/>
      <c r="AQ20" s="56">
        <f t="shared" si="20"/>
        <v>0</v>
      </c>
      <c r="AR20" s="56">
        <f t="shared" si="21"/>
        <v>0</v>
      </c>
      <c r="AS20" s="56">
        <f t="shared" si="22"/>
        <v>0</v>
      </c>
      <c r="AT20" s="31">
        <v>15</v>
      </c>
      <c r="AU20" s="15">
        <v>1700</v>
      </c>
      <c r="AV20" s="6">
        <v>34</v>
      </c>
      <c r="AW20" s="6">
        <v>7.2</v>
      </c>
      <c r="AX20" s="6">
        <v>50</v>
      </c>
      <c r="AY20" s="9">
        <v>4.0000000000000002E-4</v>
      </c>
      <c r="AZ20" s="8"/>
      <c r="BA20" s="9"/>
      <c r="BB20" s="28"/>
      <c r="BC20" s="8">
        <f t="shared" si="0"/>
        <v>0</v>
      </c>
      <c r="BD20" s="9">
        <f t="shared" si="1"/>
        <v>0</v>
      </c>
      <c r="BE20" s="9">
        <f t="shared" si="17"/>
        <v>1610</v>
      </c>
      <c r="BF20" s="10" t="e">
        <f t="shared" si="3"/>
        <v>#N/A</v>
      </c>
      <c r="BG20" s="10" t="e">
        <f t="shared" si="4"/>
        <v>#N/A</v>
      </c>
      <c r="BH20" s="10">
        <f t="shared" si="5"/>
        <v>0</v>
      </c>
      <c r="BI20" s="10" t="str">
        <f t="shared" si="10"/>
        <v/>
      </c>
      <c r="BJ20" s="10">
        <f t="shared" si="13"/>
        <v>0</v>
      </c>
      <c r="BK20" s="45" t="str">
        <f t="shared" si="6"/>
        <v/>
      </c>
      <c r="BL20" s="10" t="str">
        <f t="shared" si="19"/>
        <v/>
      </c>
      <c r="BM20" s="10">
        <f t="shared" si="14"/>
        <v>0</v>
      </c>
      <c r="BN20" s="35">
        <f t="shared" si="11"/>
        <v>0</v>
      </c>
      <c r="BO20" s="49">
        <f t="shared" si="12"/>
        <v>0</v>
      </c>
      <c r="BP20" s="37">
        <f t="shared" si="7"/>
        <v>0</v>
      </c>
    </row>
    <row r="21" spans="1:68" x14ac:dyDescent="0.3">
      <c r="A21" s="1" t="s">
        <v>77</v>
      </c>
      <c r="B21" t="s">
        <v>78</v>
      </c>
      <c r="C21">
        <v>12</v>
      </c>
      <c r="D21">
        <v>5</v>
      </c>
      <c r="F21" s="67"/>
      <c r="G21">
        <v>2716.05</v>
      </c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0"/>
      <c r="AE21" s="54"/>
      <c r="AF21" s="22"/>
      <c r="AG21" s="22"/>
      <c r="AH21" s="57">
        <f t="shared" si="8"/>
        <v>0</v>
      </c>
      <c r="AI21" s="22"/>
      <c r="AJ21" s="22"/>
      <c r="AK21" s="22"/>
      <c r="AL21" s="22"/>
      <c r="AM21" s="57">
        <f t="shared" si="9"/>
        <v>0</v>
      </c>
      <c r="AN21" s="22"/>
      <c r="AO21" s="22"/>
      <c r="AP21" s="22"/>
      <c r="AQ21" s="57">
        <f t="shared" si="20"/>
        <v>0</v>
      </c>
      <c r="AR21" s="57">
        <f t="shared" si="21"/>
        <v>0</v>
      </c>
      <c r="AS21" s="57">
        <f t="shared" si="22"/>
        <v>0</v>
      </c>
      <c r="AT21" s="32">
        <v>15</v>
      </c>
      <c r="AU21" s="25">
        <v>1700</v>
      </c>
      <c r="AV21" s="22">
        <v>34</v>
      </c>
      <c r="AW21" s="22">
        <v>7.2</v>
      </c>
      <c r="AX21" s="22">
        <v>50</v>
      </c>
      <c r="AY21" s="23">
        <v>4.0000000000000002E-4</v>
      </c>
      <c r="AZ21" s="11"/>
      <c r="BA21" s="23"/>
      <c r="BB21" s="29"/>
      <c r="BC21" s="11">
        <f t="shared" si="0"/>
        <v>0</v>
      </c>
      <c r="BD21" s="23">
        <f t="shared" si="1"/>
        <v>0</v>
      </c>
      <c r="BE21" s="23">
        <f t="shared" si="17"/>
        <v>1610</v>
      </c>
      <c r="BF21" s="24" t="e">
        <f t="shared" si="3"/>
        <v>#N/A</v>
      </c>
      <c r="BG21" s="24" t="e">
        <f t="shared" si="4"/>
        <v>#N/A</v>
      </c>
      <c r="BH21" s="24">
        <f t="shared" si="5"/>
        <v>0</v>
      </c>
      <c r="BI21" s="24">
        <f t="shared" si="10"/>
        <v>0</v>
      </c>
      <c r="BJ21" s="24" t="str">
        <f t="shared" si="13"/>
        <v/>
      </c>
      <c r="BK21" s="46" t="str">
        <f t="shared" si="6"/>
        <v/>
      </c>
      <c r="BL21" s="24">
        <f t="shared" si="19"/>
        <v>12.074999999999999</v>
      </c>
      <c r="BM21" s="24" t="str">
        <f t="shared" si="14"/>
        <v/>
      </c>
      <c r="BN21" s="35">
        <f t="shared" si="11"/>
        <v>0</v>
      </c>
      <c r="BO21" s="49">
        <f t="shared" si="12"/>
        <v>0</v>
      </c>
      <c r="BP21" s="37">
        <f t="shared" si="7"/>
        <v>12.074999999999999</v>
      </c>
    </row>
    <row r="22" spans="1:68" ht="15" thickBot="1" x14ac:dyDescent="0.35">
      <c r="A22" s="4" t="s">
        <v>79</v>
      </c>
      <c r="B22" s="5" t="s">
        <v>78</v>
      </c>
      <c r="C22" s="5">
        <v>12</v>
      </c>
      <c r="D22" s="5">
        <v>5</v>
      </c>
      <c r="E22" s="5"/>
      <c r="F22" s="68"/>
      <c r="G22" s="5">
        <v>2716.05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21"/>
      <c r="AE22" s="55"/>
      <c r="AF22" s="7"/>
      <c r="AG22" s="7"/>
      <c r="AH22" s="58">
        <f t="shared" si="8"/>
        <v>0</v>
      </c>
      <c r="AI22" s="7"/>
      <c r="AJ22" s="7"/>
      <c r="AK22" s="7"/>
      <c r="AL22" s="7"/>
      <c r="AM22" s="58">
        <f t="shared" si="9"/>
        <v>0</v>
      </c>
      <c r="AN22" s="7"/>
      <c r="AO22" s="7"/>
      <c r="AP22" s="7"/>
      <c r="AQ22" s="58">
        <f t="shared" si="20"/>
        <v>0</v>
      </c>
      <c r="AR22" s="58">
        <f t="shared" si="21"/>
        <v>0</v>
      </c>
      <c r="AS22" s="58">
        <f t="shared" si="22"/>
        <v>0</v>
      </c>
      <c r="AT22" s="33">
        <v>15</v>
      </c>
      <c r="AU22" s="16">
        <v>1700</v>
      </c>
      <c r="AV22" s="7">
        <v>34</v>
      </c>
      <c r="AW22" s="7">
        <v>7.2</v>
      </c>
      <c r="AX22" s="7">
        <v>50</v>
      </c>
      <c r="AY22" s="13">
        <v>4.0000000000000002E-4</v>
      </c>
      <c r="AZ22" s="12"/>
      <c r="BA22" s="13"/>
      <c r="BB22" s="30"/>
      <c r="BC22" s="12">
        <f t="shared" si="0"/>
        <v>0</v>
      </c>
      <c r="BD22" s="13">
        <f t="shared" si="1"/>
        <v>0</v>
      </c>
      <c r="BE22" s="13">
        <f t="shared" si="17"/>
        <v>1610</v>
      </c>
      <c r="BF22" s="14" t="e">
        <f t="shared" si="3"/>
        <v>#N/A</v>
      </c>
      <c r="BG22" s="14" t="e">
        <f t="shared" si="4"/>
        <v>#N/A</v>
      </c>
      <c r="BH22" s="14">
        <f t="shared" si="5"/>
        <v>0</v>
      </c>
      <c r="BI22" s="14">
        <f t="shared" si="10"/>
        <v>0</v>
      </c>
      <c r="BJ22" s="14" t="str">
        <f t="shared" si="13"/>
        <v/>
      </c>
      <c r="BK22" s="47" t="str">
        <f t="shared" si="6"/>
        <v/>
      </c>
      <c r="BL22" s="14">
        <f t="shared" si="19"/>
        <v>12.074999999999999</v>
      </c>
      <c r="BM22" s="14" t="str">
        <f t="shared" si="14"/>
        <v/>
      </c>
      <c r="BN22" s="35">
        <f t="shared" si="11"/>
        <v>0</v>
      </c>
      <c r="BO22" s="49">
        <f t="shared" si="12"/>
        <v>0</v>
      </c>
      <c r="BP22" s="37">
        <f t="shared" si="7"/>
        <v>12.074999999999999</v>
      </c>
    </row>
    <row r="23" spans="1:68" x14ac:dyDescent="0.3">
      <c r="A23" s="1" t="s">
        <v>74</v>
      </c>
      <c r="B23" t="s">
        <v>75</v>
      </c>
      <c r="C23">
        <v>12</v>
      </c>
      <c r="D23">
        <v>6</v>
      </c>
      <c r="F23" s="67"/>
      <c r="G23">
        <v>3307.9</v>
      </c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0"/>
      <c r="AE23" s="53"/>
      <c r="AF23" s="6"/>
      <c r="AG23" s="6"/>
      <c r="AH23" s="56">
        <f t="shared" si="8"/>
        <v>0</v>
      </c>
      <c r="AI23" s="6"/>
      <c r="AJ23" s="6"/>
      <c r="AK23" s="6"/>
      <c r="AL23" s="6"/>
      <c r="AM23" s="56">
        <f t="shared" si="9"/>
        <v>0</v>
      </c>
      <c r="AN23" s="6"/>
      <c r="AO23" s="6"/>
      <c r="AP23" s="6"/>
      <c r="AQ23" s="56">
        <f t="shared" si="20"/>
        <v>0</v>
      </c>
      <c r="AR23" s="56">
        <f t="shared" si="21"/>
        <v>0</v>
      </c>
      <c r="AS23" s="56">
        <f t="shared" si="22"/>
        <v>0</v>
      </c>
      <c r="AT23" s="31">
        <v>15</v>
      </c>
      <c r="AU23" s="15">
        <v>1700</v>
      </c>
      <c r="AV23" s="6">
        <v>34</v>
      </c>
      <c r="AW23" s="6">
        <v>7.2</v>
      </c>
      <c r="AX23" s="6">
        <v>50</v>
      </c>
      <c r="AY23" s="9">
        <v>4.0000000000000002E-4</v>
      </c>
      <c r="AZ23" s="8"/>
      <c r="BA23" s="9"/>
      <c r="BB23" s="28"/>
      <c r="BC23" s="8">
        <f t="shared" si="0"/>
        <v>0</v>
      </c>
      <c r="BD23" s="9">
        <f t="shared" si="1"/>
        <v>0</v>
      </c>
      <c r="BE23" s="9">
        <f t="shared" si="17"/>
        <v>1595</v>
      </c>
      <c r="BF23" s="10" t="e">
        <f t="shared" si="3"/>
        <v>#N/A</v>
      </c>
      <c r="BG23" s="10" t="e">
        <f t="shared" si="4"/>
        <v>#N/A</v>
      </c>
      <c r="BH23" s="10">
        <f t="shared" si="5"/>
        <v>0</v>
      </c>
      <c r="BI23" s="10" t="str">
        <f t="shared" si="10"/>
        <v/>
      </c>
      <c r="BJ23" s="10">
        <f t="shared" si="13"/>
        <v>0</v>
      </c>
      <c r="BK23" s="45" t="str">
        <f t="shared" si="6"/>
        <v/>
      </c>
      <c r="BL23" s="10" t="str">
        <f t="shared" si="19"/>
        <v/>
      </c>
      <c r="BM23" s="10">
        <f t="shared" si="14"/>
        <v>0</v>
      </c>
      <c r="BN23" s="34">
        <f t="shared" si="11"/>
        <v>0</v>
      </c>
      <c r="BO23" s="48">
        <f t="shared" si="12"/>
        <v>0</v>
      </c>
      <c r="BP23" s="39">
        <f t="shared" si="7"/>
        <v>0</v>
      </c>
    </row>
    <row r="24" spans="1:68" x14ac:dyDescent="0.3">
      <c r="A24" s="1" t="s">
        <v>77</v>
      </c>
      <c r="B24" t="s">
        <v>78</v>
      </c>
      <c r="C24">
        <v>12</v>
      </c>
      <c r="D24">
        <v>6</v>
      </c>
      <c r="F24" s="67"/>
      <c r="G24">
        <v>3307.9</v>
      </c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0"/>
      <c r="AE24" s="54"/>
      <c r="AF24" s="22"/>
      <c r="AG24" s="22"/>
      <c r="AH24" s="57">
        <f t="shared" si="8"/>
        <v>0</v>
      </c>
      <c r="AI24" s="22"/>
      <c r="AJ24" s="22"/>
      <c r="AK24" s="22"/>
      <c r="AL24" s="22"/>
      <c r="AM24" s="57">
        <f t="shared" si="9"/>
        <v>0</v>
      </c>
      <c r="AN24" s="22"/>
      <c r="AO24" s="22"/>
      <c r="AP24" s="22"/>
      <c r="AQ24" s="57">
        <f t="shared" si="20"/>
        <v>0</v>
      </c>
      <c r="AR24" s="57">
        <f t="shared" si="21"/>
        <v>0</v>
      </c>
      <c r="AS24" s="57">
        <f t="shared" si="22"/>
        <v>0</v>
      </c>
      <c r="AT24" s="32">
        <v>15</v>
      </c>
      <c r="AU24" s="25">
        <v>1700</v>
      </c>
      <c r="AV24" s="22">
        <v>34</v>
      </c>
      <c r="AW24" s="22">
        <v>7.2</v>
      </c>
      <c r="AX24" s="22">
        <v>50</v>
      </c>
      <c r="AY24" s="23">
        <v>4.0000000000000002E-4</v>
      </c>
      <c r="AZ24" s="11"/>
      <c r="BA24" s="23"/>
      <c r="BB24" s="29"/>
      <c r="BC24" s="11">
        <f t="shared" si="0"/>
        <v>0</v>
      </c>
      <c r="BD24" s="23">
        <f t="shared" si="1"/>
        <v>0</v>
      </c>
      <c r="BE24" s="23">
        <f t="shared" si="17"/>
        <v>1595</v>
      </c>
      <c r="BF24" s="24" t="e">
        <f t="shared" si="3"/>
        <v>#N/A</v>
      </c>
      <c r="BG24" s="24" t="e">
        <f t="shared" si="4"/>
        <v>#N/A</v>
      </c>
      <c r="BH24" s="24">
        <f t="shared" si="5"/>
        <v>0</v>
      </c>
      <c r="BI24" s="24">
        <f t="shared" si="10"/>
        <v>0</v>
      </c>
      <c r="BJ24" s="24" t="str">
        <f t="shared" si="13"/>
        <v/>
      </c>
      <c r="BK24" s="46" t="str">
        <f t="shared" si="6"/>
        <v/>
      </c>
      <c r="BL24" s="24">
        <f t="shared" si="19"/>
        <v>11.9625</v>
      </c>
      <c r="BM24" s="24" t="str">
        <f t="shared" si="14"/>
        <v/>
      </c>
      <c r="BN24" s="35">
        <f t="shared" si="11"/>
        <v>0</v>
      </c>
      <c r="BO24" s="49">
        <f t="shared" si="12"/>
        <v>0</v>
      </c>
      <c r="BP24" s="37">
        <f t="shared" si="7"/>
        <v>11.9625</v>
      </c>
    </row>
    <row r="25" spans="1:68" ht="15" thickBot="1" x14ac:dyDescent="0.35">
      <c r="A25" s="1" t="s">
        <v>79</v>
      </c>
      <c r="B25" t="s">
        <v>78</v>
      </c>
      <c r="C25">
        <v>12</v>
      </c>
      <c r="D25">
        <v>6</v>
      </c>
      <c r="F25" s="67"/>
      <c r="G25">
        <v>3307.9</v>
      </c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0"/>
      <c r="AE25" s="55"/>
      <c r="AF25" s="7"/>
      <c r="AG25" s="7"/>
      <c r="AH25" s="58">
        <f t="shared" si="8"/>
        <v>0</v>
      </c>
      <c r="AI25" s="7"/>
      <c r="AJ25" s="7"/>
      <c r="AK25" s="7"/>
      <c r="AL25" s="7"/>
      <c r="AM25" s="58">
        <f t="shared" si="9"/>
        <v>0</v>
      </c>
      <c r="AN25" s="7"/>
      <c r="AO25" s="7"/>
      <c r="AP25" s="7"/>
      <c r="AQ25" s="58">
        <f t="shared" si="20"/>
        <v>0</v>
      </c>
      <c r="AR25" s="58">
        <f t="shared" si="21"/>
        <v>0</v>
      </c>
      <c r="AS25" s="58">
        <f t="shared" si="22"/>
        <v>0</v>
      </c>
      <c r="AT25" s="33">
        <v>15</v>
      </c>
      <c r="AU25" s="16">
        <v>1700</v>
      </c>
      <c r="AV25" s="7">
        <v>34</v>
      </c>
      <c r="AW25" s="7">
        <v>7.2</v>
      </c>
      <c r="AX25" s="7">
        <v>50</v>
      </c>
      <c r="AY25" s="13">
        <v>4.0000000000000002E-4</v>
      </c>
      <c r="AZ25" s="12"/>
      <c r="BA25" s="13"/>
      <c r="BB25" s="30"/>
      <c r="BC25" s="12">
        <f t="shared" si="0"/>
        <v>0</v>
      </c>
      <c r="BD25" s="13">
        <f t="shared" si="1"/>
        <v>0</v>
      </c>
      <c r="BE25" s="13">
        <f t="shared" si="17"/>
        <v>1595</v>
      </c>
      <c r="BF25" s="14" t="e">
        <f t="shared" si="3"/>
        <v>#N/A</v>
      </c>
      <c r="BG25" s="14" t="e">
        <f t="shared" si="4"/>
        <v>#N/A</v>
      </c>
      <c r="BH25" s="14">
        <f t="shared" si="5"/>
        <v>0</v>
      </c>
      <c r="BI25" s="14">
        <f t="shared" si="10"/>
        <v>0</v>
      </c>
      <c r="BJ25" s="14" t="str">
        <f t="shared" si="13"/>
        <v/>
      </c>
      <c r="BK25" s="47" t="str">
        <f t="shared" si="6"/>
        <v/>
      </c>
      <c r="BL25" s="14">
        <f t="shared" si="19"/>
        <v>11.9625</v>
      </c>
      <c r="BM25" s="14" t="str">
        <f t="shared" si="14"/>
        <v/>
      </c>
      <c r="BN25" s="36">
        <f t="shared" si="11"/>
        <v>0</v>
      </c>
      <c r="BO25" s="50">
        <f t="shared" si="12"/>
        <v>0</v>
      </c>
      <c r="BP25" s="38">
        <f t="shared" si="7"/>
        <v>11.9625</v>
      </c>
    </row>
    <row r="26" spans="1:68" x14ac:dyDescent="0.3">
      <c r="A26" s="2" t="s">
        <v>74</v>
      </c>
      <c r="B26" s="3" t="s">
        <v>75</v>
      </c>
      <c r="C26" s="3">
        <v>12</v>
      </c>
      <c r="D26" s="3">
        <v>7</v>
      </c>
      <c r="E26" s="3"/>
      <c r="F26" s="66"/>
      <c r="G26" s="3">
        <v>3888.32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19"/>
      <c r="AE26" s="53"/>
      <c r="AF26" s="6"/>
      <c r="AG26" s="6"/>
      <c r="AH26" s="56">
        <f t="shared" si="8"/>
        <v>0</v>
      </c>
      <c r="AI26" s="6"/>
      <c r="AJ26" s="6"/>
      <c r="AK26" s="6"/>
      <c r="AL26" s="6"/>
      <c r="AM26" s="56">
        <f t="shared" si="9"/>
        <v>0</v>
      </c>
      <c r="AN26" s="6"/>
      <c r="AO26" s="6"/>
      <c r="AP26" s="6"/>
      <c r="AQ26" s="56">
        <f t="shared" si="20"/>
        <v>0</v>
      </c>
      <c r="AR26" s="56">
        <f t="shared" si="21"/>
        <v>0</v>
      </c>
      <c r="AS26" s="56">
        <f t="shared" si="22"/>
        <v>0</v>
      </c>
      <c r="AT26" s="31">
        <v>15</v>
      </c>
      <c r="AU26" s="15">
        <v>1700</v>
      </c>
      <c r="AV26" s="6">
        <v>34</v>
      </c>
      <c r="AW26" s="6">
        <v>7.2</v>
      </c>
      <c r="AX26" s="6">
        <v>50</v>
      </c>
      <c r="AY26" s="9">
        <v>4.0000000000000002E-4</v>
      </c>
      <c r="AZ26" s="8"/>
      <c r="BA26" s="9"/>
      <c r="BB26" s="28"/>
      <c r="BC26" s="8">
        <f t="shared" si="0"/>
        <v>0</v>
      </c>
      <c r="BD26" s="9">
        <f t="shared" si="1"/>
        <v>0</v>
      </c>
      <c r="BE26" s="9">
        <f t="shared" si="17"/>
        <v>1580</v>
      </c>
      <c r="BF26" s="10" t="e">
        <f t="shared" si="3"/>
        <v>#N/A</v>
      </c>
      <c r="BG26" s="10" t="e">
        <f t="shared" si="4"/>
        <v>#N/A</v>
      </c>
      <c r="BH26" s="10">
        <f t="shared" si="5"/>
        <v>0</v>
      </c>
      <c r="BI26" s="10" t="str">
        <f t="shared" si="10"/>
        <v/>
      </c>
      <c r="BJ26" s="10">
        <f t="shared" si="13"/>
        <v>0</v>
      </c>
      <c r="BK26" s="45" t="str">
        <f t="shared" si="6"/>
        <v/>
      </c>
      <c r="BL26" s="10" t="str">
        <f t="shared" si="19"/>
        <v/>
      </c>
      <c r="BM26" s="10">
        <f t="shared" si="14"/>
        <v>0</v>
      </c>
      <c r="BN26" s="35">
        <f t="shared" si="11"/>
        <v>0</v>
      </c>
      <c r="BO26" s="49">
        <f t="shared" si="12"/>
        <v>0</v>
      </c>
      <c r="BP26" s="37">
        <f t="shared" si="7"/>
        <v>0</v>
      </c>
    </row>
    <row r="27" spans="1:68" x14ac:dyDescent="0.3">
      <c r="A27" s="1" t="s">
        <v>77</v>
      </c>
      <c r="B27" t="s">
        <v>78</v>
      </c>
      <c r="C27">
        <v>12</v>
      </c>
      <c r="D27">
        <v>7</v>
      </c>
      <c r="F27" s="67"/>
      <c r="G27">
        <v>3888.32</v>
      </c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0"/>
      <c r="AE27" s="54"/>
      <c r="AF27" s="22"/>
      <c r="AG27" s="22"/>
      <c r="AH27" s="57">
        <f t="shared" si="8"/>
        <v>0</v>
      </c>
      <c r="AI27" s="22"/>
      <c r="AJ27" s="22"/>
      <c r="AK27" s="22"/>
      <c r="AL27" s="22"/>
      <c r="AM27" s="57">
        <f t="shared" si="9"/>
        <v>0</v>
      </c>
      <c r="AN27" s="22"/>
      <c r="AO27" s="22"/>
      <c r="AP27" s="22"/>
      <c r="AQ27" s="57">
        <f t="shared" si="20"/>
        <v>0</v>
      </c>
      <c r="AR27" s="57">
        <f t="shared" si="21"/>
        <v>0</v>
      </c>
      <c r="AS27" s="57">
        <f t="shared" si="22"/>
        <v>0</v>
      </c>
      <c r="AT27" s="32">
        <v>15</v>
      </c>
      <c r="AU27" s="25">
        <v>1700</v>
      </c>
      <c r="AV27" s="22">
        <v>34</v>
      </c>
      <c r="AW27" s="22">
        <v>7.2</v>
      </c>
      <c r="AX27" s="22">
        <v>50</v>
      </c>
      <c r="AY27" s="23">
        <v>4.0000000000000002E-4</v>
      </c>
      <c r="AZ27" s="11"/>
      <c r="BA27" s="23"/>
      <c r="BB27" s="29"/>
      <c r="BC27" s="11">
        <f t="shared" si="0"/>
        <v>0</v>
      </c>
      <c r="BD27" s="23">
        <f t="shared" si="1"/>
        <v>0</v>
      </c>
      <c r="BE27" s="23">
        <f t="shared" si="17"/>
        <v>1580</v>
      </c>
      <c r="BF27" s="24" t="e">
        <f t="shared" si="3"/>
        <v>#N/A</v>
      </c>
      <c r="BG27" s="24" t="e">
        <f t="shared" si="4"/>
        <v>#N/A</v>
      </c>
      <c r="BH27" s="24">
        <f t="shared" si="5"/>
        <v>0</v>
      </c>
      <c r="BI27" s="24">
        <f t="shared" si="10"/>
        <v>0</v>
      </c>
      <c r="BJ27" s="24" t="str">
        <f t="shared" si="13"/>
        <v/>
      </c>
      <c r="BK27" s="46" t="str">
        <f t="shared" si="6"/>
        <v/>
      </c>
      <c r="BL27" s="24">
        <f t="shared" si="19"/>
        <v>11.85</v>
      </c>
      <c r="BM27" s="24" t="str">
        <f t="shared" si="14"/>
        <v/>
      </c>
      <c r="BN27" s="35">
        <f t="shared" si="11"/>
        <v>0</v>
      </c>
      <c r="BO27" s="49">
        <f t="shared" si="12"/>
        <v>0</v>
      </c>
      <c r="BP27" s="37">
        <f t="shared" si="7"/>
        <v>11.85</v>
      </c>
    </row>
    <row r="28" spans="1:68" ht="15" thickBot="1" x14ac:dyDescent="0.35">
      <c r="A28" s="4" t="s">
        <v>79</v>
      </c>
      <c r="B28" s="5" t="s">
        <v>78</v>
      </c>
      <c r="C28" s="5">
        <v>12</v>
      </c>
      <c r="D28" s="5">
        <v>7</v>
      </c>
      <c r="E28" s="5"/>
      <c r="F28" s="68"/>
      <c r="G28" s="5">
        <v>3888.32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21"/>
      <c r="AE28" s="55"/>
      <c r="AF28" s="7"/>
      <c r="AG28" s="7"/>
      <c r="AH28" s="58">
        <f t="shared" si="8"/>
        <v>0</v>
      </c>
      <c r="AI28" s="7"/>
      <c r="AJ28" s="7"/>
      <c r="AK28" s="7"/>
      <c r="AL28" s="7"/>
      <c r="AM28" s="58">
        <f t="shared" si="9"/>
        <v>0</v>
      </c>
      <c r="AN28" s="7"/>
      <c r="AO28" s="7"/>
      <c r="AP28" s="7"/>
      <c r="AQ28" s="58">
        <f t="shared" si="20"/>
        <v>0</v>
      </c>
      <c r="AR28" s="58">
        <f t="shared" si="21"/>
        <v>0</v>
      </c>
      <c r="AS28" s="58">
        <f t="shared" si="22"/>
        <v>0</v>
      </c>
      <c r="AT28" s="33">
        <v>15</v>
      </c>
      <c r="AU28" s="16">
        <v>1700</v>
      </c>
      <c r="AV28" s="7">
        <v>34</v>
      </c>
      <c r="AW28" s="7">
        <v>7.2</v>
      </c>
      <c r="AX28" s="7">
        <v>50</v>
      </c>
      <c r="AY28" s="13">
        <v>4.0000000000000002E-4</v>
      </c>
      <c r="AZ28" s="12"/>
      <c r="BA28" s="13"/>
      <c r="BB28" s="30"/>
      <c r="BC28" s="12">
        <f t="shared" si="0"/>
        <v>0</v>
      </c>
      <c r="BD28" s="13">
        <f t="shared" si="1"/>
        <v>0</v>
      </c>
      <c r="BE28" s="13">
        <f t="shared" si="17"/>
        <v>1580</v>
      </c>
      <c r="BF28" s="14" t="e">
        <f t="shared" si="3"/>
        <v>#N/A</v>
      </c>
      <c r="BG28" s="14" t="e">
        <f t="shared" si="4"/>
        <v>#N/A</v>
      </c>
      <c r="BH28" s="14">
        <f t="shared" si="5"/>
        <v>0</v>
      </c>
      <c r="BI28" s="14">
        <f t="shared" si="10"/>
        <v>0</v>
      </c>
      <c r="BJ28" s="14" t="str">
        <f t="shared" si="13"/>
        <v/>
      </c>
      <c r="BK28" s="47" t="str">
        <f t="shared" si="6"/>
        <v/>
      </c>
      <c r="BL28" s="14">
        <f t="shared" si="19"/>
        <v>11.85</v>
      </c>
      <c r="BM28" s="14" t="str">
        <f t="shared" si="14"/>
        <v/>
      </c>
      <c r="BN28" s="35">
        <f t="shared" si="11"/>
        <v>0</v>
      </c>
      <c r="BO28" s="49">
        <f t="shared" si="12"/>
        <v>0</v>
      </c>
      <c r="BP28" s="37">
        <f t="shared" si="7"/>
        <v>11.85</v>
      </c>
    </row>
    <row r="29" spans="1:68" x14ac:dyDescent="0.3">
      <c r="A29" s="1" t="s">
        <v>74</v>
      </c>
      <c r="B29" t="s">
        <v>75</v>
      </c>
      <c r="C29">
        <v>12</v>
      </c>
      <c r="D29">
        <v>8</v>
      </c>
      <c r="F29" s="67"/>
      <c r="G29">
        <v>4309.7</v>
      </c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0"/>
      <c r="AE29" s="53"/>
      <c r="AF29" s="6"/>
      <c r="AG29" s="6"/>
      <c r="AH29" s="56">
        <f t="shared" si="8"/>
        <v>0</v>
      </c>
      <c r="AI29" s="6"/>
      <c r="AJ29" s="6"/>
      <c r="AK29" s="6"/>
      <c r="AL29" s="6"/>
      <c r="AM29" s="56">
        <f t="shared" si="9"/>
        <v>0</v>
      </c>
      <c r="AN29" s="6"/>
      <c r="AO29" s="6"/>
      <c r="AP29" s="6"/>
      <c r="AQ29" s="56">
        <f t="shared" si="20"/>
        <v>0</v>
      </c>
      <c r="AR29" s="56">
        <f t="shared" si="21"/>
        <v>0</v>
      </c>
      <c r="AS29" s="56">
        <f t="shared" si="22"/>
        <v>0</v>
      </c>
      <c r="AT29" s="31">
        <v>15</v>
      </c>
      <c r="AU29" s="3">
        <v>1700</v>
      </c>
      <c r="AV29" s="6">
        <v>34</v>
      </c>
      <c r="AW29" s="6">
        <v>7.2</v>
      </c>
      <c r="AX29" s="6">
        <v>50</v>
      </c>
      <c r="AY29" s="9">
        <v>4.0000000000000002E-4</v>
      </c>
      <c r="AZ29" s="8"/>
      <c r="BA29" s="9"/>
      <c r="BB29" s="28"/>
      <c r="BC29" s="8">
        <f t="shared" ref="BC29:BC43" si="23">AY29*K29*BE29/1000</f>
        <v>0</v>
      </c>
      <c r="BD29" s="9">
        <f t="shared" ref="BD29:BD43" si="24">BC29*24*60</f>
        <v>0</v>
      </c>
      <c r="BE29" s="9">
        <f t="shared" si="17"/>
        <v>1565</v>
      </c>
      <c r="BF29" s="10" t="e">
        <f t="shared" ref="BF29:BF43" si="25">IF(ISBLANK(AN29),NA(),IFERROR(AN29/BE29,0))</f>
        <v>#N/A</v>
      </c>
      <c r="BG29" s="10" t="e">
        <f t="shared" ref="BG29:BG43" si="26">IF(ISBLANK(AN29),NA(),AN29/AU29)</f>
        <v>#N/A</v>
      </c>
      <c r="BH29" s="10">
        <f t="shared" ref="BH29:BH43" si="27">AM29*24*60</f>
        <v>0</v>
      </c>
      <c r="BI29" s="10" t="str">
        <f t="shared" si="10"/>
        <v/>
      </c>
      <c r="BJ29" s="10">
        <f t="shared" si="13"/>
        <v>0</v>
      </c>
      <c r="BK29" s="45" t="str">
        <f t="shared" ref="BK29:BK43" si="28">IF(B29="No MPC", AY29*K29*BE29/1000,"")</f>
        <v/>
      </c>
      <c r="BL29" s="10" t="str">
        <f t="shared" si="19"/>
        <v/>
      </c>
      <c r="BM29" s="10">
        <f t="shared" si="14"/>
        <v>0</v>
      </c>
      <c r="BN29" s="34">
        <f t="shared" si="11"/>
        <v>0</v>
      </c>
      <c r="BO29" s="48">
        <f t="shared" si="12"/>
        <v>0</v>
      </c>
      <c r="BP29" s="39">
        <f t="shared" ref="BP29:BP43" si="29">IF(BL29&lt;&gt;"",BL29,BM29)</f>
        <v>0</v>
      </c>
    </row>
    <row r="30" spans="1:68" x14ac:dyDescent="0.3">
      <c r="A30" s="1" t="s">
        <v>77</v>
      </c>
      <c r="B30" t="s">
        <v>78</v>
      </c>
      <c r="C30">
        <v>12</v>
      </c>
      <c r="D30">
        <v>8</v>
      </c>
      <c r="F30" s="67"/>
      <c r="G30">
        <v>4309.7</v>
      </c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0"/>
      <c r="AE30" s="54"/>
      <c r="AF30" s="22"/>
      <c r="AG30" s="22"/>
      <c r="AH30" s="57">
        <f t="shared" si="8"/>
        <v>0</v>
      </c>
      <c r="AI30" s="22"/>
      <c r="AJ30" s="22"/>
      <c r="AK30" s="22"/>
      <c r="AL30" s="22"/>
      <c r="AM30" s="57">
        <f t="shared" si="9"/>
        <v>0</v>
      </c>
      <c r="AN30" s="22"/>
      <c r="AO30" s="22"/>
      <c r="AP30" s="22"/>
      <c r="AQ30" s="57">
        <f t="shared" si="20"/>
        <v>0</v>
      </c>
      <c r="AR30" s="57">
        <f t="shared" si="21"/>
        <v>0</v>
      </c>
      <c r="AS30" s="57">
        <f t="shared" si="22"/>
        <v>0</v>
      </c>
      <c r="AT30" s="32">
        <v>15</v>
      </c>
      <c r="AU30">
        <v>1700</v>
      </c>
      <c r="AV30" s="22">
        <v>34</v>
      </c>
      <c r="AW30" s="22">
        <v>7.2</v>
      </c>
      <c r="AX30" s="22">
        <v>50</v>
      </c>
      <c r="AY30" s="23">
        <v>4.0000000000000002E-4</v>
      </c>
      <c r="AZ30" s="11"/>
      <c r="BA30" s="23"/>
      <c r="BB30" s="23"/>
      <c r="BC30" s="11">
        <f t="shared" si="23"/>
        <v>0</v>
      </c>
      <c r="BD30" s="23">
        <f t="shared" si="24"/>
        <v>0</v>
      </c>
      <c r="BE30" s="23">
        <f t="shared" si="17"/>
        <v>1565</v>
      </c>
      <c r="BF30" s="24" t="e">
        <f t="shared" si="25"/>
        <v>#N/A</v>
      </c>
      <c r="BG30" s="24" t="e">
        <f t="shared" si="26"/>
        <v>#N/A</v>
      </c>
      <c r="BH30" s="24">
        <f t="shared" si="27"/>
        <v>0</v>
      </c>
      <c r="BI30" s="24">
        <f t="shared" ref="BI30:BI43" si="30">IF(B30="Python",AZ30*BE30/24/60,"")</f>
        <v>0</v>
      </c>
      <c r="BJ30" s="24" t="str">
        <f t="shared" ref="BJ30:BJ43" si="31">IF(B30="Julia",BA30*BE30/24/60,"")</f>
        <v/>
      </c>
      <c r="BK30" s="46" t="str">
        <f t="shared" si="28"/>
        <v/>
      </c>
      <c r="BL30" s="24">
        <f t="shared" si="19"/>
        <v>11.737500000000001</v>
      </c>
      <c r="BM30" s="24" t="str">
        <f t="shared" ref="BM30:BM43" si="32">IF(B30="Julia",BB30*BE30,"")</f>
        <v/>
      </c>
      <c r="BN30" s="35">
        <f t="shared" si="11"/>
        <v>0</v>
      </c>
      <c r="BO30" s="49">
        <f t="shared" si="12"/>
        <v>0</v>
      </c>
      <c r="BP30" s="37">
        <f t="shared" si="29"/>
        <v>11.737500000000001</v>
      </c>
    </row>
    <row r="31" spans="1:68" ht="15" thickBot="1" x14ac:dyDescent="0.35">
      <c r="A31" s="1" t="s">
        <v>79</v>
      </c>
      <c r="B31" t="s">
        <v>78</v>
      </c>
      <c r="C31">
        <v>12</v>
      </c>
      <c r="D31">
        <v>8</v>
      </c>
      <c r="F31" s="67"/>
      <c r="G31">
        <v>4309.7</v>
      </c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0"/>
      <c r="AE31" s="55"/>
      <c r="AF31" s="7"/>
      <c r="AG31" s="7"/>
      <c r="AH31" s="58">
        <f t="shared" si="8"/>
        <v>0</v>
      </c>
      <c r="AI31" s="7"/>
      <c r="AJ31" s="7"/>
      <c r="AK31" s="7"/>
      <c r="AL31" s="7"/>
      <c r="AM31" s="58">
        <f t="shared" si="9"/>
        <v>0</v>
      </c>
      <c r="AN31" s="7"/>
      <c r="AO31" s="7"/>
      <c r="AP31" s="7"/>
      <c r="AQ31" s="58">
        <f t="shared" si="20"/>
        <v>0</v>
      </c>
      <c r="AR31" s="58">
        <f t="shared" si="21"/>
        <v>0</v>
      </c>
      <c r="AS31" s="58">
        <f t="shared" si="22"/>
        <v>0</v>
      </c>
      <c r="AT31" s="33">
        <v>15</v>
      </c>
      <c r="AU31" s="5">
        <v>1700</v>
      </c>
      <c r="AV31" s="7">
        <v>34</v>
      </c>
      <c r="AW31" s="7">
        <v>7.2</v>
      </c>
      <c r="AX31" s="7">
        <v>50</v>
      </c>
      <c r="AY31" s="13">
        <v>4.0000000000000002E-4</v>
      </c>
      <c r="AZ31" s="12"/>
      <c r="BA31" s="13"/>
      <c r="BB31" s="13"/>
      <c r="BC31" s="12">
        <f t="shared" si="23"/>
        <v>0</v>
      </c>
      <c r="BD31" s="13">
        <f t="shared" si="24"/>
        <v>0</v>
      </c>
      <c r="BE31" s="13">
        <f t="shared" si="17"/>
        <v>1565</v>
      </c>
      <c r="BF31" s="14" t="e">
        <f t="shared" si="25"/>
        <v>#N/A</v>
      </c>
      <c r="BG31" s="14" t="e">
        <f t="shared" si="26"/>
        <v>#N/A</v>
      </c>
      <c r="BH31" s="14">
        <f t="shared" si="27"/>
        <v>0</v>
      </c>
      <c r="BI31" s="14">
        <f t="shared" si="30"/>
        <v>0</v>
      </c>
      <c r="BJ31" s="14" t="str">
        <f t="shared" si="31"/>
        <v/>
      </c>
      <c r="BK31" s="47" t="str">
        <f t="shared" si="28"/>
        <v/>
      </c>
      <c r="BL31" s="14">
        <f t="shared" si="19"/>
        <v>11.737500000000001</v>
      </c>
      <c r="BM31" s="14" t="str">
        <f t="shared" si="32"/>
        <v/>
      </c>
      <c r="BN31" s="36">
        <f t="shared" si="11"/>
        <v>0</v>
      </c>
      <c r="BO31" s="50">
        <f t="shared" si="12"/>
        <v>0</v>
      </c>
      <c r="BP31" s="38">
        <f t="shared" si="29"/>
        <v>11.737500000000001</v>
      </c>
    </row>
    <row r="32" spans="1:68" x14ac:dyDescent="0.3">
      <c r="A32" s="2" t="s">
        <v>74</v>
      </c>
      <c r="B32" s="3" t="s">
        <v>75</v>
      </c>
      <c r="C32" s="3">
        <v>12</v>
      </c>
      <c r="D32" s="3">
        <v>9</v>
      </c>
      <c r="E32" s="3"/>
      <c r="F32" s="66"/>
      <c r="G32" s="3">
        <v>4805.7299999999996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19"/>
      <c r="AE32" s="53"/>
      <c r="AF32" s="6"/>
      <c r="AG32" s="6"/>
      <c r="AH32" s="56">
        <f t="shared" si="8"/>
        <v>0</v>
      </c>
      <c r="AI32" s="6"/>
      <c r="AJ32" s="6"/>
      <c r="AK32" s="6"/>
      <c r="AL32" s="6"/>
      <c r="AM32" s="56">
        <f t="shared" si="9"/>
        <v>0</v>
      </c>
      <c r="AN32" s="6"/>
      <c r="AO32" s="6"/>
      <c r="AP32" s="6"/>
      <c r="AQ32" s="56">
        <f t="shared" si="20"/>
        <v>0</v>
      </c>
      <c r="AR32" s="56">
        <f t="shared" si="21"/>
        <v>0</v>
      </c>
      <c r="AS32" s="56">
        <f t="shared" si="22"/>
        <v>0</v>
      </c>
      <c r="AT32" s="31">
        <v>15</v>
      </c>
      <c r="AU32" s="3">
        <v>1700</v>
      </c>
      <c r="AV32" s="6">
        <v>34</v>
      </c>
      <c r="AW32" s="6">
        <v>7.2</v>
      </c>
      <c r="AX32" s="6">
        <v>50</v>
      </c>
      <c r="AY32" s="9">
        <v>4.0000000000000002E-4</v>
      </c>
      <c r="AZ32" s="8"/>
      <c r="BA32" s="9"/>
      <c r="BB32" s="28"/>
      <c r="BC32" s="8">
        <f t="shared" si="23"/>
        <v>0</v>
      </c>
      <c r="BD32" s="9">
        <f t="shared" si="24"/>
        <v>0</v>
      </c>
      <c r="BE32" s="9">
        <f t="shared" si="17"/>
        <v>1550</v>
      </c>
      <c r="BF32" s="10" t="e">
        <f t="shared" si="25"/>
        <v>#N/A</v>
      </c>
      <c r="BG32" s="10" t="e">
        <f t="shared" si="26"/>
        <v>#N/A</v>
      </c>
      <c r="BH32" s="10">
        <f t="shared" si="27"/>
        <v>0</v>
      </c>
      <c r="BI32" s="10" t="str">
        <f t="shared" si="30"/>
        <v/>
      </c>
      <c r="BJ32" s="10">
        <f t="shared" si="31"/>
        <v>0</v>
      </c>
      <c r="BK32" s="45" t="str">
        <f t="shared" si="28"/>
        <v/>
      </c>
      <c r="BL32" s="10" t="str">
        <f t="shared" si="19"/>
        <v/>
      </c>
      <c r="BM32" s="10">
        <f t="shared" si="32"/>
        <v>0</v>
      </c>
      <c r="BN32" s="35">
        <f t="shared" si="11"/>
        <v>0</v>
      </c>
      <c r="BO32" s="49">
        <f t="shared" si="12"/>
        <v>0</v>
      </c>
      <c r="BP32" s="37">
        <f t="shared" si="29"/>
        <v>0</v>
      </c>
    </row>
    <row r="33" spans="1:68" x14ac:dyDescent="0.3">
      <c r="A33" s="1" t="s">
        <v>77</v>
      </c>
      <c r="B33" t="s">
        <v>78</v>
      </c>
      <c r="C33">
        <v>12</v>
      </c>
      <c r="D33">
        <v>9</v>
      </c>
      <c r="F33" s="67"/>
      <c r="G33">
        <v>4805.7299999999996</v>
      </c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0"/>
      <c r="AE33" s="54"/>
      <c r="AF33" s="22"/>
      <c r="AG33" s="22"/>
      <c r="AH33" s="57">
        <f t="shared" si="8"/>
        <v>0</v>
      </c>
      <c r="AI33" s="22"/>
      <c r="AJ33" s="22"/>
      <c r="AK33" s="22"/>
      <c r="AL33" s="22"/>
      <c r="AM33" s="57">
        <f t="shared" si="9"/>
        <v>0</v>
      </c>
      <c r="AN33" s="22"/>
      <c r="AO33" s="22"/>
      <c r="AP33" s="22"/>
      <c r="AQ33" s="57">
        <f t="shared" si="20"/>
        <v>0</v>
      </c>
      <c r="AR33" s="57">
        <f t="shared" si="21"/>
        <v>0</v>
      </c>
      <c r="AS33" s="57">
        <f t="shared" si="22"/>
        <v>0</v>
      </c>
      <c r="AT33" s="32">
        <v>15</v>
      </c>
      <c r="AU33">
        <v>1700</v>
      </c>
      <c r="AV33" s="22">
        <v>34</v>
      </c>
      <c r="AW33" s="22">
        <v>7.2</v>
      </c>
      <c r="AX33" s="22">
        <v>50</v>
      </c>
      <c r="AY33" s="23">
        <v>4.0000000000000002E-4</v>
      </c>
      <c r="AZ33" s="11"/>
      <c r="BA33" s="23"/>
      <c r="BB33" s="29"/>
      <c r="BC33" s="11">
        <f t="shared" si="23"/>
        <v>0</v>
      </c>
      <c r="BD33" s="23">
        <f t="shared" si="24"/>
        <v>0</v>
      </c>
      <c r="BE33" s="23">
        <f t="shared" si="17"/>
        <v>1550</v>
      </c>
      <c r="BF33" s="24" t="e">
        <f t="shared" si="25"/>
        <v>#N/A</v>
      </c>
      <c r="BG33" s="24" t="e">
        <f t="shared" si="26"/>
        <v>#N/A</v>
      </c>
      <c r="BH33" s="24">
        <f t="shared" si="27"/>
        <v>0</v>
      </c>
      <c r="BI33" s="24">
        <f t="shared" si="30"/>
        <v>0</v>
      </c>
      <c r="BJ33" s="24" t="str">
        <f t="shared" si="31"/>
        <v/>
      </c>
      <c r="BK33" s="46" t="str">
        <f t="shared" si="28"/>
        <v/>
      </c>
      <c r="BL33" s="24">
        <f t="shared" si="19"/>
        <v>11.625</v>
      </c>
      <c r="BM33" s="24" t="str">
        <f t="shared" si="32"/>
        <v/>
      </c>
      <c r="BN33" s="35">
        <f t="shared" si="11"/>
        <v>0</v>
      </c>
      <c r="BO33" s="49">
        <f t="shared" si="12"/>
        <v>0</v>
      </c>
      <c r="BP33" s="37">
        <f t="shared" si="29"/>
        <v>11.625</v>
      </c>
    </row>
    <row r="34" spans="1:68" ht="15" thickBot="1" x14ac:dyDescent="0.35">
      <c r="A34" s="4" t="s">
        <v>79</v>
      </c>
      <c r="B34" s="5" t="s">
        <v>78</v>
      </c>
      <c r="C34" s="5">
        <v>12</v>
      </c>
      <c r="D34" s="5">
        <v>9</v>
      </c>
      <c r="E34" s="5"/>
      <c r="F34" s="68"/>
      <c r="G34" s="5">
        <v>4805.7299999999996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21"/>
      <c r="AE34" s="55"/>
      <c r="AF34" s="7"/>
      <c r="AG34" s="7"/>
      <c r="AH34" s="58">
        <f t="shared" si="8"/>
        <v>0</v>
      </c>
      <c r="AI34" s="7"/>
      <c r="AJ34" s="7"/>
      <c r="AK34" s="7"/>
      <c r="AL34" s="7"/>
      <c r="AM34" s="58">
        <f t="shared" si="9"/>
        <v>0</v>
      </c>
      <c r="AN34" s="7"/>
      <c r="AO34" s="7"/>
      <c r="AP34" s="7"/>
      <c r="AQ34" s="58">
        <f t="shared" si="20"/>
        <v>0</v>
      </c>
      <c r="AR34" s="58">
        <f t="shared" si="21"/>
        <v>0</v>
      </c>
      <c r="AS34" s="58">
        <f t="shared" si="22"/>
        <v>0</v>
      </c>
      <c r="AT34" s="33">
        <v>15</v>
      </c>
      <c r="AU34" s="5">
        <v>1700</v>
      </c>
      <c r="AV34" s="7">
        <v>34</v>
      </c>
      <c r="AW34" s="7">
        <v>7.2</v>
      </c>
      <c r="AX34" s="7">
        <v>50</v>
      </c>
      <c r="AY34" s="13">
        <v>4.0000000000000002E-4</v>
      </c>
      <c r="AZ34" s="12"/>
      <c r="BA34" s="13"/>
      <c r="BB34" s="30"/>
      <c r="BC34" s="12">
        <f t="shared" si="23"/>
        <v>0</v>
      </c>
      <c r="BD34" s="13">
        <f t="shared" si="24"/>
        <v>0</v>
      </c>
      <c r="BE34" s="13">
        <f t="shared" si="17"/>
        <v>1550</v>
      </c>
      <c r="BF34" s="14" t="e">
        <f t="shared" si="25"/>
        <v>#N/A</v>
      </c>
      <c r="BG34" s="14" t="e">
        <f t="shared" si="26"/>
        <v>#N/A</v>
      </c>
      <c r="BH34" s="14">
        <f t="shared" si="27"/>
        <v>0</v>
      </c>
      <c r="BI34" s="14">
        <f t="shared" si="30"/>
        <v>0</v>
      </c>
      <c r="BJ34" s="14" t="str">
        <f t="shared" si="31"/>
        <v/>
      </c>
      <c r="BK34" s="47" t="str">
        <f t="shared" si="28"/>
        <v/>
      </c>
      <c r="BL34" s="14">
        <f t="shared" si="19"/>
        <v>11.625</v>
      </c>
      <c r="BM34" s="14" t="str">
        <f t="shared" si="32"/>
        <v/>
      </c>
      <c r="BN34" s="35">
        <f t="shared" si="11"/>
        <v>0</v>
      </c>
      <c r="BO34" s="49">
        <f t="shared" si="12"/>
        <v>0</v>
      </c>
      <c r="BP34" s="37">
        <f t="shared" si="29"/>
        <v>11.625</v>
      </c>
    </row>
    <row r="35" spans="1:68" x14ac:dyDescent="0.3">
      <c r="A35" s="1" t="s">
        <v>74</v>
      </c>
      <c r="B35" t="s">
        <v>75</v>
      </c>
      <c r="C35">
        <v>12</v>
      </c>
      <c r="D35">
        <v>10</v>
      </c>
      <c r="F35" s="67"/>
      <c r="G35" s="62">
        <v>5497.99</v>
      </c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0"/>
      <c r="AE35" s="53"/>
      <c r="AF35" s="6"/>
      <c r="AG35" s="6"/>
      <c r="AH35" s="56">
        <f t="shared" si="8"/>
        <v>0</v>
      </c>
      <c r="AI35" s="6"/>
      <c r="AJ35" s="6"/>
      <c r="AK35" s="6"/>
      <c r="AL35" s="6"/>
      <c r="AM35" s="56">
        <f t="shared" si="9"/>
        <v>0</v>
      </c>
      <c r="AN35" s="6"/>
      <c r="AO35" s="6"/>
      <c r="AP35" s="6"/>
      <c r="AQ35" s="56">
        <f t="shared" si="20"/>
        <v>0</v>
      </c>
      <c r="AR35" s="56">
        <f t="shared" si="21"/>
        <v>0</v>
      </c>
      <c r="AS35" s="56">
        <f t="shared" si="22"/>
        <v>0</v>
      </c>
      <c r="AT35" s="31">
        <v>15</v>
      </c>
      <c r="AU35" s="3">
        <v>1700</v>
      </c>
      <c r="AV35" s="6">
        <v>34</v>
      </c>
      <c r="AW35" s="6">
        <v>7.2</v>
      </c>
      <c r="AX35" s="6">
        <v>50</v>
      </c>
      <c r="AY35" s="9">
        <v>4.0000000000000002E-4</v>
      </c>
      <c r="AZ35" s="8"/>
      <c r="BA35" s="9"/>
      <c r="BB35" s="28"/>
      <c r="BC35" s="8">
        <f t="shared" si="23"/>
        <v>0</v>
      </c>
      <c r="BD35" s="9">
        <f t="shared" si="24"/>
        <v>0</v>
      </c>
      <c r="BE35" s="9">
        <f t="shared" si="17"/>
        <v>1535</v>
      </c>
      <c r="BF35" s="10" t="e">
        <f t="shared" si="25"/>
        <v>#N/A</v>
      </c>
      <c r="BG35" s="10" t="e">
        <f t="shared" si="26"/>
        <v>#N/A</v>
      </c>
      <c r="BH35" s="10">
        <f t="shared" si="27"/>
        <v>0</v>
      </c>
      <c r="BI35" s="10" t="str">
        <f t="shared" si="30"/>
        <v/>
      </c>
      <c r="BJ35" s="10">
        <f t="shared" si="31"/>
        <v>0</v>
      </c>
      <c r="BK35" s="45" t="str">
        <f t="shared" si="28"/>
        <v/>
      </c>
      <c r="BL35" s="10" t="str">
        <f t="shared" si="19"/>
        <v/>
      </c>
      <c r="BM35" s="10">
        <f t="shared" si="32"/>
        <v>0</v>
      </c>
      <c r="BN35" s="34">
        <f t="shared" si="11"/>
        <v>0</v>
      </c>
      <c r="BO35" s="48">
        <f t="shared" si="12"/>
        <v>0</v>
      </c>
      <c r="BP35" s="39">
        <f t="shared" si="29"/>
        <v>0</v>
      </c>
    </row>
    <row r="36" spans="1:68" x14ac:dyDescent="0.3">
      <c r="A36" s="1" t="s">
        <v>77</v>
      </c>
      <c r="B36" t="s">
        <v>78</v>
      </c>
      <c r="C36">
        <v>12</v>
      </c>
      <c r="D36">
        <v>10</v>
      </c>
      <c r="F36" s="67"/>
      <c r="G36" s="62">
        <v>5497.99</v>
      </c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0"/>
      <c r="AE36" s="54"/>
      <c r="AF36" s="22"/>
      <c r="AG36" s="22"/>
      <c r="AH36" s="57">
        <f t="shared" si="8"/>
        <v>0</v>
      </c>
      <c r="AI36" s="22"/>
      <c r="AJ36" s="22"/>
      <c r="AK36" s="22"/>
      <c r="AL36" s="22"/>
      <c r="AM36" s="57">
        <f t="shared" si="9"/>
        <v>0</v>
      </c>
      <c r="AN36" s="22"/>
      <c r="AO36" s="22"/>
      <c r="AP36" s="22"/>
      <c r="AQ36" s="57">
        <f t="shared" si="20"/>
        <v>0</v>
      </c>
      <c r="AR36" s="57">
        <f t="shared" si="21"/>
        <v>0</v>
      </c>
      <c r="AS36" s="57">
        <f t="shared" si="22"/>
        <v>0</v>
      </c>
      <c r="AT36" s="32">
        <v>15</v>
      </c>
      <c r="AU36">
        <v>1700</v>
      </c>
      <c r="AV36" s="22">
        <v>34</v>
      </c>
      <c r="AW36" s="22">
        <v>7.2</v>
      </c>
      <c r="AX36" s="22">
        <v>50</v>
      </c>
      <c r="AY36" s="23">
        <v>4.0000000000000002E-4</v>
      </c>
      <c r="AZ36" s="11"/>
      <c r="BA36" s="23"/>
      <c r="BB36" s="29"/>
      <c r="BC36" s="11">
        <f t="shared" si="23"/>
        <v>0</v>
      </c>
      <c r="BD36" s="23">
        <f t="shared" si="24"/>
        <v>0</v>
      </c>
      <c r="BE36" s="23">
        <f t="shared" si="17"/>
        <v>1535</v>
      </c>
      <c r="BF36" s="24" t="e">
        <f t="shared" si="25"/>
        <v>#N/A</v>
      </c>
      <c r="BG36" s="24" t="e">
        <f t="shared" si="26"/>
        <v>#N/A</v>
      </c>
      <c r="BH36" s="24">
        <f t="shared" si="27"/>
        <v>0</v>
      </c>
      <c r="BI36" s="24">
        <f t="shared" si="30"/>
        <v>0</v>
      </c>
      <c r="BJ36" s="24" t="str">
        <f t="shared" si="31"/>
        <v/>
      </c>
      <c r="BK36" s="46" t="str">
        <f t="shared" si="28"/>
        <v/>
      </c>
      <c r="BL36" s="24">
        <f t="shared" si="19"/>
        <v>11.512499999999999</v>
      </c>
      <c r="BM36" s="24" t="str">
        <f t="shared" si="32"/>
        <v/>
      </c>
      <c r="BN36" s="35">
        <f t="shared" si="11"/>
        <v>0</v>
      </c>
      <c r="BO36" s="49">
        <f t="shared" si="12"/>
        <v>0</v>
      </c>
      <c r="BP36" s="37">
        <f t="shared" si="29"/>
        <v>11.512499999999999</v>
      </c>
    </row>
    <row r="37" spans="1:68" ht="15" thickBot="1" x14ac:dyDescent="0.35">
      <c r="A37" s="1" t="s">
        <v>79</v>
      </c>
      <c r="B37" t="s">
        <v>78</v>
      </c>
      <c r="C37">
        <v>12</v>
      </c>
      <c r="D37">
        <v>10</v>
      </c>
      <c r="F37" s="67"/>
      <c r="G37" s="62">
        <v>5497.99</v>
      </c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0"/>
      <c r="AE37" s="55"/>
      <c r="AF37" s="7"/>
      <c r="AG37" s="7"/>
      <c r="AH37" s="58">
        <f t="shared" si="8"/>
        <v>0</v>
      </c>
      <c r="AI37" s="7"/>
      <c r="AJ37" s="7"/>
      <c r="AK37" s="7"/>
      <c r="AL37" s="7"/>
      <c r="AM37" s="58">
        <f t="shared" si="9"/>
        <v>0</v>
      </c>
      <c r="AN37" s="7"/>
      <c r="AO37" s="7"/>
      <c r="AP37" s="7"/>
      <c r="AQ37" s="58">
        <f t="shared" si="20"/>
        <v>0</v>
      </c>
      <c r="AR37" s="58">
        <f t="shared" si="21"/>
        <v>0</v>
      </c>
      <c r="AS37" s="58">
        <f t="shared" si="22"/>
        <v>0</v>
      </c>
      <c r="AT37" s="33">
        <v>15</v>
      </c>
      <c r="AU37" s="5">
        <v>1700</v>
      </c>
      <c r="AV37" s="7">
        <v>34</v>
      </c>
      <c r="AW37" s="7">
        <v>7.2</v>
      </c>
      <c r="AX37" s="7">
        <v>50</v>
      </c>
      <c r="AY37" s="13">
        <v>4.0000000000000002E-4</v>
      </c>
      <c r="AZ37" s="12"/>
      <c r="BA37" s="13"/>
      <c r="BB37" s="30"/>
      <c r="BC37" s="12">
        <f t="shared" si="23"/>
        <v>0</v>
      </c>
      <c r="BD37" s="13">
        <f t="shared" si="24"/>
        <v>0</v>
      </c>
      <c r="BE37" s="13">
        <f t="shared" si="17"/>
        <v>1535</v>
      </c>
      <c r="BF37" s="14" t="e">
        <f t="shared" si="25"/>
        <v>#N/A</v>
      </c>
      <c r="BG37" s="14" t="e">
        <f t="shared" si="26"/>
        <v>#N/A</v>
      </c>
      <c r="BH37" s="14">
        <f t="shared" si="27"/>
        <v>0</v>
      </c>
      <c r="BI37" s="14">
        <f t="shared" si="30"/>
        <v>0</v>
      </c>
      <c r="BJ37" s="14" t="str">
        <f t="shared" si="31"/>
        <v/>
      </c>
      <c r="BK37" s="47" t="str">
        <f t="shared" si="28"/>
        <v/>
      </c>
      <c r="BL37" s="14">
        <f t="shared" si="19"/>
        <v>11.512499999999999</v>
      </c>
      <c r="BM37" s="14" t="str">
        <f t="shared" si="32"/>
        <v/>
      </c>
      <c r="BN37" s="36">
        <f t="shared" ref="BN37:BN43" si="33">IF(BI37&lt;&gt;"",BI37/0.000385,IF(BJ37&lt;&gt;"",BJ37/0.000385,BK37/0.000385))</f>
        <v>0</v>
      </c>
      <c r="BO37" s="50">
        <f t="shared" ref="BO37:BO39" si="34">IF(BI37&lt;&gt;"",BI37,IF(BJ37&lt;&gt;"",BJ37,BK37))</f>
        <v>0</v>
      </c>
      <c r="BP37" s="38">
        <f t="shared" si="29"/>
        <v>11.512499999999999</v>
      </c>
    </row>
    <row r="38" spans="1:68" x14ac:dyDescent="0.3">
      <c r="A38" s="2" t="s">
        <v>74</v>
      </c>
      <c r="B38" s="3" t="s">
        <v>75</v>
      </c>
      <c r="C38" s="3">
        <v>12</v>
      </c>
      <c r="D38" s="3">
        <v>11</v>
      </c>
      <c r="E38" s="3"/>
      <c r="F38" s="66"/>
      <c r="G38" s="63">
        <v>6057.48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19"/>
      <c r="AE38" s="53"/>
      <c r="AF38" s="6"/>
      <c r="AG38" s="6"/>
      <c r="AH38" s="56">
        <f t="shared" si="8"/>
        <v>0</v>
      </c>
      <c r="AI38" s="6"/>
      <c r="AJ38" s="6"/>
      <c r="AK38" s="6"/>
      <c r="AL38" s="6"/>
      <c r="AM38" s="56">
        <f t="shared" si="9"/>
        <v>0</v>
      </c>
      <c r="AN38" s="6"/>
      <c r="AO38" s="6"/>
      <c r="AP38" s="6"/>
      <c r="AQ38" s="56">
        <f t="shared" si="20"/>
        <v>0</v>
      </c>
      <c r="AR38" s="56">
        <f t="shared" si="21"/>
        <v>0</v>
      </c>
      <c r="AS38" s="56">
        <f t="shared" si="22"/>
        <v>0</v>
      </c>
      <c r="AT38" s="31">
        <v>15</v>
      </c>
      <c r="AU38" s="3">
        <v>1700</v>
      </c>
      <c r="AV38" s="6">
        <v>34</v>
      </c>
      <c r="AW38" s="6">
        <v>7.2</v>
      </c>
      <c r="AX38" s="6">
        <v>50</v>
      </c>
      <c r="AY38" s="9">
        <v>4.0000000000000002E-4</v>
      </c>
      <c r="AZ38" s="8"/>
      <c r="BA38" s="9"/>
      <c r="BB38" s="28"/>
      <c r="BC38" s="8">
        <f t="shared" si="23"/>
        <v>0</v>
      </c>
      <c r="BD38" s="9">
        <f t="shared" si="24"/>
        <v>0</v>
      </c>
      <c r="BE38" s="9">
        <f t="shared" si="17"/>
        <v>1520</v>
      </c>
      <c r="BF38" s="10" t="e">
        <f t="shared" si="25"/>
        <v>#N/A</v>
      </c>
      <c r="BG38" s="10" t="e">
        <f t="shared" si="26"/>
        <v>#N/A</v>
      </c>
      <c r="BH38" s="10">
        <f t="shared" si="27"/>
        <v>0</v>
      </c>
      <c r="BI38" s="10" t="str">
        <f t="shared" si="30"/>
        <v/>
      </c>
      <c r="BJ38" s="10">
        <f t="shared" si="31"/>
        <v>0</v>
      </c>
      <c r="BK38" s="45" t="str">
        <f t="shared" si="28"/>
        <v/>
      </c>
      <c r="BL38" s="10" t="str">
        <f t="shared" si="19"/>
        <v/>
      </c>
      <c r="BM38" s="10">
        <f t="shared" si="32"/>
        <v>0</v>
      </c>
      <c r="BN38" s="35">
        <f t="shared" si="33"/>
        <v>0</v>
      </c>
      <c r="BO38" s="49">
        <f t="shared" si="34"/>
        <v>0</v>
      </c>
      <c r="BP38" s="37">
        <f t="shared" si="29"/>
        <v>0</v>
      </c>
    </row>
    <row r="39" spans="1:68" x14ac:dyDescent="0.3">
      <c r="A39" s="1" t="s">
        <v>77</v>
      </c>
      <c r="B39" t="s">
        <v>78</v>
      </c>
      <c r="C39">
        <v>12</v>
      </c>
      <c r="D39">
        <v>11</v>
      </c>
      <c r="F39" s="67"/>
      <c r="G39" s="62">
        <v>6057.48</v>
      </c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0"/>
      <c r="AE39" s="54"/>
      <c r="AF39" s="22"/>
      <c r="AG39" s="22"/>
      <c r="AH39" s="57">
        <f t="shared" si="8"/>
        <v>0</v>
      </c>
      <c r="AI39" s="22"/>
      <c r="AJ39" s="22"/>
      <c r="AK39" s="22"/>
      <c r="AL39" s="22"/>
      <c r="AM39" s="57">
        <f t="shared" si="9"/>
        <v>0</v>
      </c>
      <c r="AN39" s="22"/>
      <c r="AO39" s="22"/>
      <c r="AP39" s="22"/>
      <c r="AQ39" s="57">
        <f t="shared" si="20"/>
        <v>0</v>
      </c>
      <c r="AR39" s="57">
        <f t="shared" si="21"/>
        <v>0</v>
      </c>
      <c r="AS39" s="57">
        <f t="shared" si="22"/>
        <v>0</v>
      </c>
      <c r="AT39" s="32">
        <v>15</v>
      </c>
      <c r="AU39">
        <v>1700</v>
      </c>
      <c r="AV39" s="22">
        <v>34</v>
      </c>
      <c r="AW39" s="22">
        <v>7.2</v>
      </c>
      <c r="AX39" s="22">
        <v>50</v>
      </c>
      <c r="AY39" s="23">
        <v>4.0000000000000002E-4</v>
      </c>
      <c r="AZ39" s="11"/>
      <c r="BC39" s="11">
        <f t="shared" si="23"/>
        <v>0</v>
      </c>
      <c r="BD39" s="23">
        <f t="shared" si="24"/>
        <v>0</v>
      </c>
      <c r="BE39" s="23">
        <f t="shared" si="17"/>
        <v>1520</v>
      </c>
      <c r="BF39" s="24" t="e">
        <f t="shared" si="25"/>
        <v>#N/A</v>
      </c>
      <c r="BG39" s="24" t="e">
        <f t="shared" si="26"/>
        <v>#N/A</v>
      </c>
      <c r="BH39" s="24">
        <f t="shared" si="27"/>
        <v>0</v>
      </c>
      <c r="BI39" s="24">
        <f t="shared" si="30"/>
        <v>0</v>
      </c>
      <c r="BJ39" s="24" t="str">
        <f t="shared" si="31"/>
        <v/>
      </c>
      <c r="BK39" s="46" t="str">
        <f t="shared" si="28"/>
        <v/>
      </c>
      <c r="BL39" s="24">
        <f t="shared" si="19"/>
        <v>11.4</v>
      </c>
      <c r="BM39" s="24" t="str">
        <f t="shared" si="32"/>
        <v/>
      </c>
      <c r="BN39" s="35">
        <f t="shared" si="33"/>
        <v>0</v>
      </c>
      <c r="BO39" s="49">
        <f t="shared" si="34"/>
        <v>0</v>
      </c>
      <c r="BP39" s="37">
        <f t="shared" si="29"/>
        <v>11.4</v>
      </c>
    </row>
    <row r="40" spans="1:68" ht="15" thickBot="1" x14ac:dyDescent="0.35">
      <c r="A40" s="4" t="s">
        <v>79</v>
      </c>
      <c r="B40" s="5" t="s">
        <v>78</v>
      </c>
      <c r="C40" s="5">
        <v>12</v>
      </c>
      <c r="D40" s="5">
        <v>11</v>
      </c>
      <c r="E40" s="5"/>
      <c r="F40" s="68"/>
      <c r="G40" s="62">
        <v>6057.48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21"/>
      <c r="AE40" s="55"/>
      <c r="AF40" s="7"/>
      <c r="AG40" s="7"/>
      <c r="AH40" s="58">
        <f t="shared" si="8"/>
        <v>0</v>
      </c>
      <c r="AI40" s="7"/>
      <c r="AJ40" s="7"/>
      <c r="AK40" s="7"/>
      <c r="AL40" s="7"/>
      <c r="AM40" s="58">
        <f t="shared" si="9"/>
        <v>0</v>
      </c>
      <c r="AN40" s="7"/>
      <c r="AO40" s="7"/>
      <c r="AP40" s="7"/>
      <c r="AQ40" s="58">
        <f t="shared" si="20"/>
        <v>0</v>
      </c>
      <c r="AR40" s="58">
        <f t="shared" si="21"/>
        <v>0</v>
      </c>
      <c r="AS40" s="58">
        <f t="shared" si="22"/>
        <v>0</v>
      </c>
      <c r="AT40" s="33">
        <v>15</v>
      </c>
      <c r="AU40" s="5">
        <v>1700</v>
      </c>
      <c r="AV40" s="7">
        <v>34</v>
      </c>
      <c r="AW40" s="7">
        <v>7.2</v>
      </c>
      <c r="AX40" s="7">
        <v>50</v>
      </c>
      <c r="AY40" s="13">
        <v>4.0000000000000002E-4</v>
      </c>
      <c r="AZ40" s="12"/>
      <c r="BB40" s="51"/>
      <c r="BC40" s="12">
        <f t="shared" si="23"/>
        <v>0</v>
      </c>
      <c r="BD40" s="13">
        <f t="shared" si="24"/>
        <v>0</v>
      </c>
      <c r="BE40" s="13">
        <f t="shared" si="17"/>
        <v>1520</v>
      </c>
      <c r="BF40" s="14" t="e">
        <f t="shared" si="25"/>
        <v>#N/A</v>
      </c>
      <c r="BG40" s="14" t="e">
        <f t="shared" si="26"/>
        <v>#N/A</v>
      </c>
      <c r="BH40" s="14">
        <f t="shared" si="27"/>
        <v>0</v>
      </c>
      <c r="BI40" s="14">
        <f t="shared" si="30"/>
        <v>0</v>
      </c>
      <c r="BJ40" s="14" t="str">
        <f t="shared" si="31"/>
        <v/>
      </c>
      <c r="BK40" s="47" t="str">
        <f t="shared" si="28"/>
        <v/>
      </c>
      <c r="BL40" s="14">
        <f t="shared" si="19"/>
        <v>11.4</v>
      </c>
      <c r="BM40" s="14" t="str">
        <f t="shared" si="32"/>
        <v/>
      </c>
      <c r="BN40" s="35">
        <f t="shared" si="33"/>
        <v>0</v>
      </c>
      <c r="BO40" s="49">
        <f>IF(BI40&lt;&gt;"",BI40,IF(BJ40&lt;&gt;"",BJ40,BK40))</f>
        <v>0</v>
      </c>
      <c r="BP40" s="37">
        <f t="shared" si="29"/>
        <v>11.4</v>
      </c>
    </row>
    <row r="41" spans="1:68" x14ac:dyDescent="0.3">
      <c r="A41" s="2" t="s">
        <v>74</v>
      </c>
      <c r="B41" s="3" t="s">
        <v>75</v>
      </c>
      <c r="C41" s="3">
        <v>12</v>
      </c>
      <c r="D41" s="3">
        <v>12</v>
      </c>
      <c r="E41" s="3"/>
      <c r="F41" s="66"/>
      <c r="G41" s="63">
        <v>6478.05</v>
      </c>
      <c r="H41" s="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19"/>
      <c r="AE41" s="53"/>
      <c r="AF41" s="6"/>
      <c r="AG41" s="6"/>
      <c r="AH41" s="56">
        <f t="shared" si="8"/>
        <v>0</v>
      </c>
      <c r="AI41" s="6"/>
      <c r="AJ41" s="6"/>
      <c r="AK41" s="6"/>
      <c r="AL41" s="6"/>
      <c r="AM41" s="56">
        <f t="shared" si="9"/>
        <v>0</v>
      </c>
      <c r="AN41" s="6"/>
      <c r="AO41" s="6"/>
      <c r="AP41" s="6"/>
      <c r="AQ41" s="56">
        <f t="shared" si="20"/>
        <v>0</v>
      </c>
      <c r="AR41" s="56">
        <f t="shared" si="21"/>
        <v>0</v>
      </c>
      <c r="AS41" s="56">
        <f t="shared" si="22"/>
        <v>0</v>
      </c>
      <c r="AT41" s="31">
        <v>15</v>
      </c>
      <c r="AU41" s="3">
        <v>1700</v>
      </c>
      <c r="AV41" s="6">
        <v>34</v>
      </c>
      <c r="AW41" s="6">
        <v>7.2</v>
      </c>
      <c r="AX41" s="6">
        <v>50</v>
      </c>
      <c r="AY41" s="9">
        <v>4.0000000000000002E-4</v>
      </c>
      <c r="AZ41" s="8"/>
      <c r="BA41" s="3"/>
      <c r="BB41" s="18"/>
      <c r="BC41" s="8">
        <f t="shared" si="23"/>
        <v>0</v>
      </c>
      <c r="BD41" s="9">
        <f t="shared" si="24"/>
        <v>0</v>
      </c>
      <c r="BE41" s="9">
        <f t="shared" si="17"/>
        <v>1505</v>
      </c>
      <c r="BF41" s="10" t="e">
        <f t="shared" si="25"/>
        <v>#N/A</v>
      </c>
      <c r="BG41" s="10" t="e">
        <f t="shared" si="26"/>
        <v>#N/A</v>
      </c>
      <c r="BH41" s="10">
        <f t="shared" si="27"/>
        <v>0</v>
      </c>
      <c r="BI41" s="10" t="str">
        <f t="shared" si="30"/>
        <v/>
      </c>
      <c r="BJ41" s="10">
        <f t="shared" si="31"/>
        <v>0</v>
      </c>
      <c r="BK41" s="45" t="str">
        <f t="shared" si="28"/>
        <v/>
      </c>
      <c r="BL41" s="10" t="str">
        <f t="shared" si="19"/>
        <v/>
      </c>
      <c r="BM41" s="10">
        <f t="shared" si="32"/>
        <v>0</v>
      </c>
      <c r="BN41" s="34">
        <f t="shared" si="33"/>
        <v>0</v>
      </c>
      <c r="BO41" s="48">
        <f>IF(BI41&lt;&gt;"",BI41,IF(BJ41&lt;&gt;"",BJ41,BK41))</f>
        <v>0</v>
      </c>
      <c r="BP41" s="39">
        <f t="shared" si="29"/>
        <v>0</v>
      </c>
    </row>
    <row r="42" spans="1:68" x14ac:dyDescent="0.3">
      <c r="A42" s="1" t="s">
        <v>77</v>
      </c>
      <c r="B42" t="s">
        <v>78</v>
      </c>
      <c r="C42">
        <v>12</v>
      </c>
      <c r="D42">
        <v>12</v>
      </c>
      <c r="F42" s="67"/>
      <c r="G42" s="62">
        <v>6478.05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0"/>
      <c r="AE42" s="54"/>
      <c r="AF42" s="22"/>
      <c r="AG42" s="22"/>
      <c r="AH42" s="57">
        <f t="shared" si="8"/>
        <v>0</v>
      </c>
      <c r="AI42" s="22"/>
      <c r="AJ42" s="22"/>
      <c r="AK42" s="22"/>
      <c r="AL42" s="22"/>
      <c r="AM42" s="57">
        <f t="shared" si="9"/>
        <v>0</v>
      </c>
      <c r="AN42" s="22"/>
      <c r="AO42" s="22"/>
      <c r="AP42" s="22"/>
      <c r="AQ42" s="57">
        <f t="shared" si="20"/>
        <v>0</v>
      </c>
      <c r="AR42" s="57">
        <f t="shared" si="21"/>
        <v>0</v>
      </c>
      <c r="AS42" s="57">
        <f t="shared" si="22"/>
        <v>0</v>
      </c>
      <c r="AT42" s="32">
        <v>15</v>
      </c>
      <c r="AU42">
        <v>1700</v>
      </c>
      <c r="AV42" s="22">
        <v>34</v>
      </c>
      <c r="AW42" s="22">
        <v>7.2</v>
      </c>
      <c r="AX42" s="22">
        <v>50</v>
      </c>
      <c r="AY42" s="23">
        <v>4.0000000000000002E-4</v>
      </c>
      <c r="AZ42" s="11"/>
      <c r="BA42" s="23"/>
      <c r="BB42" s="29"/>
      <c r="BC42" s="11">
        <f t="shared" si="23"/>
        <v>0</v>
      </c>
      <c r="BD42" s="23">
        <f t="shared" si="24"/>
        <v>0</v>
      </c>
      <c r="BE42" s="23">
        <f t="shared" si="17"/>
        <v>1505</v>
      </c>
      <c r="BF42" s="24" t="e">
        <f t="shared" si="25"/>
        <v>#N/A</v>
      </c>
      <c r="BG42" s="24" t="e">
        <f t="shared" si="26"/>
        <v>#N/A</v>
      </c>
      <c r="BH42" s="24">
        <f t="shared" si="27"/>
        <v>0</v>
      </c>
      <c r="BI42" s="24">
        <f t="shared" si="30"/>
        <v>0</v>
      </c>
      <c r="BJ42" s="24" t="str">
        <f t="shared" si="31"/>
        <v/>
      </c>
      <c r="BK42" s="46" t="str">
        <f t="shared" si="28"/>
        <v/>
      </c>
      <c r="BL42" s="24">
        <f t="shared" si="19"/>
        <v>11.2875</v>
      </c>
      <c r="BM42" s="24" t="str">
        <f t="shared" si="32"/>
        <v/>
      </c>
      <c r="BN42" s="35">
        <f t="shared" si="33"/>
        <v>0</v>
      </c>
      <c r="BO42" s="49">
        <f>IF(BI42&lt;&gt;"",BI42,IF(BJ42&lt;&gt;"",BJ42,BK42))</f>
        <v>0</v>
      </c>
      <c r="BP42" s="37">
        <f t="shared" si="29"/>
        <v>11.2875</v>
      </c>
    </row>
    <row r="43" spans="1:68" ht="15" thickBot="1" x14ac:dyDescent="0.35">
      <c r="A43" s="4" t="s">
        <v>79</v>
      </c>
      <c r="B43" s="5" t="s">
        <v>78</v>
      </c>
      <c r="C43" s="5">
        <v>12</v>
      </c>
      <c r="D43" s="5">
        <v>12</v>
      </c>
      <c r="E43" s="5"/>
      <c r="F43" s="68"/>
      <c r="G43" s="64">
        <v>6478.05</v>
      </c>
      <c r="H43" s="5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21"/>
      <c r="AE43" s="55"/>
      <c r="AF43" s="7"/>
      <c r="AG43" s="7"/>
      <c r="AH43" s="58">
        <f t="shared" si="8"/>
        <v>0</v>
      </c>
      <c r="AI43" s="7"/>
      <c r="AJ43" s="7"/>
      <c r="AK43" s="7"/>
      <c r="AL43" s="7"/>
      <c r="AM43" s="58">
        <f t="shared" si="9"/>
        <v>0</v>
      </c>
      <c r="AN43" s="7"/>
      <c r="AO43" s="7"/>
      <c r="AP43" s="7"/>
      <c r="AQ43" s="58">
        <f t="shared" si="20"/>
        <v>0</v>
      </c>
      <c r="AR43" s="58">
        <f t="shared" si="21"/>
        <v>0</v>
      </c>
      <c r="AS43" s="58">
        <f t="shared" si="22"/>
        <v>0</v>
      </c>
      <c r="AT43" s="33">
        <v>15</v>
      </c>
      <c r="AU43" s="5">
        <v>1700</v>
      </c>
      <c r="AV43" s="7">
        <v>34</v>
      </c>
      <c r="AW43" s="7">
        <v>7.2</v>
      </c>
      <c r="AX43" s="7">
        <v>50</v>
      </c>
      <c r="AY43" s="13">
        <v>4.0000000000000002E-4</v>
      </c>
      <c r="AZ43" s="12"/>
      <c r="BA43" s="13"/>
      <c r="BB43" s="30"/>
      <c r="BC43" s="12">
        <f t="shared" si="23"/>
        <v>0</v>
      </c>
      <c r="BD43" s="13">
        <f t="shared" si="24"/>
        <v>0</v>
      </c>
      <c r="BE43" s="13">
        <f t="shared" si="17"/>
        <v>1505</v>
      </c>
      <c r="BF43" s="14" t="e">
        <f t="shared" si="25"/>
        <v>#N/A</v>
      </c>
      <c r="BG43" s="14" t="e">
        <f t="shared" si="26"/>
        <v>#N/A</v>
      </c>
      <c r="BH43" s="14">
        <f t="shared" si="27"/>
        <v>0</v>
      </c>
      <c r="BI43" s="14">
        <f t="shared" si="30"/>
        <v>0</v>
      </c>
      <c r="BJ43" s="14" t="str">
        <f t="shared" si="31"/>
        <v/>
      </c>
      <c r="BK43" s="47" t="str">
        <f t="shared" si="28"/>
        <v/>
      </c>
      <c r="BL43" s="14">
        <f t="shared" si="19"/>
        <v>11.2875</v>
      </c>
      <c r="BM43" s="14" t="str">
        <f t="shared" si="32"/>
        <v/>
      </c>
      <c r="BN43" s="36">
        <f t="shared" si="33"/>
        <v>0</v>
      </c>
      <c r="BO43" s="50">
        <f>IF(BI43&lt;&gt;"",BI43,IF(BJ43&lt;&gt;"",BJ43,BK43))</f>
        <v>0</v>
      </c>
      <c r="BP43" s="38">
        <f t="shared" si="29"/>
        <v>11.2875</v>
      </c>
    </row>
    <row r="46" spans="1:68" x14ac:dyDescent="0.3">
      <c r="S46" s="52"/>
    </row>
  </sheetData>
  <autoFilter ref="A2:BM277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43">
    <cfRule type="expression" dxfId="3" priority="2">
      <formula>IF($B3 = "Python", TRUE, FALSE)</formula>
    </cfRule>
  </conditionalFormatting>
  <conditionalFormatting sqref="BC3:BH43">
    <cfRule type="notContainsBlanks" dxfId="2" priority="12">
      <formula>LEN(TRIM(BC3))&gt;0</formula>
    </cfRule>
  </conditionalFormatting>
  <conditionalFormatting sqref="BA3:BB43">
    <cfRule type="expression" dxfId="1" priority="9">
      <formula>IF($B3 = "Julia", TRUE, FALSE)</formula>
    </cfRule>
  </conditionalFormatting>
  <conditionalFormatting sqref="BC3:BM43">
    <cfRule type="expression" dxfId="0" priority="89">
      <formula>ISNA($BC$3:$BM$43)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34d8c884-fe7e-4d4f-a833-b92a2823f74b"/>
    <ds:schemaRef ds:uri="a198008e-c7f6-4ed0-9865-26ace3c97b59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2024-07-21T18:25:55Z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