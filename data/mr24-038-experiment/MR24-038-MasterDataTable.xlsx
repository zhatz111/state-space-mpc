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8-MPC-3L/"/>
    </mc:Choice>
  </mc:AlternateContent>
  <xr:revisionPtr revIDLastSave="153" documentId="14_{29998BAB-B97E-4D42-B36C-5857DA37A7C9}" xr6:coauthVersionLast="47" xr6:coauthVersionMax="47" xr10:uidLastSave="{95972146-C77D-4485-BF5E-5E5B21C7CDB2}"/>
  <bookViews>
    <workbookView xWindow="5748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MasterDataTable!$A$2:$BJ$288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" i="1" l="1"/>
  <c r="AX3" i="1"/>
  <c r="AY4" i="1"/>
  <c r="AY3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BI52" i="1"/>
  <c r="BI51" i="1"/>
  <c r="BI48" i="1"/>
  <c r="BI47" i="1"/>
  <c r="BI44" i="1"/>
  <c r="BI43" i="1"/>
  <c r="BI40" i="1"/>
  <c r="BI39" i="1"/>
  <c r="BI36" i="1"/>
  <c r="BI35" i="1"/>
  <c r="BI32" i="1"/>
  <c r="BI31" i="1"/>
  <c r="BI28" i="1"/>
  <c r="BI27" i="1"/>
  <c r="BI24" i="1"/>
  <c r="BI23" i="1"/>
  <c r="BI20" i="1"/>
  <c r="BI19" i="1"/>
  <c r="BI16" i="1"/>
  <c r="BI15" i="1"/>
  <c r="BI12" i="1"/>
  <c r="BI11" i="1"/>
  <c r="BD54" i="1"/>
  <c r="BD53" i="1"/>
  <c r="BD52" i="1"/>
  <c r="BD51" i="1"/>
  <c r="BD50" i="1"/>
  <c r="BD49" i="1"/>
  <c r="BD48" i="1"/>
  <c r="BD47" i="1"/>
  <c r="BD46" i="1"/>
  <c r="BD45" i="1"/>
  <c r="BD44" i="1"/>
  <c r="BD43" i="1"/>
  <c r="BD42" i="1"/>
  <c r="BD41" i="1"/>
  <c r="BD40" i="1"/>
  <c r="BD39" i="1"/>
  <c r="BD38" i="1"/>
  <c r="BD37" i="1"/>
  <c r="BD36" i="1"/>
  <c r="BD35" i="1"/>
  <c r="BD34" i="1"/>
  <c r="BD33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8" i="1"/>
  <c r="BD17" i="1"/>
  <c r="BD16" i="1"/>
  <c r="BD15" i="1"/>
  <c r="BD14" i="1"/>
  <c r="BD13" i="1"/>
  <c r="BD12" i="1"/>
  <c r="BD11" i="1"/>
  <c r="BD10" i="1"/>
  <c r="BD9" i="1"/>
  <c r="BD8" i="1"/>
  <c r="BD7" i="1"/>
  <c r="BD6" i="1"/>
  <c r="BD5" i="1"/>
  <c r="BD4" i="1"/>
  <c r="BD3" i="1"/>
  <c r="BC3" i="1"/>
  <c r="BB54" i="1"/>
  <c r="BI54" i="1" s="1"/>
  <c r="BB53" i="1"/>
  <c r="BI53" i="1" s="1"/>
  <c r="BB52" i="1"/>
  <c r="BB51" i="1"/>
  <c r="BB50" i="1"/>
  <c r="BI50" i="1" s="1"/>
  <c r="BB49" i="1"/>
  <c r="BI49" i="1" s="1"/>
  <c r="BB48" i="1"/>
  <c r="BB47" i="1"/>
  <c r="BB46" i="1"/>
  <c r="BI46" i="1" s="1"/>
  <c r="BB45" i="1"/>
  <c r="BI45" i="1" s="1"/>
  <c r="BB44" i="1"/>
  <c r="BB43" i="1"/>
  <c r="BB42" i="1"/>
  <c r="BI42" i="1" s="1"/>
  <c r="BB41" i="1"/>
  <c r="BI41" i="1" s="1"/>
  <c r="BB40" i="1"/>
  <c r="BB39" i="1"/>
  <c r="BB38" i="1"/>
  <c r="BI38" i="1" s="1"/>
  <c r="BB37" i="1"/>
  <c r="BI37" i="1" s="1"/>
  <c r="BB36" i="1"/>
  <c r="BB35" i="1"/>
  <c r="BB34" i="1"/>
  <c r="BI34" i="1" s="1"/>
  <c r="BB33" i="1"/>
  <c r="BI33" i="1" s="1"/>
  <c r="BB32" i="1"/>
  <c r="BB31" i="1"/>
  <c r="BB30" i="1"/>
  <c r="BI30" i="1" s="1"/>
  <c r="BB29" i="1"/>
  <c r="BI29" i="1" s="1"/>
  <c r="BB28" i="1"/>
  <c r="BB27" i="1"/>
  <c r="BB26" i="1"/>
  <c r="BI26" i="1" s="1"/>
  <c r="BB25" i="1"/>
  <c r="BI25" i="1" s="1"/>
  <c r="BB24" i="1"/>
  <c r="BB23" i="1"/>
  <c r="BB22" i="1"/>
  <c r="BI22" i="1" s="1"/>
  <c r="BB21" i="1"/>
  <c r="BI21" i="1" s="1"/>
  <c r="BB20" i="1"/>
  <c r="BB19" i="1"/>
  <c r="BB18" i="1"/>
  <c r="BI18" i="1" s="1"/>
  <c r="BB17" i="1"/>
  <c r="BI17" i="1" s="1"/>
  <c r="BB16" i="1"/>
  <c r="BB15" i="1"/>
  <c r="BB14" i="1"/>
  <c r="BI14" i="1" s="1"/>
  <c r="BB13" i="1"/>
  <c r="BI13" i="1" s="1"/>
  <c r="BB12" i="1"/>
  <c r="BB11" i="1"/>
  <c r="BB10" i="1"/>
  <c r="BI10" i="1" s="1"/>
  <c r="BB9" i="1"/>
  <c r="BI9" i="1" s="1"/>
  <c r="BB8" i="1"/>
  <c r="BB7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6" i="1"/>
  <c r="BE5" i="1"/>
  <c r="BE4" i="1"/>
  <c r="BE3" i="1"/>
  <c r="BH10" i="1"/>
  <c r="BI8" i="1"/>
  <c r="BI7" i="1"/>
  <c r="AO51" i="1"/>
  <c r="AP51" i="1"/>
  <c r="AO52" i="1"/>
  <c r="AP52" i="1"/>
  <c r="AO53" i="1"/>
  <c r="AP53" i="1"/>
  <c r="AO54" i="1"/>
  <c r="AP54" i="1"/>
  <c r="AO47" i="1"/>
  <c r="AP47" i="1"/>
  <c r="AO48" i="1"/>
  <c r="AP48" i="1"/>
  <c r="AO49" i="1"/>
  <c r="AP49" i="1"/>
  <c r="AO50" i="1"/>
  <c r="AP50" i="1"/>
  <c r="AP46" i="1"/>
  <c r="AO46" i="1"/>
  <c r="AP45" i="1"/>
  <c r="AO45" i="1"/>
  <c r="AP44" i="1"/>
  <c r="AO44" i="1"/>
  <c r="AP43" i="1"/>
  <c r="AO43" i="1"/>
  <c r="AO39" i="1"/>
  <c r="AP39" i="1"/>
  <c r="AO40" i="1"/>
  <c r="AP40" i="1"/>
  <c r="AO41" i="1"/>
  <c r="AP41" i="1"/>
  <c r="AO42" i="1"/>
  <c r="AP42" i="1"/>
  <c r="AO35" i="1"/>
  <c r="AP35" i="1"/>
  <c r="AO36" i="1"/>
  <c r="AP36" i="1"/>
  <c r="AO37" i="1"/>
  <c r="AP37" i="1"/>
  <c r="AO38" i="1"/>
  <c r="AP38" i="1"/>
  <c r="AO31" i="1" l="1"/>
  <c r="AP31" i="1"/>
  <c r="AO32" i="1"/>
  <c r="AP32" i="1"/>
  <c r="AO33" i="1"/>
  <c r="AP33" i="1"/>
  <c r="AO34" i="1"/>
  <c r="AP34" i="1"/>
  <c r="AP30" i="1"/>
  <c r="AO30" i="1"/>
  <c r="AP29" i="1"/>
  <c r="AO29" i="1"/>
  <c r="AP28" i="1"/>
  <c r="AO28" i="1"/>
  <c r="AP27" i="1"/>
  <c r="AO27" i="1"/>
  <c r="AP26" i="1"/>
  <c r="AO26" i="1"/>
  <c r="AP25" i="1"/>
  <c r="AO25" i="1"/>
  <c r="AP24" i="1"/>
  <c r="AO24" i="1"/>
  <c r="AP23" i="1"/>
  <c r="AO23" i="1"/>
  <c r="AO21" i="1"/>
  <c r="AP22" i="1"/>
  <c r="AO22" i="1"/>
  <c r="AP21" i="1"/>
  <c r="AP20" i="1"/>
  <c r="AO20" i="1"/>
  <c r="AP19" i="1"/>
  <c r="AO19" i="1"/>
  <c r="AO15" i="1"/>
  <c r="AP15" i="1"/>
  <c r="AO16" i="1"/>
  <c r="AP16" i="1"/>
  <c r="AO17" i="1"/>
  <c r="AP17" i="1"/>
  <c r="AO18" i="1"/>
  <c r="AP18" i="1"/>
  <c r="AO11" i="1"/>
  <c r="BB3" i="1" l="1"/>
  <c r="AZ3" i="1" s="1"/>
  <c r="BA3" i="1" s="1"/>
  <c r="BB4" i="1"/>
  <c r="BC4" i="1" s="1"/>
  <c r="BB5" i="1"/>
  <c r="BC5" i="1" s="1"/>
  <c r="BB6" i="1"/>
  <c r="BC6" i="1" s="1"/>
  <c r="BG9" i="1"/>
  <c r="BC15" i="1"/>
  <c r="BC16" i="1"/>
  <c r="AP8" i="1"/>
  <c r="AO7" i="1"/>
  <c r="AP7" i="1"/>
  <c r="AO8" i="1"/>
  <c r="AO9" i="1"/>
  <c r="AP9" i="1"/>
  <c r="AO10" i="1"/>
  <c r="AP10" i="1"/>
  <c r="AP11" i="1"/>
  <c r="AP12" i="1"/>
  <c r="AP13" i="1"/>
  <c r="AP14" i="1"/>
  <c r="AO12" i="1"/>
  <c r="AO13" i="1"/>
  <c r="AO14" i="1"/>
  <c r="BF54" i="1"/>
  <c r="BF53" i="1"/>
  <c r="BF51" i="1"/>
  <c r="BF50" i="1"/>
  <c r="BF49" i="1"/>
  <c r="BF47" i="1"/>
  <c r="BF46" i="1"/>
  <c r="BF45" i="1"/>
  <c r="BF43" i="1"/>
  <c r="BF42" i="1"/>
  <c r="BF41" i="1"/>
  <c r="BF39" i="1"/>
  <c r="BF38" i="1"/>
  <c r="BF37" i="1"/>
  <c r="BF35" i="1"/>
  <c r="BF34" i="1"/>
  <c r="BF33" i="1"/>
  <c r="BF31" i="1"/>
  <c r="BF30" i="1"/>
  <c r="BF29" i="1"/>
  <c r="BF27" i="1"/>
  <c r="BF26" i="1"/>
  <c r="BF25" i="1"/>
  <c r="BF23" i="1"/>
  <c r="BF22" i="1"/>
  <c r="BF21" i="1"/>
  <c r="BF19" i="1"/>
  <c r="BF18" i="1"/>
  <c r="BF17" i="1"/>
  <c r="BF15" i="1"/>
  <c r="BF14" i="1"/>
  <c r="BF13" i="1"/>
  <c r="BF11" i="1"/>
  <c r="BF10" i="1"/>
  <c r="BF9" i="1"/>
  <c r="BF7" i="1"/>
  <c r="BF6" i="1"/>
  <c r="BF5" i="1"/>
  <c r="BC54" i="1"/>
  <c r="BC53" i="1"/>
  <c r="BC52" i="1"/>
  <c r="BC51" i="1"/>
  <c r="BC50" i="1"/>
  <c r="BC49" i="1"/>
  <c r="BC48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4" i="1"/>
  <c r="BC33" i="1"/>
  <c r="BC32" i="1"/>
  <c r="BC31" i="1"/>
  <c r="BC30" i="1"/>
  <c r="BC29" i="1"/>
  <c r="BC28" i="1"/>
  <c r="BC27" i="1"/>
  <c r="BC26" i="1"/>
  <c r="BC25" i="1"/>
  <c r="BC24" i="1"/>
  <c r="BC23" i="1"/>
  <c r="BC18" i="1"/>
  <c r="BC17" i="1"/>
  <c r="BG7" i="1"/>
  <c r="BG8" i="1"/>
  <c r="BG11" i="1"/>
  <c r="BG12" i="1"/>
  <c r="BG15" i="1"/>
  <c r="BG16" i="1"/>
  <c r="BG19" i="1"/>
  <c r="BG20" i="1"/>
  <c r="BG23" i="1"/>
  <c r="BG24" i="1"/>
  <c r="BG27" i="1"/>
  <c r="BG28" i="1"/>
  <c r="BG31" i="1"/>
  <c r="BG32" i="1"/>
  <c r="BG35" i="1"/>
  <c r="BG36" i="1"/>
  <c r="BG39" i="1"/>
  <c r="BG40" i="1"/>
  <c r="BG43" i="1"/>
  <c r="BG44" i="1"/>
  <c r="BG47" i="1"/>
  <c r="BG48" i="1"/>
  <c r="BG51" i="1"/>
  <c r="BG52" i="1"/>
  <c r="BF3" i="1"/>
  <c r="BH5" i="1"/>
  <c r="BH54" i="1"/>
  <c r="BH53" i="1"/>
  <c r="BH52" i="1"/>
  <c r="BH50" i="1"/>
  <c r="BH49" i="1"/>
  <c r="BH48" i="1"/>
  <c r="BH46" i="1"/>
  <c r="BH45" i="1"/>
  <c r="BH44" i="1"/>
  <c r="BH42" i="1"/>
  <c r="BH41" i="1"/>
  <c r="BH40" i="1"/>
  <c r="BH38" i="1"/>
  <c r="BH37" i="1"/>
  <c r="BH36" i="1"/>
  <c r="BH34" i="1"/>
  <c r="BH33" i="1"/>
  <c r="BH32" i="1"/>
  <c r="BH30" i="1"/>
  <c r="BH29" i="1"/>
  <c r="BH28" i="1"/>
  <c r="BH26" i="1"/>
  <c r="BH25" i="1"/>
  <c r="BH24" i="1"/>
  <c r="BH22" i="1"/>
  <c r="BH21" i="1"/>
  <c r="BH20" i="1"/>
  <c r="BH18" i="1"/>
  <c r="BH17" i="1"/>
  <c r="BH16" i="1"/>
  <c r="BH14" i="1"/>
  <c r="BH13" i="1"/>
  <c r="BH12" i="1"/>
  <c r="BH9" i="1"/>
  <c r="BH8" i="1"/>
  <c r="BH6" i="1"/>
  <c r="BH4" i="1"/>
  <c r="AZ4" i="1" l="1"/>
  <c r="BA4" i="1" s="1"/>
  <c r="BF4" i="1"/>
  <c r="BH7" i="1"/>
  <c r="BL4" i="1" l="1"/>
  <c r="BK4" i="1"/>
  <c r="BC7" i="1"/>
  <c r="AZ5" i="1"/>
  <c r="BA5" i="1" s="1"/>
  <c r="BG5" i="1"/>
  <c r="AZ7" i="1"/>
  <c r="BA7" i="1" s="1"/>
  <c r="BH3" i="1"/>
  <c r="BJ5" i="1"/>
  <c r="BM5" i="1" s="1"/>
  <c r="BG6" i="1"/>
  <c r="AZ6" i="1"/>
  <c r="BA6" i="1" s="1"/>
  <c r="BK3" i="1" l="1"/>
  <c r="BL3" i="1"/>
  <c r="BK7" i="1"/>
  <c r="BL7" i="1"/>
  <c r="BK6" i="1"/>
  <c r="BL6" i="1"/>
  <c r="BK5" i="1"/>
  <c r="BL5" i="1"/>
  <c r="BM4" i="1" l="1"/>
  <c r="BJ7" i="1"/>
  <c r="BM7" i="1" s="1"/>
  <c r="BJ8" i="1"/>
  <c r="BJ11" i="1"/>
  <c r="BJ12" i="1"/>
  <c r="BJ15" i="1"/>
  <c r="BJ16" i="1"/>
  <c r="BJ19" i="1"/>
  <c r="BJ20" i="1"/>
  <c r="BJ23" i="1"/>
  <c r="BJ24" i="1"/>
  <c r="BJ27" i="1"/>
  <c r="BJ28" i="1"/>
  <c r="BJ31" i="1"/>
  <c r="BJ32" i="1"/>
  <c r="BJ35" i="1"/>
  <c r="BJ36" i="1"/>
  <c r="BJ39" i="1"/>
  <c r="BJ40" i="1"/>
  <c r="BJ43" i="1"/>
  <c r="BJ44" i="1"/>
  <c r="BJ47" i="1"/>
  <c r="BJ48" i="1"/>
  <c r="BJ51" i="1"/>
  <c r="BJ52" i="1"/>
  <c r="BM3" i="1"/>
  <c r="BJ6" i="1" l="1"/>
  <c r="BM6" i="1" s="1"/>
  <c r="BC10" i="1" l="1"/>
  <c r="BG10" i="1"/>
  <c r="BL9" i="1"/>
  <c r="BC9" i="1"/>
  <c r="BF8" i="1"/>
  <c r="BL8" i="1" s="1"/>
  <c r="BC8" i="1"/>
  <c r="AZ10" i="1"/>
  <c r="BA10" i="1" s="1"/>
  <c r="AZ9" i="1"/>
  <c r="BA9" i="1" s="1"/>
  <c r="AZ8" i="1"/>
  <c r="BA8" i="1" s="1"/>
  <c r="BM8" i="1"/>
  <c r="BJ10" i="1"/>
  <c r="BJ9" i="1"/>
  <c r="BM9" i="1" s="1"/>
  <c r="BC11" i="1"/>
  <c r="BC14" i="1"/>
  <c r="BC13" i="1"/>
  <c r="BF12" i="1" l="1"/>
  <c r="BL12" i="1" s="1"/>
  <c r="BC12" i="1"/>
  <c r="BM10" i="1"/>
  <c r="BK8" i="1"/>
  <c r="BK9" i="1"/>
  <c r="BK10" i="1"/>
  <c r="BL10" i="1"/>
  <c r="AZ13" i="1"/>
  <c r="BA13" i="1" s="1"/>
  <c r="BG13" i="1"/>
  <c r="BH11" i="1"/>
  <c r="AZ11" i="1"/>
  <c r="BA11" i="1" s="1"/>
  <c r="BM11" i="1"/>
  <c r="BG14" i="1"/>
  <c r="AZ14" i="1"/>
  <c r="BA14" i="1" s="1"/>
  <c r="BM12" i="1"/>
  <c r="AZ12" i="1"/>
  <c r="BA12" i="1" s="1"/>
  <c r="BJ14" i="1"/>
  <c r="BM14" i="1" s="1"/>
  <c r="BF16" i="1"/>
  <c r="BL16" i="1" s="1"/>
  <c r="BJ13" i="1"/>
  <c r="BM13" i="1" s="1"/>
  <c r="BK12" i="1" l="1"/>
  <c r="BK11" i="1"/>
  <c r="BL11" i="1"/>
  <c r="BK14" i="1"/>
  <c r="BL14" i="1"/>
  <c r="BK13" i="1"/>
  <c r="BL13" i="1"/>
  <c r="AZ17" i="1"/>
  <c r="BA17" i="1" s="1"/>
  <c r="BG17" i="1"/>
  <c r="BM15" i="1"/>
  <c r="AZ15" i="1"/>
  <c r="BA15" i="1" s="1"/>
  <c r="BH15" i="1"/>
  <c r="AZ18" i="1"/>
  <c r="BA18" i="1" s="1"/>
  <c r="BG18" i="1"/>
  <c r="BM16" i="1"/>
  <c r="AZ16" i="1"/>
  <c r="BA16" i="1" s="1"/>
  <c r="BK16" i="1"/>
  <c r="BC19" i="1"/>
  <c r="BC21" i="1"/>
  <c r="BJ17" i="1"/>
  <c r="BM17" i="1" s="1"/>
  <c r="BC22" i="1"/>
  <c r="BJ18" i="1"/>
  <c r="BM18" i="1" s="1"/>
  <c r="BF20" i="1" l="1"/>
  <c r="BL20" i="1" s="1"/>
  <c r="BC20" i="1"/>
  <c r="BK17" i="1"/>
  <c r="BL17" i="1"/>
  <c r="BK18" i="1"/>
  <c r="BL18" i="1"/>
  <c r="BK15" i="1"/>
  <c r="BL15" i="1"/>
  <c r="AZ22" i="1"/>
  <c r="BA22" i="1" s="1"/>
  <c r="BG22" i="1"/>
  <c r="BG21" i="1"/>
  <c r="AZ21" i="1"/>
  <c r="BA21" i="1" s="1"/>
  <c r="BM19" i="1"/>
  <c r="BH19" i="1"/>
  <c r="AZ19" i="1"/>
  <c r="BA19" i="1" s="1"/>
  <c r="BM20" i="1"/>
  <c r="AZ20" i="1"/>
  <c r="BA20" i="1" s="1"/>
  <c r="BJ21" i="1"/>
  <c r="BM21" i="1" s="1"/>
  <c r="BF24" i="1"/>
  <c r="BL24" i="1" s="1"/>
  <c r="BJ22" i="1"/>
  <c r="BM22" i="1" s="1"/>
  <c r="BK20" i="1" l="1"/>
  <c r="BK21" i="1"/>
  <c r="BL21" i="1"/>
  <c r="BK22" i="1"/>
  <c r="BL22" i="1"/>
  <c r="BK19" i="1"/>
  <c r="BL19" i="1"/>
  <c r="AZ26" i="1"/>
  <c r="BA26" i="1" s="1"/>
  <c r="BG26" i="1"/>
  <c r="BG25" i="1"/>
  <c r="AZ25" i="1"/>
  <c r="BA25" i="1" s="1"/>
  <c r="BM23" i="1"/>
  <c r="BH23" i="1"/>
  <c r="AZ23" i="1"/>
  <c r="BA23" i="1" s="1"/>
  <c r="BM24" i="1"/>
  <c r="AZ24" i="1"/>
  <c r="BA24" i="1" s="1"/>
  <c r="BK24" i="1"/>
  <c r="BF28" i="1"/>
  <c r="BL28" i="1" s="1"/>
  <c r="BJ26" i="1"/>
  <c r="BM26" i="1" s="1"/>
  <c r="BJ25" i="1"/>
  <c r="BM25" i="1" s="1"/>
  <c r="BK23" i="1" l="1"/>
  <c r="BL23" i="1"/>
  <c r="BK25" i="1"/>
  <c r="BL25" i="1"/>
  <c r="BK26" i="1"/>
  <c r="BL26" i="1"/>
  <c r="AZ29" i="1"/>
  <c r="BA29" i="1" s="1"/>
  <c r="BG29" i="1"/>
  <c r="BM27" i="1"/>
  <c r="AZ27" i="1"/>
  <c r="BA27" i="1" s="1"/>
  <c r="BH27" i="1"/>
  <c r="AZ30" i="1"/>
  <c r="BA30" i="1" s="1"/>
  <c r="BG30" i="1"/>
  <c r="BM28" i="1"/>
  <c r="AZ28" i="1"/>
  <c r="BA28" i="1" s="1"/>
  <c r="BK28" i="1"/>
  <c r="BJ30" i="1"/>
  <c r="BM30" i="1" s="1"/>
  <c r="BJ29" i="1"/>
  <c r="BM29" i="1" s="1"/>
  <c r="BF32" i="1"/>
  <c r="BL32" i="1" s="1"/>
  <c r="BK29" i="1" l="1"/>
  <c r="BL29" i="1"/>
  <c r="BK30" i="1"/>
  <c r="BL30" i="1"/>
  <c r="BK27" i="1"/>
  <c r="BL27" i="1"/>
  <c r="AZ34" i="1"/>
  <c r="BA34" i="1" s="1"/>
  <c r="BG34" i="1"/>
  <c r="BM31" i="1"/>
  <c r="AZ31" i="1"/>
  <c r="BA31" i="1" s="1"/>
  <c r="BH31" i="1"/>
  <c r="BG33" i="1"/>
  <c r="AZ33" i="1"/>
  <c r="BA33" i="1" s="1"/>
  <c r="BM32" i="1"/>
  <c r="AZ32" i="1"/>
  <c r="BA32" i="1" s="1"/>
  <c r="BK32" i="1"/>
  <c r="BF36" i="1"/>
  <c r="BL36" i="1" s="1"/>
  <c r="BJ34" i="1"/>
  <c r="BM34" i="1" s="1"/>
  <c r="BJ33" i="1"/>
  <c r="BM33" i="1" s="1"/>
  <c r="BK33" i="1" l="1"/>
  <c r="BL33" i="1"/>
  <c r="BK31" i="1"/>
  <c r="BL31" i="1"/>
  <c r="BK34" i="1"/>
  <c r="BL34" i="1"/>
  <c r="BG38" i="1"/>
  <c r="AZ38" i="1"/>
  <c r="BA38" i="1" s="1"/>
  <c r="BM35" i="1"/>
  <c r="AZ35" i="1"/>
  <c r="BA35" i="1" s="1"/>
  <c r="BH35" i="1"/>
  <c r="BG37" i="1"/>
  <c r="AZ37" i="1"/>
  <c r="BA37" i="1" s="1"/>
  <c r="BM36" i="1"/>
  <c r="AZ36" i="1"/>
  <c r="BA36" i="1" s="1"/>
  <c r="BK36" i="1"/>
  <c r="BF40" i="1"/>
  <c r="BL40" i="1" s="1"/>
  <c r="BJ38" i="1"/>
  <c r="BM38" i="1" s="1"/>
  <c r="BJ37" i="1"/>
  <c r="BM37" i="1" s="1"/>
  <c r="BK38" i="1" l="1"/>
  <c r="BL38" i="1"/>
  <c r="BK37" i="1"/>
  <c r="BL37" i="1"/>
  <c r="BK35" i="1"/>
  <c r="BL35" i="1"/>
  <c r="AZ42" i="1"/>
  <c r="BA42" i="1" s="1"/>
  <c r="BG42" i="1"/>
  <c r="BM39" i="1"/>
  <c r="AZ39" i="1"/>
  <c r="BA39" i="1" s="1"/>
  <c r="BH39" i="1"/>
  <c r="AZ41" i="1"/>
  <c r="BA41" i="1" s="1"/>
  <c r="BG41" i="1"/>
  <c r="BM40" i="1"/>
  <c r="AZ40" i="1"/>
  <c r="BA40" i="1" s="1"/>
  <c r="BK40" i="1"/>
  <c r="BJ42" i="1"/>
  <c r="BM42" i="1" s="1"/>
  <c r="BJ41" i="1"/>
  <c r="BM41" i="1" s="1"/>
  <c r="BF44" i="1"/>
  <c r="BL44" i="1" s="1"/>
  <c r="BK42" i="1" l="1"/>
  <c r="BL42" i="1"/>
  <c r="BK39" i="1"/>
  <c r="BL39" i="1"/>
  <c r="BK41" i="1"/>
  <c r="BL41" i="1"/>
  <c r="BG46" i="1"/>
  <c r="AZ46" i="1"/>
  <c r="BA46" i="1" s="1"/>
  <c r="AZ45" i="1"/>
  <c r="BA45" i="1" s="1"/>
  <c r="BG45" i="1"/>
  <c r="BM43" i="1"/>
  <c r="AZ43" i="1"/>
  <c r="BA43" i="1" s="1"/>
  <c r="BH43" i="1"/>
  <c r="BM44" i="1"/>
  <c r="AZ44" i="1"/>
  <c r="BA44" i="1" s="1"/>
  <c r="BK44" i="1"/>
  <c r="BJ45" i="1"/>
  <c r="BM45" i="1" s="1"/>
  <c r="BJ46" i="1"/>
  <c r="BM46" i="1" s="1"/>
  <c r="BF48" i="1"/>
  <c r="BL48" i="1" s="1"/>
  <c r="BK45" i="1" l="1"/>
  <c r="BL45" i="1"/>
  <c r="BK46" i="1"/>
  <c r="BL46" i="1"/>
  <c r="BK43" i="1"/>
  <c r="BL43" i="1"/>
  <c r="BG49" i="1"/>
  <c r="AZ49" i="1"/>
  <c r="BA49" i="1" s="1"/>
  <c r="BM47" i="1"/>
  <c r="AZ47" i="1"/>
  <c r="BA47" i="1" s="1"/>
  <c r="BH47" i="1"/>
  <c r="BG50" i="1"/>
  <c r="AZ50" i="1"/>
  <c r="BA50" i="1" s="1"/>
  <c r="BM48" i="1"/>
  <c r="AZ48" i="1"/>
  <c r="BA48" i="1" s="1"/>
  <c r="BK48" i="1"/>
  <c r="BF52" i="1"/>
  <c r="BJ50" i="1"/>
  <c r="BM50" i="1" s="1"/>
  <c r="BJ49" i="1"/>
  <c r="BM49" i="1" s="1"/>
  <c r="BK50" i="1" l="1"/>
  <c r="BL50" i="1"/>
  <c r="BK49" i="1"/>
  <c r="BL49" i="1"/>
  <c r="BK47" i="1"/>
  <c r="BL47" i="1"/>
  <c r="BM51" i="1"/>
  <c r="BH51" i="1"/>
  <c r="BK51" i="1" s="1"/>
  <c r="AZ51" i="1"/>
  <c r="BA51" i="1" s="1"/>
  <c r="AZ54" i="1"/>
  <c r="BA54" i="1" s="1"/>
  <c r="BG54" i="1"/>
  <c r="BK54" i="1" s="1"/>
  <c r="AZ53" i="1"/>
  <c r="BA53" i="1" s="1"/>
  <c r="BG53" i="1"/>
  <c r="BK53" i="1" s="1"/>
  <c r="BM52" i="1"/>
  <c r="AZ52" i="1"/>
  <c r="BA52" i="1" s="1"/>
  <c r="BK52" i="1"/>
  <c r="BJ53" i="1"/>
  <c r="BM53" i="1" s="1"/>
  <c r="BJ54" i="1"/>
  <c r="BM54" i="1" s="1"/>
</calcChain>
</file>

<file path=xl/sharedStrings.xml><?xml version="1.0" encoding="utf-8"?>
<sst xmlns="http://schemas.openxmlformats.org/spreadsheetml/2006/main" count="176" uniqueCount="77">
  <si>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</si>
  <si>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</si>
  <si>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</si>
  <si>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</si>
  <si>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</si>
  <si>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</si>
  <si>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</si>
  <si>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</si>
  <si>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</si>
  <si>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</si>
  <si>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</si>
  <si>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</si>
  <si>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</si>
  <si>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</si>
  <si>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</si>
  <si>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</si>
  <si>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</si>
  <si>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</si>
  <si>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</si>
  <si>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</si>
  <si>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</si>
  <si>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</si>
  <si>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</si>
  <si>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</si>
  <si>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</si>
  <si>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</si>
  <si>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</si>
  <si>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</si>
  <si>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</si>
  <si>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</si>
  <si>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</si>
  <si>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</si>
  <si>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</si>
  <si>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</si>
  <si>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</si>
  <si>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</si>
  <si>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</si>
  <si>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</si>
  <si>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</si>
  <si>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</si>
  <si>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</si>
  <si>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</si>
  <si>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</si>
  <si>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</si>
  <si>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</si>
  <si>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</si>
  <si>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</si>
  <si>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</si>
  <si>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</si>
  <si>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</si>
  <si>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</si>
  <si>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</si>
  <si>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</si>
  <si>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</si>
  <si>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</si>
  <si>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</si>
  <si>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</si>
  <si>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</si>
  <si>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</si>
  <si>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</si>
  <si>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</si>
  <si>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</si>
  <si>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</si>
  <si>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</si>
  <si>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</si>
  <si>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</si>
  <si>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</si>
  <si>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</si>
  <si>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</si>
  <si>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</si>
  <si>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</si>
  <si>
    <t>MR24-038-805</t>
  </si>
  <si>
    <t>MR24-038-806</t>
  </si>
  <si>
    <t>MR24-038-807</t>
  </si>
  <si>
    <t>MR24-038-808</t>
  </si>
  <si>
    <t>Used in Feed?</t>
  </si>
  <si>
    <t>DO 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</si>
</sst>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102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1" xfId="0" applyNumberFormat="1" applyBorder="1"/>
    <xf numFmtId="2" fontId="21" fillId="0" borderId="0" xfId="42" applyNumberFormat="1" applyFon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1" fontId="0" fillId="0" borderId="0" xfId="0" applyNumberFormat="1"/>
    <xf numFmtId="167" fontId="0" fillId="0" borderId="0" xfId="0" applyNumberFormat="1"/>
    <xf numFmtId="2" fontId="0" fillId="0" borderId="10" xfId="0" applyNumberFormat="1" applyBorder="1"/>
    <xf numFmtId="2" fontId="0" fillId="0" borderId="13" xfId="0" applyNumberFormat="1" applyBorder="1"/>
    <xf numFmtId="2" fontId="0" fillId="0" borderId="15" xfId="0" applyNumberFormat="1" applyBorder="1"/>
    <xf numFmtId="2" fontId="0" fillId="0" borderId="0" xfId="0" applyNumberFormat="1"/>
    <xf numFmtId="2" fontId="0" fillId="41" borderId="11" xfId="0" applyNumberFormat="1" applyFill="1" applyBorder="1"/>
    <xf numFmtId="2" fontId="0" fillId="41" borderId="0" xfId="0" applyNumberFormat="1" applyFill="1" applyBorder="1"/>
    <xf numFmtId="2" fontId="0" fillId="41" borderId="16" xfId="0" applyNumberFormat="1" applyFill="1" applyBorder="1"/>
    <xf numFmtId="2" fontId="0" fillId="41" borderId="0" xfId="0" applyNumberFormat="1" applyFill="1"/>
    <xf numFmtId="164" fontId="26" fillId="38" borderId="0" xfId="0" applyNumberFormat="1" applyFont="1" applyFill="1" applyBorder="1"/>
    <xf numFmtId="164" fontId="26" fillId="38" borderId="16" xfId="0" applyNumberFormat="1" applyFont="1" applyFill="1" applyBorder="1"/>
    <xf numFmtId="165" fontId="26" fillId="39" borderId="14" xfId="0" applyNumberFormat="1" applyFont="1" applyFill="1" applyBorder="1"/>
    <xf numFmtId="0" fontId="27" fillId="0" borderId="0" xfId="0" applyFont="1"/>
    <xf numFmtId="0" fontId="27" fillId="0" borderId="11" xfId="0" applyFont="1" applyBorder="1"/>
    <xf numFmtId="0" fontId="27" fillId="0" borderId="0" xfId="0" applyFont="1" applyBorder="1"/>
    <xf numFmtId="0" fontId="27" fillId="0" borderId="16" xfId="0" applyFont="1" applyBorder="1"/>
    <xf numFmtId="164" fontId="0" fillId="0" borderId="0" xfId="0" applyNumberFormat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FF0000"/>
      </font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57"/>
  <sheetViews>
    <sheetView tabSelected="1" zoomScale="96" zoomScaleNormal="96" workbookViewId="0">
      <pane xSplit="5" ySplit="2" topLeftCell="F3" activePane="bottomRight" state="frozen"/>
      <selection pane="topRight" activeCell="H1" sqref="H1"/>
      <selection pane="bottomLeft" activeCell="A3" sqref="A3"/>
      <selection pane="bottomRight" activeCell="H7" sqref="H7"/>
    </sheetView>
  </sheetViews>
  <sheetFormatPr defaultColWidth="14.6640625" defaultRowHeight="14.4" x14ac:dyDescent="0.3"/>
  <cols>
    <col min="2" max="4" width="10.6640625" customWidth="1"/>
    <col min="5" max="5" width="16.88671875" customWidth="1"/>
    <col min="6" max="17" width="12.6640625" customWidth="1"/>
    <col min="18" max="18" width="15.109375" bestFit="1" customWidth="1"/>
    <col min="19" max="19" width="16.109375" bestFit="1" customWidth="1"/>
    <col min="20" max="62" width="12.6640625" customWidth="1"/>
    <col min="63" max="63" width="16.33203125" bestFit="1" customWidth="1"/>
    <col min="64" max="65" width="16.33203125" customWidth="1"/>
  </cols>
  <sheetData>
    <row r="1" spans="1:65" ht="21" x14ac:dyDescent="0.4">
      <c r="A1" s="85" t="s">
        <v>0</v>
      </c>
      <c r="B1" s="85"/>
      <c r="C1" s="85"/>
      <c r="D1" s="85"/>
      <c r="E1" s="85"/>
      <c r="F1" s="86" t="s">
        <v>1</v>
      </c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8"/>
      <c r="AD1" s="99" t="s">
        <v>2</v>
      </c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1"/>
      <c r="AR1" s="94" t="s">
        <v>63</v>
      </c>
      <c r="AS1" s="94"/>
      <c r="AT1" s="94"/>
      <c r="AU1" s="94"/>
      <c r="AV1" s="95"/>
      <c r="AW1" s="96" t="s">
        <v>57</v>
      </c>
      <c r="AX1" s="97"/>
      <c r="AY1" s="98"/>
      <c r="AZ1" s="92" t="s">
        <v>55</v>
      </c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89" t="s">
        <v>59</v>
      </c>
      <c r="BL1" s="90"/>
      <c r="BM1" s="91"/>
    </row>
    <row r="2" spans="1:65" ht="60.6" thickBot="1" x14ac:dyDescent="0.35">
      <c r="A2" s="32" t="s">
        <v>3</v>
      </c>
      <c r="B2" s="32" t="s">
        <v>4</v>
      </c>
      <c r="C2" s="32" t="s">
        <v>5</v>
      </c>
      <c r="D2" s="32" t="s">
        <v>7</v>
      </c>
      <c r="E2" s="32" t="s">
        <v>8</v>
      </c>
      <c r="F2" s="51" t="s">
        <v>70</v>
      </c>
      <c r="G2" s="52" t="s">
        <v>9</v>
      </c>
      <c r="H2" s="52" t="s">
        <v>10</v>
      </c>
      <c r="I2" s="55" t="s">
        <v>28</v>
      </c>
      <c r="J2" s="55" t="s">
        <v>11</v>
      </c>
      <c r="K2" s="55" t="s">
        <v>12</v>
      </c>
      <c r="L2" s="55" t="s">
        <v>29</v>
      </c>
      <c r="M2" s="53" t="s">
        <v>30</v>
      </c>
      <c r="N2" s="53" t="s">
        <v>31</v>
      </c>
      <c r="O2" s="53" t="s">
        <v>32</v>
      </c>
      <c r="P2" s="53" t="s">
        <v>14</v>
      </c>
      <c r="Q2" s="53" t="s">
        <v>75</v>
      </c>
      <c r="R2" s="53" t="s">
        <v>33</v>
      </c>
      <c r="S2" s="53" t="s">
        <v>34</v>
      </c>
      <c r="T2" s="53" t="s">
        <v>13</v>
      </c>
      <c r="U2" s="53" t="s">
        <v>6</v>
      </c>
      <c r="V2" s="53" t="s">
        <v>35</v>
      </c>
      <c r="W2" s="53" t="s">
        <v>36</v>
      </c>
      <c r="X2" s="53" t="s">
        <v>37</v>
      </c>
      <c r="Y2" s="53" t="s">
        <v>38</v>
      </c>
      <c r="Z2" s="53" t="s">
        <v>39</v>
      </c>
      <c r="AA2" s="53" t="s">
        <v>40</v>
      </c>
      <c r="AB2" s="53" t="s">
        <v>41</v>
      </c>
      <c r="AC2" s="54" t="s">
        <v>42</v>
      </c>
      <c r="AD2" s="37" t="s">
        <v>43</v>
      </c>
      <c r="AE2" s="32" t="s">
        <v>76</v>
      </c>
      <c r="AF2" s="32" t="s">
        <v>54</v>
      </c>
      <c r="AG2" s="32" t="s">
        <v>20</v>
      </c>
      <c r="AH2" s="32" t="s">
        <v>44</v>
      </c>
      <c r="AI2" s="32" t="s">
        <v>45</v>
      </c>
      <c r="AJ2" s="32" t="s">
        <v>46</v>
      </c>
      <c r="AK2" s="32" t="s">
        <v>47</v>
      </c>
      <c r="AL2" s="32" t="s">
        <v>69</v>
      </c>
      <c r="AM2" s="32" t="s">
        <v>50</v>
      </c>
      <c r="AN2" s="32" t="s">
        <v>51</v>
      </c>
      <c r="AO2" s="32" t="s">
        <v>48</v>
      </c>
      <c r="AP2" s="32" t="s">
        <v>49</v>
      </c>
      <c r="AQ2" s="21" t="s">
        <v>16</v>
      </c>
      <c r="AR2" s="32" t="s">
        <v>22</v>
      </c>
      <c r="AS2" s="32" t="s">
        <v>18</v>
      </c>
      <c r="AT2" s="32" t="s">
        <v>19</v>
      </c>
      <c r="AU2" s="32" t="s">
        <v>20</v>
      </c>
      <c r="AV2" s="32" t="s">
        <v>21</v>
      </c>
      <c r="AW2" s="37" t="s">
        <v>23</v>
      </c>
      <c r="AX2" s="32" t="s">
        <v>24</v>
      </c>
      <c r="AY2" s="21" t="s">
        <v>25</v>
      </c>
      <c r="AZ2" s="32" t="s">
        <v>64</v>
      </c>
      <c r="BA2" s="32" t="s">
        <v>53</v>
      </c>
      <c r="BB2" s="32" t="s">
        <v>15</v>
      </c>
      <c r="BC2" s="32" t="s">
        <v>61</v>
      </c>
      <c r="BD2" s="32" t="s">
        <v>60</v>
      </c>
      <c r="BE2" s="32" t="s">
        <v>17</v>
      </c>
      <c r="BF2" s="32" t="s">
        <v>65</v>
      </c>
      <c r="BG2" s="32" t="s">
        <v>66</v>
      </c>
      <c r="BH2" s="32" t="s">
        <v>67</v>
      </c>
      <c r="BI2" s="32" t="s">
        <v>56</v>
      </c>
      <c r="BJ2" s="32" t="s">
        <v>52</v>
      </c>
      <c r="BK2" s="37" t="s">
        <v>68</v>
      </c>
      <c r="BL2" s="32" t="s">
        <v>58</v>
      </c>
      <c r="BM2" s="21" t="s">
        <v>62</v>
      </c>
    </row>
    <row r="3" spans="1:65" ht="15" thickBot="1" x14ac:dyDescent="0.35">
      <c r="A3" s="3" t="s">
        <v>71</v>
      </c>
      <c r="B3" s="4" t="s">
        <v>26</v>
      </c>
      <c r="C3" s="4">
        <v>12</v>
      </c>
      <c r="D3" s="4">
        <v>0</v>
      </c>
      <c r="E3" s="5">
        <v>45491.472488425898</v>
      </c>
      <c r="F3" s="4">
        <v>146.51</v>
      </c>
      <c r="G3" s="9"/>
      <c r="H3" s="9">
        <v>121.58</v>
      </c>
      <c r="I3" s="9">
        <v>12.4</v>
      </c>
      <c r="J3" s="9">
        <v>12.2</v>
      </c>
      <c r="K3" s="9">
        <v>98.4</v>
      </c>
      <c r="L3" s="9">
        <v>16.7</v>
      </c>
      <c r="M3" s="9">
        <v>331</v>
      </c>
      <c r="N3" s="9">
        <v>0.63</v>
      </c>
      <c r="O3" s="9">
        <v>0.57999999999999996</v>
      </c>
      <c r="P3" s="9">
        <v>6.06</v>
      </c>
      <c r="Q3" s="9"/>
      <c r="R3" s="9">
        <v>1.02</v>
      </c>
      <c r="S3" s="9">
        <v>2.4500000000000002</v>
      </c>
      <c r="T3" s="9">
        <v>0.9</v>
      </c>
      <c r="U3" s="9">
        <v>7.0590000000000002</v>
      </c>
      <c r="V3" s="9">
        <v>99.5</v>
      </c>
      <c r="W3" s="9">
        <v>94</v>
      </c>
      <c r="X3" s="9">
        <v>6.59</v>
      </c>
      <c r="Y3" s="9">
        <v>107.8</v>
      </c>
      <c r="Z3" s="9">
        <v>27.1</v>
      </c>
      <c r="AA3" s="9">
        <v>87.3</v>
      </c>
      <c r="AB3" s="9">
        <v>78.099999999999994</v>
      </c>
      <c r="AC3" s="23">
        <v>7.0970000000000004</v>
      </c>
      <c r="AD3" s="69">
        <v>300</v>
      </c>
      <c r="AE3" s="9">
        <v>50</v>
      </c>
      <c r="AF3" s="9">
        <v>7.09</v>
      </c>
      <c r="AG3" s="73">
        <f>AE3/100</f>
        <v>0.5</v>
      </c>
      <c r="AH3" s="9">
        <v>34</v>
      </c>
      <c r="AI3" s="9">
        <v>3.3</v>
      </c>
      <c r="AJ3" s="28">
        <v>0</v>
      </c>
      <c r="AK3" s="9">
        <v>0</v>
      </c>
      <c r="AL3" s="9"/>
      <c r="AM3" s="9"/>
      <c r="AN3" s="9"/>
      <c r="AO3" s="73">
        <v>0</v>
      </c>
      <c r="AP3" s="73">
        <v>0</v>
      </c>
      <c r="AQ3" s="41">
        <v>15</v>
      </c>
      <c r="AR3" s="19">
        <v>1700</v>
      </c>
      <c r="AS3" s="9">
        <v>34</v>
      </c>
      <c r="AT3" s="9">
        <v>7.2</v>
      </c>
      <c r="AU3" s="9">
        <v>50</v>
      </c>
      <c r="AV3" s="13">
        <v>2.9999999999999997E-4</v>
      </c>
      <c r="AW3" s="12"/>
      <c r="AX3" s="13">
        <f>BG3*24*60/BB3</f>
        <v>3.9999999999999957E-3</v>
      </c>
      <c r="AY3" s="38">
        <f>BJ3/BB3</f>
        <v>9.9999999999999995E-8</v>
      </c>
      <c r="AZ3" s="12">
        <f>AV3*J3*BB3/1000</f>
        <v>6.1671E-3</v>
      </c>
      <c r="BA3" s="13">
        <f t="shared" ref="BA3:BA34" si="0">AZ3*24*60</f>
        <v>8.8806239999999992</v>
      </c>
      <c r="BB3" s="13">
        <f t="shared" ref="BB3:BB6" si="1">AR3-AQ3</f>
        <v>1685</v>
      </c>
      <c r="BC3" s="14" t="e">
        <f>IF(ISBLANK(AM3),NA(),IFERROR(AM3/BB3,0))</f>
        <v>#N/A</v>
      </c>
      <c r="BD3" s="14" t="e">
        <f>IF(ISBLANK(AM3),NA(),AM3/AR3)</f>
        <v>#N/A</v>
      </c>
      <c r="BE3" s="14">
        <f t="shared" ref="BE3:BE34" si="2">AL3*24*60</f>
        <v>0</v>
      </c>
      <c r="BF3" s="14" t="str">
        <f>IF(B3="Python",AW3*AR3/24/60,"")</f>
        <v/>
      </c>
      <c r="BG3" s="14">
        <v>4.6805555555555498E-3</v>
      </c>
      <c r="BH3" s="56" t="str">
        <f>IF(B3="No MPC", AV3*J3*BB3/1000,"")</f>
        <v/>
      </c>
      <c r="BI3" s="14"/>
      <c r="BJ3" s="14">
        <v>1.685E-4</v>
      </c>
      <c r="BK3" s="44">
        <f>IF(BF3&lt;&gt;"",BF3/0.000385,IF(BG3&lt;&gt;"",BG3/0.000385,BH3/0.000385))</f>
        <v>12.157287157287143</v>
      </c>
      <c r="BL3" s="64">
        <f>IF(BF3&lt;&gt;"",BF3,IF(BG3&lt;&gt;"",BG3,BH3))</f>
        <v>4.6805555555555498E-3</v>
      </c>
      <c r="BM3" s="49">
        <f>IF(BI3&lt;&gt;"",BI3,BJ3)</f>
        <v>1.685E-4</v>
      </c>
    </row>
    <row r="4" spans="1:65" x14ac:dyDescent="0.3">
      <c r="A4" s="1" t="s">
        <v>72</v>
      </c>
      <c r="B4" s="26" t="s">
        <v>26</v>
      </c>
      <c r="C4" s="26">
        <v>12</v>
      </c>
      <c r="D4" s="26">
        <v>0</v>
      </c>
      <c r="E4" s="27">
        <v>45491.474918981497</v>
      </c>
      <c r="F4" s="26">
        <v>146.51</v>
      </c>
      <c r="G4" s="28"/>
      <c r="H4" s="28">
        <v>118.99</v>
      </c>
      <c r="I4" s="28">
        <v>13.1</v>
      </c>
      <c r="J4" s="28">
        <v>12.9</v>
      </c>
      <c r="K4" s="28">
        <v>98.6</v>
      </c>
      <c r="L4" s="28">
        <v>16.7</v>
      </c>
      <c r="M4" s="28">
        <v>329</v>
      </c>
      <c r="N4" s="28">
        <v>0.63</v>
      </c>
      <c r="O4" s="28">
        <v>0.6</v>
      </c>
      <c r="P4" s="28">
        <v>5.93</v>
      </c>
      <c r="Q4" s="28"/>
      <c r="R4" s="28">
        <v>0.98</v>
      </c>
      <c r="S4" s="28">
        <v>2.34</v>
      </c>
      <c r="T4" s="28">
        <v>0.89</v>
      </c>
      <c r="U4" s="28">
        <v>7.0279999999999996</v>
      </c>
      <c r="V4" s="28">
        <v>103</v>
      </c>
      <c r="W4" s="28">
        <v>59.4</v>
      </c>
      <c r="X4" s="28">
        <v>6.56</v>
      </c>
      <c r="Y4" s="28">
        <v>108.4</v>
      </c>
      <c r="Z4" s="28">
        <v>26.1</v>
      </c>
      <c r="AA4" s="28">
        <v>90.3</v>
      </c>
      <c r="AB4" s="28">
        <v>48.3</v>
      </c>
      <c r="AC4" s="24">
        <v>7.0650000000000004</v>
      </c>
      <c r="AD4" s="70">
        <v>300</v>
      </c>
      <c r="AE4" s="28">
        <v>50</v>
      </c>
      <c r="AF4" s="28">
        <v>7.1</v>
      </c>
      <c r="AG4" s="74">
        <f t="shared" ref="AG4:AG54" si="3">AE4/100</f>
        <v>0.5</v>
      </c>
      <c r="AH4" s="28">
        <v>34</v>
      </c>
      <c r="AI4" s="28">
        <v>2.94</v>
      </c>
      <c r="AJ4" s="28">
        <v>0</v>
      </c>
      <c r="AK4" s="28">
        <v>0</v>
      </c>
      <c r="AL4" s="28"/>
      <c r="AM4" s="28"/>
      <c r="AN4" s="28"/>
      <c r="AO4" s="74">
        <v>0</v>
      </c>
      <c r="AP4" s="74">
        <v>0</v>
      </c>
      <c r="AQ4" s="42">
        <v>15</v>
      </c>
      <c r="AR4" s="31">
        <v>1700</v>
      </c>
      <c r="AS4" s="28">
        <v>34</v>
      </c>
      <c r="AT4" s="28">
        <v>7.2</v>
      </c>
      <c r="AU4" s="28">
        <v>50</v>
      </c>
      <c r="AV4" s="29">
        <v>2.9999999999999997E-4</v>
      </c>
      <c r="AW4" s="15"/>
      <c r="AX4" s="13">
        <f>BG4*24*60/BB4</f>
        <v>3.9999999999999957E-3</v>
      </c>
      <c r="AY4" s="38">
        <f>BJ4/BB4</f>
        <v>9.9999999999999995E-8</v>
      </c>
      <c r="AZ4" s="15">
        <f>AV4*J4*BB4/1000</f>
        <v>6.5209499999999993E-3</v>
      </c>
      <c r="BA4" s="84">
        <f t="shared" si="0"/>
        <v>9.3901679999999992</v>
      </c>
      <c r="BB4" s="29">
        <f t="shared" si="1"/>
        <v>1685</v>
      </c>
      <c r="BC4" s="30" t="e">
        <f>IF(ISBLANK(AM4),NA(),IFERROR(AM4/BB4,0))</f>
        <v>#N/A</v>
      </c>
      <c r="BD4" s="30" t="e">
        <f>IF(ISBLANK(AM4),NA(),AM4/AR4)</f>
        <v>#N/A</v>
      </c>
      <c r="BE4" s="60">
        <f t="shared" si="2"/>
        <v>0</v>
      </c>
      <c r="BF4" s="30" t="str">
        <f>IF(B4="Python",AW4*BB4/24/60,"")</f>
        <v/>
      </c>
      <c r="BG4" s="60">
        <v>4.6805555555555498E-3</v>
      </c>
      <c r="BH4" s="57" t="str">
        <f>IF(B4="No MPC", AV4*J4*BB4/1000,"")</f>
        <v/>
      </c>
      <c r="BI4" s="30"/>
      <c r="BJ4" s="30">
        <v>1.685E-4</v>
      </c>
      <c r="BK4" s="45">
        <f t="shared" ref="BK4:BK45" si="4">IF(BF4&lt;&gt;"",BF4/0.000385,IF(BG4&lt;&gt;"",BG4/0.000385,BH4/0.000385))</f>
        <v>12.157287157287143</v>
      </c>
      <c r="BL4" s="65">
        <f t="shared" ref="BL4:BL45" si="5">IF(BF4&lt;&gt;"",BF4,IF(BG4&lt;&gt;"",BG4,BH4))</f>
        <v>4.6805555555555498E-3</v>
      </c>
      <c r="BM4" s="47">
        <f t="shared" ref="BM4:BM45" si="6">IF(BI4&lt;&gt;"",BI4,BJ4)</f>
        <v>1.685E-4</v>
      </c>
    </row>
    <row r="5" spans="1:65" x14ac:dyDescent="0.3">
      <c r="A5" s="1" t="s">
        <v>73</v>
      </c>
      <c r="B5" s="26" t="s">
        <v>27</v>
      </c>
      <c r="C5" s="26">
        <v>12</v>
      </c>
      <c r="D5" s="26">
        <v>0</v>
      </c>
      <c r="E5" s="27">
        <v>45491.477488425902</v>
      </c>
      <c r="F5" s="26">
        <v>146.51</v>
      </c>
      <c r="G5" s="28"/>
      <c r="H5" s="28">
        <v>118.11</v>
      </c>
      <c r="I5" s="28">
        <v>13.5</v>
      </c>
      <c r="J5" s="28">
        <v>13.3</v>
      </c>
      <c r="K5" s="28">
        <v>98.1</v>
      </c>
      <c r="L5" s="28">
        <v>16.600000000000001</v>
      </c>
      <c r="M5" s="28">
        <v>327</v>
      </c>
      <c r="N5" s="28">
        <v>0.63</v>
      </c>
      <c r="O5" s="28">
        <v>0.61</v>
      </c>
      <c r="P5" s="28">
        <v>5.96</v>
      </c>
      <c r="Q5" s="28"/>
      <c r="R5" s="28">
        <v>0.97</v>
      </c>
      <c r="S5" s="28">
        <v>2.36</v>
      </c>
      <c r="T5" s="28">
        <v>0.93</v>
      </c>
      <c r="U5" s="28">
        <v>7.0679999999999996</v>
      </c>
      <c r="V5" s="28">
        <v>95</v>
      </c>
      <c r="W5" s="28">
        <v>55.9</v>
      </c>
      <c r="X5" s="28">
        <v>6.59</v>
      </c>
      <c r="Y5" s="28">
        <v>106.4</v>
      </c>
      <c r="Z5" s="28">
        <v>26.4</v>
      </c>
      <c r="AA5" s="28">
        <v>83.4</v>
      </c>
      <c r="AB5" s="28">
        <v>45.4</v>
      </c>
      <c r="AC5" s="24">
        <v>7.1050000000000004</v>
      </c>
      <c r="AD5" s="70">
        <v>300</v>
      </c>
      <c r="AE5" s="28">
        <v>49.3</v>
      </c>
      <c r="AF5" s="28">
        <v>7.1</v>
      </c>
      <c r="AG5" s="74">
        <f t="shared" si="3"/>
        <v>0.49299999999999999</v>
      </c>
      <c r="AH5" s="28">
        <v>34</v>
      </c>
      <c r="AI5" s="28">
        <v>3.13</v>
      </c>
      <c r="AJ5" s="28">
        <v>0</v>
      </c>
      <c r="AK5" s="28">
        <v>0</v>
      </c>
      <c r="AL5" s="28"/>
      <c r="AM5" s="28"/>
      <c r="AN5" s="28"/>
      <c r="AO5" s="74">
        <v>0</v>
      </c>
      <c r="AP5" s="74">
        <v>0</v>
      </c>
      <c r="AQ5" s="42">
        <v>15</v>
      </c>
      <c r="AR5" s="31">
        <v>1700</v>
      </c>
      <c r="AS5" s="28">
        <v>34</v>
      </c>
      <c r="AT5" s="28">
        <v>7.2</v>
      </c>
      <c r="AU5" s="28">
        <v>50</v>
      </c>
      <c r="AV5" s="29">
        <v>2.9999999999999997E-4</v>
      </c>
      <c r="AW5" s="15"/>
      <c r="AY5" s="39"/>
      <c r="AZ5" s="15">
        <f>AV5*J5*BB5/1000</f>
        <v>6.7231499999999998E-3</v>
      </c>
      <c r="BA5" s="84">
        <f t="shared" si="0"/>
        <v>9.6813359999999999</v>
      </c>
      <c r="BB5" s="29">
        <f t="shared" si="1"/>
        <v>1685</v>
      </c>
      <c r="BC5" s="30" t="e">
        <f>IF(ISBLANK(AM5),NA(),IFERROR(AM5/BB5,0))</f>
        <v>#N/A</v>
      </c>
      <c r="BD5" s="30" t="e">
        <f>IF(ISBLANK(AM5),NA(),AM5/AR5)</f>
        <v>#N/A</v>
      </c>
      <c r="BE5" s="60">
        <f t="shared" si="2"/>
        <v>0</v>
      </c>
      <c r="BF5" s="30">
        <f>IF(B5="Python",AW5*BB5/24/60,"")</f>
        <v>0</v>
      </c>
      <c r="BG5" s="59" t="str">
        <f>IF(B5="Julia",AX5*BB5/24/60,"")</f>
        <v/>
      </c>
      <c r="BH5" s="59" t="str">
        <f>IF(B5="No MPC", AV5*J5*BB5/1000,"")</f>
        <v/>
      </c>
      <c r="BI5" s="30">
        <v>0</v>
      </c>
      <c r="BJ5" s="30" t="str">
        <f>IF(B5="Julia",AY5*BB5,"")</f>
        <v/>
      </c>
      <c r="BK5" s="45">
        <f t="shared" si="4"/>
        <v>0</v>
      </c>
      <c r="BL5" s="65">
        <f t="shared" si="5"/>
        <v>0</v>
      </c>
      <c r="BM5" s="47">
        <f t="shared" si="6"/>
        <v>0</v>
      </c>
    </row>
    <row r="6" spans="1:65" ht="15" thickBot="1" x14ac:dyDescent="0.35">
      <c r="A6" s="6" t="s">
        <v>74</v>
      </c>
      <c r="B6" s="7" t="s">
        <v>27</v>
      </c>
      <c r="C6" s="7">
        <v>12</v>
      </c>
      <c r="D6" s="7">
        <v>0</v>
      </c>
      <c r="E6" s="8">
        <v>45491.480787036999</v>
      </c>
      <c r="F6" s="7">
        <v>146.51</v>
      </c>
      <c r="G6" s="11"/>
      <c r="H6" s="11">
        <v>121.99</v>
      </c>
      <c r="I6" s="11">
        <v>12.5</v>
      </c>
      <c r="J6" s="11">
        <v>12.2</v>
      </c>
      <c r="K6" s="11">
        <v>97.7</v>
      </c>
      <c r="L6" s="11">
        <v>16.5</v>
      </c>
      <c r="M6" s="11">
        <v>334</v>
      </c>
      <c r="N6" s="11">
        <v>0.64</v>
      </c>
      <c r="O6" s="11">
        <v>0.61</v>
      </c>
      <c r="P6" s="11">
        <v>5.91</v>
      </c>
      <c r="Q6" s="11"/>
      <c r="R6" s="11">
        <v>0.95</v>
      </c>
      <c r="S6" s="11">
        <v>2.34</v>
      </c>
      <c r="T6" s="11">
        <v>0.94</v>
      </c>
      <c r="U6" s="11">
        <v>7.0460000000000003</v>
      </c>
      <c r="V6" s="11">
        <v>92.7</v>
      </c>
      <c r="W6" s="11">
        <v>58.7</v>
      </c>
      <c r="X6" s="11">
        <v>6.57</v>
      </c>
      <c r="Y6" s="11">
        <v>106.9</v>
      </c>
      <c r="Z6" s="11">
        <v>24.5</v>
      </c>
      <c r="AA6" s="11">
        <v>81.3</v>
      </c>
      <c r="AB6" s="11">
        <v>47.7</v>
      </c>
      <c r="AC6" s="25">
        <v>7.0839999999999996</v>
      </c>
      <c r="AD6" s="71">
        <v>300</v>
      </c>
      <c r="AE6" s="11">
        <v>48.9</v>
      </c>
      <c r="AF6" s="11">
        <v>7.09</v>
      </c>
      <c r="AG6" s="75">
        <f t="shared" si="3"/>
        <v>0.48899999999999999</v>
      </c>
      <c r="AH6" s="11">
        <v>34</v>
      </c>
      <c r="AI6" s="11">
        <v>2.85</v>
      </c>
      <c r="AJ6" s="11">
        <v>0</v>
      </c>
      <c r="AK6" s="11">
        <v>0</v>
      </c>
      <c r="AL6" s="11"/>
      <c r="AM6" s="11"/>
      <c r="AN6" s="11"/>
      <c r="AO6" s="75">
        <v>0</v>
      </c>
      <c r="AP6" s="75">
        <v>0</v>
      </c>
      <c r="AQ6" s="43">
        <v>15</v>
      </c>
      <c r="AR6" s="20">
        <v>1700</v>
      </c>
      <c r="AS6" s="11">
        <v>34</v>
      </c>
      <c r="AT6" s="11">
        <v>7.2</v>
      </c>
      <c r="AU6" s="11">
        <v>50</v>
      </c>
      <c r="AV6" s="17">
        <v>2.9999999999999997E-4</v>
      </c>
      <c r="AW6" s="16"/>
      <c r="AY6" s="40"/>
      <c r="AZ6" s="16">
        <f>AV6*J6*BB6/1000</f>
        <v>6.1671E-3</v>
      </c>
      <c r="BA6" s="17">
        <f t="shared" si="0"/>
        <v>8.8806239999999992</v>
      </c>
      <c r="BB6" s="17">
        <f t="shared" si="1"/>
        <v>1685</v>
      </c>
      <c r="BC6" s="18" t="e">
        <f>IF(ISBLANK(AM6),NA(),IFERROR(AM6/BB6,0))</f>
        <v>#N/A</v>
      </c>
      <c r="BD6" s="18" t="e">
        <f>IF(ISBLANK(AM6),NA(),AM6/AR6)</f>
        <v>#N/A</v>
      </c>
      <c r="BE6" s="18">
        <f t="shared" si="2"/>
        <v>0</v>
      </c>
      <c r="BF6" s="18">
        <f>IF(B6="Python",AW6*BB6/24/60,"")</f>
        <v>0</v>
      </c>
      <c r="BG6" s="59" t="str">
        <f>IF(B6="Julia",AX6*BB6/24/60,"")</f>
        <v/>
      </c>
      <c r="BH6" s="58" t="str">
        <f>IF(B6="No MPC", AV6*J6*BB6/1000,"")</f>
        <v/>
      </c>
      <c r="BI6" s="18">
        <v>0</v>
      </c>
      <c r="BJ6" s="18" t="str">
        <f>IF(B6="Julia",AY6*BB6,"")</f>
        <v/>
      </c>
      <c r="BK6" s="46">
        <f t="shared" si="4"/>
        <v>0</v>
      </c>
      <c r="BL6" s="66">
        <f t="shared" si="5"/>
        <v>0</v>
      </c>
      <c r="BM6" s="48">
        <f t="shared" si="6"/>
        <v>0</v>
      </c>
    </row>
    <row r="7" spans="1:65" x14ac:dyDescent="0.3">
      <c r="A7" s="3" t="s">
        <v>71</v>
      </c>
      <c r="B7" s="4" t="s">
        <v>26</v>
      </c>
      <c r="C7" s="4">
        <v>12</v>
      </c>
      <c r="D7" s="35">
        <v>1</v>
      </c>
      <c r="E7" s="5"/>
      <c r="F7" s="4">
        <v>509.83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23"/>
      <c r="AD7" s="69"/>
      <c r="AE7" s="9"/>
      <c r="AF7" s="9"/>
      <c r="AG7" s="73">
        <f t="shared" si="3"/>
        <v>0</v>
      </c>
      <c r="AH7" s="9"/>
      <c r="AI7" s="9"/>
      <c r="AJ7" s="9"/>
      <c r="AK7" s="9"/>
      <c r="AL7" s="9"/>
      <c r="AM7" s="9"/>
      <c r="AN7" s="9"/>
      <c r="AO7" s="73">
        <f>AM7-AM3</f>
        <v>0</v>
      </c>
      <c r="AP7" s="73">
        <f>AN7-AN3</f>
        <v>0</v>
      </c>
      <c r="AQ7" s="41">
        <v>15</v>
      </c>
      <c r="AR7" s="19">
        <v>1700</v>
      </c>
      <c r="AS7" s="9">
        <v>34</v>
      </c>
      <c r="AT7" s="9">
        <v>7.2</v>
      </c>
      <c r="AU7" s="9">
        <v>50</v>
      </c>
      <c r="AV7" s="13">
        <v>2.9999999999999997E-4</v>
      </c>
      <c r="AW7" s="12"/>
      <c r="AX7" s="13"/>
      <c r="AY7" s="38"/>
      <c r="AZ7" s="12">
        <f>AV7*J7*BB7/1000</f>
        <v>0</v>
      </c>
      <c r="BA7" s="13">
        <f t="shared" si="0"/>
        <v>0</v>
      </c>
      <c r="BB7" s="13">
        <f>AR7+SUM(AI7:AK7,AM7:AN7)-(AQ7*(D7+1))</f>
        <v>1670</v>
      </c>
      <c r="BC7" s="14" t="e">
        <f>IF(ISBLANK(AM7),NA(),IFERROR(AM7/BB7,0))</f>
        <v>#N/A</v>
      </c>
      <c r="BD7" s="14" t="e">
        <f>IF(ISBLANK(AM7),NA(),AM7/AR7)</f>
        <v>#N/A</v>
      </c>
      <c r="BE7" s="14">
        <f t="shared" si="2"/>
        <v>0</v>
      </c>
      <c r="BF7" s="14" t="str">
        <f>IF(B7="Python",AW7*BB7/24/60,"")</f>
        <v/>
      </c>
      <c r="BG7" s="14">
        <f>IF(B7="Julia",AX7*BB7/24/60,"")</f>
        <v>0</v>
      </c>
      <c r="BH7" s="56" t="str">
        <f>IF(B7="No MPC", AV7*J7*BB7/1000,"")</f>
        <v/>
      </c>
      <c r="BI7" s="14" t="str">
        <f>IF(IF(B7&lt;&gt;"Julia",((5-P7)*BB7)/400, "")&lt;0,0,IF(B7&lt;&gt;"Julia",((5-P7)*BB7)/400, ""))</f>
        <v/>
      </c>
      <c r="BJ7" s="14">
        <f>IF(B7="Julia",AY7*BB7,"")</f>
        <v>0</v>
      </c>
      <c r="BK7" s="45">
        <f t="shared" si="4"/>
        <v>0</v>
      </c>
      <c r="BL7" s="65">
        <f t="shared" si="5"/>
        <v>0</v>
      </c>
      <c r="BM7" s="47">
        <f t="shared" si="6"/>
        <v>0</v>
      </c>
    </row>
    <row r="8" spans="1:65" x14ac:dyDescent="0.3">
      <c r="A8" s="1" t="s">
        <v>72</v>
      </c>
      <c r="B8" s="26" t="s">
        <v>26</v>
      </c>
      <c r="C8" s="26">
        <v>12</v>
      </c>
      <c r="D8" s="34">
        <v>1</v>
      </c>
      <c r="E8" s="27"/>
      <c r="F8" s="26">
        <v>509.83</v>
      </c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4"/>
      <c r="AD8" s="70"/>
      <c r="AE8" s="28"/>
      <c r="AF8" s="28"/>
      <c r="AG8" s="74">
        <f t="shared" si="3"/>
        <v>0</v>
      </c>
      <c r="AH8" s="28"/>
      <c r="AI8" s="28"/>
      <c r="AJ8" s="28"/>
      <c r="AK8" s="28"/>
      <c r="AL8" s="28"/>
      <c r="AM8" s="28"/>
      <c r="AN8" s="28"/>
      <c r="AO8" s="76">
        <f>AM8-AM4</f>
        <v>0</v>
      </c>
      <c r="AP8" s="74">
        <f>AN8-AN4</f>
        <v>0</v>
      </c>
      <c r="AQ8" s="42">
        <v>15</v>
      </c>
      <c r="AR8" s="31">
        <v>1700</v>
      </c>
      <c r="AS8" s="28">
        <v>34</v>
      </c>
      <c r="AT8" s="28">
        <v>7.2</v>
      </c>
      <c r="AU8" s="28">
        <v>50</v>
      </c>
      <c r="AV8" s="29">
        <v>2.9999999999999997E-4</v>
      </c>
      <c r="AW8" s="15"/>
      <c r="AX8" s="29"/>
      <c r="AY8" s="39"/>
      <c r="AZ8" s="15">
        <f>AV8*J8*BB8/1000</f>
        <v>0</v>
      </c>
      <c r="BA8" s="84">
        <f t="shared" si="0"/>
        <v>0</v>
      </c>
      <c r="BB8" s="29">
        <f>AR8+SUM(AI8:AK8,AM8:AN8)-(AQ8*(D8+1))</f>
        <v>1670</v>
      </c>
      <c r="BC8" s="30" t="e">
        <f>IF(ISBLANK(AM8),NA(),IFERROR(AM8/BB8,0))</f>
        <v>#N/A</v>
      </c>
      <c r="BD8" s="30" t="e">
        <f>IF(ISBLANK(AM8),NA(),AM8/AR8)</f>
        <v>#N/A</v>
      </c>
      <c r="BE8" s="60">
        <f t="shared" si="2"/>
        <v>0</v>
      </c>
      <c r="BF8" s="30" t="str">
        <f>IF(B8="Python",AW8*BB8/24/60,"")</f>
        <v/>
      </c>
      <c r="BG8" s="60">
        <f>IF(B8="Julia",AX8*BB8/24/60,"")</f>
        <v>0</v>
      </c>
      <c r="BH8" s="57" t="str">
        <f>IF(B8="No MPC", AV8*J8*BB8/1000,"")</f>
        <v/>
      </c>
      <c r="BI8" s="30" t="str">
        <f>IF(IF(B8&lt;&gt;"Julia",((5-P8)*BB8)/400, "")&lt;0,0,IF(B8&lt;&gt;"Julia",((5-P8)*BB8)/400, ""))</f>
        <v/>
      </c>
      <c r="BJ8" s="30">
        <f>IF(B8="Julia",AY8*BB8,"")</f>
        <v>0</v>
      </c>
      <c r="BK8" s="45">
        <f t="shared" si="4"/>
        <v>0</v>
      </c>
      <c r="BL8" s="65">
        <f t="shared" si="5"/>
        <v>0</v>
      </c>
      <c r="BM8" s="47">
        <f t="shared" si="6"/>
        <v>0</v>
      </c>
    </row>
    <row r="9" spans="1:65" x14ac:dyDescent="0.3">
      <c r="A9" s="1" t="s">
        <v>73</v>
      </c>
      <c r="B9" s="26" t="s">
        <v>27</v>
      </c>
      <c r="C9" s="26">
        <v>12</v>
      </c>
      <c r="D9" s="34">
        <v>1</v>
      </c>
      <c r="E9" s="27"/>
      <c r="F9" s="26">
        <v>509.83</v>
      </c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4"/>
      <c r="AD9" s="70"/>
      <c r="AE9" s="28"/>
      <c r="AF9" s="28"/>
      <c r="AG9" s="74">
        <f t="shared" si="3"/>
        <v>0</v>
      </c>
      <c r="AH9" s="28"/>
      <c r="AI9" s="28"/>
      <c r="AJ9" s="28"/>
      <c r="AK9" s="28"/>
      <c r="AL9" s="28"/>
      <c r="AM9" s="28"/>
      <c r="AN9" s="28"/>
      <c r="AO9" s="76">
        <f>AM9-AM5</f>
        <v>0</v>
      </c>
      <c r="AP9" s="74">
        <f>AN9-AN5</f>
        <v>0</v>
      </c>
      <c r="AQ9" s="42">
        <v>15</v>
      </c>
      <c r="AR9" s="31">
        <v>1700</v>
      </c>
      <c r="AS9" s="28">
        <v>34</v>
      </c>
      <c r="AT9" s="28">
        <v>7.2</v>
      </c>
      <c r="AU9" s="28">
        <v>50</v>
      </c>
      <c r="AV9" s="29">
        <v>2.9999999999999997E-4</v>
      </c>
      <c r="AW9" s="15"/>
      <c r="AZ9" s="15">
        <f>AV9*J9*BB9/1000</f>
        <v>0</v>
      </c>
      <c r="BA9" s="84">
        <f t="shared" si="0"/>
        <v>0</v>
      </c>
      <c r="BB9" s="29">
        <f>AR9+SUM(AI9:AK9,AM9:AN9)-(AQ9*(D9+1))</f>
        <v>1670</v>
      </c>
      <c r="BC9" s="30" t="e">
        <f>IF(ISBLANK(AM9),NA(),IFERROR(AM9/BB9,0))</f>
        <v>#N/A</v>
      </c>
      <c r="BD9" s="30" t="e">
        <f>IF(ISBLANK(AM9),NA(),AM9/AR9)</f>
        <v>#N/A</v>
      </c>
      <c r="BE9" s="60">
        <f t="shared" si="2"/>
        <v>0</v>
      </c>
      <c r="BF9" s="30">
        <f>IF(B9="Python",AW9*BB9/24/60,"")</f>
        <v>0</v>
      </c>
      <c r="BG9" s="60" t="str">
        <f>IF(B9="Julia",AX9*BB9/24/60,"")</f>
        <v/>
      </c>
      <c r="BH9" s="57" t="str">
        <f>IF(B9="No MPC", AV9*J9*BB9/1000,"")</f>
        <v/>
      </c>
      <c r="BI9" s="77">
        <f>IF(IF(B9&lt;&gt;"Julia",((5-P9)*BB9)/400, "")&lt;0,0,IF(B9&lt;&gt;"Julia",((5-P9)*BB9)/400, ""))</f>
        <v>20.875</v>
      </c>
      <c r="BJ9" s="30" t="str">
        <f>IF(B9="Julia",AY9*BB9,"")</f>
        <v/>
      </c>
      <c r="BK9" s="45">
        <f t="shared" si="4"/>
        <v>0</v>
      </c>
      <c r="BL9" s="65">
        <f t="shared" si="5"/>
        <v>0</v>
      </c>
      <c r="BM9" s="79">
        <f t="shared" si="6"/>
        <v>20.875</v>
      </c>
    </row>
    <row r="10" spans="1:65" ht="15" thickBot="1" x14ac:dyDescent="0.35">
      <c r="A10" s="6" t="s">
        <v>74</v>
      </c>
      <c r="B10" s="7" t="s">
        <v>27</v>
      </c>
      <c r="C10" s="7">
        <v>12</v>
      </c>
      <c r="D10" s="36">
        <v>1</v>
      </c>
      <c r="E10" s="8"/>
      <c r="F10" s="7">
        <v>509.83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25"/>
      <c r="AD10" s="71"/>
      <c r="AE10" s="11"/>
      <c r="AF10" s="11"/>
      <c r="AG10" s="75">
        <f t="shared" si="3"/>
        <v>0</v>
      </c>
      <c r="AH10" s="11"/>
      <c r="AI10" s="11"/>
      <c r="AJ10" s="11"/>
      <c r="AK10" s="11"/>
      <c r="AL10" s="11"/>
      <c r="AM10" s="11"/>
      <c r="AN10" s="11"/>
      <c r="AO10" s="75">
        <f>AM10-AM6</f>
        <v>0</v>
      </c>
      <c r="AP10" s="75">
        <f>AN10-AN6</f>
        <v>0</v>
      </c>
      <c r="AQ10" s="43">
        <v>15</v>
      </c>
      <c r="AR10" s="20">
        <v>1700</v>
      </c>
      <c r="AS10" s="11">
        <v>34</v>
      </c>
      <c r="AT10" s="11">
        <v>7.2</v>
      </c>
      <c r="AU10" s="11">
        <v>50</v>
      </c>
      <c r="AV10" s="17">
        <v>2.9999999999999997E-4</v>
      </c>
      <c r="AW10" s="16"/>
      <c r="AX10" s="17"/>
      <c r="AY10" s="17"/>
      <c r="AZ10" s="16">
        <f>AV10*J10*BB10/1000</f>
        <v>0</v>
      </c>
      <c r="BA10" s="17">
        <f t="shared" si="0"/>
        <v>0</v>
      </c>
      <c r="BB10" s="17">
        <f>AR10+SUM(AI10:AK10,AM10:AN10)-(AQ10*(D10+1))</f>
        <v>1670</v>
      </c>
      <c r="BC10" s="18" t="e">
        <f>IF(ISBLANK(AM10),NA(),IFERROR(AM10/BB10,0))</f>
        <v>#N/A</v>
      </c>
      <c r="BD10" s="18" t="e">
        <f>IF(ISBLANK(AM10),NA(),AM10/AR10)</f>
        <v>#N/A</v>
      </c>
      <c r="BE10" s="18">
        <f t="shared" si="2"/>
        <v>0</v>
      </c>
      <c r="BF10" s="18">
        <f>IF(B10="Python",AW10*BB10/24/60,"")</f>
        <v>0</v>
      </c>
      <c r="BG10" s="18" t="str">
        <f>IF(B10="Julia",AX10*BB10/24/60,"")</f>
        <v/>
      </c>
      <c r="BH10" s="58" t="str">
        <f>IF(B10="No MPC", AV10*J10*BB10/1000,"")</f>
        <v/>
      </c>
      <c r="BI10" s="78">
        <f>IF(IF(B10&lt;&gt;"Julia",((5-P10)*BB10)/400, "")&lt;0,0,IF(B10&lt;&gt;"Julia",((5-P10)*BB10)/400, ""))</f>
        <v>20.875</v>
      </c>
      <c r="BJ10" s="18" t="str">
        <f>IF(B10="Julia",AY10*BB10,"")</f>
        <v/>
      </c>
      <c r="BK10" s="45">
        <f t="shared" si="4"/>
        <v>0</v>
      </c>
      <c r="BL10" s="65">
        <f t="shared" si="5"/>
        <v>0</v>
      </c>
      <c r="BM10" s="79">
        <f t="shared" si="6"/>
        <v>20.875</v>
      </c>
    </row>
    <row r="11" spans="1:65" x14ac:dyDescent="0.3">
      <c r="A11" s="1" t="s">
        <v>71</v>
      </c>
      <c r="B11" s="26" t="s">
        <v>26</v>
      </c>
      <c r="C11" s="26">
        <v>12</v>
      </c>
      <c r="D11" s="26">
        <v>2</v>
      </c>
      <c r="E11" s="27"/>
      <c r="F11">
        <v>997.91</v>
      </c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4"/>
      <c r="AD11" s="69"/>
      <c r="AE11" s="9"/>
      <c r="AF11" s="9"/>
      <c r="AG11" s="73">
        <f t="shared" si="3"/>
        <v>0</v>
      </c>
      <c r="AH11" s="9"/>
      <c r="AI11" s="9"/>
      <c r="AJ11" s="9"/>
      <c r="AK11" s="9"/>
      <c r="AL11" s="9"/>
      <c r="AM11" s="9"/>
      <c r="AN11" s="9"/>
      <c r="AO11" s="73">
        <f>AM11-AM7</f>
        <v>0</v>
      </c>
      <c r="AP11" s="73">
        <f>AN11-AN7</f>
        <v>0</v>
      </c>
      <c r="AQ11" s="41">
        <v>15</v>
      </c>
      <c r="AR11" s="19">
        <v>1700</v>
      </c>
      <c r="AS11" s="9">
        <v>34</v>
      </c>
      <c r="AT11" s="9">
        <v>7.2</v>
      </c>
      <c r="AU11" s="9">
        <v>50</v>
      </c>
      <c r="AV11" s="13">
        <v>2.9999999999999997E-4</v>
      </c>
      <c r="AW11" s="12"/>
      <c r="AX11" s="13"/>
      <c r="AY11" s="38"/>
      <c r="AZ11" s="12">
        <f>AV11*J11*BB11/1000</f>
        <v>0</v>
      </c>
      <c r="BA11" s="13">
        <f t="shared" si="0"/>
        <v>0</v>
      </c>
      <c r="BB11" s="13">
        <f>AR11+SUM(AI11:AK11,AM11:AN11)-(AQ11*(D11+1))</f>
        <v>1655</v>
      </c>
      <c r="BC11" s="14" t="e">
        <f>IF(ISBLANK(AM11),NA(),IFERROR(AM11/BB11,0))</f>
        <v>#N/A</v>
      </c>
      <c r="BD11" s="14" t="e">
        <f>IF(ISBLANK(AM11),NA(),AM11/AR11)</f>
        <v>#N/A</v>
      </c>
      <c r="BE11" s="14">
        <f t="shared" si="2"/>
        <v>0</v>
      </c>
      <c r="BF11" s="14" t="str">
        <f>IF(B11="Python",AW11*BB11/24/60,"")</f>
        <v/>
      </c>
      <c r="BG11" s="14">
        <f>IF(B11="Julia",AX11*BB11/24/60,"")</f>
        <v>0</v>
      </c>
      <c r="BH11" s="56" t="str">
        <f>IF(B11="No MPC", AV11*J11*BB11/1000,"")</f>
        <v/>
      </c>
      <c r="BI11" s="14" t="str">
        <f>IF(IF(B11&lt;&gt;"Julia",((1.5-P11)*BB11)/400, "")&lt;0,0,IF(B11&lt;&gt;"Julia",((3-P11)*BB11)/400, ""))</f>
        <v/>
      </c>
      <c r="BJ11" s="14">
        <f>IF(B11="Julia",AY11*BB11,"")</f>
        <v>0</v>
      </c>
      <c r="BK11" s="44">
        <f t="shared" si="4"/>
        <v>0</v>
      </c>
      <c r="BL11" s="64">
        <f t="shared" si="5"/>
        <v>0</v>
      </c>
      <c r="BM11" s="49">
        <f t="shared" si="6"/>
        <v>0</v>
      </c>
    </row>
    <row r="12" spans="1:65" x14ac:dyDescent="0.3">
      <c r="A12" s="1" t="s">
        <v>72</v>
      </c>
      <c r="B12" s="26" t="s">
        <v>26</v>
      </c>
      <c r="C12" s="26">
        <v>12</v>
      </c>
      <c r="D12" s="26">
        <v>2</v>
      </c>
      <c r="E12" s="27"/>
      <c r="F12">
        <v>997.91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4"/>
      <c r="AD12" s="70"/>
      <c r="AE12" s="28"/>
      <c r="AF12" s="28"/>
      <c r="AG12" s="74">
        <f t="shared" si="3"/>
        <v>0</v>
      </c>
      <c r="AH12" s="28"/>
      <c r="AI12" s="28"/>
      <c r="AJ12" s="28"/>
      <c r="AK12" s="28"/>
      <c r="AL12" s="28"/>
      <c r="AM12" s="28"/>
      <c r="AN12" s="28"/>
      <c r="AO12" s="74">
        <f>AM12-AM8</f>
        <v>0</v>
      </c>
      <c r="AP12" s="74">
        <f>AN12-AN8</f>
        <v>0</v>
      </c>
      <c r="AQ12" s="42">
        <v>15</v>
      </c>
      <c r="AR12" s="31">
        <v>1700</v>
      </c>
      <c r="AS12" s="28">
        <v>34</v>
      </c>
      <c r="AT12" s="28">
        <v>7.2</v>
      </c>
      <c r="AU12" s="28">
        <v>50</v>
      </c>
      <c r="AV12" s="29">
        <v>2.9999999999999997E-4</v>
      </c>
      <c r="AW12" s="15"/>
      <c r="AX12" s="29"/>
      <c r="AY12" s="39"/>
      <c r="AZ12" s="15">
        <f>AV12*J12*BB12/1000</f>
        <v>0</v>
      </c>
      <c r="BA12" s="84">
        <f t="shared" si="0"/>
        <v>0</v>
      </c>
      <c r="BB12" s="29">
        <f>AR12+SUM(AI12:AK12,AM12:AN12)-(AQ12*(D12+1))</f>
        <v>1655</v>
      </c>
      <c r="BC12" s="30" t="e">
        <f>IF(ISBLANK(AM12),NA(),IFERROR(AM12/BB12,0))</f>
        <v>#N/A</v>
      </c>
      <c r="BD12" s="30" t="e">
        <f>IF(ISBLANK(AM12),NA(),AM12/AR12)</f>
        <v>#N/A</v>
      </c>
      <c r="BE12" s="60">
        <f t="shared" si="2"/>
        <v>0</v>
      </c>
      <c r="BF12" s="30" t="str">
        <f>IF(B12="Python",AW12*BB12/24/60,"")</f>
        <v/>
      </c>
      <c r="BG12" s="60">
        <f>IF(B12="Julia",AX12*BB12/24/60,"")</f>
        <v>0</v>
      </c>
      <c r="BH12" s="57" t="str">
        <f>IF(B12="No MPC", AV12*J12*BB12/1000,"")</f>
        <v/>
      </c>
      <c r="BI12" s="30" t="str">
        <f>IF(IF(B12&lt;&gt;"Julia",((1.5-P12)*BB12)/400, "")&lt;0,0,IF(B12&lt;&gt;"Julia",((3-P12)*BB12)/400, ""))</f>
        <v/>
      </c>
      <c r="BJ12" s="30">
        <f>IF(B12="Julia",AY12*BB12,"")</f>
        <v>0</v>
      </c>
      <c r="BK12" s="45">
        <f t="shared" si="4"/>
        <v>0</v>
      </c>
      <c r="BL12" s="65">
        <f t="shared" si="5"/>
        <v>0</v>
      </c>
      <c r="BM12" s="47">
        <f t="shared" si="6"/>
        <v>0</v>
      </c>
    </row>
    <row r="13" spans="1:65" x14ac:dyDescent="0.3">
      <c r="A13" s="1" t="s">
        <v>73</v>
      </c>
      <c r="B13" s="26" t="s">
        <v>27</v>
      </c>
      <c r="C13" s="26">
        <v>12</v>
      </c>
      <c r="D13" s="26">
        <v>2</v>
      </c>
      <c r="E13" s="27"/>
      <c r="F13">
        <v>997.91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4"/>
      <c r="AD13" s="70"/>
      <c r="AE13" s="28"/>
      <c r="AF13" s="28"/>
      <c r="AG13" s="74">
        <f t="shared" si="3"/>
        <v>0</v>
      </c>
      <c r="AH13" s="28"/>
      <c r="AI13" s="28"/>
      <c r="AJ13" s="28"/>
      <c r="AK13" s="28"/>
      <c r="AL13" s="28"/>
      <c r="AM13" s="28"/>
      <c r="AN13" s="28"/>
      <c r="AO13" s="74">
        <f>AM13-AM9</f>
        <v>0</v>
      </c>
      <c r="AP13" s="74">
        <f>AN13-AN9</f>
        <v>0</v>
      </c>
      <c r="AQ13" s="42">
        <v>15</v>
      </c>
      <c r="AR13" s="31">
        <v>1700</v>
      </c>
      <c r="AS13" s="28">
        <v>34</v>
      </c>
      <c r="AT13" s="28">
        <v>7.2</v>
      </c>
      <c r="AU13" s="28">
        <v>50</v>
      </c>
      <c r="AV13" s="29">
        <v>2.9999999999999997E-4</v>
      </c>
      <c r="AW13" s="15"/>
      <c r="AY13" s="39"/>
      <c r="AZ13" s="15">
        <f>AV13*J13*BB13/1000</f>
        <v>0</v>
      </c>
      <c r="BA13" s="84">
        <f t="shared" si="0"/>
        <v>0</v>
      </c>
      <c r="BB13" s="29">
        <f>AR13+SUM(AI13:AK13,AM13:AN13)-(AQ13*(D13+1))</f>
        <v>1655</v>
      </c>
      <c r="BC13" s="30" t="e">
        <f>IF(ISBLANK(AM13),NA(),IFERROR(AM13/BB13,0))</f>
        <v>#N/A</v>
      </c>
      <c r="BD13" s="30" t="e">
        <f>IF(ISBLANK(AM13),NA(),AM13/AR13)</f>
        <v>#N/A</v>
      </c>
      <c r="BE13" s="60">
        <f t="shared" si="2"/>
        <v>0</v>
      </c>
      <c r="BF13" s="30">
        <f>IF(B13="Python",AW13*BB13/24/60,"")</f>
        <v>0</v>
      </c>
      <c r="BG13" s="60" t="str">
        <f>IF(B13="Julia",AX13*BB13/24/60,"")</f>
        <v/>
      </c>
      <c r="BH13" s="57" t="str">
        <f>IF(B13="No MPC", AV13*J13*BB13/1000,"")</f>
        <v/>
      </c>
      <c r="BI13" s="30">
        <f>IF(IF(B13&lt;&gt;"Julia",((1.5-P13)*BB13)/400, "")&lt;0,0,IF(B13&lt;&gt;"Julia",((3-P13)*BB13)/400, ""))</f>
        <v>12.4125</v>
      </c>
      <c r="BJ13" s="30" t="str">
        <f>IF(B13="Julia",AY13*BB13,"")</f>
        <v/>
      </c>
      <c r="BK13" s="45">
        <f t="shared" si="4"/>
        <v>0</v>
      </c>
      <c r="BL13" s="65">
        <f t="shared" si="5"/>
        <v>0</v>
      </c>
      <c r="BM13" s="47">
        <f t="shared" si="6"/>
        <v>12.4125</v>
      </c>
    </row>
    <row r="14" spans="1:65" ht="15" thickBot="1" x14ac:dyDescent="0.35">
      <c r="A14" s="1" t="s">
        <v>74</v>
      </c>
      <c r="B14" s="26" t="s">
        <v>27</v>
      </c>
      <c r="C14" s="26">
        <v>12</v>
      </c>
      <c r="D14" s="26">
        <v>2</v>
      </c>
      <c r="E14" s="27"/>
      <c r="F14">
        <v>997.91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4"/>
      <c r="AD14" s="71"/>
      <c r="AE14" s="11"/>
      <c r="AF14" s="11"/>
      <c r="AG14" s="75">
        <f t="shared" si="3"/>
        <v>0</v>
      </c>
      <c r="AH14" s="11"/>
      <c r="AI14" s="11"/>
      <c r="AJ14" s="11"/>
      <c r="AK14" s="11"/>
      <c r="AL14" s="11"/>
      <c r="AM14" s="11"/>
      <c r="AN14" s="11"/>
      <c r="AO14" s="75">
        <f>AM14-AM10</f>
        <v>0</v>
      </c>
      <c r="AP14" s="75">
        <f>AN14-AN10</f>
        <v>0</v>
      </c>
      <c r="AQ14" s="43">
        <v>15</v>
      </c>
      <c r="AR14" s="20">
        <v>1700</v>
      </c>
      <c r="AS14" s="11">
        <v>34</v>
      </c>
      <c r="AT14" s="11">
        <v>7.2</v>
      </c>
      <c r="AU14" s="11">
        <v>50</v>
      </c>
      <c r="AV14" s="17">
        <v>2.9999999999999997E-4</v>
      </c>
      <c r="AW14" s="16"/>
      <c r="AY14" s="40"/>
      <c r="AZ14" s="16">
        <f>AV14*J14*BB14/1000</f>
        <v>0</v>
      </c>
      <c r="BA14" s="17">
        <f t="shared" si="0"/>
        <v>0</v>
      </c>
      <c r="BB14" s="17">
        <f>AR14+SUM(AI14:AK14,AM14:AN14)-(AQ14*(D14+1))</f>
        <v>1655</v>
      </c>
      <c r="BC14" s="18" t="e">
        <f>IF(ISBLANK(AM14),NA(),IFERROR(AM14/BB14,0))</f>
        <v>#N/A</v>
      </c>
      <c r="BD14" s="18" t="e">
        <f>IF(ISBLANK(AM14),NA(),AM14/AR14)</f>
        <v>#N/A</v>
      </c>
      <c r="BE14" s="18">
        <f t="shared" si="2"/>
        <v>0</v>
      </c>
      <c r="BF14" s="18">
        <f>IF(B14="Python",AW14*BB14/24/60,"")</f>
        <v>0</v>
      </c>
      <c r="BG14" s="18" t="str">
        <f>IF(B14="Julia",AX14*BB14/24/60,"")</f>
        <v/>
      </c>
      <c r="BH14" s="58" t="str">
        <f>IF(B14="No MPC", AV14*J14*BB14/1000,"")</f>
        <v/>
      </c>
      <c r="BI14" s="18">
        <f>IF(IF(B14&lt;&gt;"Julia",((1.5-P14)*BB14)/400, "")&lt;0,0,IF(B14&lt;&gt;"Julia",((3-P14)*BB14)/400, ""))</f>
        <v>12.4125</v>
      </c>
      <c r="BJ14" s="18" t="str">
        <f>IF(B14="Julia",AY14*BB14,"")</f>
        <v/>
      </c>
      <c r="BK14" s="46">
        <f t="shared" si="4"/>
        <v>0</v>
      </c>
      <c r="BL14" s="66">
        <f t="shared" si="5"/>
        <v>0</v>
      </c>
      <c r="BM14" s="48">
        <f t="shared" si="6"/>
        <v>12.4125</v>
      </c>
    </row>
    <row r="15" spans="1:65" x14ac:dyDescent="0.3">
      <c r="A15" s="3" t="s">
        <v>71</v>
      </c>
      <c r="B15" s="4" t="s">
        <v>26</v>
      </c>
      <c r="C15" s="4">
        <v>12</v>
      </c>
      <c r="D15" s="4">
        <v>3</v>
      </c>
      <c r="E15" s="5"/>
      <c r="F15" s="4">
        <v>1505.08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23"/>
      <c r="AD15" s="69"/>
      <c r="AE15" s="9"/>
      <c r="AF15" s="9"/>
      <c r="AG15" s="73">
        <f t="shared" si="3"/>
        <v>0</v>
      </c>
      <c r="AH15" s="9"/>
      <c r="AI15" s="9"/>
      <c r="AJ15" s="9"/>
      <c r="AK15" s="9"/>
      <c r="AL15" s="9"/>
      <c r="AM15" s="9"/>
      <c r="AN15" s="9"/>
      <c r="AO15" s="73">
        <f>AM15-AM11</f>
        <v>0</v>
      </c>
      <c r="AP15" s="73">
        <f>AN15-AN11</f>
        <v>0</v>
      </c>
      <c r="AQ15" s="41">
        <v>15</v>
      </c>
      <c r="AR15" s="19">
        <v>1700</v>
      </c>
      <c r="AS15" s="9">
        <v>34</v>
      </c>
      <c r="AT15" s="9">
        <v>7.2</v>
      </c>
      <c r="AU15" s="9">
        <v>50</v>
      </c>
      <c r="AV15" s="13">
        <v>2.9999999999999997E-4</v>
      </c>
      <c r="AW15" s="12"/>
      <c r="AX15" s="13"/>
      <c r="AY15" s="38"/>
      <c r="AZ15" s="12">
        <f>AV15*J15*BB15/1000</f>
        <v>0</v>
      </c>
      <c r="BA15" s="13">
        <f t="shared" si="0"/>
        <v>0</v>
      </c>
      <c r="BB15" s="13">
        <f>AR15+SUM(AI15:AK15,AM15:AN15)-(AQ15*(D15+1))</f>
        <v>1640</v>
      </c>
      <c r="BC15" s="14" t="e">
        <f>IF(ISBLANK(AM15),NA(),IFERROR(AM15/BB15,0))</f>
        <v>#N/A</v>
      </c>
      <c r="BD15" s="14" t="e">
        <f>IF(ISBLANK(AM15),NA(),AM15/AR15)</f>
        <v>#N/A</v>
      </c>
      <c r="BE15" s="14">
        <f t="shared" si="2"/>
        <v>0</v>
      </c>
      <c r="BF15" s="14" t="str">
        <f>IF(B15="Python",AW15*BB15/24/60,"")</f>
        <v/>
      </c>
      <c r="BG15" s="14">
        <f>IF(B15="Julia",AX15*BB15/24/60,"")</f>
        <v>0</v>
      </c>
      <c r="BH15" s="56" t="str">
        <f>IF(B15="No MPC", AV15*J15*BB15/1000,"")</f>
        <v/>
      </c>
      <c r="BI15" s="14" t="str">
        <f>IF(IF(B15&lt;&gt;"Julia",((1.5-P15)*BB15)/400, "")&lt;0,0,IF(B15&lt;&gt;"Julia",((3-P15)*BB15)/400, ""))</f>
        <v/>
      </c>
      <c r="BJ15" s="14">
        <f>IF(B15="Julia",AY15*BB15,"")</f>
        <v>0</v>
      </c>
      <c r="BK15" s="45">
        <f t="shared" si="4"/>
        <v>0</v>
      </c>
      <c r="BL15" s="65">
        <f t="shared" si="5"/>
        <v>0</v>
      </c>
      <c r="BM15" s="47">
        <f t="shared" si="6"/>
        <v>0</v>
      </c>
    </row>
    <row r="16" spans="1:65" x14ac:dyDescent="0.3">
      <c r="A16" s="1" t="s">
        <v>72</v>
      </c>
      <c r="B16" s="26" t="s">
        <v>26</v>
      </c>
      <c r="C16" s="26">
        <v>12</v>
      </c>
      <c r="D16" s="26">
        <v>3</v>
      </c>
      <c r="E16" s="27"/>
      <c r="F16" s="26">
        <v>1505.08</v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4"/>
      <c r="AD16" s="70"/>
      <c r="AE16" s="28"/>
      <c r="AF16" s="28"/>
      <c r="AG16" s="74">
        <f t="shared" si="3"/>
        <v>0</v>
      </c>
      <c r="AH16" s="28"/>
      <c r="AI16" s="28"/>
      <c r="AJ16" s="28"/>
      <c r="AK16" s="28"/>
      <c r="AL16" s="28"/>
      <c r="AM16" s="28"/>
      <c r="AN16" s="28"/>
      <c r="AO16" s="74">
        <f>AM16-AM12</f>
        <v>0</v>
      </c>
      <c r="AP16" s="74">
        <f>AN16-AN12</f>
        <v>0</v>
      </c>
      <c r="AQ16" s="42">
        <v>15</v>
      </c>
      <c r="AR16" s="31">
        <v>1700</v>
      </c>
      <c r="AS16" s="28">
        <v>34</v>
      </c>
      <c r="AT16" s="28">
        <v>7.2</v>
      </c>
      <c r="AU16" s="28">
        <v>50</v>
      </c>
      <c r="AV16" s="29">
        <v>2.9999999999999997E-4</v>
      </c>
      <c r="AW16" s="15"/>
      <c r="AX16" s="29"/>
      <c r="AY16" s="39"/>
      <c r="AZ16" s="15">
        <f>AV16*J16*BB16/1000</f>
        <v>0</v>
      </c>
      <c r="BA16" s="84">
        <f t="shared" si="0"/>
        <v>0</v>
      </c>
      <c r="BB16" s="29">
        <f>AR16+SUM(AI16:AK16,AM16:AN16)-(AQ16*(D16+1))</f>
        <v>1640</v>
      </c>
      <c r="BC16" s="30" t="e">
        <f>IF(ISBLANK(AM16),NA(),IFERROR(AM16/BB16,0))</f>
        <v>#N/A</v>
      </c>
      <c r="BD16" s="30" t="e">
        <f>IF(ISBLANK(AM16),NA(),AM16/AR16)</f>
        <v>#N/A</v>
      </c>
      <c r="BE16" s="60">
        <f t="shared" si="2"/>
        <v>0</v>
      </c>
      <c r="BF16" s="30" t="str">
        <f>IF(B16="Python",AW16*BB16/24/60,"")</f>
        <v/>
      </c>
      <c r="BG16" s="60">
        <f>IF(B16="Julia",AX16*BB16/24/60,"")</f>
        <v>0</v>
      </c>
      <c r="BH16" s="57" t="str">
        <f>IF(B16="No MPC", AV16*J16*BB16/1000,"")</f>
        <v/>
      </c>
      <c r="BI16" s="30" t="str">
        <f>IF(IF(B16&lt;&gt;"Julia",((1.5-P16)*BB16)/400, "")&lt;0,0,IF(B16&lt;&gt;"Julia",((3-P16)*BB16)/400, ""))</f>
        <v/>
      </c>
      <c r="BJ16" s="30">
        <f>IF(B16="Julia",AY16*BB16,"")</f>
        <v>0</v>
      </c>
      <c r="BK16" s="45">
        <f t="shared" si="4"/>
        <v>0</v>
      </c>
      <c r="BL16" s="65">
        <f t="shared" si="5"/>
        <v>0</v>
      </c>
      <c r="BM16" s="47">
        <f t="shared" si="6"/>
        <v>0</v>
      </c>
    </row>
    <row r="17" spans="1:65" x14ac:dyDescent="0.3">
      <c r="A17" s="1" t="s">
        <v>73</v>
      </c>
      <c r="B17" s="26" t="s">
        <v>27</v>
      </c>
      <c r="C17" s="26">
        <v>12</v>
      </c>
      <c r="D17" s="26">
        <v>3</v>
      </c>
      <c r="E17" s="27"/>
      <c r="F17" s="26">
        <v>1505.08</v>
      </c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4"/>
      <c r="AD17" s="70"/>
      <c r="AE17" s="28"/>
      <c r="AF17" s="28"/>
      <c r="AG17" s="74">
        <f t="shared" si="3"/>
        <v>0</v>
      </c>
      <c r="AH17" s="28"/>
      <c r="AI17" s="28"/>
      <c r="AJ17" s="28"/>
      <c r="AK17" s="28"/>
      <c r="AL17" s="28"/>
      <c r="AM17" s="28"/>
      <c r="AN17" s="28"/>
      <c r="AO17" s="74">
        <f>AM17-AM13</f>
        <v>0</v>
      </c>
      <c r="AP17" s="74">
        <f>AN17-AN13</f>
        <v>0</v>
      </c>
      <c r="AQ17" s="42">
        <v>15</v>
      </c>
      <c r="AR17" s="31">
        <v>1700</v>
      </c>
      <c r="AS17" s="28">
        <v>34</v>
      </c>
      <c r="AT17" s="28">
        <v>7.2</v>
      </c>
      <c r="AU17" s="28">
        <v>50</v>
      </c>
      <c r="AV17" s="29">
        <v>2.9999999999999997E-4</v>
      </c>
      <c r="AW17" s="15"/>
      <c r="AX17" s="29"/>
      <c r="AY17" s="39"/>
      <c r="AZ17" s="15">
        <f>AV17*J17*BB17/1000</f>
        <v>0</v>
      </c>
      <c r="BA17" s="84">
        <f t="shared" si="0"/>
        <v>0</v>
      </c>
      <c r="BB17" s="29">
        <f>AR17+SUM(AI17:AK17,AM17:AN17)-(AQ17*(D17+1))</f>
        <v>1640</v>
      </c>
      <c r="BC17" s="30" t="e">
        <f>IF(ISBLANK(AM17),NA(),IFERROR(AM17/BB17,0))</f>
        <v>#N/A</v>
      </c>
      <c r="BD17" s="30" t="e">
        <f>IF(ISBLANK(AM17),NA(),AM17/AR17)</f>
        <v>#N/A</v>
      </c>
      <c r="BE17" s="60">
        <f t="shared" si="2"/>
        <v>0</v>
      </c>
      <c r="BF17" s="30">
        <f>IF(B17="Python",AW17*BB17/24/60,"")</f>
        <v>0</v>
      </c>
      <c r="BG17" s="60" t="str">
        <f>IF(B17="Julia",AX17*BB17/24/60,"")</f>
        <v/>
      </c>
      <c r="BH17" s="57" t="str">
        <f>IF(B17="No MPC", AV17*J17*BB17/1000,"")</f>
        <v/>
      </c>
      <c r="BI17" s="30">
        <f>IF(IF(B17&lt;&gt;"Julia",((1.5-P17)*BB17)/400, "")&lt;0,0,IF(B17&lt;&gt;"Julia",((3-P17)*BB17)/400, ""))</f>
        <v>12.3</v>
      </c>
      <c r="BJ17" s="30" t="str">
        <f>IF(B17="Julia",AY17*BB17,"")</f>
        <v/>
      </c>
      <c r="BK17" s="45">
        <f t="shared" si="4"/>
        <v>0</v>
      </c>
      <c r="BL17" s="65">
        <f t="shared" si="5"/>
        <v>0</v>
      </c>
      <c r="BM17" s="47">
        <f t="shared" si="6"/>
        <v>12.3</v>
      </c>
    </row>
    <row r="18" spans="1:65" ht="15" thickBot="1" x14ac:dyDescent="0.35">
      <c r="A18" s="6" t="s">
        <v>74</v>
      </c>
      <c r="B18" s="7" t="s">
        <v>27</v>
      </c>
      <c r="C18" s="7">
        <v>12</v>
      </c>
      <c r="D18" s="7">
        <v>3</v>
      </c>
      <c r="E18" s="8"/>
      <c r="F18" s="7">
        <v>1505.08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25"/>
      <c r="AD18" s="71"/>
      <c r="AE18" s="11"/>
      <c r="AF18" s="11"/>
      <c r="AG18" s="75">
        <f t="shared" si="3"/>
        <v>0</v>
      </c>
      <c r="AH18" s="11"/>
      <c r="AI18" s="11"/>
      <c r="AJ18" s="11"/>
      <c r="AK18" s="11"/>
      <c r="AL18" s="11"/>
      <c r="AM18" s="11"/>
      <c r="AN18" s="11"/>
      <c r="AO18" s="75">
        <f>AM18-AM14</f>
        <v>0</v>
      </c>
      <c r="AP18" s="75">
        <f>AN18-AN14</f>
        <v>0</v>
      </c>
      <c r="AQ18" s="43">
        <v>15</v>
      </c>
      <c r="AR18" s="20">
        <v>1700</v>
      </c>
      <c r="AS18" s="11">
        <v>34</v>
      </c>
      <c r="AT18" s="11">
        <v>7.2</v>
      </c>
      <c r="AU18" s="11">
        <v>50</v>
      </c>
      <c r="AV18" s="17">
        <v>2.9999999999999997E-4</v>
      </c>
      <c r="AW18" s="16"/>
      <c r="AX18" s="17"/>
      <c r="AY18" s="40"/>
      <c r="AZ18" s="16">
        <f>AV18*J18*BB18/1000</f>
        <v>0</v>
      </c>
      <c r="BA18" s="17">
        <f t="shared" si="0"/>
        <v>0</v>
      </c>
      <c r="BB18" s="17">
        <f>AR18+SUM(AI18:AK18,AM18:AN18)-(AQ18*(D18+1))</f>
        <v>1640</v>
      </c>
      <c r="BC18" s="18" t="e">
        <f>IF(ISBLANK(AM18),NA(),IFERROR(AM18/BB18,0))</f>
        <v>#N/A</v>
      </c>
      <c r="BD18" s="18" t="e">
        <f>IF(ISBLANK(AM18),NA(),AM18/AR18)</f>
        <v>#N/A</v>
      </c>
      <c r="BE18" s="18">
        <f t="shared" si="2"/>
        <v>0</v>
      </c>
      <c r="BF18" s="18">
        <f>IF(B18="Python",AW18*BB18/24/60,"")</f>
        <v>0</v>
      </c>
      <c r="BG18" s="18" t="str">
        <f>IF(B18="Julia",AX18*BB18/24/60,"")</f>
        <v/>
      </c>
      <c r="BH18" s="58" t="str">
        <f>IF(B18="No MPC", AV18*J18*BB18/1000,"")</f>
        <v/>
      </c>
      <c r="BI18" s="18">
        <f>IF(IF(B18&lt;&gt;"Julia",((1.5-P18)*BB18)/400, "")&lt;0,0,IF(B18&lt;&gt;"Julia",((3-P18)*BB18)/400, ""))</f>
        <v>12.3</v>
      </c>
      <c r="BJ18" s="18" t="str">
        <f>IF(B18="Julia",AY18*BB18,"")</f>
        <v/>
      </c>
      <c r="BK18" s="45">
        <f t="shared" si="4"/>
        <v>0</v>
      </c>
      <c r="BL18" s="65">
        <f t="shared" si="5"/>
        <v>0</v>
      </c>
      <c r="BM18" s="47">
        <f t="shared" si="6"/>
        <v>12.3</v>
      </c>
    </row>
    <row r="19" spans="1:65" x14ac:dyDescent="0.3">
      <c r="A19" s="1" t="s">
        <v>71</v>
      </c>
      <c r="B19" s="26" t="s">
        <v>26</v>
      </c>
      <c r="C19" s="26">
        <v>12</v>
      </c>
      <c r="D19" s="26">
        <v>4</v>
      </c>
      <c r="E19" s="27"/>
      <c r="F19">
        <v>2119.61</v>
      </c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4"/>
      <c r="AD19" s="69"/>
      <c r="AE19" s="9"/>
      <c r="AF19" s="9"/>
      <c r="AG19" s="73">
        <f t="shared" si="3"/>
        <v>0</v>
      </c>
      <c r="AH19" s="9"/>
      <c r="AI19" s="9"/>
      <c r="AJ19" s="9"/>
      <c r="AK19" s="9"/>
      <c r="AL19" s="9"/>
      <c r="AM19" s="9"/>
      <c r="AN19" s="9"/>
      <c r="AO19" s="73">
        <f>AM19-AM15</f>
        <v>0</v>
      </c>
      <c r="AP19" s="73">
        <f>AN19-AN15</f>
        <v>0</v>
      </c>
      <c r="AQ19" s="41">
        <v>15</v>
      </c>
      <c r="AR19" s="19">
        <v>1700</v>
      </c>
      <c r="AS19" s="9">
        <v>34</v>
      </c>
      <c r="AT19" s="9">
        <v>7.2</v>
      </c>
      <c r="AU19" s="9">
        <v>50</v>
      </c>
      <c r="AV19" s="13">
        <v>2.9999999999999997E-4</v>
      </c>
      <c r="AW19" s="12"/>
      <c r="AX19" s="13"/>
      <c r="AY19" s="38"/>
      <c r="AZ19" s="12">
        <f>AV19*J19*BB19/1000</f>
        <v>0</v>
      </c>
      <c r="BA19" s="13">
        <f t="shared" si="0"/>
        <v>0</v>
      </c>
      <c r="BB19" s="13">
        <f>AR19+SUM(AI19:AK19,AM19:AN19)-(AQ19*(D19+1))</f>
        <v>1625</v>
      </c>
      <c r="BC19" s="14" t="e">
        <f>IF(ISBLANK(AM19),NA(),IFERROR(AM19/BB19,0))</f>
        <v>#N/A</v>
      </c>
      <c r="BD19" s="14" t="e">
        <f>IF(ISBLANK(AM19),NA(),AM19/AR19)</f>
        <v>#N/A</v>
      </c>
      <c r="BE19" s="14">
        <f t="shared" si="2"/>
        <v>0</v>
      </c>
      <c r="BF19" s="14" t="str">
        <f>IF(B19="Python",AW19*BB19/24/60,"")</f>
        <v/>
      </c>
      <c r="BG19" s="14">
        <f>IF(B19="Julia",AX19*BB19/24/60,"")</f>
        <v>0</v>
      </c>
      <c r="BH19" s="56" t="str">
        <f>IF(B19="No MPC", AV19*J19*BB19/1000,"")</f>
        <v/>
      </c>
      <c r="BI19" s="14" t="str">
        <f>IF(IF(B19&lt;&gt;"Julia",((1.5-P19)*BB19)/400, "")&lt;0,0,IF(B19&lt;&gt;"Julia",((3-P19)*BB19)/400, ""))</f>
        <v/>
      </c>
      <c r="BJ19" s="14">
        <f>IF(B19="Julia",AY19*BB19,"")</f>
        <v>0</v>
      </c>
      <c r="BK19" s="44">
        <f t="shared" si="4"/>
        <v>0</v>
      </c>
      <c r="BL19" s="64">
        <f t="shared" si="5"/>
        <v>0</v>
      </c>
      <c r="BM19" s="49">
        <f t="shared" si="6"/>
        <v>0</v>
      </c>
    </row>
    <row r="20" spans="1:65" x14ac:dyDescent="0.3">
      <c r="A20" s="1" t="s">
        <v>72</v>
      </c>
      <c r="B20" s="26" t="s">
        <v>26</v>
      </c>
      <c r="C20" s="26">
        <v>12</v>
      </c>
      <c r="D20" s="26">
        <v>4</v>
      </c>
      <c r="E20" s="27"/>
      <c r="F20">
        <v>2119.61</v>
      </c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33"/>
      <c r="Z20" s="33"/>
      <c r="AA20" s="28"/>
      <c r="AB20" s="28"/>
      <c r="AC20" s="24"/>
      <c r="AD20" s="70"/>
      <c r="AE20" s="28"/>
      <c r="AF20" s="28"/>
      <c r="AG20" s="74">
        <f t="shared" si="3"/>
        <v>0</v>
      </c>
      <c r="AH20" s="28"/>
      <c r="AI20" s="28"/>
      <c r="AJ20" s="28"/>
      <c r="AK20" s="28"/>
      <c r="AL20" s="28"/>
      <c r="AM20" s="28"/>
      <c r="AN20" s="28"/>
      <c r="AO20" s="74">
        <f>AM20-AM16</f>
        <v>0</v>
      </c>
      <c r="AP20" s="74">
        <f>AN20-AN16</f>
        <v>0</v>
      </c>
      <c r="AQ20" s="42">
        <v>15</v>
      </c>
      <c r="AR20" s="31">
        <v>1700</v>
      </c>
      <c r="AS20" s="28">
        <v>34</v>
      </c>
      <c r="AT20" s="28">
        <v>7.2</v>
      </c>
      <c r="AU20" s="28">
        <v>50</v>
      </c>
      <c r="AV20" s="29">
        <v>2.9999999999999997E-4</v>
      </c>
      <c r="AW20" s="15"/>
      <c r="AX20" s="29"/>
      <c r="AY20" s="39"/>
      <c r="AZ20" s="15">
        <f>AV20*J20*BB20/1000</f>
        <v>0</v>
      </c>
      <c r="BA20" s="84">
        <f t="shared" si="0"/>
        <v>0</v>
      </c>
      <c r="BB20" s="29">
        <f>AR20+SUM(AI20:AK20,AM20:AN20)-(AQ20*(D20+1))</f>
        <v>1625</v>
      </c>
      <c r="BC20" s="30" t="e">
        <f>IF(ISBLANK(AM20),NA(),IFERROR(AM20/BB20,0))</f>
        <v>#N/A</v>
      </c>
      <c r="BD20" s="30" t="e">
        <f>IF(ISBLANK(AM20),NA(),AM20/AR20)</f>
        <v>#N/A</v>
      </c>
      <c r="BE20" s="60">
        <f t="shared" si="2"/>
        <v>0</v>
      </c>
      <c r="BF20" s="30" t="str">
        <f>IF(B20="Python",AW20*BB20/24/60,"")</f>
        <v/>
      </c>
      <c r="BG20" s="60">
        <f>IF(B20="Julia",AX20*BB20/24/60,"")</f>
        <v>0</v>
      </c>
      <c r="BH20" s="57" t="str">
        <f>IF(B20="No MPC", AV20*J20*BB20/1000,"")</f>
        <v/>
      </c>
      <c r="BI20" s="30" t="str">
        <f>IF(IF(B20&lt;&gt;"Julia",((1.5-P20)*BB20)/400, "")&lt;0,0,IF(B20&lt;&gt;"Julia",((3-P20)*BB20)/400, ""))</f>
        <v/>
      </c>
      <c r="BJ20" s="30">
        <f>IF(B20="Julia",AY20*BB20,"")</f>
        <v>0</v>
      </c>
      <c r="BK20" s="45">
        <f t="shared" si="4"/>
        <v>0</v>
      </c>
      <c r="BL20" s="65">
        <f t="shared" si="5"/>
        <v>0</v>
      </c>
      <c r="BM20" s="47">
        <f t="shared" si="6"/>
        <v>0</v>
      </c>
    </row>
    <row r="21" spans="1:65" x14ac:dyDescent="0.3">
      <c r="A21" s="1" t="s">
        <v>73</v>
      </c>
      <c r="B21" s="26" t="s">
        <v>27</v>
      </c>
      <c r="C21" s="26">
        <v>12</v>
      </c>
      <c r="D21" s="26">
        <v>4</v>
      </c>
      <c r="E21" s="27"/>
      <c r="F21">
        <v>2119.61</v>
      </c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4"/>
      <c r="AD21" s="70"/>
      <c r="AE21" s="28"/>
      <c r="AF21" s="28"/>
      <c r="AG21" s="74">
        <f t="shared" si="3"/>
        <v>0</v>
      </c>
      <c r="AH21" s="28"/>
      <c r="AI21" s="28"/>
      <c r="AJ21" s="28"/>
      <c r="AK21" s="28"/>
      <c r="AL21" s="28"/>
      <c r="AM21" s="28"/>
      <c r="AN21" s="28"/>
      <c r="AO21" s="74">
        <f>AM21-AM17</f>
        <v>0</v>
      </c>
      <c r="AP21" s="74">
        <f>AN21-AN17</f>
        <v>0</v>
      </c>
      <c r="AQ21" s="42">
        <v>15</v>
      </c>
      <c r="AR21" s="31">
        <v>1700</v>
      </c>
      <c r="AS21" s="28">
        <v>34</v>
      </c>
      <c r="AT21" s="28">
        <v>7.2</v>
      </c>
      <c r="AU21" s="28">
        <v>50</v>
      </c>
      <c r="AV21" s="29">
        <v>2.9999999999999997E-4</v>
      </c>
      <c r="AW21" s="15"/>
      <c r="AX21" s="29"/>
      <c r="AY21" s="39"/>
      <c r="AZ21" s="15">
        <f>AV21*J21*BB21/1000</f>
        <v>0</v>
      </c>
      <c r="BA21" s="84">
        <f t="shared" si="0"/>
        <v>0</v>
      </c>
      <c r="BB21" s="29">
        <f>AR21+SUM(AI21:AK21,AM21:AN21)-(AQ21*(D21+1))</f>
        <v>1625</v>
      </c>
      <c r="BC21" s="30" t="e">
        <f>IF(ISBLANK(AM21),NA(),IFERROR(AM21/BB21,0))</f>
        <v>#N/A</v>
      </c>
      <c r="BD21" s="30" t="e">
        <f>IF(ISBLANK(AM21),NA(),AM21/AR21)</f>
        <v>#N/A</v>
      </c>
      <c r="BE21" s="60">
        <f t="shared" si="2"/>
        <v>0</v>
      </c>
      <c r="BF21" s="30">
        <f>IF(B21="Python",AW21*BB21/24/60,"")</f>
        <v>0</v>
      </c>
      <c r="BG21" s="60" t="str">
        <f>IF(B21="Julia",AX21*BB21/24/60,"")</f>
        <v/>
      </c>
      <c r="BH21" s="57" t="str">
        <f>IF(B21="No MPC", AV21*J21*BB21/1000,"")</f>
        <v/>
      </c>
      <c r="BI21" s="30">
        <f>IF(IF(B21&lt;&gt;"Julia",((1.5-P21)*BB21)/400, "")&lt;0,0,IF(B21&lt;&gt;"Julia",((3-P21)*BB21)/400, ""))</f>
        <v>12.1875</v>
      </c>
      <c r="BJ21" s="30" t="str">
        <f>IF(B21="Julia",AY21*BB21,"")</f>
        <v/>
      </c>
      <c r="BK21" s="45">
        <f t="shared" si="4"/>
        <v>0</v>
      </c>
      <c r="BL21" s="65">
        <f t="shared" si="5"/>
        <v>0</v>
      </c>
      <c r="BM21" s="47">
        <f t="shared" si="6"/>
        <v>12.1875</v>
      </c>
    </row>
    <row r="22" spans="1:65" ht="15" thickBot="1" x14ac:dyDescent="0.35">
      <c r="A22" s="1" t="s">
        <v>74</v>
      </c>
      <c r="B22" s="26" t="s">
        <v>27</v>
      </c>
      <c r="C22" s="26">
        <v>12</v>
      </c>
      <c r="D22" s="26">
        <v>4</v>
      </c>
      <c r="E22" s="27"/>
      <c r="F22">
        <v>2119.61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4"/>
      <c r="AD22" s="71"/>
      <c r="AE22" s="11"/>
      <c r="AF22" s="11"/>
      <c r="AG22" s="75">
        <f t="shared" si="3"/>
        <v>0</v>
      </c>
      <c r="AH22" s="11"/>
      <c r="AI22" s="11"/>
      <c r="AJ22" s="11"/>
      <c r="AK22" s="11"/>
      <c r="AL22" s="11"/>
      <c r="AM22" s="11"/>
      <c r="AN22" s="11"/>
      <c r="AO22" s="75">
        <f>AM22-AM18</f>
        <v>0</v>
      </c>
      <c r="AP22" s="75">
        <f>AN22-AN18</f>
        <v>0</v>
      </c>
      <c r="AQ22" s="43">
        <v>15</v>
      </c>
      <c r="AR22" s="20">
        <v>1700</v>
      </c>
      <c r="AS22" s="11">
        <v>34</v>
      </c>
      <c r="AT22" s="11">
        <v>7.2</v>
      </c>
      <c r="AU22" s="11">
        <v>50</v>
      </c>
      <c r="AV22" s="17">
        <v>2.9999999999999997E-4</v>
      </c>
      <c r="AW22" s="16"/>
      <c r="AX22" s="17"/>
      <c r="AY22" s="40"/>
      <c r="AZ22" s="16">
        <f>AV22*J22*BB22/1000</f>
        <v>0</v>
      </c>
      <c r="BA22" s="17">
        <f t="shared" si="0"/>
        <v>0</v>
      </c>
      <c r="BB22" s="17">
        <f>AR22+SUM(AI22:AK22,AM22:AN22)-(AQ22*(D22+1))</f>
        <v>1625</v>
      </c>
      <c r="BC22" s="18" t="e">
        <f>IF(ISBLANK(AM22),NA(),IFERROR(AM22/BB22,0))</f>
        <v>#N/A</v>
      </c>
      <c r="BD22" s="18" t="e">
        <f>IF(ISBLANK(AM22),NA(),AM22/AR22)</f>
        <v>#N/A</v>
      </c>
      <c r="BE22" s="18">
        <f t="shared" si="2"/>
        <v>0</v>
      </c>
      <c r="BF22" s="18">
        <f>IF(B22="Python",AW22*BB22/24/60,"")</f>
        <v>0</v>
      </c>
      <c r="BG22" s="18" t="str">
        <f>IF(B22="Julia",AX22*BB22/24/60,"")</f>
        <v/>
      </c>
      <c r="BH22" s="58" t="str">
        <f>IF(B22="No MPC", AV22*J22*BB22/1000,"")</f>
        <v/>
      </c>
      <c r="BI22" s="18">
        <f>IF(IF(B22&lt;&gt;"Julia",((1.5-P22)*BB22)/400, "")&lt;0,0,IF(B22&lt;&gt;"Julia",((3-P22)*BB22)/400, ""))</f>
        <v>12.1875</v>
      </c>
      <c r="BJ22" s="18" t="str">
        <f>IF(B22="Julia",AY22*BB22,"")</f>
        <v/>
      </c>
      <c r="BK22" s="46">
        <f t="shared" si="4"/>
        <v>0</v>
      </c>
      <c r="BL22" s="66">
        <f t="shared" si="5"/>
        <v>0</v>
      </c>
      <c r="BM22" s="48">
        <f t="shared" si="6"/>
        <v>12.1875</v>
      </c>
    </row>
    <row r="23" spans="1:65" x14ac:dyDescent="0.3">
      <c r="A23" s="3" t="s">
        <v>71</v>
      </c>
      <c r="B23" s="4" t="s">
        <v>26</v>
      </c>
      <c r="C23" s="4">
        <v>12</v>
      </c>
      <c r="D23" s="4">
        <v>5</v>
      </c>
      <c r="E23" s="5"/>
      <c r="F23" s="4">
        <v>2716.05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23"/>
      <c r="AD23" s="69"/>
      <c r="AE23" s="9"/>
      <c r="AF23" s="9"/>
      <c r="AG23" s="73">
        <f t="shared" si="3"/>
        <v>0</v>
      </c>
      <c r="AH23" s="9"/>
      <c r="AI23" s="9"/>
      <c r="AJ23" s="9"/>
      <c r="AK23" s="9"/>
      <c r="AL23" s="9"/>
      <c r="AM23" s="9"/>
      <c r="AN23" s="9"/>
      <c r="AO23" s="73">
        <f>AM23-AM19</f>
        <v>0</v>
      </c>
      <c r="AP23" s="73">
        <f>AN23-AN19</f>
        <v>0</v>
      </c>
      <c r="AQ23" s="41">
        <v>15</v>
      </c>
      <c r="AR23" s="19">
        <v>1700</v>
      </c>
      <c r="AS23" s="9">
        <v>34</v>
      </c>
      <c r="AT23" s="9">
        <v>7.2</v>
      </c>
      <c r="AU23" s="9">
        <v>50</v>
      </c>
      <c r="AV23" s="13">
        <v>4.0000000000000002E-4</v>
      </c>
      <c r="AW23" s="12"/>
      <c r="AX23" s="13"/>
      <c r="AY23" s="38"/>
      <c r="AZ23" s="12">
        <f>AV23*J23*BB23/1000</f>
        <v>0</v>
      </c>
      <c r="BA23" s="13">
        <f t="shared" si="0"/>
        <v>0</v>
      </c>
      <c r="BB23" s="13">
        <f>AR23+SUM(AI23:AK23,AM23:AN23)-(AQ23*(D23+1))</f>
        <v>1610</v>
      </c>
      <c r="BC23" s="14" t="e">
        <f>IF(ISBLANK(AM23),NA(),IFERROR(AM23/BB23,0))</f>
        <v>#N/A</v>
      </c>
      <c r="BD23" s="14" t="e">
        <f>IF(ISBLANK(AM23),NA(),AM23/AR23)</f>
        <v>#N/A</v>
      </c>
      <c r="BE23" s="14">
        <f t="shared" si="2"/>
        <v>0</v>
      </c>
      <c r="BF23" s="14" t="str">
        <f>IF(B23="Python",AW23*BB23/24/60,"")</f>
        <v/>
      </c>
      <c r="BG23" s="14">
        <f>IF(B23="Julia",AX23*BB23/24/60,"")</f>
        <v>0</v>
      </c>
      <c r="BH23" s="56" t="str">
        <f>IF(B23="No MPC", AV23*J23*BB23/1000,"")</f>
        <v/>
      </c>
      <c r="BI23" s="14" t="str">
        <f>IF(IF(B23&lt;&gt;"Julia",((1.5-P23)*BB23)/400, "")&lt;0,0,IF(B23&lt;&gt;"Julia",((3-P23)*BB23)/400, ""))</f>
        <v/>
      </c>
      <c r="BJ23" s="14">
        <f>IF(B23="Julia",AY23*BB23,"")</f>
        <v>0</v>
      </c>
      <c r="BK23" s="45">
        <f t="shared" si="4"/>
        <v>0</v>
      </c>
      <c r="BL23" s="65">
        <f t="shared" si="5"/>
        <v>0</v>
      </c>
      <c r="BM23" s="47">
        <f t="shared" si="6"/>
        <v>0</v>
      </c>
    </row>
    <row r="24" spans="1:65" x14ac:dyDescent="0.3">
      <c r="A24" s="1" t="s">
        <v>72</v>
      </c>
      <c r="B24" s="26" t="s">
        <v>26</v>
      </c>
      <c r="C24" s="26">
        <v>12</v>
      </c>
      <c r="D24" s="26">
        <v>5</v>
      </c>
      <c r="E24" s="27"/>
      <c r="F24" s="26">
        <v>2716.05</v>
      </c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4"/>
      <c r="AD24" s="70"/>
      <c r="AE24" s="28"/>
      <c r="AF24" s="28"/>
      <c r="AG24" s="74">
        <f t="shared" si="3"/>
        <v>0</v>
      </c>
      <c r="AH24" s="28"/>
      <c r="AI24" s="28"/>
      <c r="AJ24" s="28"/>
      <c r="AK24" s="28"/>
      <c r="AL24" s="28"/>
      <c r="AM24" s="28"/>
      <c r="AN24" s="28"/>
      <c r="AO24" s="74">
        <f>AM24-AM20</f>
        <v>0</v>
      </c>
      <c r="AP24" s="74">
        <f>AN24-AN20</f>
        <v>0</v>
      </c>
      <c r="AQ24" s="42">
        <v>15</v>
      </c>
      <c r="AR24" s="31">
        <v>1700</v>
      </c>
      <c r="AS24" s="28">
        <v>34</v>
      </c>
      <c r="AT24" s="28">
        <v>7.2</v>
      </c>
      <c r="AU24" s="28">
        <v>50</v>
      </c>
      <c r="AV24" s="29">
        <v>4.0000000000000002E-4</v>
      </c>
      <c r="AW24" s="15"/>
      <c r="AX24" s="29"/>
      <c r="AY24" s="39"/>
      <c r="AZ24" s="15">
        <f>AV24*J24*BB24/1000</f>
        <v>0</v>
      </c>
      <c r="BA24" s="84">
        <f t="shared" si="0"/>
        <v>0</v>
      </c>
      <c r="BB24" s="29">
        <f>AR24+SUM(AI24:AK24,AM24:AN24)-(AQ24*(D24+1))</f>
        <v>1610</v>
      </c>
      <c r="BC24" s="30" t="e">
        <f>IF(ISBLANK(AM24),NA(),IFERROR(AM24/BB24,0))</f>
        <v>#N/A</v>
      </c>
      <c r="BD24" s="30" t="e">
        <f>IF(ISBLANK(AM24),NA(),AM24/AR24)</f>
        <v>#N/A</v>
      </c>
      <c r="BE24" s="60">
        <f t="shared" si="2"/>
        <v>0</v>
      </c>
      <c r="BF24" s="30" t="str">
        <f>IF(B24="Python",AW24*BB24/24/60,"")</f>
        <v/>
      </c>
      <c r="BG24" s="60">
        <f>IF(B24="Julia",AX24*BB24/24/60,"")</f>
        <v>0</v>
      </c>
      <c r="BH24" s="57" t="str">
        <f>IF(B24="No MPC", AV24*J24*BB24/1000,"")</f>
        <v/>
      </c>
      <c r="BI24" s="30" t="str">
        <f>IF(IF(B24&lt;&gt;"Julia",((1.5-P24)*BB24)/400, "")&lt;0,0,IF(B24&lt;&gt;"Julia",((3-P24)*BB24)/400, ""))</f>
        <v/>
      </c>
      <c r="BJ24" s="30">
        <f>IF(B24="Julia",AY24*BB24,"")</f>
        <v>0</v>
      </c>
      <c r="BK24" s="45">
        <f t="shared" si="4"/>
        <v>0</v>
      </c>
      <c r="BL24" s="65">
        <f t="shared" si="5"/>
        <v>0</v>
      </c>
      <c r="BM24" s="47">
        <f t="shared" si="6"/>
        <v>0</v>
      </c>
    </row>
    <row r="25" spans="1:65" x14ac:dyDescent="0.3">
      <c r="A25" s="1" t="s">
        <v>73</v>
      </c>
      <c r="B25" s="26" t="s">
        <v>27</v>
      </c>
      <c r="C25" s="26">
        <v>12</v>
      </c>
      <c r="D25" s="26">
        <v>5</v>
      </c>
      <c r="E25" s="27"/>
      <c r="F25" s="26">
        <v>2716.05</v>
      </c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4"/>
      <c r="AD25" s="70"/>
      <c r="AE25" s="28"/>
      <c r="AF25" s="28"/>
      <c r="AG25" s="74">
        <f t="shared" si="3"/>
        <v>0</v>
      </c>
      <c r="AH25" s="28"/>
      <c r="AI25" s="28"/>
      <c r="AJ25" s="28"/>
      <c r="AK25" s="28"/>
      <c r="AL25" s="28"/>
      <c r="AM25" s="28"/>
      <c r="AN25" s="28"/>
      <c r="AO25" s="74">
        <f>AM25-AM21</f>
        <v>0</v>
      </c>
      <c r="AP25" s="74">
        <f>AN25-AN21</f>
        <v>0</v>
      </c>
      <c r="AQ25" s="42">
        <v>15</v>
      </c>
      <c r="AR25" s="31">
        <v>1700</v>
      </c>
      <c r="AS25" s="28">
        <v>34</v>
      </c>
      <c r="AT25" s="28">
        <v>7.2</v>
      </c>
      <c r="AU25" s="28">
        <v>50</v>
      </c>
      <c r="AV25" s="29">
        <v>4.0000000000000002E-4</v>
      </c>
      <c r="AW25" s="15"/>
      <c r="AX25" s="29"/>
      <c r="AY25" s="39"/>
      <c r="AZ25" s="15">
        <f>AV25*J25*BB25/1000</f>
        <v>0</v>
      </c>
      <c r="BA25" s="84">
        <f t="shared" si="0"/>
        <v>0</v>
      </c>
      <c r="BB25" s="29">
        <f>AR25+SUM(AI25:AK25,AM25:AN25)-(AQ25*(D25+1))</f>
        <v>1610</v>
      </c>
      <c r="BC25" s="30" t="e">
        <f>IF(ISBLANK(AM25),NA(),IFERROR(AM25/BB25,0))</f>
        <v>#N/A</v>
      </c>
      <c r="BD25" s="30" t="e">
        <f>IF(ISBLANK(AM25),NA(),AM25/AR25)</f>
        <v>#N/A</v>
      </c>
      <c r="BE25" s="60">
        <f t="shared" si="2"/>
        <v>0</v>
      </c>
      <c r="BF25" s="30">
        <f>IF(B25="Python",AW25*BB25/24/60,"")</f>
        <v>0</v>
      </c>
      <c r="BG25" s="60" t="str">
        <f>IF(B25="Julia",AX25*BB25/24/60,"")</f>
        <v/>
      </c>
      <c r="BH25" s="57" t="str">
        <f>IF(B25="No MPC", AV25*J25*BB25/1000,"")</f>
        <v/>
      </c>
      <c r="BI25" s="30">
        <f>IF(IF(B25&lt;&gt;"Julia",((1.5-P25)*BB25)/400, "")&lt;0,0,IF(B25&lt;&gt;"Julia",((3-P25)*BB25)/400, ""))</f>
        <v>12.074999999999999</v>
      </c>
      <c r="BJ25" s="30" t="str">
        <f>IF(B25="Julia",AY25*BB25,"")</f>
        <v/>
      </c>
      <c r="BK25" s="45">
        <f t="shared" si="4"/>
        <v>0</v>
      </c>
      <c r="BL25" s="65">
        <f t="shared" si="5"/>
        <v>0</v>
      </c>
      <c r="BM25" s="47">
        <f t="shared" si="6"/>
        <v>12.074999999999999</v>
      </c>
    </row>
    <row r="26" spans="1:65" ht="15" thickBot="1" x14ac:dyDescent="0.35">
      <c r="A26" s="6" t="s">
        <v>74</v>
      </c>
      <c r="B26" s="7" t="s">
        <v>27</v>
      </c>
      <c r="C26" s="7">
        <v>12</v>
      </c>
      <c r="D26" s="7">
        <v>5</v>
      </c>
      <c r="E26" s="8"/>
      <c r="F26" s="7">
        <v>2716.05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25"/>
      <c r="AD26" s="71"/>
      <c r="AE26" s="11"/>
      <c r="AF26" s="11"/>
      <c r="AG26" s="75">
        <f t="shared" si="3"/>
        <v>0</v>
      </c>
      <c r="AH26" s="11"/>
      <c r="AI26" s="11"/>
      <c r="AJ26" s="11"/>
      <c r="AK26" s="11"/>
      <c r="AL26" s="11"/>
      <c r="AM26" s="11"/>
      <c r="AN26" s="11"/>
      <c r="AO26" s="75">
        <f>AM26-AM22</f>
        <v>0</v>
      </c>
      <c r="AP26" s="75">
        <f>AN26-AN22</f>
        <v>0</v>
      </c>
      <c r="AQ26" s="43">
        <v>15</v>
      </c>
      <c r="AR26" s="20">
        <v>1700</v>
      </c>
      <c r="AS26" s="11">
        <v>34</v>
      </c>
      <c r="AT26" s="11">
        <v>7.2</v>
      </c>
      <c r="AU26" s="11">
        <v>50</v>
      </c>
      <c r="AV26" s="17">
        <v>4.0000000000000002E-4</v>
      </c>
      <c r="AW26" s="16"/>
      <c r="AX26" s="17"/>
      <c r="AY26" s="40"/>
      <c r="AZ26" s="16">
        <f>AV26*J26*BB26/1000</f>
        <v>0</v>
      </c>
      <c r="BA26" s="17">
        <f t="shared" si="0"/>
        <v>0</v>
      </c>
      <c r="BB26" s="17">
        <f>AR26+SUM(AI26:AK26,AM26:AN26)-(AQ26*(D26+1))</f>
        <v>1610</v>
      </c>
      <c r="BC26" s="18" t="e">
        <f>IF(ISBLANK(AM26),NA(),IFERROR(AM26/BB26,0))</f>
        <v>#N/A</v>
      </c>
      <c r="BD26" s="18" t="e">
        <f>IF(ISBLANK(AM26),NA(),AM26/AR26)</f>
        <v>#N/A</v>
      </c>
      <c r="BE26" s="18">
        <f t="shared" si="2"/>
        <v>0</v>
      </c>
      <c r="BF26" s="18">
        <f>IF(B26="Python",AW26*BB26/24/60,"")</f>
        <v>0</v>
      </c>
      <c r="BG26" s="18" t="str">
        <f>IF(B26="Julia",AX26*BB26/24/60,"")</f>
        <v/>
      </c>
      <c r="BH26" s="58" t="str">
        <f>IF(B26="No MPC", AV26*J26*BB26/1000,"")</f>
        <v/>
      </c>
      <c r="BI26" s="18">
        <f>IF(IF(B26&lt;&gt;"Julia",((1.5-P26)*BB26)/400, "")&lt;0,0,IF(B26&lt;&gt;"Julia",((3-P26)*BB26)/400, ""))</f>
        <v>12.074999999999999</v>
      </c>
      <c r="BJ26" s="18" t="str">
        <f>IF(B26="Julia",AY26*BB26,"")</f>
        <v/>
      </c>
      <c r="BK26" s="45">
        <f t="shared" si="4"/>
        <v>0</v>
      </c>
      <c r="BL26" s="65">
        <f t="shared" si="5"/>
        <v>0</v>
      </c>
      <c r="BM26" s="47">
        <f t="shared" si="6"/>
        <v>12.074999999999999</v>
      </c>
    </row>
    <row r="27" spans="1:65" x14ac:dyDescent="0.3">
      <c r="A27" s="1" t="s">
        <v>71</v>
      </c>
      <c r="B27" s="26" t="s">
        <v>26</v>
      </c>
      <c r="C27" s="26">
        <v>12</v>
      </c>
      <c r="D27" s="26">
        <v>6</v>
      </c>
      <c r="E27" s="27"/>
      <c r="F27">
        <v>3307.9</v>
      </c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4"/>
      <c r="AD27" s="69"/>
      <c r="AE27" s="9"/>
      <c r="AF27" s="9"/>
      <c r="AG27" s="73">
        <f t="shared" si="3"/>
        <v>0</v>
      </c>
      <c r="AH27" s="9"/>
      <c r="AI27" s="9"/>
      <c r="AJ27" s="9"/>
      <c r="AK27" s="9"/>
      <c r="AL27" s="9"/>
      <c r="AM27" s="9"/>
      <c r="AN27" s="9"/>
      <c r="AO27" s="73">
        <f>AM27-AM23</f>
        <v>0</v>
      </c>
      <c r="AP27" s="73">
        <f>AN27-AN23</f>
        <v>0</v>
      </c>
      <c r="AQ27" s="41">
        <v>15</v>
      </c>
      <c r="AR27" s="19">
        <v>1700</v>
      </c>
      <c r="AS27" s="9">
        <v>34</v>
      </c>
      <c r="AT27" s="9">
        <v>7.2</v>
      </c>
      <c r="AU27" s="9">
        <v>50</v>
      </c>
      <c r="AV27" s="13">
        <v>4.0000000000000002E-4</v>
      </c>
      <c r="AW27" s="12"/>
      <c r="AX27" s="13"/>
      <c r="AY27" s="38"/>
      <c r="AZ27" s="12">
        <f>AV27*J27*BB27/1000</f>
        <v>0</v>
      </c>
      <c r="BA27" s="13">
        <f t="shared" si="0"/>
        <v>0</v>
      </c>
      <c r="BB27" s="13">
        <f>AR27+SUM(AI27:AK27,AM27:AN27)-(AQ27*(D27+1))</f>
        <v>1595</v>
      </c>
      <c r="BC27" s="14" t="e">
        <f>IF(ISBLANK(AM27),NA(),IFERROR(AM27/BB27,0))</f>
        <v>#N/A</v>
      </c>
      <c r="BD27" s="14" t="e">
        <f>IF(ISBLANK(AM27),NA(),AM27/AR27)</f>
        <v>#N/A</v>
      </c>
      <c r="BE27" s="14">
        <f t="shared" si="2"/>
        <v>0</v>
      </c>
      <c r="BF27" s="14" t="str">
        <f>IF(B27="Python",AW27*BB27/24/60,"")</f>
        <v/>
      </c>
      <c r="BG27" s="14">
        <f>IF(B27="Julia",AX27*BB27/24/60,"")</f>
        <v>0</v>
      </c>
      <c r="BH27" s="56" t="str">
        <f>IF(B27="No MPC", AV27*J27*BB27/1000,"")</f>
        <v/>
      </c>
      <c r="BI27" s="14" t="str">
        <f>IF(IF(B27&lt;&gt;"Julia",((1.5-P27)*BB27)/400, "")&lt;0,0,IF(B27&lt;&gt;"Julia",((3-P27)*BB27)/400, ""))</f>
        <v/>
      </c>
      <c r="BJ27" s="14">
        <f>IF(B27="Julia",AY27*BB27,"")</f>
        <v>0</v>
      </c>
      <c r="BK27" s="44">
        <f t="shared" si="4"/>
        <v>0</v>
      </c>
      <c r="BL27" s="64">
        <f t="shared" si="5"/>
        <v>0</v>
      </c>
      <c r="BM27" s="49">
        <f t="shared" si="6"/>
        <v>0</v>
      </c>
    </row>
    <row r="28" spans="1:65" x14ac:dyDescent="0.3">
      <c r="A28" s="1" t="s">
        <v>72</v>
      </c>
      <c r="B28" s="26" t="s">
        <v>26</v>
      </c>
      <c r="C28" s="26">
        <v>12</v>
      </c>
      <c r="D28" s="26">
        <v>6</v>
      </c>
      <c r="E28" s="27"/>
      <c r="F28">
        <v>3307.9</v>
      </c>
      <c r="G28" s="28"/>
      <c r="H28" s="28"/>
      <c r="I28" s="28"/>
      <c r="J28" s="28"/>
      <c r="K28" s="28"/>
      <c r="L28" s="72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10"/>
      <c r="AA28" s="28"/>
      <c r="AB28" s="28"/>
      <c r="AC28" s="24"/>
      <c r="AD28" s="70"/>
      <c r="AE28" s="28"/>
      <c r="AF28" s="28"/>
      <c r="AG28" s="74">
        <f t="shared" si="3"/>
        <v>0</v>
      </c>
      <c r="AH28" s="28"/>
      <c r="AI28" s="28"/>
      <c r="AJ28" s="28"/>
      <c r="AK28" s="28"/>
      <c r="AL28" s="28"/>
      <c r="AM28" s="28"/>
      <c r="AN28" s="28"/>
      <c r="AO28" s="74">
        <f>AM28-AM24</f>
        <v>0</v>
      </c>
      <c r="AP28" s="74">
        <f>AN28-AN24</f>
        <v>0</v>
      </c>
      <c r="AQ28" s="42">
        <v>15</v>
      </c>
      <c r="AR28" s="31">
        <v>1700</v>
      </c>
      <c r="AS28" s="28">
        <v>34</v>
      </c>
      <c r="AT28" s="28">
        <v>7.2</v>
      </c>
      <c r="AU28" s="28">
        <v>50</v>
      </c>
      <c r="AV28" s="29">
        <v>4.0000000000000002E-4</v>
      </c>
      <c r="AW28" s="15"/>
      <c r="AX28" s="29"/>
      <c r="AY28" s="39"/>
      <c r="AZ28" s="15">
        <f>AV28*J28*BB28/1000</f>
        <v>0</v>
      </c>
      <c r="BA28" s="84">
        <f t="shared" si="0"/>
        <v>0</v>
      </c>
      <c r="BB28" s="29">
        <f>AR28+SUM(AI28:AK28,AM28:AN28)-(AQ28*(D28+1))</f>
        <v>1595</v>
      </c>
      <c r="BC28" s="30" t="e">
        <f>IF(ISBLANK(AM28),NA(),IFERROR(AM28/BB28,0))</f>
        <v>#N/A</v>
      </c>
      <c r="BD28" s="30" t="e">
        <f>IF(ISBLANK(AM28),NA(),AM28/AR28)</f>
        <v>#N/A</v>
      </c>
      <c r="BE28" s="60">
        <f t="shared" si="2"/>
        <v>0</v>
      </c>
      <c r="BF28" s="30" t="str">
        <f>IF(B28="Python",AW28*BB28/24/60,"")</f>
        <v/>
      </c>
      <c r="BG28" s="60">
        <f>IF(B28="Julia",AX28*BB28/24/60,"")</f>
        <v>0</v>
      </c>
      <c r="BH28" s="57" t="str">
        <f>IF(B28="No MPC", AV28*J28*BB28/1000,"")</f>
        <v/>
      </c>
      <c r="BI28" s="30" t="str">
        <f>IF(IF(B28&lt;&gt;"Julia",((1.5-P28)*BB28)/400, "")&lt;0,0,IF(B28&lt;&gt;"Julia",((3-P28)*BB28)/400, ""))</f>
        <v/>
      </c>
      <c r="BJ28" s="30">
        <f>IF(B28="Julia",AY28*BB28,"")</f>
        <v>0</v>
      </c>
      <c r="BK28" s="45">
        <f t="shared" si="4"/>
        <v>0</v>
      </c>
      <c r="BL28" s="65">
        <f t="shared" si="5"/>
        <v>0</v>
      </c>
      <c r="BM28" s="47">
        <f t="shared" si="6"/>
        <v>0</v>
      </c>
    </row>
    <row r="29" spans="1:65" x14ac:dyDescent="0.3">
      <c r="A29" s="1" t="s">
        <v>73</v>
      </c>
      <c r="B29" s="26" t="s">
        <v>27</v>
      </c>
      <c r="C29" s="26">
        <v>12</v>
      </c>
      <c r="D29" s="26">
        <v>6</v>
      </c>
      <c r="E29" s="27"/>
      <c r="F29">
        <v>3307.9</v>
      </c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4"/>
      <c r="AD29" s="70"/>
      <c r="AE29" s="28"/>
      <c r="AF29" s="28"/>
      <c r="AG29" s="74">
        <f t="shared" si="3"/>
        <v>0</v>
      </c>
      <c r="AH29" s="28"/>
      <c r="AI29" s="28"/>
      <c r="AJ29" s="28"/>
      <c r="AK29" s="28"/>
      <c r="AL29" s="28"/>
      <c r="AM29" s="28"/>
      <c r="AN29" s="28"/>
      <c r="AO29" s="74">
        <f>AM29-AM25</f>
        <v>0</v>
      </c>
      <c r="AP29" s="74">
        <f>AN29-AN25</f>
        <v>0</v>
      </c>
      <c r="AQ29" s="42">
        <v>15</v>
      </c>
      <c r="AR29" s="31">
        <v>1700</v>
      </c>
      <c r="AS29" s="28">
        <v>34</v>
      </c>
      <c r="AT29" s="28">
        <v>7.2</v>
      </c>
      <c r="AU29" s="28">
        <v>50</v>
      </c>
      <c r="AV29" s="29">
        <v>4.0000000000000002E-4</v>
      </c>
      <c r="AW29" s="15"/>
      <c r="AX29" s="29"/>
      <c r="AY29" s="39"/>
      <c r="AZ29" s="15">
        <f>AV29*J29*BB29/1000</f>
        <v>0</v>
      </c>
      <c r="BA29" s="84">
        <f t="shared" si="0"/>
        <v>0</v>
      </c>
      <c r="BB29" s="29">
        <f>AR29+SUM(AI29:AK29,AM29:AN29)-(AQ29*(D29+1))</f>
        <v>1595</v>
      </c>
      <c r="BC29" s="30" t="e">
        <f>IF(ISBLANK(AM29),NA(),IFERROR(AM29/BB29,0))</f>
        <v>#N/A</v>
      </c>
      <c r="BD29" s="30" t="e">
        <f>IF(ISBLANK(AM29),NA(),AM29/AR29)</f>
        <v>#N/A</v>
      </c>
      <c r="BE29" s="60">
        <f t="shared" si="2"/>
        <v>0</v>
      </c>
      <c r="BF29" s="30">
        <f>IF(B29="Python",AW29*BB29/24/60,"")</f>
        <v>0</v>
      </c>
      <c r="BG29" s="60" t="str">
        <f>IF(B29="Julia",AX29*BB29/24/60,"")</f>
        <v/>
      </c>
      <c r="BH29" s="57" t="str">
        <f>IF(B29="No MPC", AV29*J29*BB29/1000,"")</f>
        <v/>
      </c>
      <c r="BI29" s="30">
        <f>IF(IF(B29&lt;&gt;"Julia",((1.5-P29)*BB29)/400, "")&lt;0,0,IF(B29&lt;&gt;"Julia",((3-P29)*BB29)/400, ""))</f>
        <v>11.9625</v>
      </c>
      <c r="BJ29" s="30" t="str">
        <f>IF(B29="Julia",AY29*BB29,"")</f>
        <v/>
      </c>
      <c r="BK29" s="45">
        <f t="shared" si="4"/>
        <v>0</v>
      </c>
      <c r="BL29" s="65">
        <f t="shared" si="5"/>
        <v>0</v>
      </c>
      <c r="BM29" s="47">
        <f t="shared" si="6"/>
        <v>11.9625</v>
      </c>
    </row>
    <row r="30" spans="1:65" ht="15" thickBot="1" x14ac:dyDescent="0.35">
      <c r="A30" s="1" t="s">
        <v>74</v>
      </c>
      <c r="B30" s="26" t="s">
        <v>27</v>
      </c>
      <c r="C30" s="26">
        <v>12</v>
      </c>
      <c r="D30" s="26">
        <v>6</v>
      </c>
      <c r="E30" s="27"/>
      <c r="F30">
        <v>3307.9</v>
      </c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4"/>
      <c r="AD30" s="71"/>
      <c r="AE30" s="11"/>
      <c r="AF30" s="11"/>
      <c r="AG30" s="75">
        <f t="shared" si="3"/>
        <v>0</v>
      </c>
      <c r="AH30" s="11"/>
      <c r="AI30" s="11"/>
      <c r="AJ30" s="11"/>
      <c r="AK30" s="11"/>
      <c r="AL30" s="11"/>
      <c r="AM30" s="11"/>
      <c r="AN30" s="11"/>
      <c r="AO30" s="75">
        <f>AM30-AM26</f>
        <v>0</v>
      </c>
      <c r="AP30" s="75">
        <f>AN30-AN26</f>
        <v>0</v>
      </c>
      <c r="AQ30" s="43">
        <v>15</v>
      </c>
      <c r="AR30" s="20">
        <v>1700</v>
      </c>
      <c r="AS30" s="11">
        <v>34</v>
      </c>
      <c r="AT30" s="11">
        <v>7.2</v>
      </c>
      <c r="AU30" s="11">
        <v>50</v>
      </c>
      <c r="AV30" s="17">
        <v>4.0000000000000002E-4</v>
      </c>
      <c r="AW30" s="16"/>
      <c r="AX30" s="17"/>
      <c r="AY30" s="40"/>
      <c r="AZ30" s="16">
        <f>AV30*J30*BB30/1000</f>
        <v>0</v>
      </c>
      <c r="BA30" s="17">
        <f t="shared" si="0"/>
        <v>0</v>
      </c>
      <c r="BB30" s="17">
        <f>AR30+SUM(AI30:AK30,AM30:AN30)-(AQ30*(D30+1))</f>
        <v>1595</v>
      </c>
      <c r="BC30" s="18" t="e">
        <f>IF(ISBLANK(AM30),NA(),IFERROR(AM30/BB30,0))</f>
        <v>#N/A</v>
      </c>
      <c r="BD30" s="18" t="e">
        <f>IF(ISBLANK(AM30),NA(),AM30/AR30)</f>
        <v>#N/A</v>
      </c>
      <c r="BE30" s="18">
        <f t="shared" si="2"/>
        <v>0</v>
      </c>
      <c r="BF30" s="18">
        <f>IF(B30="Python",AW30*BB30/24/60,"")</f>
        <v>0</v>
      </c>
      <c r="BG30" s="18" t="str">
        <f>IF(B30="Julia",AX30*BB30/24/60,"")</f>
        <v/>
      </c>
      <c r="BH30" s="58" t="str">
        <f>IF(B30="No MPC", AV30*J30*BB30/1000,"")</f>
        <v/>
      </c>
      <c r="BI30" s="18">
        <f>IF(IF(B30&lt;&gt;"Julia",((1.5-P30)*BB30)/400, "")&lt;0,0,IF(B30&lt;&gt;"Julia",((3-P30)*BB30)/400, ""))</f>
        <v>11.9625</v>
      </c>
      <c r="BJ30" s="18" t="str">
        <f>IF(B30="Julia",AY30*BB30,"")</f>
        <v/>
      </c>
      <c r="BK30" s="46">
        <f t="shared" si="4"/>
        <v>0</v>
      </c>
      <c r="BL30" s="66">
        <f t="shared" si="5"/>
        <v>0</v>
      </c>
      <c r="BM30" s="48">
        <f t="shared" si="6"/>
        <v>11.9625</v>
      </c>
    </row>
    <row r="31" spans="1:65" x14ac:dyDescent="0.3">
      <c r="A31" s="3" t="s">
        <v>71</v>
      </c>
      <c r="B31" s="4" t="s">
        <v>26</v>
      </c>
      <c r="C31" s="4">
        <v>12</v>
      </c>
      <c r="D31" s="4">
        <v>7</v>
      </c>
      <c r="E31" s="5"/>
      <c r="F31" s="4">
        <v>3888.32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23"/>
      <c r="AD31" s="69"/>
      <c r="AE31" s="9"/>
      <c r="AF31" s="9"/>
      <c r="AG31" s="73">
        <f t="shared" si="3"/>
        <v>0</v>
      </c>
      <c r="AH31" s="9"/>
      <c r="AI31" s="9"/>
      <c r="AJ31" s="9"/>
      <c r="AK31" s="9"/>
      <c r="AL31" s="9"/>
      <c r="AM31" s="9"/>
      <c r="AN31" s="9"/>
      <c r="AO31" s="73">
        <f>AM31-AM27</f>
        <v>0</v>
      </c>
      <c r="AP31" s="73">
        <f>AN31-AN27</f>
        <v>0</v>
      </c>
      <c r="AQ31" s="41">
        <v>15</v>
      </c>
      <c r="AR31" s="19">
        <v>1700</v>
      </c>
      <c r="AS31" s="9">
        <v>34</v>
      </c>
      <c r="AT31" s="9">
        <v>7.2</v>
      </c>
      <c r="AU31" s="9">
        <v>50</v>
      </c>
      <c r="AV31" s="13">
        <v>4.0000000000000002E-4</v>
      </c>
      <c r="AW31" s="12"/>
      <c r="AX31" s="13"/>
      <c r="AY31" s="38"/>
      <c r="AZ31" s="12">
        <f>AV31*J31*BB31/1000</f>
        <v>0</v>
      </c>
      <c r="BA31" s="13">
        <f t="shared" si="0"/>
        <v>0</v>
      </c>
      <c r="BB31" s="13">
        <f>AR31+SUM(AI31:AK31,AM31:AN31)-(AQ31*(D31+1))</f>
        <v>1580</v>
      </c>
      <c r="BC31" s="14" t="e">
        <f>IF(ISBLANK(AM31),NA(),IFERROR(AM31/BB31,0))</f>
        <v>#N/A</v>
      </c>
      <c r="BD31" s="14" t="e">
        <f>IF(ISBLANK(AM31),NA(),AM31/AR31)</f>
        <v>#N/A</v>
      </c>
      <c r="BE31" s="14">
        <f t="shared" si="2"/>
        <v>0</v>
      </c>
      <c r="BF31" s="14" t="str">
        <f>IF(B31="Python",AW31*BB31/24/60,"")</f>
        <v/>
      </c>
      <c r="BG31" s="14">
        <f>IF(B31="Julia",AX31*BB31/24/60,"")</f>
        <v>0</v>
      </c>
      <c r="BH31" s="56" t="str">
        <f>IF(B31="No MPC", AV31*J31*BB31/1000,"")</f>
        <v/>
      </c>
      <c r="BI31" s="14" t="str">
        <f>IF(IF(B31&lt;&gt;"Julia",((1.5-P31)*BB31)/400, "")&lt;0,0,IF(B31&lt;&gt;"Julia",((3-P31)*BB31)/400, ""))</f>
        <v/>
      </c>
      <c r="BJ31" s="14">
        <f>IF(B31="Julia",AY31*BB31,"")</f>
        <v>0</v>
      </c>
      <c r="BK31" s="45">
        <f t="shared" si="4"/>
        <v>0</v>
      </c>
      <c r="BL31" s="65">
        <f t="shared" si="5"/>
        <v>0</v>
      </c>
      <c r="BM31" s="47">
        <f t="shared" si="6"/>
        <v>0</v>
      </c>
    </row>
    <row r="32" spans="1:65" x14ac:dyDescent="0.3">
      <c r="A32" s="1" t="s">
        <v>72</v>
      </c>
      <c r="B32" s="26" t="s">
        <v>26</v>
      </c>
      <c r="C32" s="26">
        <v>12</v>
      </c>
      <c r="D32" s="26">
        <v>7</v>
      </c>
      <c r="E32" s="27"/>
      <c r="F32" s="26">
        <v>3888.32</v>
      </c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4"/>
      <c r="AD32" s="70"/>
      <c r="AE32" s="28"/>
      <c r="AF32" s="28"/>
      <c r="AG32" s="74">
        <f t="shared" si="3"/>
        <v>0</v>
      </c>
      <c r="AH32" s="28"/>
      <c r="AI32" s="28"/>
      <c r="AJ32" s="28"/>
      <c r="AK32" s="28"/>
      <c r="AL32" s="28"/>
      <c r="AM32" s="28"/>
      <c r="AN32" s="28"/>
      <c r="AO32" s="74">
        <f>AM32-AM28</f>
        <v>0</v>
      </c>
      <c r="AP32" s="74">
        <f>AN32-AN28</f>
        <v>0</v>
      </c>
      <c r="AQ32" s="42">
        <v>15</v>
      </c>
      <c r="AR32" s="31">
        <v>1700</v>
      </c>
      <c r="AS32" s="28">
        <v>34</v>
      </c>
      <c r="AT32" s="28">
        <v>7.2</v>
      </c>
      <c r="AU32" s="28">
        <v>50</v>
      </c>
      <c r="AV32" s="29">
        <v>4.0000000000000002E-4</v>
      </c>
      <c r="AW32" s="15"/>
      <c r="AX32" s="29"/>
      <c r="AY32" s="39"/>
      <c r="AZ32" s="15">
        <f>AV32*J32*BB32/1000</f>
        <v>0</v>
      </c>
      <c r="BA32" s="84">
        <f t="shared" si="0"/>
        <v>0</v>
      </c>
      <c r="BB32" s="29">
        <f>AR32+SUM(AI32:AK32,AM32:AN32)-(AQ32*(D32+1))</f>
        <v>1580</v>
      </c>
      <c r="BC32" s="30" t="e">
        <f>IF(ISBLANK(AM32),NA(),IFERROR(AM32/BB32,0))</f>
        <v>#N/A</v>
      </c>
      <c r="BD32" s="30" t="e">
        <f>IF(ISBLANK(AM32),NA(),AM32/AR32)</f>
        <v>#N/A</v>
      </c>
      <c r="BE32" s="60">
        <f t="shared" si="2"/>
        <v>0</v>
      </c>
      <c r="BF32" s="30" t="str">
        <f>IF(B32="Python",AW32*BB32/24/60,"")</f>
        <v/>
      </c>
      <c r="BG32" s="60">
        <f>IF(B32="Julia",AX32*BB32/24/60,"")</f>
        <v>0</v>
      </c>
      <c r="BH32" s="57" t="str">
        <f>IF(B32="No MPC", AV32*J32*BB32/1000,"")</f>
        <v/>
      </c>
      <c r="BI32" s="30" t="str">
        <f>IF(IF(B32&lt;&gt;"Julia",((1.5-P32)*BB32)/400, "")&lt;0,0,IF(B32&lt;&gt;"Julia",((3-P32)*BB32)/400, ""))</f>
        <v/>
      </c>
      <c r="BJ32" s="30">
        <f>IF(B32="Julia",AY32*BB32,"")</f>
        <v>0</v>
      </c>
      <c r="BK32" s="45">
        <f t="shared" si="4"/>
        <v>0</v>
      </c>
      <c r="BL32" s="65">
        <f t="shared" si="5"/>
        <v>0</v>
      </c>
      <c r="BM32" s="47">
        <f t="shared" si="6"/>
        <v>0</v>
      </c>
    </row>
    <row r="33" spans="1:65" x14ac:dyDescent="0.3">
      <c r="A33" s="1" t="s">
        <v>73</v>
      </c>
      <c r="B33" s="26" t="s">
        <v>27</v>
      </c>
      <c r="C33" s="26">
        <v>12</v>
      </c>
      <c r="D33" s="26">
        <v>7</v>
      </c>
      <c r="E33" s="27"/>
      <c r="F33" s="26">
        <v>3888.32</v>
      </c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4"/>
      <c r="AD33" s="70"/>
      <c r="AE33" s="28"/>
      <c r="AF33" s="28"/>
      <c r="AG33" s="74">
        <f t="shared" si="3"/>
        <v>0</v>
      </c>
      <c r="AH33" s="28"/>
      <c r="AI33" s="28"/>
      <c r="AJ33" s="28"/>
      <c r="AK33" s="28"/>
      <c r="AL33" s="28"/>
      <c r="AM33" s="28"/>
      <c r="AN33" s="28"/>
      <c r="AO33" s="74">
        <f>AM33-AM29</f>
        <v>0</v>
      </c>
      <c r="AP33" s="74">
        <f>AN33-AN29</f>
        <v>0</v>
      </c>
      <c r="AQ33" s="42">
        <v>15</v>
      </c>
      <c r="AR33" s="31">
        <v>1700</v>
      </c>
      <c r="AS33" s="28">
        <v>34</v>
      </c>
      <c r="AT33" s="28">
        <v>7.2</v>
      </c>
      <c r="AU33" s="28">
        <v>50</v>
      </c>
      <c r="AV33" s="29">
        <v>4.0000000000000002E-4</v>
      </c>
      <c r="AW33" s="15"/>
      <c r="AX33" s="29"/>
      <c r="AY33" s="39"/>
      <c r="AZ33" s="15">
        <f>AV33*J33*BB33/1000</f>
        <v>0</v>
      </c>
      <c r="BA33" s="84">
        <f t="shared" si="0"/>
        <v>0</v>
      </c>
      <c r="BB33" s="29">
        <f>AR33+SUM(AI33:AK33,AM33:AN33)-(AQ33*(D33+1))</f>
        <v>1580</v>
      </c>
      <c r="BC33" s="30" t="e">
        <f>IF(ISBLANK(AM33),NA(),IFERROR(AM33/BB33,0))</f>
        <v>#N/A</v>
      </c>
      <c r="BD33" s="30" t="e">
        <f>IF(ISBLANK(AM33),NA(),AM33/AR33)</f>
        <v>#N/A</v>
      </c>
      <c r="BE33" s="60">
        <f t="shared" si="2"/>
        <v>0</v>
      </c>
      <c r="BF33" s="30">
        <f>IF(B33="Python",AW33*BB33/24/60,"")</f>
        <v>0</v>
      </c>
      <c r="BG33" s="60" t="str">
        <f>IF(B33="Julia",AX33*BB33/24/60,"")</f>
        <v/>
      </c>
      <c r="BH33" s="57" t="str">
        <f>IF(B33="No MPC", AV33*J33*BB33/1000,"")</f>
        <v/>
      </c>
      <c r="BI33" s="30">
        <f>IF(IF(B33&lt;&gt;"Julia",((1.5-P33)*BB33)/400, "")&lt;0,0,IF(B33&lt;&gt;"Julia",((3-P33)*BB33)/400, ""))</f>
        <v>11.85</v>
      </c>
      <c r="BJ33" s="30" t="str">
        <f>IF(B33="Julia",AY33*BB33,"")</f>
        <v/>
      </c>
      <c r="BK33" s="45">
        <f t="shared" si="4"/>
        <v>0</v>
      </c>
      <c r="BL33" s="65">
        <f t="shared" si="5"/>
        <v>0</v>
      </c>
      <c r="BM33" s="47">
        <f t="shared" si="6"/>
        <v>11.85</v>
      </c>
    </row>
    <row r="34" spans="1:65" ht="15" thickBot="1" x14ac:dyDescent="0.35">
      <c r="A34" s="6" t="s">
        <v>74</v>
      </c>
      <c r="B34" s="7" t="s">
        <v>27</v>
      </c>
      <c r="C34" s="7">
        <v>12</v>
      </c>
      <c r="D34" s="7">
        <v>7</v>
      </c>
      <c r="E34" s="8"/>
      <c r="F34" s="7">
        <v>3888.32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25"/>
      <c r="AD34" s="71"/>
      <c r="AE34" s="11"/>
      <c r="AF34" s="11"/>
      <c r="AG34" s="75">
        <f t="shared" si="3"/>
        <v>0</v>
      </c>
      <c r="AH34" s="11"/>
      <c r="AI34" s="11"/>
      <c r="AJ34" s="11"/>
      <c r="AK34" s="11"/>
      <c r="AL34" s="11"/>
      <c r="AM34" s="11"/>
      <c r="AN34" s="11"/>
      <c r="AO34" s="75">
        <f>AM34-AM30</f>
        <v>0</v>
      </c>
      <c r="AP34" s="75">
        <f>AN34-AN30</f>
        <v>0</v>
      </c>
      <c r="AQ34" s="43">
        <v>15</v>
      </c>
      <c r="AR34" s="20">
        <v>1700</v>
      </c>
      <c r="AS34" s="11">
        <v>34</v>
      </c>
      <c r="AT34" s="11">
        <v>7.2</v>
      </c>
      <c r="AU34" s="11">
        <v>50</v>
      </c>
      <c r="AV34" s="17">
        <v>4.0000000000000002E-4</v>
      </c>
      <c r="AW34" s="16"/>
      <c r="AX34" s="17"/>
      <c r="AY34" s="40"/>
      <c r="AZ34" s="16">
        <f>AV34*J34*BB34/1000</f>
        <v>0</v>
      </c>
      <c r="BA34" s="17">
        <f t="shared" si="0"/>
        <v>0</v>
      </c>
      <c r="BB34" s="17">
        <f>AR34+SUM(AI34:AK34,AM34:AN34)-(AQ34*(D34+1))</f>
        <v>1580</v>
      </c>
      <c r="BC34" s="18" t="e">
        <f>IF(ISBLANK(AM34),NA(),IFERROR(AM34/BB34,0))</f>
        <v>#N/A</v>
      </c>
      <c r="BD34" s="18" t="e">
        <f>IF(ISBLANK(AM34),NA(),AM34/AR34)</f>
        <v>#N/A</v>
      </c>
      <c r="BE34" s="18">
        <f t="shared" si="2"/>
        <v>0</v>
      </c>
      <c r="BF34" s="18">
        <f>IF(B34="Python",AW34*BB34/24/60,"")</f>
        <v>0</v>
      </c>
      <c r="BG34" s="18" t="str">
        <f>IF(B34="Julia",AX34*BB34/24/60,"")</f>
        <v/>
      </c>
      <c r="BH34" s="58" t="str">
        <f>IF(B34="No MPC", AV34*J34*BB34/1000,"")</f>
        <v/>
      </c>
      <c r="BI34" s="18">
        <f>IF(IF(B34&lt;&gt;"Julia",((1.5-P34)*BB34)/400, "")&lt;0,0,IF(B34&lt;&gt;"Julia",((3-P34)*BB34)/400, ""))</f>
        <v>11.85</v>
      </c>
      <c r="BJ34" s="18" t="str">
        <f>IF(B34="Julia",AY34*BB34,"")</f>
        <v/>
      </c>
      <c r="BK34" s="45">
        <f t="shared" si="4"/>
        <v>0</v>
      </c>
      <c r="BL34" s="65">
        <f t="shared" si="5"/>
        <v>0</v>
      </c>
      <c r="BM34" s="47">
        <f t="shared" si="6"/>
        <v>11.85</v>
      </c>
    </row>
    <row r="35" spans="1:65" x14ac:dyDescent="0.3">
      <c r="A35" s="1" t="s">
        <v>71</v>
      </c>
      <c r="B35" s="26" t="s">
        <v>26</v>
      </c>
      <c r="C35" s="26">
        <v>12</v>
      </c>
      <c r="D35" s="26">
        <v>8</v>
      </c>
      <c r="E35" s="27"/>
      <c r="F35">
        <v>4309.7</v>
      </c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4"/>
      <c r="AD35" s="69"/>
      <c r="AE35" s="9"/>
      <c r="AF35" s="9"/>
      <c r="AG35" s="73">
        <f t="shared" si="3"/>
        <v>0</v>
      </c>
      <c r="AH35" s="9"/>
      <c r="AI35" s="9"/>
      <c r="AJ35" s="9"/>
      <c r="AK35" s="9"/>
      <c r="AL35" s="9"/>
      <c r="AM35" s="9"/>
      <c r="AN35" s="9"/>
      <c r="AO35" s="73">
        <f>AM35-AM31</f>
        <v>0</v>
      </c>
      <c r="AP35" s="73">
        <f>AN35-AN31</f>
        <v>0</v>
      </c>
      <c r="AQ35" s="41">
        <v>15</v>
      </c>
      <c r="AR35" s="4">
        <v>1700</v>
      </c>
      <c r="AS35" s="9">
        <v>34</v>
      </c>
      <c r="AT35" s="9">
        <v>7.2</v>
      </c>
      <c r="AU35" s="9">
        <v>50</v>
      </c>
      <c r="AV35" s="13">
        <v>4.0000000000000002E-4</v>
      </c>
      <c r="AW35" s="12"/>
      <c r="AX35" s="13"/>
      <c r="AY35" s="38"/>
      <c r="AZ35" s="12">
        <f>AV35*J35*BB35/1000</f>
        <v>0</v>
      </c>
      <c r="BA35" s="13">
        <f t="shared" ref="BA35:BA66" si="7">AZ35*24*60</f>
        <v>0</v>
      </c>
      <c r="BB35" s="13">
        <f>AR35+SUM(AI35:AK35,AM35:AN35)-(AQ35*(D35+1))</f>
        <v>1565</v>
      </c>
      <c r="BC35" s="14" t="e">
        <f>IF(ISBLANK(AM35),NA(),IFERROR(AM35/BB35,0))</f>
        <v>#N/A</v>
      </c>
      <c r="BD35" s="14" t="e">
        <f>IF(ISBLANK(AM35),NA(),AM35/AR35)</f>
        <v>#N/A</v>
      </c>
      <c r="BE35" s="14">
        <f t="shared" ref="BE35:BE54" si="8">AL35*24*60</f>
        <v>0</v>
      </c>
      <c r="BF35" s="14" t="str">
        <f>IF(B35="Python",AW35*BB35/24/60,"")</f>
        <v/>
      </c>
      <c r="BG35" s="14">
        <f>IF(B35="Julia",AX35*BB35/24/60,"")</f>
        <v>0</v>
      </c>
      <c r="BH35" s="56" t="str">
        <f>IF(B35="No MPC", AV35*J35*BB35/1000,"")</f>
        <v/>
      </c>
      <c r="BI35" s="14" t="str">
        <f>IF(IF(B35&lt;&gt;"Julia",((1.5-P35)*BB35)/400, "")&lt;0,0,IF(B35&lt;&gt;"Julia",((3-P35)*BB35)/400, ""))</f>
        <v/>
      </c>
      <c r="BJ35" s="14">
        <f>IF(B35="Julia",AY35*BB35,"")</f>
        <v>0</v>
      </c>
      <c r="BK35" s="44">
        <f t="shared" si="4"/>
        <v>0</v>
      </c>
      <c r="BL35" s="64">
        <f t="shared" si="5"/>
        <v>0</v>
      </c>
      <c r="BM35" s="49">
        <f t="shared" si="6"/>
        <v>0</v>
      </c>
    </row>
    <row r="36" spans="1:65" x14ac:dyDescent="0.3">
      <c r="A36" s="1" t="s">
        <v>72</v>
      </c>
      <c r="B36" s="26" t="s">
        <v>26</v>
      </c>
      <c r="C36" s="26">
        <v>12</v>
      </c>
      <c r="D36" s="26">
        <v>8</v>
      </c>
      <c r="E36" s="27"/>
      <c r="F36">
        <v>4309.7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4"/>
      <c r="AD36" s="70"/>
      <c r="AE36" s="28"/>
      <c r="AF36" s="28"/>
      <c r="AG36" s="74">
        <f t="shared" si="3"/>
        <v>0</v>
      </c>
      <c r="AH36" s="28"/>
      <c r="AI36" s="28"/>
      <c r="AJ36" s="28"/>
      <c r="AK36" s="28"/>
      <c r="AL36" s="28"/>
      <c r="AM36" s="28"/>
      <c r="AN36" s="28"/>
      <c r="AO36" s="74">
        <f>AM36-AM32</f>
        <v>0</v>
      </c>
      <c r="AP36" s="74">
        <f>AN36-AN32</f>
        <v>0</v>
      </c>
      <c r="AQ36" s="42">
        <v>15</v>
      </c>
      <c r="AR36" s="26">
        <v>1700</v>
      </c>
      <c r="AS36" s="28">
        <v>34</v>
      </c>
      <c r="AT36" s="28">
        <v>7.2</v>
      </c>
      <c r="AU36" s="28">
        <v>50</v>
      </c>
      <c r="AV36" s="29">
        <v>4.0000000000000002E-4</v>
      </c>
      <c r="AW36" s="15"/>
      <c r="AX36" s="29"/>
      <c r="AY36" s="39"/>
      <c r="AZ36" s="15">
        <f>AV36*J36*BB36/1000</f>
        <v>0</v>
      </c>
      <c r="BA36" s="84">
        <f t="shared" si="7"/>
        <v>0</v>
      </c>
      <c r="BB36" s="29">
        <f>AR36+SUM(AI36:AK36,AM36:AN36)-(AQ36*(D36+1))</f>
        <v>1565</v>
      </c>
      <c r="BC36" s="30" t="e">
        <f>IF(ISBLANK(AM36),NA(),IFERROR(AM36/BB36,0))</f>
        <v>#N/A</v>
      </c>
      <c r="BD36" s="30" t="e">
        <f>IF(ISBLANK(AM36),NA(),AM36/AR36)</f>
        <v>#N/A</v>
      </c>
      <c r="BE36" s="60">
        <f t="shared" si="8"/>
        <v>0</v>
      </c>
      <c r="BF36" s="30" t="str">
        <f>IF(B36="Python",AW36*BB36/24/60,"")</f>
        <v/>
      </c>
      <c r="BG36" s="60">
        <f>IF(B36="Julia",AX36*BB36/24/60,"")</f>
        <v>0</v>
      </c>
      <c r="BH36" s="57" t="str">
        <f>IF(B36="No MPC", AV36*J36*BB36/1000,"")</f>
        <v/>
      </c>
      <c r="BI36" s="30" t="str">
        <f>IF(IF(B36&lt;&gt;"Julia",((1.5-P36)*BB36)/400, "")&lt;0,0,IF(B36&lt;&gt;"Julia",((3-P36)*BB36)/400, ""))</f>
        <v/>
      </c>
      <c r="BJ36" s="30">
        <f>IF(B36="Julia",AY36*BB36,"")</f>
        <v>0</v>
      </c>
      <c r="BK36" s="45">
        <f t="shared" si="4"/>
        <v>0</v>
      </c>
      <c r="BL36" s="65">
        <f t="shared" si="5"/>
        <v>0</v>
      </c>
      <c r="BM36" s="47">
        <f t="shared" si="6"/>
        <v>0</v>
      </c>
    </row>
    <row r="37" spans="1:65" x14ac:dyDescent="0.3">
      <c r="A37" s="1" t="s">
        <v>73</v>
      </c>
      <c r="B37" s="26" t="s">
        <v>27</v>
      </c>
      <c r="C37" s="26">
        <v>12</v>
      </c>
      <c r="D37" s="26">
        <v>8</v>
      </c>
      <c r="E37" s="27"/>
      <c r="F37">
        <v>4309.7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4"/>
      <c r="AD37" s="70"/>
      <c r="AE37" s="28"/>
      <c r="AF37" s="28"/>
      <c r="AG37" s="74">
        <f t="shared" si="3"/>
        <v>0</v>
      </c>
      <c r="AH37" s="28"/>
      <c r="AI37" s="28"/>
      <c r="AJ37" s="28"/>
      <c r="AK37" s="28"/>
      <c r="AL37" s="28"/>
      <c r="AM37" s="50"/>
      <c r="AN37" s="50"/>
      <c r="AO37" s="74">
        <f>AM37-AM33</f>
        <v>0</v>
      </c>
      <c r="AP37" s="74">
        <f>AN37-AN33</f>
        <v>0</v>
      </c>
      <c r="AQ37" s="42">
        <v>15</v>
      </c>
      <c r="AR37" s="26">
        <v>1700</v>
      </c>
      <c r="AS37" s="28">
        <v>34</v>
      </c>
      <c r="AT37" s="28">
        <v>7.2</v>
      </c>
      <c r="AU37" s="28">
        <v>50</v>
      </c>
      <c r="AV37" s="29">
        <v>4.0000000000000002E-4</v>
      </c>
      <c r="AW37" s="15"/>
      <c r="AX37" s="29"/>
      <c r="AY37" s="29"/>
      <c r="AZ37" s="15">
        <f>AV37*J37*BB37/1000</f>
        <v>0</v>
      </c>
      <c r="BA37" s="84">
        <f t="shared" si="7"/>
        <v>0</v>
      </c>
      <c r="BB37" s="29">
        <f>AR37+SUM(AI37:AK37,AM37:AN37)-(AQ37*(D37+1))</f>
        <v>1565</v>
      </c>
      <c r="BC37" s="30" t="e">
        <f>IF(ISBLANK(AM37),NA(),IFERROR(AM37/BB37,0))</f>
        <v>#N/A</v>
      </c>
      <c r="BD37" s="30" t="e">
        <f>IF(ISBLANK(AM37),NA(),AM37/AR37)</f>
        <v>#N/A</v>
      </c>
      <c r="BE37" s="60">
        <f t="shared" si="8"/>
        <v>0</v>
      </c>
      <c r="BF37" s="30">
        <f>IF(B37="Python",AW37*BB37/24/60,"")</f>
        <v>0</v>
      </c>
      <c r="BG37" s="60" t="str">
        <f>IF(B37="Julia",AX37*BB37/24/60,"")</f>
        <v/>
      </c>
      <c r="BH37" s="57" t="str">
        <f>IF(B37="No MPC", AV37*J37*BB37/1000,"")</f>
        <v/>
      </c>
      <c r="BI37" s="30">
        <f>IF(IF(B37&lt;&gt;"Julia",((1.5-P37)*BB37)/400, "")&lt;0,0,IF(B37&lt;&gt;"Julia",((3-P37)*BB37)/400, ""))</f>
        <v>11.737500000000001</v>
      </c>
      <c r="BJ37" s="30" t="str">
        <f>IF(B37="Julia",AY37*BB37,"")</f>
        <v/>
      </c>
      <c r="BK37" s="45">
        <f t="shared" si="4"/>
        <v>0</v>
      </c>
      <c r="BL37" s="65">
        <f t="shared" si="5"/>
        <v>0</v>
      </c>
      <c r="BM37" s="47">
        <f t="shared" si="6"/>
        <v>11.737500000000001</v>
      </c>
    </row>
    <row r="38" spans="1:65" ht="15" thickBot="1" x14ac:dyDescent="0.35">
      <c r="A38" s="1" t="s">
        <v>74</v>
      </c>
      <c r="B38" s="26" t="s">
        <v>27</v>
      </c>
      <c r="C38" s="26">
        <v>12</v>
      </c>
      <c r="D38" s="26">
        <v>8</v>
      </c>
      <c r="E38" s="27"/>
      <c r="F38">
        <v>4309.7</v>
      </c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4"/>
      <c r="AD38" s="71"/>
      <c r="AE38" s="11"/>
      <c r="AF38" s="11"/>
      <c r="AG38" s="75">
        <f t="shared" si="3"/>
        <v>0</v>
      </c>
      <c r="AH38" s="11"/>
      <c r="AI38" s="11"/>
      <c r="AJ38" s="11"/>
      <c r="AK38" s="11"/>
      <c r="AL38" s="11"/>
      <c r="AM38" s="11"/>
      <c r="AN38" s="11"/>
      <c r="AO38" s="75">
        <f>AM38-AM34</f>
        <v>0</v>
      </c>
      <c r="AP38" s="75">
        <f>AN38-AN34</f>
        <v>0</v>
      </c>
      <c r="AQ38" s="43">
        <v>15</v>
      </c>
      <c r="AR38" s="7">
        <v>1700</v>
      </c>
      <c r="AS38" s="11">
        <v>34</v>
      </c>
      <c r="AT38" s="11">
        <v>7.2</v>
      </c>
      <c r="AU38" s="11">
        <v>50</v>
      </c>
      <c r="AV38" s="17">
        <v>4.0000000000000002E-4</v>
      </c>
      <c r="AW38" s="16"/>
      <c r="AX38" s="17"/>
      <c r="AY38" s="17"/>
      <c r="AZ38" s="16">
        <f>AV38*J38*BB38/1000</f>
        <v>0</v>
      </c>
      <c r="BA38" s="17">
        <f t="shared" si="7"/>
        <v>0</v>
      </c>
      <c r="BB38" s="17">
        <f>AR38+SUM(AI38:AK38,AM38:AN38)-(AQ38*(D38+1))</f>
        <v>1565</v>
      </c>
      <c r="BC38" s="18" t="e">
        <f>IF(ISBLANK(AM38),NA(),IFERROR(AM38/BB38,0))</f>
        <v>#N/A</v>
      </c>
      <c r="BD38" s="18" t="e">
        <f>IF(ISBLANK(AM38),NA(),AM38/AR38)</f>
        <v>#N/A</v>
      </c>
      <c r="BE38" s="18">
        <f t="shared" si="8"/>
        <v>0</v>
      </c>
      <c r="BF38" s="18">
        <f>IF(B38="Python",AW38*BB38/24/60,"")</f>
        <v>0</v>
      </c>
      <c r="BG38" s="18" t="str">
        <f>IF(B38="Julia",AX38*BB38/24/60,"")</f>
        <v/>
      </c>
      <c r="BH38" s="58" t="str">
        <f>IF(B38="No MPC", AV38*J38*BB38/1000,"")</f>
        <v/>
      </c>
      <c r="BI38" s="18">
        <f>IF(IF(B38&lt;&gt;"Julia",((1.5-P38)*BB38)/400, "")&lt;0,0,IF(B38&lt;&gt;"Julia",((3-P38)*BB38)/400, ""))</f>
        <v>11.737500000000001</v>
      </c>
      <c r="BJ38" s="18" t="str">
        <f>IF(B38="Julia",AY38*BB38,"")</f>
        <v/>
      </c>
      <c r="BK38" s="46">
        <f t="shared" si="4"/>
        <v>0</v>
      </c>
      <c r="BL38" s="66">
        <f t="shared" si="5"/>
        <v>0</v>
      </c>
      <c r="BM38" s="48">
        <f t="shared" si="6"/>
        <v>11.737500000000001</v>
      </c>
    </row>
    <row r="39" spans="1:65" x14ac:dyDescent="0.3">
      <c r="A39" s="3" t="s">
        <v>71</v>
      </c>
      <c r="B39" s="4" t="s">
        <v>26</v>
      </c>
      <c r="C39" s="4">
        <v>12</v>
      </c>
      <c r="D39" s="4">
        <v>9</v>
      </c>
      <c r="E39" s="5"/>
      <c r="F39" s="4">
        <v>4805.7299999999996</v>
      </c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23"/>
      <c r="AD39" s="69"/>
      <c r="AE39" s="9"/>
      <c r="AF39" s="9"/>
      <c r="AG39" s="73">
        <f t="shared" si="3"/>
        <v>0</v>
      </c>
      <c r="AH39" s="9"/>
      <c r="AI39" s="9"/>
      <c r="AJ39" s="9"/>
      <c r="AK39" s="9"/>
      <c r="AL39" s="9"/>
      <c r="AM39" s="9"/>
      <c r="AN39" s="9"/>
      <c r="AO39" s="73">
        <f>AM39-AM35</f>
        <v>0</v>
      </c>
      <c r="AP39" s="73">
        <f>AN39-AN35</f>
        <v>0</v>
      </c>
      <c r="AQ39" s="41">
        <v>15</v>
      </c>
      <c r="AR39" s="4">
        <v>1700</v>
      </c>
      <c r="AS39" s="9">
        <v>34</v>
      </c>
      <c r="AT39" s="9">
        <v>7.2</v>
      </c>
      <c r="AU39" s="9">
        <v>50</v>
      </c>
      <c r="AV39" s="13">
        <v>4.0000000000000002E-4</v>
      </c>
      <c r="AW39" s="12"/>
      <c r="AX39" s="13"/>
      <c r="AY39" s="38"/>
      <c r="AZ39" s="12">
        <f>AV39*J39*BB39/1000</f>
        <v>0</v>
      </c>
      <c r="BA39" s="13">
        <f t="shared" si="7"/>
        <v>0</v>
      </c>
      <c r="BB39" s="13">
        <f>AR39+SUM(AI39:AK39,AM39:AN39)-(AQ39*(D39+1))</f>
        <v>1550</v>
      </c>
      <c r="BC39" s="14" t="e">
        <f>IF(ISBLANK(AM39),NA(),IFERROR(AM39/BB39,0))</f>
        <v>#N/A</v>
      </c>
      <c r="BD39" s="14" t="e">
        <f>IF(ISBLANK(AM39),NA(),AM39/AR39)</f>
        <v>#N/A</v>
      </c>
      <c r="BE39" s="14">
        <f t="shared" si="8"/>
        <v>0</v>
      </c>
      <c r="BF39" s="14" t="str">
        <f>IF(B39="Python",AW39*BB39/24/60,"")</f>
        <v/>
      </c>
      <c r="BG39" s="14">
        <f>IF(B39="Julia",AX39*BB39/24/60,"")</f>
        <v>0</v>
      </c>
      <c r="BH39" s="56" t="str">
        <f>IF(B39="No MPC", AV39*J39*BB39/1000,"")</f>
        <v/>
      </c>
      <c r="BI39" s="14" t="str">
        <f>IF(IF(B39&lt;&gt;"Julia",((1.5-P39)*BB39)/400, "")&lt;0,0,IF(B39&lt;&gt;"Julia",((3-P39)*BB39)/400, ""))</f>
        <v/>
      </c>
      <c r="BJ39" s="14">
        <f>IF(B39="Julia",AY39*BB39,"")</f>
        <v>0</v>
      </c>
      <c r="BK39" s="45">
        <f t="shared" si="4"/>
        <v>0</v>
      </c>
      <c r="BL39" s="65">
        <f t="shared" si="5"/>
        <v>0</v>
      </c>
      <c r="BM39" s="47">
        <f t="shared" si="6"/>
        <v>0</v>
      </c>
    </row>
    <row r="40" spans="1:65" x14ac:dyDescent="0.3">
      <c r="A40" s="1" t="s">
        <v>72</v>
      </c>
      <c r="B40" s="26" t="s">
        <v>26</v>
      </c>
      <c r="C40" s="26">
        <v>12</v>
      </c>
      <c r="D40" s="26">
        <v>9</v>
      </c>
      <c r="E40" s="27"/>
      <c r="F40" s="26">
        <v>4805.7299999999996</v>
      </c>
      <c r="G40" s="28"/>
      <c r="H40" s="28"/>
      <c r="I40" s="28"/>
      <c r="J40" s="28"/>
      <c r="K40" s="50"/>
      <c r="L40" s="50"/>
      <c r="M40" s="28"/>
      <c r="N40" s="28"/>
      <c r="O40" s="28"/>
      <c r="P40" s="50"/>
      <c r="Q40" s="50"/>
      <c r="R40" s="50"/>
      <c r="S40" s="72"/>
      <c r="T40" s="50"/>
      <c r="U40" s="50"/>
      <c r="V40" s="50"/>
      <c r="W40" s="50"/>
      <c r="X40" s="50"/>
      <c r="Y40" s="50"/>
      <c r="Z40" s="28"/>
      <c r="AA40" s="28"/>
      <c r="AB40" s="28"/>
      <c r="AC40" s="24"/>
      <c r="AD40" s="70"/>
      <c r="AE40" s="28"/>
      <c r="AF40" s="28"/>
      <c r="AG40" s="74">
        <f t="shared" si="3"/>
        <v>0</v>
      </c>
      <c r="AH40" s="28"/>
      <c r="AI40" s="28"/>
      <c r="AJ40" s="28"/>
      <c r="AK40" s="28"/>
      <c r="AL40" s="28"/>
      <c r="AM40" s="28"/>
      <c r="AN40" s="28"/>
      <c r="AO40" s="74">
        <f>AM40-AM36</f>
        <v>0</v>
      </c>
      <c r="AP40" s="74">
        <f>AN40-AN36</f>
        <v>0</v>
      </c>
      <c r="AQ40" s="42">
        <v>15</v>
      </c>
      <c r="AR40" s="26">
        <v>1700</v>
      </c>
      <c r="AS40" s="28">
        <v>34</v>
      </c>
      <c r="AT40" s="28">
        <v>7.2</v>
      </c>
      <c r="AU40" s="28">
        <v>50</v>
      </c>
      <c r="AV40" s="29">
        <v>4.0000000000000002E-4</v>
      </c>
      <c r="AW40" s="15"/>
      <c r="AX40" s="29"/>
      <c r="AY40" s="39"/>
      <c r="AZ40" s="15">
        <f>AV40*J40*BB40/1000</f>
        <v>0</v>
      </c>
      <c r="BA40" s="84">
        <f t="shared" si="7"/>
        <v>0</v>
      </c>
      <c r="BB40" s="29">
        <f>AR40+SUM(AI40:AK40,AM40:AN40)-(AQ40*(D40+1))</f>
        <v>1550</v>
      </c>
      <c r="BC40" s="30" t="e">
        <f>IF(ISBLANK(AM40),NA(),IFERROR(AM40/BB40,0))</f>
        <v>#N/A</v>
      </c>
      <c r="BD40" s="30" t="e">
        <f>IF(ISBLANK(AM40),NA(),AM40/AR40)</f>
        <v>#N/A</v>
      </c>
      <c r="BE40" s="60">
        <f t="shared" si="8"/>
        <v>0</v>
      </c>
      <c r="BF40" s="30" t="str">
        <f>IF(B40="Python",AW40*BB40/24/60,"")</f>
        <v/>
      </c>
      <c r="BG40" s="60">
        <f>IF(B40="Julia",AX40*BB40/24/60,"")</f>
        <v>0</v>
      </c>
      <c r="BH40" s="57" t="str">
        <f>IF(B40="No MPC", AV40*J40*BB40/1000,"")</f>
        <v/>
      </c>
      <c r="BI40" s="30" t="str">
        <f>IF(IF(B40&lt;&gt;"Julia",((1.5-P40)*BB40)/400, "")&lt;0,0,IF(B40&lt;&gt;"Julia",((3-P40)*BB40)/400, ""))</f>
        <v/>
      </c>
      <c r="BJ40" s="30">
        <f>IF(B40="Julia",AY40*BB40,"")</f>
        <v>0</v>
      </c>
      <c r="BK40" s="45">
        <f t="shared" si="4"/>
        <v>0</v>
      </c>
      <c r="BL40" s="65">
        <f t="shared" si="5"/>
        <v>0</v>
      </c>
      <c r="BM40" s="47">
        <f t="shared" si="6"/>
        <v>0</v>
      </c>
    </row>
    <row r="41" spans="1:65" x14ac:dyDescent="0.3">
      <c r="A41" s="1" t="s">
        <v>73</v>
      </c>
      <c r="B41" s="26" t="s">
        <v>27</v>
      </c>
      <c r="C41" s="26">
        <v>12</v>
      </c>
      <c r="D41" s="26">
        <v>9</v>
      </c>
      <c r="E41" s="27"/>
      <c r="F41" s="26">
        <v>4805.7299999999996</v>
      </c>
      <c r="G41" s="28"/>
      <c r="H41" s="28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72"/>
      <c r="T41" s="50"/>
      <c r="U41" s="50"/>
      <c r="V41" s="50"/>
      <c r="W41" s="50"/>
      <c r="X41" s="50"/>
      <c r="Y41" s="50"/>
      <c r="Z41" s="28"/>
      <c r="AA41" s="28"/>
      <c r="AB41" s="28"/>
      <c r="AC41" s="24"/>
      <c r="AD41" s="70"/>
      <c r="AE41" s="28"/>
      <c r="AF41" s="28"/>
      <c r="AG41" s="74">
        <f t="shared" si="3"/>
        <v>0</v>
      </c>
      <c r="AH41" s="28"/>
      <c r="AI41" s="28"/>
      <c r="AJ41" s="28"/>
      <c r="AK41" s="50"/>
      <c r="AL41" s="28"/>
      <c r="AM41" s="50"/>
      <c r="AN41" s="50"/>
      <c r="AO41" s="74">
        <f>AM41-AM37</f>
        <v>0</v>
      </c>
      <c r="AP41" s="74">
        <f>AN41-AN37</f>
        <v>0</v>
      </c>
      <c r="AQ41" s="42">
        <v>15</v>
      </c>
      <c r="AR41" s="26">
        <v>1700</v>
      </c>
      <c r="AS41" s="28">
        <v>34</v>
      </c>
      <c r="AT41" s="28">
        <v>7.2</v>
      </c>
      <c r="AU41" s="28">
        <v>50</v>
      </c>
      <c r="AV41" s="29">
        <v>4.0000000000000002E-4</v>
      </c>
      <c r="AW41" s="15"/>
      <c r="AX41" s="29"/>
      <c r="AY41" s="39"/>
      <c r="AZ41" s="15">
        <f>AV41*J41*BB41/1000</f>
        <v>0</v>
      </c>
      <c r="BA41" s="84">
        <f t="shared" si="7"/>
        <v>0</v>
      </c>
      <c r="BB41" s="29">
        <f>AR41+SUM(AI41:AK41,AM41:AN41)-(AQ41*(D41+1))</f>
        <v>1550</v>
      </c>
      <c r="BC41" s="30" t="e">
        <f>IF(ISBLANK(AM41),NA(),IFERROR(AM41/BB41,0))</f>
        <v>#N/A</v>
      </c>
      <c r="BD41" s="30" t="e">
        <f>IF(ISBLANK(AM41),NA(),AM41/AR41)</f>
        <v>#N/A</v>
      </c>
      <c r="BE41" s="60">
        <f t="shared" si="8"/>
        <v>0</v>
      </c>
      <c r="BF41" s="30">
        <f>IF(B41="Python",AW41*BB41/24/60,"")</f>
        <v>0</v>
      </c>
      <c r="BG41" s="60" t="str">
        <f>IF(B41="Julia",AX41*BB41/24/60,"")</f>
        <v/>
      </c>
      <c r="BH41" s="57" t="str">
        <f>IF(B41="No MPC", AV41*J41*BB41/1000,"")</f>
        <v/>
      </c>
      <c r="BI41" s="30">
        <f>IF(IF(B41&lt;&gt;"Julia",((1.5-P41)*BB41)/400, "")&lt;0,0,IF(B41&lt;&gt;"Julia",((3-P41)*BB41)/400, ""))</f>
        <v>11.625</v>
      </c>
      <c r="BJ41" s="30" t="str">
        <f>IF(B41="Julia",AY41*BB41,"")</f>
        <v/>
      </c>
      <c r="BK41" s="45">
        <f t="shared" si="4"/>
        <v>0</v>
      </c>
      <c r="BL41" s="65">
        <f t="shared" si="5"/>
        <v>0</v>
      </c>
      <c r="BM41" s="47">
        <f t="shared" si="6"/>
        <v>11.625</v>
      </c>
    </row>
    <row r="42" spans="1:65" ht="15" thickBot="1" x14ac:dyDescent="0.35">
      <c r="A42" s="6" t="s">
        <v>74</v>
      </c>
      <c r="B42" s="7" t="s">
        <v>27</v>
      </c>
      <c r="C42" s="7">
        <v>12</v>
      </c>
      <c r="D42" s="7">
        <v>9</v>
      </c>
      <c r="E42" s="8"/>
      <c r="F42" s="7">
        <v>4805.7299999999996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25"/>
      <c r="AD42" s="71"/>
      <c r="AE42" s="11"/>
      <c r="AF42" s="11"/>
      <c r="AG42" s="75">
        <f t="shared" si="3"/>
        <v>0</v>
      </c>
      <c r="AH42" s="11"/>
      <c r="AI42" s="11"/>
      <c r="AJ42" s="11"/>
      <c r="AK42" s="11"/>
      <c r="AL42" s="11"/>
      <c r="AM42" s="11"/>
      <c r="AN42" s="11"/>
      <c r="AO42" s="75">
        <f>AM42-AM38</f>
        <v>0</v>
      </c>
      <c r="AP42" s="75">
        <f>AN42-AN38</f>
        <v>0</v>
      </c>
      <c r="AQ42" s="43">
        <v>15</v>
      </c>
      <c r="AR42" s="7">
        <v>1700</v>
      </c>
      <c r="AS42" s="11">
        <v>34</v>
      </c>
      <c r="AT42" s="11">
        <v>7.2</v>
      </c>
      <c r="AU42" s="11">
        <v>50</v>
      </c>
      <c r="AV42" s="17">
        <v>4.0000000000000002E-4</v>
      </c>
      <c r="AW42" s="16"/>
      <c r="AX42" s="17"/>
      <c r="AY42" s="40"/>
      <c r="AZ42" s="16">
        <f>AV42*J42*BB42/1000</f>
        <v>0</v>
      </c>
      <c r="BA42" s="17">
        <f t="shared" si="7"/>
        <v>0</v>
      </c>
      <c r="BB42" s="17">
        <f>AR42+SUM(AI42:AK42,AM42:AN42)-(AQ42*(D42+1))</f>
        <v>1550</v>
      </c>
      <c r="BC42" s="18" t="e">
        <f>IF(ISBLANK(AM42),NA(),IFERROR(AM42/BB42,0))</f>
        <v>#N/A</v>
      </c>
      <c r="BD42" s="18" t="e">
        <f>IF(ISBLANK(AM42),NA(),AM42/AR42)</f>
        <v>#N/A</v>
      </c>
      <c r="BE42" s="18">
        <f t="shared" si="8"/>
        <v>0</v>
      </c>
      <c r="BF42" s="18">
        <f>IF(B42="Python",AW42*BB42/24/60,"")</f>
        <v>0</v>
      </c>
      <c r="BG42" s="18" t="str">
        <f>IF(B42="Julia",AX42*BB42/24/60,"")</f>
        <v/>
      </c>
      <c r="BH42" s="58" t="str">
        <f>IF(B42="No MPC", AV42*J42*BB42/1000,"")</f>
        <v/>
      </c>
      <c r="BI42" s="18">
        <f>IF(IF(B42&lt;&gt;"Julia",((1.5-P42)*BB42)/400, "")&lt;0,0,IF(B42&lt;&gt;"Julia",((3-P42)*BB42)/400, ""))</f>
        <v>11.625</v>
      </c>
      <c r="BJ42" s="18" t="str">
        <f>IF(B42="Julia",AY42*BB42,"")</f>
        <v/>
      </c>
      <c r="BK42" s="45">
        <f t="shared" si="4"/>
        <v>0</v>
      </c>
      <c r="BL42" s="65">
        <f t="shared" si="5"/>
        <v>0</v>
      </c>
      <c r="BM42" s="47">
        <f t="shared" si="6"/>
        <v>11.625</v>
      </c>
    </row>
    <row r="43" spans="1:65" x14ac:dyDescent="0.3">
      <c r="A43" s="1" t="s">
        <v>71</v>
      </c>
      <c r="B43" s="26" t="s">
        <v>26</v>
      </c>
      <c r="C43" s="26">
        <v>12</v>
      </c>
      <c r="D43" s="26">
        <v>10</v>
      </c>
      <c r="E43" s="27"/>
      <c r="F43" s="80">
        <v>5497.99</v>
      </c>
      <c r="G43" s="28"/>
      <c r="H43" s="28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28"/>
      <c r="AA43" s="28"/>
      <c r="AB43" s="28"/>
      <c r="AC43" s="24"/>
      <c r="AD43" s="69"/>
      <c r="AE43" s="9"/>
      <c r="AF43" s="9"/>
      <c r="AG43" s="73">
        <f t="shared" si="3"/>
        <v>0</v>
      </c>
      <c r="AH43" s="9"/>
      <c r="AI43" s="9"/>
      <c r="AJ43" s="9"/>
      <c r="AK43" s="9"/>
      <c r="AL43" s="9"/>
      <c r="AM43" s="9"/>
      <c r="AN43" s="9"/>
      <c r="AO43" s="73">
        <f>AM43-AM39</f>
        <v>0</v>
      </c>
      <c r="AP43" s="73">
        <f>AN43-AN39</f>
        <v>0</v>
      </c>
      <c r="AQ43" s="41">
        <v>15</v>
      </c>
      <c r="AR43" s="4">
        <v>1700</v>
      </c>
      <c r="AS43" s="9">
        <v>34</v>
      </c>
      <c r="AT43" s="9">
        <v>7.2</v>
      </c>
      <c r="AU43" s="9">
        <v>50</v>
      </c>
      <c r="AV43" s="13">
        <v>4.0000000000000002E-4</v>
      </c>
      <c r="AW43" s="12"/>
      <c r="AX43" s="13"/>
      <c r="AY43" s="38"/>
      <c r="AZ43" s="12">
        <f>AV43*J43*BB43/1000</f>
        <v>0</v>
      </c>
      <c r="BA43" s="13">
        <f t="shared" si="7"/>
        <v>0</v>
      </c>
      <c r="BB43" s="13">
        <f>AR43+SUM(AI43:AK43,AM43:AN43)-(AQ43*(D43+1))</f>
        <v>1535</v>
      </c>
      <c r="BC43" s="14" t="e">
        <f>IF(ISBLANK(AM43),NA(),IFERROR(AM43/BB43,0))</f>
        <v>#N/A</v>
      </c>
      <c r="BD43" s="14" t="e">
        <f>IF(ISBLANK(AM43),NA(),AM43/AR43)</f>
        <v>#N/A</v>
      </c>
      <c r="BE43" s="14">
        <f t="shared" si="8"/>
        <v>0</v>
      </c>
      <c r="BF43" s="14" t="str">
        <f>IF(B43="Python",AW43*BB43/24/60,"")</f>
        <v/>
      </c>
      <c r="BG43" s="14">
        <f>IF(B43="Julia",AX43*BB43/24/60,"")</f>
        <v>0</v>
      </c>
      <c r="BH43" s="56" t="str">
        <f>IF(B43="No MPC", AV43*J43*BB43/1000,"")</f>
        <v/>
      </c>
      <c r="BI43" s="14" t="str">
        <f>IF(IF(B43&lt;&gt;"Julia",((1.5-P43)*BB43)/400, "")&lt;0,0,IF(B43&lt;&gt;"Julia",((3-P43)*BB43)/400, ""))</f>
        <v/>
      </c>
      <c r="BJ43" s="14">
        <f>IF(B43="Julia",AY43*BB43,"")</f>
        <v>0</v>
      </c>
      <c r="BK43" s="44">
        <f t="shared" si="4"/>
        <v>0</v>
      </c>
      <c r="BL43" s="64">
        <f t="shared" si="5"/>
        <v>0</v>
      </c>
      <c r="BM43" s="49">
        <f t="shared" si="6"/>
        <v>0</v>
      </c>
    </row>
    <row r="44" spans="1:65" x14ac:dyDescent="0.3">
      <c r="A44" s="1" t="s">
        <v>72</v>
      </c>
      <c r="B44" s="26" t="s">
        <v>26</v>
      </c>
      <c r="C44" s="26">
        <v>12</v>
      </c>
      <c r="D44" s="26">
        <v>10</v>
      </c>
      <c r="E44" s="27"/>
      <c r="F44" s="80">
        <v>5497.99</v>
      </c>
      <c r="G44" s="28"/>
      <c r="H44" s="28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28"/>
      <c r="AA44" s="28"/>
      <c r="AB44" s="28"/>
      <c r="AC44" s="24"/>
      <c r="AD44" s="70"/>
      <c r="AE44" s="28"/>
      <c r="AF44" s="28"/>
      <c r="AG44" s="74">
        <f t="shared" si="3"/>
        <v>0</v>
      </c>
      <c r="AH44" s="28"/>
      <c r="AI44" s="28"/>
      <c r="AJ44" s="28"/>
      <c r="AK44" s="28"/>
      <c r="AL44" s="28"/>
      <c r="AM44" s="50"/>
      <c r="AN44" s="50"/>
      <c r="AO44" s="74">
        <f>AM44-AM40</f>
        <v>0</v>
      </c>
      <c r="AP44" s="74">
        <f>AN44-AN40</f>
        <v>0</v>
      </c>
      <c r="AQ44" s="42">
        <v>15</v>
      </c>
      <c r="AR44" s="26">
        <v>1700</v>
      </c>
      <c r="AS44" s="28">
        <v>34</v>
      </c>
      <c r="AT44" s="28">
        <v>7.2</v>
      </c>
      <c r="AU44" s="28">
        <v>50</v>
      </c>
      <c r="AV44" s="29">
        <v>4.0000000000000002E-4</v>
      </c>
      <c r="AW44" s="15"/>
      <c r="AX44" s="29"/>
      <c r="AY44" s="39"/>
      <c r="AZ44" s="15">
        <f>AV44*J44*BB44/1000</f>
        <v>0</v>
      </c>
      <c r="BA44" s="84">
        <f t="shared" si="7"/>
        <v>0</v>
      </c>
      <c r="BB44" s="29">
        <f>AR44+SUM(AI44:AK44,AM44:AN44)-(AQ44*(D44+1))</f>
        <v>1535</v>
      </c>
      <c r="BC44" s="30" t="e">
        <f>IF(ISBLANK(AM44),NA(),IFERROR(AM44/BB44,0))</f>
        <v>#N/A</v>
      </c>
      <c r="BD44" s="30" t="e">
        <f>IF(ISBLANK(AM44),NA(),AM44/AR44)</f>
        <v>#N/A</v>
      </c>
      <c r="BE44" s="60">
        <f t="shared" si="8"/>
        <v>0</v>
      </c>
      <c r="BF44" s="30" t="str">
        <f>IF(B44="Python",AW44*BB44/24/60,"")</f>
        <v/>
      </c>
      <c r="BG44" s="60">
        <f>IF(B44="Julia",AX44*BB44/24/60,"")</f>
        <v>0</v>
      </c>
      <c r="BH44" s="57" t="str">
        <f>IF(B44="No MPC", AV44*J44*BB44/1000,"")</f>
        <v/>
      </c>
      <c r="BI44" s="30" t="str">
        <f>IF(IF(B44&lt;&gt;"Julia",((1.5-P44)*BB44)/400, "")&lt;0,0,IF(B44&lt;&gt;"Julia",((3-P44)*BB44)/400, ""))</f>
        <v/>
      </c>
      <c r="BJ44" s="30">
        <f>IF(B44="Julia",AY44*BB44,"")</f>
        <v>0</v>
      </c>
      <c r="BK44" s="45">
        <f t="shared" si="4"/>
        <v>0</v>
      </c>
      <c r="BL44" s="65">
        <f t="shared" si="5"/>
        <v>0</v>
      </c>
      <c r="BM44" s="47">
        <f t="shared" si="6"/>
        <v>0</v>
      </c>
    </row>
    <row r="45" spans="1:65" x14ac:dyDescent="0.3">
      <c r="A45" s="1" t="s">
        <v>73</v>
      </c>
      <c r="B45" s="26" t="s">
        <v>27</v>
      </c>
      <c r="C45" s="26">
        <v>12</v>
      </c>
      <c r="D45" s="26">
        <v>10</v>
      </c>
      <c r="E45" s="27"/>
      <c r="F45" s="80">
        <v>5497.99</v>
      </c>
      <c r="G45" s="28"/>
      <c r="H45" s="28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28"/>
      <c r="AA45" s="28"/>
      <c r="AB45" s="28"/>
      <c r="AC45" s="24"/>
      <c r="AD45" s="70"/>
      <c r="AE45" s="28"/>
      <c r="AF45" s="28"/>
      <c r="AG45" s="74">
        <f t="shared" si="3"/>
        <v>0</v>
      </c>
      <c r="AH45" s="28"/>
      <c r="AI45" s="28"/>
      <c r="AJ45" s="28"/>
      <c r="AK45" s="28"/>
      <c r="AL45" s="28"/>
      <c r="AM45" s="50"/>
      <c r="AN45" s="50"/>
      <c r="AO45" s="74">
        <f>AM45-AM41</f>
        <v>0</v>
      </c>
      <c r="AP45" s="74">
        <f>AN45-AN41</f>
        <v>0</v>
      </c>
      <c r="AQ45" s="42">
        <v>15</v>
      </c>
      <c r="AR45" s="26">
        <v>1700</v>
      </c>
      <c r="AS45" s="28">
        <v>34</v>
      </c>
      <c r="AT45" s="28">
        <v>7.2</v>
      </c>
      <c r="AU45" s="28">
        <v>50</v>
      </c>
      <c r="AV45" s="29">
        <v>4.0000000000000002E-4</v>
      </c>
      <c r="AW45" s="15"/>
      <c r="AX45" s="29"/>
      <c r="AY45" s="39"/>
      <c r="AZ45" s="15">
        <f>AV45*J45*BB45/1000</f>
        <v>0</v>
      </c>
      <c r="BA45" s="84">
        <f t="shared" si="7"/>
        <v>0</v>
      </c>
      <c r="BB45" s="29">
        <f>AR45+SUM(AI45:AK45,AM45:AN45)-(AQ45*(D45+1))</f>
        <v>1535</v>
      </c>
      <c r="BC45" s="30" t="e">
        <f>IF(ISBLANK(AM45),NA(),IFERROR(AM45/BB45,0))</f>
        <v>#N/A</v>
      </c>
      <c r="BD45" s="30" t="e">
        <f>IF(ISBLANK(AM45),NA(),AM45/AR45)</f>
        <v>#N/A</v>
      </c>
      <c r="BE45" s="60">
        <f t="shared" si="8"/>
        <v>0</v>
      </c>
      <c r="BF45" s="30">
        <f>IF(B45="Python",AW45*BB45/24/60,"")</f>
        <v>0</v>
      </c>
      <c r="BG45" s="60" t="str">
        <f>IF(B45="Julia",AX45*BB45/24/60,"")</f>
        <v/>
      </c>
      <c r="BH45" s="57" t="str">
        <f>IF(B45="No MPC", AV45*J45*BB45/1000,"")</f>
        <v/>
      </c>
      <c r="BI45" s="30">
        <f>IF(IF(B45&lt;&gt;"Julia",((1.5-P45)*BB45)/400, "")&lt;0,0,IF(B45&lt;&gt;"Julia",((3-P45)*BB45)/400, ""))</f>
        <v>11.512499999999999</v>
      </c>
      <c r="BJ45" s="30" t="str">
        <f>IF(B45="Julia",AY45*BB45,"")</f>
        <v/>
      </c>
      <c r="BK45" s="45">
        <f t="shared" si="4"/>
        <v>0</v>
      </c>
      <c r="BL45" s="65">
        <f t="shared" si="5"/>
        <v>0</v>
      </c>
      <c r="BM45" s="47">
        <f t="shared" si="6"/>
        <v>11.512499999999999</v>
      </c>
    </row>
    <row r="46" spans="1:65" ht="15" thickBot="1" x14ac:dyDescent="0.35">
      <c r="A46" s="1" t="s">
        <v>74</v>
      </c>
      <c r="B46" s="26" t="s">
        <v>27</v>
      </c>
      <c r="C46" s="26">
        <v>12</v>
      </c>
      <c r="D46" s="26">
        <v>10</v>
      </c>
      <c r="E46" s="27"/>
      <c r="F46" s="80">
        <v>5497.99</v>
      </c>
      <c r="G46" s="28"/>
      <c r="H46" s="2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28"/>
      <c r="AA46" s="28"/>
      <c r="AB46" s="28"/>
      <c r="AC46" s="24"/>
      <c r="AD46" s="71"/>
      <c r="AE46" s="11"/>
      <c r="AF46" s="11"/>
      <c r="AG46" s="75">
        <f t="shared" si="3"/>
        <v>0</v>
      </c>
      <c r="AH46" s="11"/>
      <c r="AI46" s="11"/>
      <c r="AJ46" s="11"/>
      <c r="AK46" s="11"/>
      <c r="AL46" s="11"/>
      <c r="AM46" s="11"/>
      <c r="AN46" s="11"/>
      <c r="AO46" s="75">
        <f>AM46-AM42</f>
        <v>0</v>
      </c>
      <c r="AP46" s="75">
        <f>AN46-AN42</f>
        <v>0</v>
      </c>
      <c r="AQ46" s="43">
        <v>15</v>
      </c>
      <c r="AR46" s="7">
        <v>1700</v>
      </c>
      <c r="AS46" s="11">
        <v>34</v>
      </c>
      <c r="AT46" s="11">
        <v>7.2</v>
      </c>
      <c r="AU46" s="11">
        <v>50</v>
      </c>
      <c r="AV46" s="17">
        <v>4.0000000000000002E-4</v>
      </c>
      <c r="AW46" s="16"/>
      <c r="AX46" s="17"/>
      <c r="AY46" s="40"/>
      <c r="AZ46" s="16">
        <f>AV46*J46*BB46/1000</f>
        <v>0</v>
      </c>
      <c r="BA46" s="17">
        <f t="shared" si="7"/>
        <v>0</v>
      </c>
      <c r="BB46" s="17">
        <f>AR46+SUM(AI46:AK46,AM46:AN46)-(AQ46*(D46+1))</f>
        <v>1535</v>
      </c>
      <c r="BC46" s="18" t="e">
        <f>IF(ISBLANK(AM46),NA(),IFERROR(AM46/BB46,0))</f>
        <v>#N/A</v>
      </c>
      <c r="BD46" s="18" t="e">
        <f>IF(ISBLANK(AM46),NA(),AM46/AR46)</f>
        <v>#N/A</v>
      </c>
      <c r="BE46" s="18">
        <f t="shared" si="8"/>
        <v>0</v>
      </c>
      <c r="BF46" s="18">
        <f>IF(B46="Python",AW46*BB46/24/60,"")</f>
        <v>0</v>
      </c>
      <c r="BG46" s="18" t="str">
        <f>IF(B46="Julia",AX46*BB46/24/60,"")</f>
        <v/>
      </c>
      <c r="BH46" s="58" t="str">
        <f>IF(B46="No MPC", AV46*J46*BB46/1000,"")</f>
        <v/>
      </c>
      <c r="BI46" s="18">
        <f>IF(IF(B46&lt;&gt;"Julia",((1.5-P46)*BB46)/400, "")&lt;0,0,IF(B46&lt;&gt;"Julia",((3-P46)*BB46)/400, ""))</f>
        <v>11.512499999999999</v>
      </c>
      <c r="BJ46" s="18" t="str">
        <f>IF(B46="Julia",AY46*BB46,"")</f>
        <v/>
      </c>
      <c r="BK46" s="46">
        <f t="shared" ref="BK46:BK54" si="9">IF(BF46&lt;&gt;"",BF46/0.000385,IF(BG46&lt;&gt;"",BG46/0.000385,BH46/0.000385))</f>
        <v>0</v>
      </c>
      <c r="BL46" s="66">
        <f t="shared" ref="BL46:BL50" si="10">IF(BF46&lt;&gt;"",BF46,IF(BG46&lt;&gt;"",BG46,BH46))</f>
        <v>0</v>
      </c>
      <c r="BM46" s="48">
        <f t="shared" ref="BM46:BM54" si="11">IF(BI46&lt;&gt;"",BI46,BJ46)</f>
        <v>11.512499999999999</v>
      </c>
    </row>
    <row r="47" spans="1:65" x14ac:dyDescent="0.3">
      <c r="A47" s="3" t="s">
        <v>71</v>
      </c>
      <c r="B47" s="4" t="s">
        <v>26</v>
      </c>
      <c r="C47" s="4">
        <v>12</v>
      </c>
      <c r="D47" s="4">
        <v>11</v>
      </c>
      <c r="E47" s="5"/>
      <c r="F47" s="81">
        <v>6057.48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23"/>
      <c r="AD47" s="69"/>
      <c r="AE47" s="9"/>
      <c r="AF47" s="9"/>
      <c r="AG47" s="73">
        <f t="shared" si="3"/>
        <v>0</v>
      </c>
      <c r="AH47" s="9"/>
      <c r="AI47" s="9"/>
      <c r="AJ47" s="9"/>
      <c r="AK47" s="9"/>
      <c r="AL47" s="9"/>
      <c r="AM47" s="9"/>
      <c r="AN47" s="9"/>
      <c r="AO47" s="73">
        <f>AM47-AM43</f>
        <v>0</v>
      </c>
      <c r="AP47" s="73">
        <f>AN47-AN43</f>
        <v>0</v>
      </c>
      <c r="AQ47" s="41">
        <v>15</v>
      </c>
      <c r="AR47" s="4">
        <v>1700</v>
      </c>
      <c r="AS47" s="9">
        <v>34</v>
      </c>
      <c r="AT47" s="9">
        <v>7.2</v>
      </c>
      <c r="AU47" s="9">
        <v>50</v>
      </c>
      <c r="AV47" s="13">
        <v>4.0000000000000002E-4</v>
      </c>
      <c r="AW47" s="12"/>
      <c r="AX47" s="13"/>
      <c r="AY47" s="38"/>
      <c r="AZ47" s="12">
        <f>AV47*J47*BB47/1000</f>
        <v>0</v>
      </c>
      <c r="BA47" s="13">
        <f t="shared" si="7"/>
        <v>0</v>
      </c>
      <c r="BB47" s="13">
        <f>AR47+SUM(AI47:AK47,AM47:AN47)-(AQ47*(D47+1))</f>
        <v>1520</v>
      </c>
      <c r="BC47" s="14" t="e">
        <f>IF(ISBLANK(AM47),NA(),IFERROR(AM47/BB47,0))</f>
        <v>#N/A</v>
      </c>
      <c r="BD47" s="14" t="e">
        <f>IF(ISBLANK(AM47),NA(),AM47/AR47)</f>
        <v>#N/A</v>
      </c>
      <c r="BE47" s="14">
        <f t="shared" si="8"/>
        <v>0</v>
      </c>
      <c r="BF47" s="14" t="str">
        <f>IF(B47="Python",AW47*BB47/24/60,"")</f>
        <v/>
      </c>
      <c r="BG47" s="14">
        <f>IF(B47="Julia",AX47*BB47/24/60,"")</f>
        <v>0</v>
      </c>
      <c r="BH47" s="56" t="str">
        <f>IF(B47="No MPC", AV47*J47*BB47/1000,"")</f>
        <v/>
      </c>
      <c r="BI47" s="14" t="str">
        <f>IF(IF(B47&lt;&gt;"Julia",((1.5-P47)*BB47)/400, "")&lt;0,0,IF(B47&lt;&gt;"Julia",((3-P47)*BB47)/400, ""))</f>
        <v/>
      </c>
      <c r="BJ47" s="14">
        <f>IF(B47="Julia",AY47*BB47,"")</f>
        <v>0</v>
      </c>
      <c r="BK47" s="45">
        <f t="shared" si="9"/>
        <v>0</v>
      </c>
      <c r="BL47" s="65">
        <f t="shared" si="10"/>
        <v>0</v>
      </c>
      <c r="BM47" s="47">
        <f t="shared" si="11"/>
        <v>0</v>
      </c>
    </row>
    <row r="48" spans="1:65" x14ac:dyDescent="0.3">
      <c r="A48" s="1" t="s">
        <v>72</v>
      </c>
      <c r="B48" s="26" t="s">
        <v>26</v>
      </c>
      <c r="C48" s="26">
        <v>12</v>
      </c>
      <c r="D48" s="26">
        <v>11</v>
      </c>
      <c r="E48" s="27"/>
      <c r="F48" s="82">
        <v>6057.48</v>
      </c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4"/>
      <c r="AD48" s="70"/>
      <c r="AE48" s="28"/>
      <c r="AF48" s="28"/>
      <c r="AG48" s="74">
        <f t="shared" si="3"/>
        <v>0</v>
      </c>
      <c r="AH48" s="28"/>
      <c r="AI48" s="28"/>
      <c r="AJ48" s="28"/>
      <c r="AK48" s="28"/>
      <c r="AL48" s="28"/>
      <c r="AM48" s="28"/>
      <c r="AN48" s="28"/>
      <c r="AO48" s="74">
        <f>AM48-AM44</f>
        <v>0</v>
      </c>
      <c r="AP48" s="74">
        <f>AN48-AN44</f>
        <v>0</v>
      </c>
      <c r="AQ48" s="42">
        <v>15</v>
      </c>
      <c r="AR48" s="26">
        <v>1700</v>
      </c>
      <c r="AS48" s="28">
        <v>34</v>
      </c>
      <c r="AT48" s="28">
        <v>7.2</v>
      </c>
      <c r="AU48" s="28">
        <v>50</v>
      </c>
      <c r="AV48" s="29">
        <v>4.0000000000000002E-4</v>
      </c>
      <c r="AW48" s="15"/>
      <c r="AX48" s="29"/>
      <c r="AY48" s="39"/>
      <c r="AZ48" s="15">
        <f>AV48*J48*BB48/1000</f>
        <v>0</v>
      </c>
      <c r="BA48" s="84">
        <f t="shared" si="7"/>
        <v>0</v>
      </c>
      <c r="BB48" s="29">
        <f>AR48+SUM(AI48:AK48,AM48:AN48)-(AQ48*(D48+1))</f>
        <v>1520</v>
      </c>
      <c r="BC48" s="30" t="e">
        <f>IF(ISBLANK(AM48),NA(),IFERROR(AM48/BB48,0))</f>
        <v>#N/A</v>
      </c>
      <c r="BD48" s="30" t="e">
        <f>IF(ISBLANK(AM48),NA(),AM48/AR48)</f>
        <v>#N/A</v>
      </c>
      <c r="BE48" s="60">
        <f t="shared" si="8"/>
        <v>0</v>
      </c>
      <c r="BF48" s="30" t="str">
        <f>IF(B48="Python",AW48*BB48/24/60,"")</f>
        <v/>
      </c>
      <c r="BG48" s="60">
        <f>IF(B48="Julia",AX48*BB48/24/60,"")</f>
        <v>0</v>
      </c>
      <c r="BH48" s="57" t="str">
        <f>IF(B48="No MPC", AV48*J48*BB48/1000,"")</f>
        <v/>
      </c>
      <c r="BI48" s="30" t="str">
        <f>IF(IF(B48&lt;&gt;"Julia",((1.5-P48)*BB48)/400, "")&lt;0,0,IF(B48&lt;&gt;"Julia",((3-P48)*BB48)/400, ""))</f>
        <v/>
      </c>
      <c r="BJ48" s="30">
        <f>IF(B48="Julia",AY48*BB48,"")</f>
        <v>0</v>
      </c>
      <c r="BK48" s="45">
        <f t="shared" si="9"/>
        <v>0</v>
      </c>
      <c r="BL48" s="65">
        <f t="shared" si="10"/>
        <v>0</v>
      </c>
      <c r="BM48" s="47">
        <f t="shared" si="11"/>
        <v>0</v>
      </c>
    </row>
    <row r="49" spans="1:65" x14ac:dyDescent="0.3">
      <c r="A49" s="1" t="s">
        <v>73</v>
      </c>
      <c r="B49" s="26" t="s">
        <v>27</v>
      </c>
      <c r="C49" s="26">
        <v>12</v>
      </c>
      <c r="D49" s="26">
        <v>11</v>
      </c>
      <c r="E49" s="27"/>
      <c r="F49" s="82">
        <v>6057.48</v>
      </c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4"/>
      <c r="AD49" s="70"/>
      <c r="AE49" s="28"/>
      <c r="AF49" s="28"/>
      <c r="AG49" s="74">
        <f t="shared" si="3"/>
        <v>0</v>
      </c>
      <c r="AH49" s="28"/>
      <c r="AI49" s="28"/>
      <c r="AJ49" s="28"/>
      <c r="AK49" s="28"/>
      <c r="AL49" s="28"/>
      <c r="AM49" s="28"/>
      <c r="AN49" s="28"/>
      <c r="AO49" s="74">
        <f>AM49-AM45</f>
        <v>0</v>
      </c>
      <c r="AP49" s="74">
        <f>AN49-AN45</f>
        <v>0</v>
      </c>
      <c r="AQ49" s="42">
        <v>15</v>
      </c>
      <c r="AR49" s="26">
        <v>1700</v>
      </c>
      <c r="AS49" s="28">
        <v>34</v>
      </c>
      <c r="AT49" s="28">
        <v>7.2</v>
      </c>
      <c r="AU49" s="28">
        <v>50</v>
      </c>
      <c r="AV49" s="29">
        <v>4.0000000000000002E-4</v>
      </c>
      <c r="AW49" s="15"/>
      <c r="AZ49" s="15">
        <f>AV49*J49*BB49/1000</f>
        <v>0</v>
      </c>
      <c r="BA49" s="84">
        <f t="shared" si="7"/>
        <v>0</v>
      </c>
      <c r="BB49" s="29">
        <f>AR49+SUM(AI49:AK49,AM49:AN49)-(AQ49*(D49+1))</f>
        <v>1520</v>
      </c>
      <c r="BC49" s="30" t="e">
        <f>IF(ISBLANK(AM49),NA(),IFERROR(AM49/BB49,0))</f>
        <v>#N/A</v>
      </c>
      <c r="BD49" s="30" t="e">
        <f>IF(ISBLANK(AM49),NA(),AM49/AR49)</f>
        <v>#N/A</v>
      </c>
      <c r="BE49" s="60">
        <f t="shared" si="8"/>
        <v>0</v>
      </c>
      <c r="BF49" s="30">
        <f>IF(B49="Python",AW49*BB49/24/60,"")</f>
        <v>0</v>
      </c>
      <c r="BG49" s="60" t="str">
        <f>IF(B49="Julia",AX49*BB49/24/60,"")</f>
        <v/>
      </c>
      <c r="BH49" s="57" t="str">
        <f>IF(B49="No MPC", AV49*J49*BB49/1000,"")</f>
        <v/>
      </c>
      <c r="BI49" s="30">
        <f>IF(IF(B49&lt;&gt;"Julia",((1.5-P49)*BB49)/400, "")&lt;0,0,IF(B49&lt;&gt;"Julia",((3-P49)*BB49)/400, ""))</f>
        <v>11.4</v>
      </c>
      <c r="BJ49" s="30" t="str">
        <f>IF(B49="Julia",AY49*BB49,"")</f>
        <v/>
      </c>
      <c r="BK49" s="45">
        <f t="shared" si="9"/>
        <v>0</v>
      </c>
      <c r="BL49" s="65">
        <f t="shared" si="10"/>
        <v>0</v>
      </c>
      <c r="BM49" s="47">
        <f t="shared" si="11"/>
        <v>11.4</v>
      </c>
    </row>
    <row r="50" spans="1:65" ht="15" thickBot="1" x14ac:dyDescent="0.35">
      <c r="A50" s="6" t="s">
        <v>74</v>
      </c>
      <c r="B50" s="7" t="s">
        <v>27</v>
      </c>
      <c r="C50" s="7">
        <v>12</v>
      </c>
      <c r="D50" s="7">
        <v>11</v>
      </c>
      <c r="E50" s="8"/>
      <c r="F50" s="82">
        <v>6057.48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25"/>
      <c r="AD50" s="71"/>
      <c r="AE50" s="11"/>
      <c r="AF50" s="11"/>
      <c r="AG50" s="75">
        <f t="shared" si="3"/>
        <v>0</v>
      </c>
      <c r="AH50" s="11"/>
      <c r="AI50" s="11"/>
      <c r="AJ50" s="11"/>
      <c r="AK50" s="11"/>
      <c r="AL50" s="11"/>
      <c r="AM50" s="11"/>
      <c r="AN50" s="11"/>
      <c r="AO50" s="75">
        <f>AM50-AM46</f>
        <v>0</v>
      </c>
      <c r="AP50" s="75">
        <f>AN50-AN46</f>
        <v>0</v>
      </c>
      <c r="AQ50" s="43">
        <v>15</v>
      </c>
      <c r="AR50" s="7">
        <v>1700</v>
      </c>
      <c r="AS50" s="11">
        <v>34</v>
      </c>
      <c r="AT50" s="11">
        <v>7.2</v>
      </c>
      <c r="AU50" s="11">
        <v>50</v>
      </c>
      <c r="AV50" s="17">
        <v>4.0000000000000002E-4</v>
      </c>
      <c r="AW50" s="16"/>
      <c r="AY50" s="67"/>
      <c r="AZ50" s="16">
        <f>AV50*J50*BB50/1000</f>
        <v>0</v>
      </c>
      <c r="BA50" s="17">
        <f t="shared" si="7"/>
        <v>0</v>
      </c>
      <c r="BB50" s="17">
        <f>AR50+SUM(AI50:AK50,AM50:AN50)-(AQ50*(D50+1))</f>
        <v>1520</v>
      </c>
      <c r="BC50" s="18" t="e">
        <f>IF(ISBLANK(AM50),NA(),IFERROR(AM50/BB50,0))</f>
        <v>#N/A</v>
      </c>
      <c r="BD50" s="18" t="e">
        <f>IF(ISBLANK(AM50),NA(),AM50/AR50)</f>
        <v>#N/A</v>
      </c>
      <c r="BE50" s="18">
        <f t="shared" si="8"/>
        <v>0</v>
      </c>
      <c r="BF50" s="18">
        <f>IF(B50="Python",AW50*BB50/24/60,"")</f>
        <v>0</v>
      </c>
      <c r="BG50" s="18" t="str">
        <f>IF(B50="Julia",AX50*BB50/24/60,"")</f>
        <v/>
      </c>
      <c r="BH50" s="58" t="str">
        <f>IF(B50="No MPC", AV50*J50*BB50/1000,"")</f>
        <v/>
      </c>
      <c r="BI50" s="18">
        <f>IF(IF(B50&lt;&gt;"Julia",((1.5-P50)*BB50)/400, "")&lt;0,0,IF(B50&lt;&gt;"Julia",((3-P50)*BB50)/400, ""))</f>
        <v>11.4</v>
      </c>
      <c r="BJ50" s="18" t="str">
        <f>IF(B50="Julia",AY50*BB50,"")</f>
        <v/>
      </c>
      <c r="BK50" s="45">
        <f t="shared" si="9"/>
        <v>0</v>
      </c>
      <c r="BL50" s="65">
        <f t="shared" si="10"/>
        <v>0</v>
      </c>
      <c r="BM50" s="47">
        <f t="shared" si="11"/>
        <v>11.4</v>
      </c>
    </row>
    <row r="51" spans="1:65" x14ac:dyDescent="0.3">
      <c r="A51" s="3" t="s">
        <v>71</v>
      </c>
      <c r="B51" s="4" t="s">
        <v>26</v>
      </c>
      <c r="C51" s="4">
        <v>12</v>
      </c>
      <c r="D51" s="4">
        <v>12</v>
      </c>
      <c r="E51" s="5"/>
      <c r="F51" s="81">
        <v>6478.05</v>
      </c>
      <c r="G51" s="4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23"/>
      <c r="AD51" s="69"/>
      <c r="AE51" s="9"/>
      <c r="AF51" s="9"/>
      <c r="AG51" s="73">
        <f t="shared" si="3"/>
        <v>0</v>
      </c>
      <c r="AH51" s="9"/>
      <c r="AI51" s="9"/>
      <c r="AJ51" s="9"/>
      <c r="AK51" s="9"/>
      <c r="AL51" s="9"/>
      <c r="AM51" s="9"/>
      <c r="AN51" s="9"/>
      <c r="AO51" s="73">
        <f>AM51-AM47</f>
        <v>0</v>
      </c>
      <c r="AP51" s="73">
        <f>AN51-AN47</f>
        <v>0</v>
      </c>
      <c r="AQ51" s="41">
        <v>15</v>
      </c>
      <c r="AR51" s="4">
        <v>1700</v>
      </c>
      <c r="AS51" s="9">
        <v>34</v>
      </c>
      <c r="AT51" s="9">
        <v>7.2</v>
      </c>
      <c r="AU51" s="9">
        <v>50</v>
      </c>
      <c r="AV51" s="13">
        <v>4.0000000000000002E-4</v>
      </c>
      <c r="AW51" s="12"/>
      <c r="AX51" s="4"/>
      <c r="AY51" s="22"/>
      <c r="AZ51" s="12">
        <f>AV51*J51*BB51/1000</f>
        <v>0</v>
      </c>
      <c r="BA51" s="13">
        <f t="shared" si="7"/>
        <v>0</v>
      </c>
      <c r="BB51" s="13">
        <f>AR51+SUM(AI51:AK51,AM51:AN51)-(AQ51*(D51+1))</f>
        <v>1505</v>
      </c>
      <c r="BC51" s="14" t="e">
        <f>IF(ISBLANK(AM51),NA(),IFERROR(AM51/BB51,0))</f>
        <v>#N/A</v>
      </c>
      <c r="BD51" s="14" t="e">
        <f>IF(ISBLANK(AM51),NA(),AM51/AR51)</f>
        <v>#N/A</v>
      </c>
      <c r="BE51" s="14">
        <f t="shared" si="8"/>
        <v>0</v>
      </c>
      <c r="BF51" s="14" t="str">
        <f>IF(B51="Python",AW51*BB51/24/60,"")</f>
        <v/>
      </c>
      <c r="BG51" s="14">
        <f>IF(B51="Julia",AX51*BB51/24/60,"")</f>
        <v>0</v>
      </c>
      <c r="BH51" s="56" t="str">
        <f>IF(B51="No MPC", AV51*J51*BB51/1000,"")</f>
        <v/>
      </c>
      <c r="BI51" s="14" t="str">
        <f>IF(IF(B51&lt;&gt;"Julia",((1.5-P51)*BB51)/400, "")&lt;0,0,IF(B51&lt;&gt;"Julia",((3-P51)*BB51)/400, ""))</f>
        <v/>
      </c>
      <c r="BJ51" s="14">
        <f>IF(B51="Julia",AY51*BB51,"")</f>
        <v>0</v>
      </c>
      <c r="BK51" s="44">
        <f t="shared" si="9"/>
        <v>0</v>
      </c>
      <c r="BL51" s="61"/>
      <c r="BM51" s="49">
        <f t="shared" si="11"/>
        <v>0</v>
      </c>
    </row>
    <row r="52" spans="1:65" x14ac:dyDescent="0.3">
      <c r="A52" s="1" t="s">
        <v>72</v>
      </c>
      <c r="B52" s="26" t="s">
        <v>26</v>
      </c>
      <c r="C52" s="26">
        <v>12</v>
      </c>
      <c r="D52" s="26">
        <v>12</v>
      </c>
      <c r="E52" s="27"/>
      <c r="F52" s="82">
        <v>6478.05</v>
      </c>
      <c r="G52" s="26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4"/>
      <c r="AD52" s="70"/>
      <c r="AE52" s="28"/>
      <c r="AF52" s="28"/>
      <c r="AG52" s="74">
        <f t="shared" si="3"/>
        <v>0</v>
      </c>
      <c r="AH52" s="28"/>
      <c r="AI52" s="28"/>
      <c r="AJ52" s="28"/>
      <c r="AK52" s="28"/>
      <c r="AL52" s="28"/>
      <c r="AM52" s="28"/>
      <c r="AN52" s="28"/>
      <c r="AO52" s="74">
        <f>AM52-AM48</f>
        <v>0</v>
      </c>
      <c r="AP52" s="74">
        <f>AN52-AN48</f>
        <v>0</v>
      </c>
      <c r="AQ52" s="42">
        <v>15</v>
      </c>
      <c r="AR52" s="26">
        <v>1700</v>
      </c>
      <c r="AS52" s="28">
        <v>34</v>
      </c>
      <c r="AT52" s="28">
        <v>7.2</v>
      </c>
      <c r="AU52" s="28">
        <v>50</v>
      </c>
      <c r="AV52" s="29">
        <v>4.0000000000000002E-4</v>
      </c>
      <c r="AW52" s="15"/>
      <c r="AX52" s="26"/>
      <c r="AY52" s="2"/>
      <c r="AZ52" s="15">
        <f>AV52*J52*BB52/1000</f>
        <v>0</v>
      </c>
      <c r="BA52" s="84">
        <f t="shared" si="7"/>
        <v>0</v>
      </c>
      <c r="BB52" s="29">
        <f>AR52+SUM(AI52:AK52,AM52:AN52)-(AQ52*(D52+1))</f>
        <v>1505</v>
      </c>
      <c r="BC52" s="30" t="e">
        <f>IF(ISBLANK(AM52),NA(),IFERROR(AM52/BB52,0))</f>
        <v>#N/A</v>
      </c>
      <c r="BD52" s="30" t="e">
        <f>IF(ISBLANK(AM52),NA(),AM52/AR52)</f>
        <v>#N/A</v>
      </c>
      <c r="BE52" s="60">
        <f t="shared" si="8"/>
        <v>0</v>
      </c>
      <c r="BF52" s="30" t="str">
        <f>IF(B52="Python",AW52*BB52/24/60,"")</f>
        <v/>
      </c>
      <c r="BG52" s="60">
        <f>IF(B52="Julia",AX52*BB52/24/60,"")</f>
        <v>0</v>
      </c>
      <c r="BH52" s="57" t="str">
        <f>IF(B52="No MPC", AV52*J52*BB52/1000,"")</f>
        <v/>
      </c>
      <c r="BI52" s="30" t="str">
        <f>IF(IF(B52&lt;&gt;"Julia",((1.5-P52)*BB52)/400, "")&lt;0,0,IF(B52&lt;&gt;"Julia",((3-P52)*BB52)/400, ""))</f>
        <v/>
      </c>
      <c r="BJ52" s="30">
        <f>IF(B52="Julia",AY52*BB52,"")</f>
        <v>0</v>
      </c>
      <c r="BK52" s="45">
        <f t="shared" si="9"/>
        <v>0</v>
      </c>
      <c r="BL52" s="62"/>
      <c r="BM52" s="47">
        <f t="shared" si="11"/>
        <v>0</v>
      </c>
    </row>
    <row r="53" spans="1:65" x14ac:dyDescent="0.3">
      <c r="A53" s="1" t="s">
        <v>73</v>
      </c>
      <c r="B53" s="26" t="s">
        <v>27</v>
      </c>
      <c r="C53" s="26">
        <v>12</v>
      </c>
      <c r="D53" s="26">
        <v>12</v>
      </c>
      <c r="E53" s="27"/>
      <c r="F53" s="82">
        <v>6478.05</v>
      </c>
      <c r="G53" s="26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4"/>
      <c r="AD53" s="70"/>
      <c r="AE53" s="28"/>
      <c r="AF53" s="28"/>
      <c r="AG53" s="74">
        <f t="shared" si="3"/>
        <v>0</v>
      </c>
      <c r="AH53" s="28"/>
      <c r="AI53" s="28"/>
      <c r="AJ53" s="28"/>
      <c r="AK53" s="28"/>
      <c r="AL53" s="28"/>
      <c r="AM53" s="50"/>
      <c r="AN53" s="50"/>
      <c r="AO53" s="74">
        <f>AM53-AM49</f>
        <v>0</v>
      </c>
      <c r="AP53" s="74">
        <f>AN53-AN49</f>
        <v>0</v>
      </c>
      <c r="AQ53" s="42">
        <v>15</v>
      </c>
      <c r="AR53" s="26">
        <v>1700</v>
      </c>
      <c r="AS53" s="28">
        <v>34</v>
      </c>
      <c r="AT53" s="28">
        <v>7.2</v>
      </c>
      <c r="AU53" s="28">
        <v>50</v>
      </c>
      <c r="AV53" s="29">
        <v>4.0000000000000002E-4</v>
      </c>
      <c r="AW53" s="15"/>
      <c r="AX53" s="29"/>
      <c r="AY53" s="39"/>
      <c r="AZ53" s="15">
        <f>AV53*J53*BB53/1000</f>
        <v>0</v>
      </c>
      <c r="BA53" s="84">
        <f t="shared" si="7"/>
        <v>0</v>
      </c>
      <c r="BB53" s="29">
        <f>AR53+SUM(AI53:AK53,AM53:AN53)-(AQ53*(D53+1))</f>
        <v>1505</v>
      </c>
      <c r="BC53" s="30" t="e">
        <f>IF(ISBLANK(AM53),NA(),IFERROR(AM53/BB53,0))</f>
        <v>#N/A</v>
      </c>
      <c r="BD53" s="30" t="e">
        <f>IF(ISBLANK(AM53),NA(),AM53/AR53)</f>
        <v>#N/A</v>
      </c>
      <c r="BE53" s="60">
        <f t="shared" si="8"/>
        <v>0</v>
      </c>
      <c r="BF53" s="30">
        <f>IF(B53="Python",AW53*BB53/24/60,"")</f>
        <v>0</v>
      </c>
      <c r="BG53" s="60" t="str">
        <f>IF(B53="Julia",AX53*BB53/24/60,"")</f>
        <v/>
      </c>
      <c r="BH53" s="57" t="str">
        <f>IF(B53="No MPC", AV53*J53*BB53/1000,"")</f>
        <v/>
      </c>
      <c r="BI53" s="30">
        <f>IF(IF(B53&lt;&gt;"Julia",((1.5-P53)*BB53)/400, "")&lt;0,0,IF(B53&lt;&gt;"Julia",((3-P53)*BB53)/400, ""))</f>
        <v>11.2875</v>
      </c>
      <c r="BJ53" s="30" t="str">
        <f>IF(B53="Julia",AY53*BB53,"")</f>
        <v/>
      </c>
      <c r="BK53" s="45">
        <f t="shared" si="9"/>
        <v>0</v>
      </c>
      <c r="BL53" s="62"/>
      <c r="BM53" s="47">
        <f t="shared" si="11"/>
        <v>11.2875</v>
      </c>
    </row>
    <row r="54" spans="1:65" ht="15" thickBot="1" x14ac:dyDescent="0.35">
      <c r="A54" s="6" t="s">
        <v>74</v>
      </c>
      <c r="B54" s="7" t="s">
        <v>27</v>
      </c>
      <c r="C54" s="7">
        <v>12</v>
      </c>
      <c r="D54" s="7">
        <v>12</v>
      </c>
      <c r="E54" s="8"/>
      <c r="F54" s="83">
        <v>6478.05</v>
      </c>
      <c r="G54" s="7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25"/>
      <c r="AD54" s="71"/>
      <c r="AE54" s="11"/>
      <c r="AF54" s="11"/>
      <c r="AG54" s="75">
        <f t="shared" si="3"/>
        <v>0</v>
      </c>
      <c r="AH54" s="11"/>
      <c r="AI54" s="11"/>
      <c r="AJ54" s="11"/>
      <c r="AK54" s="11"/>
      <c r="AL54" s="11"/>
      <c r="AM54" s="11"/>
      <c r="AN54" s="11"/>
      <c r="AO54" s="75">
        <f>AM54-AM50</f>
        <v>0</v>
      </c>
      <c r="AP54" s="75">
        <f>AN54-AN50</f>
        <v>0</v>
      </c>
      <c r="AQ54" s="43">
        <v>15</v>
      </c>
      <c r="AR54" s="7">
        <v>1700</v>
      </c>
      <c r="AS54" s="11">
        <v>34</v>
      </c>
      <c r="AT54" s="11">
        <v>7.2</v>
      </c>
      <c r="AU54" s="11">
        <v>50</v>
      </c>
      <c r="AV54" s="17">
        <v>4.0000000000000002E-4</v>
      </c>
      <c r="AW54" s="16"/>
      <c r="AX54" s="17"/>
      <c r="AY54" s="40"/>
      <c r="AZ54" s="16">
        <f>AV54*J54*BB54/1000</f>
        <v>0</v>
      </c>
      <c r="BA54" s="17">
        <f t="shared" si="7"/>
        <v>0</v>
      </c>
      <c r="BB54" s="17">
        <f>AR54+SUM(AI54:AK54,AM54:AN54)-(AQ54*(D54+1))</f>
        <v>1505</v>
      </c>
      <c r="BC54" s="18" t="e">
        <f>IF(ISBLANK(AM54),NA(),IFERROR(AM54/BB54,0))</f>
        <v>#N/A</v>
      </c>
      <c r="BD54" s="18" t="e">
        <f>IF(ISBLANK(AM54),NA(),AM54/AR54)</f>
        <v>#N/A</v>
      </c>
      <c r="BE54" s="18">
        <f t="shared" si="8"/>
        <v>0</v>
      </c>
      <c r="BF54" s="18">
        <f>IF(B54="Python",AW54*BB54/24/60,"")</f>
        <v>0</v>
      </c>
      <c r="BG54" s="18" t="str">
        <f>IF(B54="Julia",AX54*BB54/24/60,"")</f>
        <v/>
      </c>
      <c r="BH54" s="58" t="str">
        <f>IF(B54="No MPC", AV54*J54*BB54/1000,"")</f>
        <v/>
      </c>
      <c r="BI54" s="18">
        <f>IF(IF(B54&lt;&gt;"Julia",((1.5-P54)*BB54)/400, "")&lt;0,0,IF(B54&lt;&gt;"Julia",((3-P54)*BB54)/400, ""))</f>
        <v>11.2875</v>
      </c>
      <c r="BJ54" s="18" t="str">
        <f>IF(B54="Julia",AY54*BB54,"")</f>
        <v/>
      </c>
      <c r="BK54" s="46">
        <f t="shared" si="9"/>
        <v>0</v>
      </c>
      <c r="BL54" s="63"/>
      <c r="BM54" s="48">
        <f t="shared" si="11"/>
        <v>11.2875</v>
      </c>
    </row>
    <row r="57" spans="1:65" x14ac:dyDescent="0.3">
      <c r="R57" s="68"/>
    </row>
  </sheetData>
  <autoFilter ref="A2:BJ288" xr:uid="{00000000-0001-0000-0000-000000000000}"/>
  <mergeCells count="7">
    <mergeCell ref="A1:E1"/>
    <mergeCell ref="F1:AC1"/>
    <mergeCell ref="BK1:BM1"/>
    <mergeCell ref="AZ1:BJ1"/>
    <mergeCell ref="AR1:AV1"/>
    <mergeCell ref="AW1:AY1"/>
    <mergeCell ref="AD1:AQ1"/>
  </mergeCells>
  <phoneticPr fontId="18" type="noConversion"/>
  <conditionalFormatting sqref="AW3:AW54">
    <cfRule type="expression" dxfId="3" priority="2">
      <formula>IF($B3 = "Python", TRUE, FALSE)</formula>
    </cfRule>
  </conditionalFormatting>
  <conditionalFormatting sqref="AZ3:BE54">
    <cfRule type="notContainsBlanks" dxfId="2" priority="12">
      <formula>LEN(TRIM(AZ3))&gt;0</formula>
    </cfRule>
  </conditionalFormatting>
  <conditionalFormatting sqref="AX3:AY54">
    <cfRule type="expression" dxfId="1" priority="9">
      <formula>IF($B3 = "Julia", TRUE, FALSE)</formula>
    </cfRule>
  </conditionalFormatting>
  <conditionalFormatting sqref="AZ3:BJ54">
    <cfRule type="expression" dxfId="0" priority="1">
      <formula>ISNA($AZ$3:$BJ$54)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34d8c884-fe7e-4d4f-a833-b92a2823f74b"/>
    <ds:schemaRef ds:uri="http://purl.org/dc/elements/1.1/"/>
    <ds:schemaRef ds:uri="http://schemas.microsoft.com/office/infopath/2007/PartnerControls"/>
    <ds:schemaRef ds:uri="a198008e-c7f6-4ed0-9865-26ace3c97b59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2024-07-18T18:45:08Z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