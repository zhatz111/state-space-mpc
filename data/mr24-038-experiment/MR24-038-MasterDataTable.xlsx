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myteams.gsk.com/sites/BiopharmModelPredictiveControl/Shared Documents/General/data/MR24-038-MPC-3L/"/>
    </mc:Choice>
  </mc:AlternateContent>
  <xr:revisionPtr revIDLastSave="466" documentId="14_{29998BAB-B97E-4D42-B36C-5857DA37A7C9}" xr6:coauthVersionLast="47" xr6:coauthVersionMax="47" xr10:uidLastSave="{0AE022AA-A055-466E-BA9B-E50BF3D932D7}"/>
  <bookViews>
    <workbookView xWindow="-120" yWindow="-120" windowWidth="38640" windowHeight="21240" xr2:uid="{00000000-000D-0000-FFFF-FFFF00000000}"/>
  </bookViews>
  <sheets>
    <sheet name="MasterDataTable" sheetId="1" r:id="rId1"/>
    <sheet name="Sheet1" sheetId="2" r:id="rId2"/>
  </sheets>
  <definedNames>
    <definedName name="_xlnm._FilterDatabase" localSheetId="0" hidden="1">MasterDataTable!$A$2:$BM$259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A11" i="1" l="1"/>
  <c r="BO12" i="1"/>
  <c r="BP4" i="1"/>
  <c r="BP5" i="1"/>
  <c r="BP6" i="1"/>
  <c r="BP3" i="1"/>
  <c r="BL7" i="1"/>
  <c r="BP7" i="1" s="1"/>
  <c r="AS25" i="1"/>
  <c r="AS24" i="1"/>
  <c r="AS23" i="1"/>
  <c r="AS22" i="1"/>
  <c r="AS21" i="1"/>
  <c r="AS20" i="1"/>
  <c r="AS19" i="1"/>
  <c r="AS18" i="1"/>
  <c r="AS17" i="1"/>
  <c r="AS16" i="1"/>
  <c r="AS15" i="1"/>
  <c r="AS14" i="1"/>
  <c r="AS13" i="1"/>
  <c r="AS12" i="1"/>
  <c r="AS11" i="1"/>
  <c r="AS10" i="1"/>
  <c r="AS9" i="1"/>
  <c r="AS8" i="1"/>
  <c r="AS7" i="1"/>
  <c r="BE7" i="1"/>
  <c r="BB7" i="1" s="1"/>
  <c r="BE6" i="1"/>
  <c r="BE11" i="1"/>
  <c r="BB11" i="1" s="1"/>
  <c r="BA7" i="1" l="1"/>
  <c r="AH25" i="1"/>
  <c r="AH24" i="1"/>
  <c r="AH23" i="1"/>
  <c r="AH22" i="1"/>
  <c r="AH21" i="1"/>
  <c r="AH20" i="1"/>
  <c r="AH19" i="1"/>
  <c r="AH18" i="1"/>
  <c r="AH17" i="1"/>
  <c r="AH16" i="1"/>
  <c r="AH15" i="1"/>
  <c r="AH14" i="1"/>
  <c r="AH13" i="1"/>
  <c r="AH12" i="1"/>
  <c r="AH11" i="1"/>
  <c r="AH10" i="1"/>
  <c r="AH9" i="1"/>
  <c r="AH8" i="1"/>
  <c r="AH7" i="1"/>
  <c r="AH6" i="1"/>
  <c r="AH5" i="1"/>
  <c r="AH4" i="1"/>
  <c r="AH3" i="1"/>
  <c r="BL25" i="1"/>
  <c r="BL24" i="1"/>
  <c r="BL23" i="1"/>
  <c r="BL22" i="1"/>
  <c r="BL21" i="1"/>
  <c r="BL20" i="1"/>
  <c r="BL19" i="1"/>
  <c r="BL18" i="1"/>
  <c r="BL16" i="1"/>
  <c r="BL14" i="1"/>
  <c r="BL11" i="1"/>
  <c r="BG25" i="1"/>
  <c r="BG24" i="1"/>
  <c r="BG23" i="1"/>
  <c r="BG22" i="1"/>
  <c r="BG21" i="1"/>
  <c r="BG20" i="1"/>
  <c r="BG19" i="1"/>
  <c r="BG18" i="1"/>
  <c r="BG17" i="1"/>
  <c r="BG16" i="1"/>
  <c r="BG15" i="1"/>
  <c r="BG14" i="1"/>
  <c r="BG13" i="1"/>
  <c r="BG12" i="1"/>
  <c r="BG11" i="1"/>
  <c r="BG10" i="1"/>
  <c r="BG9" i="1"/>
  <c r="BG8" i="1"/>
  <c r="BG7" i="1"/>
  <c r="BG6" i="1"/>
  <c r="BG5" i="1"/>
  <c r="BG4" i="1"/>
  <c r="BG3" i="1"/>
  <c r="BE25" i="1"/>
  <c r="BE24" i="1"/>
  <c r="BE23" i="1"/>
  <c r="BE22" i="1"/>
  <c r="BE21" i="1"/>
  <c r="BE20" i="1"/>
  <c r="BE19" i="1"/>
  <c r="BE18" i="1"/>
  <c r="BE17" i="1"/>
  <c r="BL17" i="1" s="1"/>
  <c r="BP17" i="1" s="1"/>
  <c r="BE16" i="1"/>
  <c r="BE15" i="1"/>
  <c r="BL15" i="1" s="1"/>
  <c r="BP15" i="1" s="1"/>
  <c r="BE14" i="1"/>
  <c r="BE13" i="1"/>
  <c r="BL13" i="1" s="1"/>
  <c r="BP13" i="1" s="1"/>
  <c r="BE12" i="1"/>
  <c r="BL12" i="1" s="1"/>
  <c r="BP12" i="1" s="1"/>
  <c r="BE10" i="1"/>
  <c r="BL10" i="1" s="1"/>
  <c r="BP10" i="1" s="1"/>
  <c r="BE9" i="1"/>
  <c r="BL9" i="1" s="1"/>
  <c r="BP9" i="1" s="1"/>
  <c r="BE8" i="1"/>
  <c r="BK10" i="1"/>
  <c r="BL8" i="1"/>
  <c r="BP8" i="1" s="1"/>
  <c r="AQ25" i="1"/>
  <c r="AR25" i="1"/>
  <c r="AQ24" i="1"/>
  <c r="AR24" i="1"/>
  <c r="AR23" i="1"/>
  <c r="AQ23" i="1"/>
  <c r="AQ22" i="1"/>
  <c r="AR22" i="1"/>
  <c r="AQ21" i="1"/>
  <c r="AR21" i="1"/>
  <c r="BA14" i="1" l="1"/>
  <c r="BB14" i="1"/>
  <c r="BB8" i="1"/>
  <c r="BA8" i="1"/>
  <c r="AQ20" i="1"/>
  <c r="AR20" i="1"/>
  <c r="AR19" i="1"/>
  <c r="AQ19" i="1"/>
  <c r="AR18" i="1"/>
  <c r="AQ18" i="1"/>
  <c r="AQ17" i="1"/>
  <c r="AR17" i="1"/>
  <c r="AR16" i="1"/>
  <c r="AQ16" i="1"/>
  <c r="AQ14" i="1"/>
  <c r="AR14" i="1"/>
  <c r="AQ15" i="1"/>
  <c r="AR15" i="1"/>
  <c r="AQ11" i="1"/>
  <c r="BE3" i="1" l="1"/>
  <c r="BF3" i="1" s="1"/>
  <c r="BE4" i="1"/>
  <c r="BE5" i="1"/>
  <c r="BF5" i="1" s="1"/>
  <c r="BF6" i="1"/>
  <c r="BJ9" i="1"/>
  <c r="BF14" i="1"/>
  <c r="AR8" i="1"/>
  <c r="AQ7" i="1"/>
  <c r="AR7" i="1"/>
  <c r="AQ8" i="1"/>
  <c r="AQ9" i="1"/>
  <c r="AR9" i="1"/>
  <c r="AQ10" i="1"/>
  <c r="AR10" i="1"/>
  <c r="AR11" i="1"/>
  <c r="AR12" i="1"/>
  <c r="AR13" i="1"/>
  <c r="AQ12" i="1"/>
  <c r="AQ13" i="1"/>
  <c r="BI25" i="1"/>
  <c r="BI24" i="1"/>
  <c r="BI23" i="1"/>
  <c r="BI22" i="1"/>
  <c r="BI21" i="1"/>
  <c r="BI20" i="1"/>
  <c r="BI19" i="1"/>
  <c r="BI18" i="1"/>
  <c r="BI17" i="1"/>
  <c r="BI16" i="1"/>
  <c r="BI15" i="1"/>
  <c r="BI14" i="1"/>
  <c r="BI11" i="1"/>
  <c r="BI10" i="1"/>
  <c r="BI9" i="1"/>
  <c r="BI7" i="1"/>
  <c r="BI6" i="1"/>
  <c r="BF25" i="1"/>
  <c r="BF24" i="1"/>
  <c r="BF23" i="1"/>
  <c r="BF22" i="1"/>
  <c r="BF21" i="1"/>
  <c r="BF20" i="1"/>
  <c r="BF19" i="1"/>
  <c r="BF18" i="1"/>
  <c r="BF15" i="1"/>
  <c r="BJ16" i="1"/>
  <c r="BJ18" i="1"/>
  <c r="BJ19" i="1"/>
  <c r="BJ20" i="1"/>
  <c r="BJ21" i="1"/>
  <c r="BJ22" i="1"/>
  <c r="BJ23" i="1"/>
  <c r="BJ24" i="1"/>
  <c r="BJ25" i="1"/>
  <c r="BI3" i="1"/>
  <c r="BK5" i="1"/>
  <c r="BK17" i="1"/>
  <c r="BK15" i="1"/>
  <c r="BK13" i="1"/>
  <c r="BK12" i="1"/>
  <c r="BK9" i="1"/>
  <c r="BK8" i="1"/>
  <c r="BK6" i="1"/>
  <c r="BK4" i="1"/>
  <c r="BO25" i="1" l="1"/>
  <c r="AM25" i="1" s="1"/>
  <c r="BH25" i="1" s="1"/>
  <c r="BI5" i="1"/>
  <c r="BF4" i="1"/>
  <c r="BA4" i="1"/>
  <c r="BB4" i="1"/>
  <c r="BC3" i="1"/>
  <c r="BD3" i="1" s="1"/>
  <c r="BA3" i="1"/>
  <c r="BB3" i="1"/>
  <c r="BC4" i="1"/>
  <c r="BD4" i="1" s="1"/>
  <c r="BI4" i="1"/>
  <c r="BK7" i="1"/>
  <c r="BO4" i="1" l="1"/>
  <c r="AM4" i="1" s="1"/>
  <c r="BH4" i="1" s="1"/>
  <c r="BN4" i="1"/>
  <c r="BF7" i="1"/>
  <c r="BC5" i="1"/>
  <c r="BD5" i="1" s="1"/>
  <c r="BJ5" i="1"/>
  <c r="BC7" i="1"/>
  <c r="BD7" i="1" s="1"/>
  <c r="BK3" i="1"/>
  <c r="BM5" i="1"/>
  <c r="BJ6" i="1"/>
  <c r="BC6" i="1"/>
  <c r="BD6" i="1" s="1"/>
  <c r="BN3" i="1" l="1"/>
  <c r="BO3" i="1"/>
  <c r="AM3" i="1" s="1"/>
  <c r="BH3" i="1" s="1"/>
  <c r="BN7" i="1"/>
  <c r="BO7" i="1"/>
  <c r="AM7" i="1" s="1"/>
  <c r="BH7" i="1" s="1"/>
  <c r="BN6" i="1"/>
  <c r="BO6" i="1"/>
  <c r="AM6" i="1" s="1"/>
  <c r="BH6" i="1" s="1"/>
  <c r="BN5" i="1"/>
  <c r="BO5" i="1"/>
  <c r="AM5" i="1" s="1"/>
  <c r="BH5" i="1" s="1"/>
  <c r="BP11" i="1" l="1"/>
  <c r="BP14" i="1"/>
  <c r="BM16" i="1"/>
  <c r="BP16" i="1" s="1"/>
  <c r="BM18" i="1"/>
  <c r="BP18" i="1" s="1"/>
  <c r="BM19" i="1"/>
  <c r="BP19" i="1" s="1"/>
  <c r="BM20" i="1"/>
  <c r="BP20" i="1" s="1"/>
  <c r="BM21" i="1"/>
  <c r="BP21" i="1" s="1"/>
  <c r="BM22" i="1"/>
  <c r="BP22" i="1" s="1"/>
  <c r="BM23" i="1"/>
  <c r="BP23" i="1" s="1"/>
  <c r="BM24" i="1"/>
  <c r="BP24" i="1" s="1"/>
  <c r="BM25" i="1"/>
  <c r="BP25" i="1" s="1"/>
  <c r="BM6" i="1" l="1"/>
  <c r="BF10" i="1" l="1"/>
  <c r="BJ10" i="1"/>
  <c r="BO9" i="1"/>
  <c r="AM9" i="1" s="1"/>
  <c r="BH9" i="1" s="1"/>
  <c r="BF9" i="1"/>
  <c r="BI8" i="1"/>
  <c r="BO8" i="1" s="1"/>
  <c r="AM8" i="1" s="1"/>
  <c r="BH8" i="1" s="1"/>
  <c r="BF8" i="1"/>
  <c r="BC10" i="1"/>
  <c r="BD10" i="1" s="1"/>
  <c r="BC9" i="1"/>
  <c r="BD9" i="1" s="1"/>
  <c r="BC8" i="1"/>
  <c r="BD8" i="1" s="1"/>
  <c r="BM10" i="1"/>
  <c r="BM9" i="1"/>
  <c r="BF11" i="1"/>
  <c r="BF13" i="1"/>
  <c r="BF12" i="1"/>
  <c r="BN8" i="1" l="1"/>
  <c r="BN9" i="1"/>
  <c r="BN10" i="1"/>
  <c r="BO10" i="1"/>
  <c r="AM10" i="1" s="1"/>
  <c r="BH10" i="1" s="1"/>
  <c r="BC12" i="1"/>
  <c r="BD12" i="1" s="1"/>
  <c r="BJ12" i="1"/>
  <c r="BK11" i="1"/>
  <c r="BC11" i="1"/>
  <c r="BD11" i="1" s="1"/>
  <c r="BJ13" i="1"/>
  <c r="BC13" i="1"/>
  <c r="BD13" i="1" s="1"/>
  <c r="BM13" i="1"/>
  <c r="BM12" i="1"/>
  <c r="BN11" i="1" l="1"/>
  <c r="BO11" i="1"/>
  <c r="AM11" i="1" s="1"/>
  <c r="BH11" i="1" s="1"/>
  <c r="BN13" i="1"/>
  <c r="BO13" i="1"/>
  <c r="AM13" i="1" s="1"/>
  <c r="BH13" i="1" s="1"/>
  <c r="BN12" i="1"/>
  <c r="AM12" i="1"/>
  <c r="BH12" i="1" s="1"/>
  <c r="BC15" i="1"/>
  <c r="BD15" i="1" s="1"/>
  <c r="BJ15" i="1"/>
  <c r="BC14" i="1"/>
  <c r="BD14" i="1" s="1"/>
  <c r="BK14" i="1"/>
  <c r="BF16" i="1"/>
  <c r="BF17" i="1"/>
  <c r="BM15" i="1"/>
  <c r="BN15" i="1" l="1"/>
  <c r="BO15" i="1"/>
  <c r="AM15" i="1" s="1"/>
  <c r="BH15" i="1" s="1"/>
  <c r="BN14" i="1"/>
  <c r="BO14" i="1"/>
  <c r="AM14" i="1" s="1"/>
  <c r="BH14" i="1" s="1"/>
  <c r="BJ17" i="1"/>
  <c r="BC17" i="1"/>
  <c r="BD17" i="1" s="1"/>
  <c r="BK16" i="1"/>
  <c r="BC16" i="1"/>
  <c r="BD16" i="1" s="1"/>
  <c r="BM17" i="1"/>
  <c r="BN17" i="1" l="1"/>
  <c r="BO17" i="1"/>
  <c r="AM17" i="1" s="1"/>
  <c r="BH17" i="1" s="1"/>
  <c r="BN16" i="1"/>
  <c r="BO16" i="1"/>
  <c r="AM16" i="1" s="1"/>
  <c r="BH16" i="1" s="1"/>
  <c r="BK18" i="1"/>
  <c r="BC18" i="1"/>
  <c r="BD18" i="1" s="1"/>
  <c r="BN18" i="1" l="1"/>
  <c r="BO18" i="1"/>
  <c r="AM18" i="1" s="1"/>
  <c r="BH18" i="1" s="1"/>
  <c r="BC19" i="1"/>
  <c r="BD19" i="1" s="1"/>
  <c r="BK19" i="1"/>
  <c r="BN19" i="1" l="1"/>
  <c r="BO19" i="1"/>
  <c r="AM19" i="1" s="1"/>
  <c r="BH19" i="1" s="1"/>
  <c r="BC20" i="1"/>
  <c r="BD20" i="1" s="1"/>
  <c r="BK20" i="1"/>
  <c r="BN20" i="1" l="1"/>
  <c r="BO20" i="1"/>
  <c r="AM20" i="1" s="1"/>
  <c r="BH20" i="1" s="1"/>
  <c r="BC21" i="1"/>
  <c r="BD21" i="1" s="1"/>
  <c r="BK21" i="1"/>
  <c r="BN21" i="1" l="1"/>
  <c r="BO21" i="1"/>
  <c r="AM21" i="1" s="1"/>
  <c r="BH21" i="1" s="1"/>
  <c r="BC22" i="1"/>
  <c r="BD22" i="1" s="1"/>
  <c r="BK22" i="1"/>
  <c r="BN22" i="1" l="1"/>
  <c r="BO22" i="1"/>
  <c r="AM22" i="1" s="1"/>
  <c r="BH22" i="1" s="1"/>
  <c r="BC23" i="1"/>
  <c r="BD23" i="1" s="1"/>
  <c r="BK23" i="1"/>
  <c r="BN23" i="1" l="1"/>
  <c r="BO23" i="1"/>
  <c r="AM23" i="1" s="1"/>
  <c r="BH23" i="1" s="1"/>
  <c r="BC24" i="1"/>
  <c r="BD24" i="1" s="1"/>
  <c r="BK24" i="1"/>
  <c r="BN24" i="1" l="1"/>
  <c r="BO24" i="1"/>
  <c r="AM24" i="1" s="1"/>
  <c r="BH24" i="1" s="1"/>
  <c r="BK25" i="1"/>
  <c r="BN25" i="1" s="1"/>
  <c r="BC25" i="1"/>
  <c r="BD25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tc={FF16B357-339F-45F1-8E08-77BC469B5CFA}</author>
    <author>tc={85F96BBA-2507-4D48-80E4-7214138DEA92}</author>
  </authors>
  <commentList>
    <comment ref="BI12" authorId="0" shapeId="0" xr:uid="{FF16B357-339F-45F1-8E08-77BC469B5CFA}">
      <text>
        <t>[Threaded comment]
Your version of Excel allows you to read this threaded comment; however, any edits to it will get removed if the file is opened in a newer version of Excel. Learn more: https://go.microsoft.com/fwlink/?linkid=870924
Comment:
    Override MPC feed rate with CSFR</t>
      </text>
    </comment>
    <comment ref="J14" authorId="1" shapeId="0" xr:uid="{85F96BBA-2507-4D48-80E4-7214138DEA92}">
      <text>
        <t>[Threaded comment]
Your version of Excel allows you to read this threaded comment; however, any edits to it will get removed if the file is opened in a newer version of Excel. Learn more: https://go.microsoft.com/fwlink/?linkid=870924
Comment:
    Updated on day 4 due to DCA pullback being fixed</t>
      </text>
    </comment>
  </commentList>
</comments>
</file>

<file path=xl/sharedStrings.xml><?xml version="1.0" encoding="utf-8"?>
<sst xmlns="http://schemas.openxmlformats.org/spreadsheetml/2006/main" count="126" uniqueCount="83">
  <si>
    <t>Batch Data</t>
  </si>
  <si>
    <t>Offline Data</t>
  </si>
  <si>
    <t>Online Data</t>
  </si>
  <si>
    <t>Process Setpoints</t>
  </si>
  <si>
    <t>MPC Data</t>
  </si>
  <si>
    <t>Calculations</t>
  </si>
  <si>
    <t>Final Values</t>
  </si>
  <si>
    <t>Batch</t>
  </si>
  <si>
    <t>Controller</t>
  </si>
  <si>
    <t>iVCC</t>
  </si>
  <si>
    <t>Day</t>
  </si>
  <si>
    <t>Comments</t>
  </si>
  <si>
    <t>Sample Time</t>
  </si>
  <si>
    <t>Reference Titer</t>
  </si>
  <si>
    <t>HPLC Titer</t>
  </si>
  <si>
    <t>IGG</t>
  </si>
  <si>
    <t xml:space="preserve">TCC  </t>
  </si>
  <si>
    <t>VCC</t>
  </si>
  <si>
    <t>Viability</t>
  </si>
  <si>
    <t xml:space="preserve">Diam </t>
  </si>
  <si>
    <t>Osmolality</t>
  </si>
  <si>
    <t>Ammonium</t>
  </si>
  <si>
    <t>Calcium</t>
  </si>
  <si>
    <t>Glucose</t>
  </si>
  <si>
    <t>Used in Feed?</t>
  </si>
  <si>
    <t>Glutamine</t>
  </si>
  <si>
    <t>Glutamate</t>
  </si>
  <si>
    <t>Lactate</t>
  </si>
  <si>
    <t>pH</t>
  </si>
  <si>
    <t>CO2</t>
  </si>
  <si>
    <t>pO2</t>
  </si>
  <si>
    <t>Potassium</t>
  </si>
  <si>
    <t>Sodium</t>
  </si>
  <si>
    <t>Bicarbonate</t>
  </si>
  <si>
    <t>pCO2 at Temp</t>
  </si>
  <si>
    <t>pO2 at Temp</t>
  </si>
  <si>
    <t>pH at Temp</t>
  </si>
  <si>
    <t>Agitation Rate (rpm)</t>
  </si>
  <si>
    <t>DO Raw</t>
  </si>
  <si>
    <t>Online pH</t>
  </si>
  <si>
    <t>DO</t>
  </si>
  <si>
    <t>Vessel Temp (*C)</t>
  </si>
  <si>
    <t>Base Pumped (mL)</t>
  </si>
  <si>
    <t>Acid Pumped (mL)</t>
  </si>
  <si>
    <t>Antifoam Amount (mL)</t>
  </si>
  <si>
    <t>Feed Flow Rate (mL/min)</t>
  </si>
  <si>
    <t>Cumulative Feed Amount (mL)</t>
  </si>
  <si>
    <t>Cumulative Glucose Amount (mL)</t>
  </si>
  <si>
    <t>Feed Bottle Weight (g)</t>
  </si>
  <si>
    <t>Daily Feed Amount (mL)</t>
  </si>
  <si>
    <t>Daily Glucose Amount (mL)</t>
  </si>
  <si>
    <t>Daily Feed Weight (g)</t>
  </si>
  <si>
    <t>Sample Volume</t>
  </si>
  <si>
    <t>Initial_Volume</t>
  </si>
  <si>
    <t>Temperature</t>
  </si>
  <si>
    <t>pH_setpoint</t>
  </si>
  <si>
    <t>CD96 CSFR Setpoint</t>
  </si>
  <si>
    <t>Model Feed Input Python</t>
  </si>
  <si>
    <t>Model Feed Input Julia</t>
  </si>
  <si>
    <t>Model Glucose Input Julia</t>
  </si>
  <si>
    <t>Feed Flow Rate based on CSFR (mL/min)</t>
  </si>
  <si>
    <t>Feed Fed based on CSFR (mL)</t>
  </si>
  <si>
    <t>Volume</t>
  </si>
  <si>
    <t>Cumulative_Normalized_Feed_Current WV</t>
  </si>
  <si>
    <t>Cumulative_Normalized_Feed_Initial WV</t>
  </si>
  <si>
    <t>Amount of Future Feed</t>
  </si>
  <si>
    <t>Feed Rate (mL/min) Python</t>
  </si>
  <si>
    <t>Feed Rate (mL/min) Julia</t>
  </si>
  <si>
    <t>Feed Rate based on CSFR (mL/min)</t>
  </si>
  <si>
    <t>Amount of Glucose to Feed (mL)</t>
  </si>
  <si>
    <t>Amount of Glucose (mL) Julia</t>
  </si>
  <si>
    <t>Pump RPM</t>
  </si>
  <si>
    <t>Flow Rates to Copy to System</t>
  </si>
  <si>
    <t>Glucose to Copy to System</t>
  </si>
  <si>
    <t>MR24-038-805</t>
  </si>
  <si>
    <t>Julia</t>
  </si>
  <si>
    <t>MR24-038-806</t>
  </si>
  <si>
    <t>MR24-038-807</t>
  </si>
  <si>
    <t>Python</t>
  </si>
  <si>
    <t>MR24-038-808</t>
  </si>
  <si>
    <t>Reactor was found to be contaminated</t>
  </si>
  <si>
    <t>Changed to CSFR flow rate until Julia code was run at 4pm</t>
  </si>
  <si>
    <t>CSFR Flow rates were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</si>
</sst>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0.000"/>
    <numFmt numFmtId="166" formatCode="0.00000"/>
    <numFmt numFmtId="167" formatCode="[$-409]m/d/yy\ h:mm\ AM/PM;@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.5"/>
      <color theme="1"/>
      <name val="Calibri"/>
      <family val="2"/>
      <scheme val="minor"/>
    </font>
    <font>
      <b/>
      <sz val="11.5"/>
      <color rgb="FF00B050"/>
      <name val="Calibri"/>
      <family val="2"/>
      <scheme val="minor"/>
    </font>
    <font>
      <b/>
      <sz val="11.5"/>
      <color rgb="FF7030A0"/>
      <name val="Calibri"/>
      <family val="2"/>
      <scheme val="minor"/>
    </font>
    <font>
      <b/>
      <sz val="11.5"/>
      <color rgb="FF0070C0"/>
      <name val="Calibri"/>
      <family val="2"/>
      <scheme val="minor"/>
    </font>
    <font>
      <sz val="11"/>
      <name val="Calibri"/>
      <family val="2"/>
      <scheme val="minor"/>
    </font>
    <font>
      <sz val="11"/>
      <color rgb="FF0070C0"/>
      <name val="Calibri"/>
      <family val="2"/>
      <scheme val="minor"/>
    </font>
    <font>
      <sz val="9"/>
      <color indexed="81"/>
      <name val="Tahoma"/>
      <family val="2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F08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8">
    <xf numFmtId="0" fontId="0" fillId="0" borderId="0" xfId="0"/>
    <xf numFmtId="0" fontId="0" fillId="0" borderId="13" xfId="0" applyBorder="1"/>
    <xf numFmtId="0" fontId="0" fillId="0" borderId="10" xfId="0" applyBorder="1"/>
    <xf numFmtId="0" fontId="0" fillId="0" borderId="11" xfId="0" applyBorder="1"/>
    <xf numFmtId="0" fontId="0" fillId="0" borderId="15" xfId="0" applyBorder="1"/>
    <xf numFmtId="0" fontId="0" fillId="0" borderId="16" xfId="0" applyBorder="1"/>
    <xf numFmtId="2" fontId="0" fillId="0" borderId="11" xfId="0" applyNumberFormat="1" applyBorder="1"/>
    <xf numFmtId="2" fontId="0" fillId="0" borderId="16" xfId="0" applyNumberFormat="1" applyBorder="1"/>
    <xf numFmtId="164" fontId="0" fillId="0" borderId="10" xfId="0" applyNumberFormat="1" applyBorder="1"/>
    <xf numFmtId="164" fontId="0" fillId="0" borderId="11" xfId="0" applyNumberFormat="1" applyBorder="1"/>
    <xf numFmtId="164" fontId="0" fillId="38" borderId="11" xfId="0" applyNumberFormat="1" applyFill="1" applyBorder="1"/>
    <xf numFmtId="164" fontId="0" fillId="0" borderId="13" xfId="0" applyNumberFormat="1" applyBorder="1"/>
    <xf numFmtId="164" fontId="0" fillId="0" borderId="15" xfId="0" applyNumberFormat="1" applyBorder="1"/>
    <xf numFmtId="164" fontId="0" fillId="0" borderId="16" xfId="0" applyNumberFormat="1" applyBorder="1"/>
    <xf numFmtId="164" fontId="0" fillId="38" borderId="16" xfId="0" applyNumberFormat="1" applyFill="1" applyBorder="1"/>
    <xf numFmtId="0" fontId="20" fillId="0" borderId="14" xfId="0" applyFont="1" applyBorder="1" applyAlignment="1">
      <alignment horizontal="center" vertical="center" wrapText="1"/>
    </xf>
    <xf numFmtId="2" fontId="0" fillId="0" borderId="12" xfId="0" applyNumberFormat="1" applyBorder="1"/>
    <xf numFmtId="2" fontId="0" fillId="0" borderId="14" xfId="0" applyNumberFormat="1" applyBorder="1"/>
    <xf numFmtId="2" fontId="0" fillId="0" borderId="17" xfId="0" applyNumberFormat="1" applyBorder="1"/>
    <xf numFmtId="0" fontId="20" fillId="0" borderId="0" xfId="0" applyFont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164" fontId="0" fillId="0" borderId="12" xfId="0" applyNumberFormat="1" applyBorder="1"/>
    <xf numFmtId="164" fontId="0" fillId="0" borderId="14" xfId="0" applyNumberFormat="1" applyBorder="1"/>
    <xf numFmtId="164" fontId="0" fillId="0" borderId="17" xfId="0" applyNumberFormat="1" applyBorder="1"/>
    <xf numFmtId="1" fontId="0" fillId="0" borderId="12" xfId="0" applyNumberFormat="1" applyBorder="1"/>
    <xf numFmtId="1" fontId="0" fillId="0" borderId="14" xfId="0" applyNumberFormat="1" applyBorder="1"/>
    <xf numFmtId="1" fontId="0" fillId="0" borderId="17" xfId="0" applyNumberFormat="1" applyBorder="1"/>
    <xf numFmtId="165" fontId="0" fillId="39" borderId="10" xfId="0" applyNumberFormat="1" applyFill="1" applyBorder="1"/>
    <xf numFmtId="165" fontId="0" fillId="39" borderId="13" xfId="0" applyNumberFormat="1" applyFill="1" applyBorder="1"/>
    <xf numFmtId="165" fontId="0" fillId="39" borderId="15" xfId="0" applyNumberFormat="1" applyFill="1" applyBorder="1"/>
    <xf numFmtId="165" fontId="0" fillId="39" borderId="14" xfId="0" applyNumberFormat="1" applyFill="1" applyBorder="1"/>
    <xf numFmtId="165" fontId="0" fillId="39" borderId="17" xfId="0" applyNumberFormat="1" applyFill="1" applyBorder="1"/>
    <xf numFmtId="165" fontId="0" fillId="39" borderId="12" xfId="0" applyNumberFormat="1" applyFill="1" applyBorder="1"/>
    <xf numFmtId="0" fontId="21" fillId="0" borderId="13" xfId="0" applyFont="1" applyBorder="1" applyAlignment="1">
      <alignment horizontal="center" vertical="center" wrapText="1"/>
    </xf>
    <xf numFmtId="0" fontId="22" fillId="0" borderId="14" xfId="0" applyFont="1" applyBorder="1" applyAlignment="1">
      <alignment horizontal="center" vertical="center" wrapText="1"/>
    </xf>
    <xf numFmtId="166" fontId="0" fillId="38" borderId="11" xfId="0" applyNumberFormat="1" applyFill="1" applyBorder="1"/>
    <xf numFmtId="166" fontId="0" fillId="38" borderId="16" xfId="0" applyNumberFormat="1" applyFill="1" applyBorder="1"/>
    <xf numFmtId="166" fontId="0" fillId="39" borderId="11" xfId="0" applyNumberFormat="1" applyFill="1" applyBorder="1"/>
    <xf numFmtId="166" fontId="0" fillId="39" borderId="16" xfId="0" applyNumberFormat="1" applyFill="1" applyBorder="1"/>
    <xf numFmtId="167" fontId="0" fillId="0" borderId="0" xfId="0" applyNumberFormat="1"/>
    <xf numFmtId="2" fontId="0" fillId="0" borderId="10" xfId="0" applyNumberFormat="1" applyBorder="1"/>
    <xf numFmtId="2" fontId="0" fillId="0" borderId="13" xfId="0" applyNumberFormat="1" applyBorder="1"/>
    <xf numFmtId="2" fontId="0" fillId="0" borderId="15" xfId="0" applyNumberFormat="1" applyBorder="1"/>
    <xf numFmtId="2" fontId="0" fillId="41" borderId="11" xfId="0" applyNumberFormat="1" applyFill="1" applyBorder="1"/>
    <xf numFmtId="2" fontId="0" fillId="41" borderId="16" xfId="0" applyNumberFormat="1" applyFill="1" applyBorder="1"/>
    <xf numFmtId="164" fontId="24" fillId="38" borderId="16" xfId="0" applyNumberFormat="1" applyFont="1" applyFill="1" applyBorder="1"/>
    <xf numFmtId="165" fontId="24" fillId="39" borderId="14" xfId="0" applyNumberFormat="1" applyFont="1" applyFill="1" applyBorder="1"/>
    <xf numFmtId="164" fontId="0" fillId="41" borderId="11" xfId="0" applyNumberFormat="1" applyFill="1" applyBorder="1"/>
    <xf numFmtId="164" fontId="14" fillId="0" borderId="13" xfId="0" applyNumberFormat="1" applyFont="1" applyBorder="1"/>
    <xf numFmtId="164" fontId="14" fillId="0" borderId="15" xfId="0" applyNumberFormat="1" applyFont="1" applyBorder="1"/>
    <xf numFmtId="164" fontId="14" fillId="0" borderId="10" xfId="0" applyNumberFormat="1" applyFont="1" applyBorder="1"/>
    <xf numFmtId="0" fontId="20" fillId="0" borderId="0" xfId="0" applyFont="1" applyAlignment="1">
      <alignment horizontal="center" vertical="center"/>
    </xf>
    <xf numFmtId="164" fontId="14" fillId="38" borderId="16" xfId="0" applyNumberFormat="1" applyFont="1" applyFill="1" applyBorder="1"/>
    <xf numFmtId="0" fontId="19" fillId="40" borderId="0" xfId="0" applyFont="1" applyFill="1" applyAlignment="1">
      <alignment horizontal="center"/>
    </xf>
    <xf numFmtId="0" fontId="19" fillId="34" borderId="10" xfId="0" applyFont="1" applyFill="1" applyBorder="1" applyAlignment="1">
      <alignment horizontal="center"/>
    </xf>
    <xf numFmtId="0" fontId="19" fillId="34" borderId="11" xfId="0" applyFont="1" applyFill="1" applyBorder="1" applyAlignment="1">
      <alignment horizontal="center"/>
    </xf>
    <xf numFmtId="0" fontId="19" fillId="34" borderId="12" xfId="0" applyFont="1" applyFill="1" applyBorder="1" applyAlignment="1">
      <alignment horizontal="center"/>
    </xf>
    <xf numFmtId="0" fontId="19" fillId="33" borderId="10" xfId="0" applyFont="1" applyFill="1" applyBorder="1" applyAlignment="1">
      <alignment horizontal="center"/>
    </xf>
    <xf numFmtId="0" fontId="19" fillId="33" borderId="11" xfId="0" applyFont="1" applyFill="1" applyBorder="1" applyAlignment="1">
      <alignment horizontal="center"/>
    </xf>
    <xf numFmtId="0" fontId="19" fillId="33" borderId="12" xfId="0" applyFont="1" applyFill="1" applyBorder="1" applyAlignment="1">
      <alignment horizontal="center"/>
    </xf>
    <xf numFmtId="0" fontId="19" fillId="39" borderId="10" xfId="0" applyFont="1" applyFill="1" applyBorder="1" applyAlignment="1">
      <alignment horizontal="center"/>
    </xf>
    <xf numFmtId="0" fontId="19" fillId="39" borderId="11" xfId="0" applyFont="1" applyFill="1" applyBorder="1" applyAlignment="1">
      <alignment horizontal="center"/>
    </xf>
    <xf numFmtId="0" fontId="19" fillId="39" borderId="12" xfId="0" applyFont="1" applyFill="1" applyBorder="1" applyAlignment="1">
      <alignment horizontal="center"/>
    </xf>
    <xf numFmtId="0" fontId="19" fillId="35" borderId="10" xfId="0" applyFont="1" applyFill="1" applyBorder="1" applyAlignment="1">
      <alignment horizontal="center"/>
    </xf>
    <xf numFmtId="0" fontId="19" fillId="35" borderId="11" xfId="0" applyFont="1" applyFill="1" applyBorder="1" applyAlignment="1">
      <alignment horizontal="center"/>
    </xf>
    <xf numFmtId="0" fontId="19" fillId="35" borderId="12" xfId="0" applyFont="1" applyFill="1" applyBorder="1" applyAlignment="1">
      <alignment horizontal="center"/>
    </xf>
    <xf numFmtId="2" fontId="14" fillId="0" borderId="11" xfId="0" applyNumberFormat="1" applyFont="1" applyBorder="1"/>
    <xf numFmtId="0" fontId="0" fillId="0" borderId="0" xfId="0" applyBorder="1"/>
    <xf numFmtId="22" fontId="0" fillId="0" borderId="0" xfId="0" applyNumberFormat="1" applyBorder="1"/>
    <xf numFmtId="2" fontId="0" fillId="0" borderId="0" xfId="0" applyNumberFormat="1" applyBorder="1"/>
    <xf numFmtId="2" fontId="0" fillId="41" borderId="0" xfId="0" applyNumberFormat="1" applyFill="1" applyBorder="1"/>
    <xf numFmtId="164" fontId="0" fillId="0" borderId="0" xfId="0" applyNumberFormat="1" applyBorder="1"/>
    <xf numFmtId="164" fontId="0" fillId="38" borderId="0" xfId="0" applyNumberFormat="1" applyFill="1" applyBorder="1"/>
    <xf numFmtId="166" fontId="0" fillId="38" borderId="0" xfId="0" applyNumberFormat="1" applyFill="1" applyBorder="1"/>
    <xf numFmtId="166" fontId="0" fillId="39" borderId="0" xfId="0" applyNumberFormat="1" applyFill="1" applyBorder="1"/>
    <xf numFmtId="22" fontId="0" fillId="0" borderId="11" xfId="0" applyNumberFormat="1" applyBorder="1"/>
    <xf numFmtId="22" fontId="0" fillId="0" borderId="16" xfId="0" applyNumberFormat="1" applyBorder="1"/>
    <xf numFmtId="0" fontId="0" fillId="0" borderId="18" xfId="0" applyBorder="1"/>
    <xf numFmtId="0" fontId="0" fillId="0" borderId="19" xfId="0" applyBorder="1"/>
    <xf numFmtId="22" fontId="0" fillId="0" borderId="19" xfId="0" applyNumberFormat="1" applyBorder="1"/>
    <xf numFmtId="2" fontId="0" fillId="0" borderId="19" xfId="0" applyNumberFormat="1" applyBorder="1"/>
    <xf numFmtId="2" fontId="0" fillId="41" borderId="19" xfId="0" applyNumberFormat="1" applyFill="1" applyBorder="1"/>
    <xf numFmtId="164" fontId="0" fillId="0" borderId="19" xfId="0" applyNumberFormat="1" applyBorder="1"/>
    <xf numFmtId="164" fontId="0" fillId="38" borderId="19" xfId="0" applyNumberFormat="1" applyFill="1" applyBorder="1"/>
    <xf numFmtId="166" fontId="0" fillId="38" borderId="19" xfId="0" applyNumberFormat="1" applyFill="1" applyBorder="1"/>
    <xf numFmtId="166" fontId="0" fillId="39" borderId="19" xfId="0" applyNumberFormat="1" applyFill="1" applyBorder="1"/>
    <xf numFmtId="165" fontId="0" fillId="39" borderId="20" xfId="0" applyNumberFormat="1" applyFill="1" applyBorder="1"/>
    <xf numFmtId="0" fontId="20" fillId="0" borderId="0" xfId="0" applyFont="1" applyBorder="1" applyAlignment="1">
      <alignment horizontal="center" vertical="center" wrapText="1"/>
    </xf>
    <xf numFmtId="165" fontId="0" fillId="39" borderId="18" xfId="0" applyNumberFormat="1" applyFill="1" applyBorder="1"/>
    <xf numFmtId="0" fontId="19" fillId="37" borderId="10" xfId="0" applyFont="1" applyFill="1" applyBorder="1" applyAlignment="1">
      <alignment horizontal="center"/>
    </xf>
    <xf numFmtId="0" fontId="19" fillId="37" borderId="11" xfId="0" applyFont="1" applyFill="1" applyBorder="1" applyAlignment="1">
      <alignment horizontal="center"/>
    </xf>
    <xf numFmtId="0" fontId="19" fillId="37" borderId="12" xfId="0" applyFont="1" applyFill="1" applyBorder="1" applyAlignment="1">
      <alignment horizontal="center"/>
    </xf>
    <xf numFmtId="164" fontId="0" fillId="38" borderId="12" xfId="0" applyNumberFormat="1" applyFill="1" applyBorder="1"/>
    <xf numFmtId="164" fontId="0" fillId="38" borderId="14" xfId="0" applyNumberFormat="1" applyFill="1" applyBorder="1"/>
    <xf numFmtId="164" fontId="0" fillId="38" borderId="17" xfId="0" applyNumberFormat="1" applyFill="1" applyBorder="1"/>
    <xf numFmtId="164" fontId="24" fillId="38" borderId="0" xfId="0" applyNumberFormat="1" applyFont="1" applyFill="1" applyBorder="1"/>
    <xf numFmtId="164" fontId="14" fillId="38" borderId="0" xfId="0" applyNumberFormat="1" applyFont="1" applyFill="1" applyBorder="1"/>
    <xf numFmtId="164" fontId="0" fillId="0" borderId="18" xfId="0" applyNumberFormat="1" applyBorder="1"/>
    <xf numFmtId="164" fontId="0" fillId="38" borderId="20" xfId="0" applyNumberFormat="1" applyFill="1" applyBorder="1"/>
    <xf numFmtId="0" fontId="0" fillId="0" borderId="14" xfId="0" applyBorder="1"/>
    <xf numFmtId="164" fontId="0" fillId="0" borderId="20" xfId="0" applyNumberFormat="1" applyBorder="1"/>
    <xf numFmtId="0" fontId="0" fillId="0" borderId="20" xfId="0" applyBorder="1"/>
    <xf numFmtId="0" fontId="19" fillId="36" borderId="10" xfId="0" applyFont="1" applyFill="1" applyBorder="1" applyAlignment="1">
      <alignment horizontal="center"/>
    </xf>
    <xf numFmtId="0" fontId="19" fillId="36" borderId="11" xfId="0" applyFont="1" applyFill="1" applyBorder="1" applyAlignment="1">
      <alignment horizontal="center"/>
    </xf>
    <xf numFmtId="0" fontId="19" fillId="36" borderId="12" xfId="0" applyFont="1" applyFill="1" applyBorder="1" applyAlignment="1">
      <alignment horizontal="center"/>
    </xf>
    <xf numFmtId="1" fontId="0" fillId="0" borderId="10" xfId="0" applyNumberFormat="1" applyBorder="1"/>
    <xf numFmtId="1" fontId="0" fillId="0" borderId="13" xfId="0" applyNumberFormat="1" applyBorder="1"/>
    <xf numFmtId="1" fontId="0" fillId="0" borderId="15" xfId="0" applyNumberFormat="1" applyBorder="1"/>
    <xf numFmtId="1" fontId="0" fillId="0" borderId="18" xfId="0" applyNumberFormat="1" applyBorder="1"/>
    <xf numFmtId="0" fontId="22" fillId="0" borderId="0" xfId="0" applyFont="1" applyBorder="1" applyAlignment="1">
      <alignment horizontal="center" vertical="center" wrapText="1"/>
    </xf>
    <xf numFmtId="2" fontId="0" fillId="0" borderId="18" xfId="0" applyNumberFormat="1" applyBorder="1"/>
    <xf numFmtId="1" fontId="0" fillId="0" borderId="20" xfId="0" applyNumberFormat="1" applyBorder="1"/>
    <xf numFmtId="0" fontId="21" fillId="0" borderId="0" xfId="0" applyFont="1" applyBorder="1" applyAlignment="1">
      <alignment horizontal="center" vertical="center" wrapText="1"/>
    </xf>
    <xf numFmtId="0" fontId="23" fillId="0" borderId="0" xfId="0" applyFont="1" applyBorder="1" applyAlignment="1">
      <alignment horizontal="center" vertical="center" wrapText="1"/>
    </xf>
    <xf numFmtId="2" fontId="14" fillId="0" borderId="0" xfId="0" applyNumberFormat="1" applyFont="1" applyBorder="1"/>
    <xf numFmtId="2" fontId="0" fillId="0" borderId="20" xfId="0" applyNumberFormat="1" applyBorder="1"/>
    <xf numFmtId="0" fontId="25" fillId="0" borderId="10" xfId="0" applyFont="1" applyBorder="1"/>
    <xf numFmtId="0" fontId="25" fillId="0" borderId="18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font>
        <color rgb="FFFF0000"/>
      </font>
    </dxf>
    <dxf>
      <fill>
        <patternFill>
          <bgColor rgb="FF92D050"/>
        </patternFill>
      </fill>
    </dxf>
    <dxf>
      <fill>
        <patternFill>
          <bgColor theme="8" tint="0.59996337778862885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colors>
    <mruColors>
      <color rgb="FF00F08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Yu Luo" id="{39B0911F-58E9-4732-93E1-F7F715DFAAAC}" userId="S::yu.8.luo@gsk.com::5e93f0cf-7e56-492e-afc9-2cfd7b5fd269" providerId="AD"/>
  <person displayName="Zach Hatzenbeller" id="{C69CAE13-5997-41D2-9ADC-7A401FC5421C}" userId="S::zach.a.hatzenbeller@gsk.com::4c73105f-9498-483c-b968-fc87645f65e2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I12" dT="2024-07-20T18:22:09.75" personId="{39B0911F-58E9-4732-93E1-F7F715DFAAAC}" id="{FF16B357-339F-45F1-8E08-77BC469B5CFA}">
    <text>Override MPC feed rate with CSFR</text>
  </threadedComment>
  <threadedComment ref="J14" dT="2024-07-22T14:36:12.43" personId="{C69CAE13-5997-41D2-9ADC-7A401FC5421C}" id="{85F96BBA-2507-4D48-80E4-7214138DEA92}">
    <text>Updated on day 4 due to DCA pullback being fixed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P28"/>
  <sheetViews>
    <sheetView tabSelected="1" zoomScale="96" zoomScaleNormal="96" workbookViewId="0">
      <pane xSplit="6" ySplit="2" topLeftCell="G3" activePane="bottomRight" state="frozen"/>
      <selection pane="topRight" activeCell="H1" sqref="H1"/>
      <selection pane="bottomLeft" activeCell="A3" sqref="A3"/>
      <selection pane="bottomRight" activeCell="J29" sqref="J29"/>
    </sheetView>
  </sheetViews>
  <sheetFormatPr defaultColWidth="14.7109375" defaultRowHeight="15" x14ac:dyDescent="0.25"/>
  <cols>
    <col min="2" max="4" width="10.7109375" customWidth="1"/>
    <col min="5" max="5" width="53" bestFit="1" customWidth="1"/>
    <col min="6" max="6" width="16.85546875" customWidth="1"/>
    <col min="7" max="18" width="12.7109375" customWidth="1"/>
    <col min="19" max="19" width="15.140625" bestFit="1" customWidth="1"/>
    <col min="20" max="20" width="16.140625" bestFit="1" customWidth="1"/>
    <col min="21" max="65" width="12.7109375" customWidth="1"/>
    <col min="66" max="66" width="16.28515625" bestFit="1" customWidth="1"/>
    <col min="67" max="68" width="16.28515625" customWidth="1"/>
  </cols>
  <sheetData>
    <row r="1" spans="1:68" ht="21" x14ac:dyDescent="0.35">
      <c r="A1" s="53" t="s">
        <v>0</v>
      </c>
      <c r="B1" s="53"/>
      <c r="C1" s="53"/>
      <c r="D1" s="53"/>
      <c r="E1" s="53"/>
      <c r="F1" s="53"/>
      <c r="G1" s="54" t="s">
        <v>1</v>
      </c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6"/>
      <c r="AE1" s="63" t="s">
        <v>2</v>
      </c>
      <c r="AF1" s="64"/>
      <c r="AG1" s="64"/>
      <c r="AH1" s="64"/>
      <c r="AI1" s="64"/>
      <c r="AJ1" s="64"/>
      <c r="AK1" s="64"/>
      <c r="AL1" s="64"/>
      <c r="AM1" s="64"/>
      <c r="AN1" s="64"/>
      <c r="AO1" s="64"/>
      <c r="AP1" s="64"/>
      <c r="AQ1" s="64"/>
      <c r="AR1" s="64"/>
      <c r="AS1" s="64"/>
      <c r="AT1" s="65"/>
      <c r="AU1" s="102" t="s">
        <v>3</v>
      </c>
      <c r="AV1" s="103"/>
      <c r="AW1" s="103"/>
      <c r="AX1" s="103"/>
      <c r="AY1" s="104"/>
      <c r="AZ1" s="60" t="s">
        <v>4</v>
      </c>
      <c r="BA1" s="61"/>
      <c r="BB1" s="62"/>
      <c r="BC1" s="89" t="s">
        <v>5</v>
      </c>
      <c r="BD1" s="90"/>
      <c r="BE1" s="90"/>
      <c r="BF1" s="90"/>
      <c r="BG1" s="90"/>
      <c r="BH1" s="90"/>
      <c r="BI1" s="90"/>
      <c r="BJ1" s="90"/>
      <c r="BK1" s="90"/>
      <c r="BL1" s="90"/>
      <c r="BM1" s="91"/>
      <c r="BN1" s="57" t="s">
        <v>6</v>
      </c>
      <c r="BO1" s="58"/>
      <c r="BP1" s="59"/>
    </row>
    <row r="2" spans="1:68" ht="60.75" thickBot="1" x14ac:dyDescent="0.3">
      <c r="A2" s="19" t="s">
        <v>7</v>
      </c>
      <c r="B2" s="19" t="s">
        <v>8</v>
      </c>
      <c r="C2" s="19" t="s">
        <v>9</v>
      </c>
      <c r="D2" s="19" t="s">
        <v>10</v>
      </c>
      <c r="E2" s="51" t="s">
        <v>11</v>
      </c>
      <c r="F2" s="19" t="s">
        <v>12</v>
      </c>
      <c r="G2" s="33" t="s">
        <v>13</v>
      </c>
      <c r="H2" s="112" t="s">
        <v>14</v>
      </c>
      <c r="I2" s="112" t="s">
        <v>15</v>
      </c>
      <c r="J2" s="113" t="s">
        <v>16</v>
      </c>
      <c r="K2" s="113" t="s">
        <v>17</v>
      </c>
      <c r="L2" s="113" t="s">
        <v>18</v>
      </c>
      <c r="M2" s="113" t="s">
        <v>19</v>
      </c>
      <c r="N2" s="109" t="s">
        <v>20</v>
      </c>
      <c r="O2" s="109" t="s">
        <v>21</v>
      </c>
      <c r="P2" s="109" t="s">
        <v>22</v>
      </c>
      <c r="Q2" s="109" t="s">
        <v>23</v>
      </c>
      <c r="R2" s="109" t="s">
        <v>24</v>
      </c>
      <c r="S2" s="109" t="s">
        <v>25</v>
      </c>
      <c r="T2" s="109" t="s">
        <v>26</v>
      </c>
      <c r="U2" s="109" t="s">
        <v>27</v>
      </c>
      <c r="V2" s="109" t="s">
        <v>28</v>
      </c>
      <c r="W2" s="109" t="s">
        <v>29</v>
      </c>
      <c r="X2" s="109" t="s">
        <v>30</v>
      </c>
      <c r="Y2" s="109" t="s">
        <v>31</v>
      </c>
      <c r="Z2" s="109" t="s">
        <v>32</v>
      </c>
      <c r="AA2" s="109" t="s">
        <v>33</v>
      </c>
      <c r="AB2" s="109" t="s">
        <v>34</v>
      </c>
      <c r="AC2" s="109" t="s">
        <v>35</v>
      </c>
      <c r="AD2" s="34" t="s">
        <v>36</v>
      </c>
      <c r="AE2" s="20" t="s">
        <v>37</v>
      </c>
      <c r="AF2" s="87" t="s">
        <v>38</v>
      </c>
      <c r="AG2" s="87" t="s">
        <v>39</v>
      </c>
      <c r="AH2" s="87" t="s">
        <v>40</v>
      </c>
      <c r="AI2" s="87" t="s">
        <v>41</v>
      </c>
      <c r="AJ2" s="87" t="s">
        <v>42</v>
      </c>
      <c r="AK2" s="87" t="s">
        <v>43</v>
      </c>
      <c r="AL2" s="87" t="s">
        <v>44</v>
      </c>
      <c r="AM2" s="87" t="s">
        <v>45</v>
      </c>
      <c r="AN2" s="87" t="s">
        <v>46</v>
      </c>
      <c r="AO2" s="87" t="s">
        <v>47</v>
      </c>
      <c r="AP2" s="87" t="s">
        <v>48</v>
      </c>
      <c r="AQ2" s="87" t="s">
        <v>49</v>
      </c>
      <c r="AR2" s="87" t="s">
        <v>50</v>
      </c>
      <c r="AS2" s="87" t="s">
        <v>51</v>
      </c>
      <c r="AT2" s="15" t="s">
        <v>52</v>
      </c>
      <c r="AU2" s="20" t="s">
        <v>53</v>
      </c>
      <c r="AV2" s="87" t="s">
        <v>54</v>
      </c>
      <c r="AW2" s="87" t="s">
        <v>55</v>
      </c>
      <c r="AX2" s="87" t="s">
        <v>40</v>
      </c>
      <c r="AY2" s="15" t="s">
        <v>56</v>
      </c>
      <c r="AZ2" s="20" t="s">
        <v>57</v>
      </c>
      <c r="BA2" s="87" t="s">
        <v>58</v>
      </c>
      <c r="BB2" s="15" t="s">
        <v>59</v>
      </c>
      <c r="BC2" s="20" t="s">
        <v>60</v>
      </c>
      <c r="BD2" s="87" t="s">
        <v>61</v>
      </c>
      <c r="BE2" s="87" t="s">
        <v>62</v>
      </c>
      <c r="BF2" s="87" t="s">
        <v>63</v>
      </c>
      <c r="BG2" s="87" t="s">
        <v>64</v>
      </c>
      <c r="BH2" s="87" t="s">
        <v>65</v>
      </c>
      <c r="BI2" s="87" t="s">
        <v>66</v>
      </c>
      <c r="BJ2" s="87" t="s">
        <v>67</v>
      </c>
      <c r="BK2" s="87" t="s">
        <v>68</v>
      </c>
      <c r="BL2" s="87" t="s">
        <v>69</v>
      </c>
      <c r="BM2" s="15" t="s">
        <v>70</v>
      </c>
      <c r="BN2" s="20" t="s">
        <v>71</v>
      </c>
      <c r="BO2" s="87" t="s">
        <v>72</v>
      </c>
      <c r="BP2" s="15" t="s">
        <v>73</v>
      </c>
    </row>
    <row r="3" spans="1:68" x14ac:dyDescent="0.25">
      <c r="A3" s="2" t="s">
        <v>74</v>
      </c>
      <c r="B3" s="3" t="s">
        <v>75</v>
      </c>
      <c r="C3" s="3">
        <v>12</v>
      </c>
      <c r="D3" s="3">
        <v>0</v>
      </c>
      <c r="E3" s="3"/>
      <c r="F3" s="75">
        <v>45491.472488425898</v>
      </c>
      <c r="G3" s="2">
        <v>146.51</v>
      </c>
      <c r="H3" s="6"/>
      <c r="I3" s="6">
        <v>121.58</v>
      </c>
      <c r="J3" s="6">
        <v>12.4</v>
      </c>
      <c r="K3" s="6">
        <v>12.2</v>
      </c>
      <c r="L3" s="6">
        <v>98.4</v>
      </c>
      <c r="M3" s="6">
        <v>16.7</v>
      </c>
      <c r="N3" s="6">
        <v>331</v>
      </c>
      <c r="O3" s="6">
        <v>0.63</v>
      </c>
      <c r="P3" s="6">
        <v>0.57999999999999996</v>
      </c>
      <c r="Q3" s="6">
        <v>6.06</v>
      </c>
      <c r="R3" s="6"/>
      <c r="S3" s="6">
        <v>1.02</v>
      </c>
      <c r="T3" s="6">
        <v>2.4500000000000002</v>
      </c>
      <c r="U3" s="6">
        <v>0.9</v>
      </c>
      <c r="V3" s="6">
        <v>7.0590000000000002</v>
      </c>
      <c r="W3" s="6">
        <v>99.5</v>
      </c>
      <c r="X3" s="6">
        <v>94</v>
      </c>
      <c r="Y3" s="6">
        <v>6.59</v>
      </c>
      <c r="Z3" s="6">
        <v>107.8</v>
      </c>
      <c r="AA3" s="6">
        <v>27.1</v>
      </c>
      <c r="AB3" s="6">
        <v>87.3</v>
      </c>
      <c r="AC3" s="6">
        <v>78.099999999999994</v>
      </c>
      <c r="AD3" s="16">
        <v>7.0970000000000004</v>
      </c>
      <c r="AE3" s="40">
        <v>300</v>
      </c>
      <c r="AF3" s="6">
        <v>50</v>
      </c>
      <c r="AG3" s="6">
        <v>7.09</v>
      </c>
      <c r="AH3" s="43">
        <f>AF3/100</f>
        <v>0.5</v>
      </c>
      <c r="AI3" s="6">
        <v>34</v>
      </c>
      <c r="AJ3" s="6">
        <v>3.3</v>
      </c>
      <c r="AK3" s="69">
        <v>0</v>
      </c>
      <c r="AL3" s="6">
        <v>0</v>
      </c>
      <c r="AM3" s="47">
        <f>BO3</f>
        <v>4.6805555555555498E-3</v>
      </c>
      <c r="AN3" s="6">
        <v>0</v>
      </c>
      <c r="AO3" s="6">
        <v>0</v>
      </c>
      <c r="AP3" s="6">
        <v>711</v>
      </c>
      <c r="AQ3" s="43">
        <v>0</v>
      </c>
      <c r="AR3" s="43">
        <v>0</v>
      </c>
      <c r="AS3" s="43">
        <v>0</v>
      </c>
      <c r="AT3" s="24">
        <v>15</v>
      </c>
      <c r="AU3" s="105">
        <v>1700</v>
      </c>
      <c r="AV3" s="6">
        <v>34</v>
      </c>
      <c r="AW3" s="6">
        <v>7.2</v>
      </c>
      <c r="AX3" s="6">
        <v>50</v>
      </c>
      <c r="AY3" s="21">
        <v>2.9999999999999997E-4</v>
      </c>
      <c r="AZ3" s="8"/>
      <c r="BA3" s="9">
        <f>BJ3*24*60/BE3</f>
        <v>3.9999999999999957E-3</v>
      </c>
      <c r="BB3" s="21">
        <f>BM3/BE3</f>
        <v>9.9999999999999995E-8</v>
      </c>
      <c r="BC3" s="8">
        <f t="shared" ref="BC3:BC20" si="0">AY3*K3*BE3/1000</f>
        <v>6.1671E-3</v>
      </c>
      <c r="BD3" s="9">
        <f t="shared" ref="BD3:BD20" si="1">BC3*24*60</f>
        <v>8.8806239999999992</v>
      </c>
      <c r="BE3" s="9">
        <f t="shared" ref="BE3:BE5" si="2">AU3-AT3</f>
        <v>1685</v>
      </c>
      <c r="BF3" s="10">
        <f t="shared" ref="BF3:BF20" si="3">IF(ISBLANK(AN3),NA(),IFERROR(AN3/BE3,0))</f>
        <v>0</v>
      </c>
      <c r="BG3" s="10">
        <f t="shared" ref="BG3:BG20" si="4">IF(ISBLANK(AN3),NA(),AN3/AU3)</f>
        <v>0</v>
      </c>
      <c r="BH3" s="10">
        <f t="shared" ref="BH3:BH20" si="5">AM3*24*60</f>
        <v>6.7399999999999922</v>
      </c>
      <c r="BI3" s="10" t="str">
        <f>IF(B3="Python",AZ3*AU3/24/60,"")</f>
        <v/>
      </c>
      <c r="BJ3" s="10">
        <v>4.6805555555555498E-3</v>
      </c>
      <c r="BK3" s="35" t="str">
        <f t="shared" ref="BK3:BK20" si="6">IF(B3="No MPC", AY3*K3*BE3/1000,"")</f>
        <v/>
      </c>
      <c r="BL3" s="10"/>
      <c r="BM3" s="92">
        <v>1.685E-4</v>
      </c>
      <c r="BN3" s="27">
        <f>IF(BI3&lt;&gt;"",BI3/0.000385,IF(BJ3&lt;&gt;"",BJ3/0.000385,BK3/0.000385))</f>
        <v>12.157287157287143</v>
      </c>
      <c r="BO3" s="37">
        <f>IF(BI3&lt;&gt;"",BI3,IF(BJ3&lt;&gt;"",BJ3,BK3))</f>
        <v>4.6805555555555498E-3</v>
      </c>
      <c r="BP3" s="32">
        <f t="shared" ref="BP3:BP20" si="7">IF(BL3&lt;&gt;"",BL3,BM3)</f>
        <v>1.685E-4</v>
      </c>
    </row>
    <row r="4" spans="1:68" x14ac:dyDescent="0.25">
      <c r="A4" s="1" t="s">
        <v>76</v>
      </c>
      <c r="B4" t="s">
        <v>75</v>
      </c>
      <c r="C4">
        <v>12</v>
      </c>
      <c r="D4">
        <v>0</v>
      </c>
      <c r="F4" s="68">
        <v>45491.474918981497</v>
      </c>
      <c r="G4" s="1">
        <v>146.51</v>
      </c>
      <c r="H4" s="69"/>
      <c r="I4" s="69">
        <v>118.99</v>
      </c>
      <c r="J4" s="69">
        <v>13.1</v>
      </c>
      <c r="K4" s="69">
        <v>12.9</v>
      </c>
      <c r="L4" s="69">
        <v>98.6</v>
      </c>
      <c r="M4" s="69">
        <v>16.7</v>
      </c>
      <c r="N4" s="69">
        <v>329</v>
      </c>
      <c r="O4" s="69">
        <v>0.63</v>
      </c>
      <c r="P4" s="69">
        <v>0.6</v>
      </c>
      <c r="Q4" s="69">
        <v>5.93</v>
      </c>
      <c r="R4" s="69"/>
      <c r="S4" s="69">
        <v>0.98</v>
      </c>
      <c r="T4" s="69">
        <v>2.34</v>
      </c>
      <c r="U4" s="69">
        <v>0.89</v>
      </c>
      <c r="V4" s="69">
        <v>7.0279999999999996</v>
      </c>
      <c r="W4" s="69">
        <v>103</v>
      </c>
      <c r="X4" s="69">
        <v>59.4</v>
      </c>
      <c r="Y4" s="69">
        <v>6.56</v>
      </c>
      <c r="Z4" s="69">
        <v>108.4</v>
      </c>
      <c r="AA4" s="69">
        <v>26.1</v>
      </c>
      <c r="AB4" s="69">
        <v>90.3</v>
      </c>
      <c r="AC4" s="69">
        <v>48.3</v>
      </c>
      <c r="AD4" s="17">
        <v>7.0650000000000004</v>
      </c>
      <c r="AE4" s="41">
        <v>300</v>
      </c>
      <c r="AF4" s="69">
        <v>50</v>
      </c>
      <c r="AG4" s="69">
        <v>7.1</v>
      </c>
      <c r="AH4" s="70">
        <f t="shared" ref="AH4:AH25" si="8">AF4/100</f>
        <v>0.5</v>
      </c>
      <c r="AI4" s="69">
        <v>34</v>
      </c>
      <c r="AJ4" s="69">
        <v>2.94</v>
      </c>
      <c r="AK4" s="69">
        <v>0</v>
      </c>
      <c r="AL4" s="69">
        <v>0</v>
      </c>
      <c r="AM4" s="70">
        <f t="shared" ref="AM4:AM25" si="9">BO4</f>
        <v>4.6805555555555498E-3</v>
      </c>
      <c r="AN4" s="69">
        <v>0</v>
      </c>
      <c r="AO4" s="69">
        <v>0</v>
      </c>
      <c r="AP4" s="69">
        <v>670</v>
      </c>
      <c r="AQ4" s="70">
        <v>0</v>
      </c>
      <c r="AR4" s="70">
        <v>0</v>
      </c>
      <c r="AS4" s="70">
        <v>0</v>
      </c>
      <c r="AT4" s="25">
        <v>15</v>
      </c>
      <c r="AU4" s="106">
        <v>1700</v>
      </c>
      <c r="AV4" s="69">
        <v>34</v>
      </c>
      <c r="AW4" s="69">
        <v>7.2</v>
      </c>
      <c r="AX4" s="69">
        <v>50</v>
      </c>
      <c r="AY4" s="22">
        <v>2.9999999999999997E-4</v>
      </c>
      <c r="AZ4" s="11"/>
      <c r="BA4" s="71">
        <f>BJ4*24*60/BE4</f>
        <v>3.9999999999999957E-3</v>
      </c>
      <c r="BB4" s="22">
        <f>BM4/BE4</f>
        <v>9.9999999999999995E-8</v>
      </c>
      <c r="BC4" s="11">
        <f t="shared" si="0"/>
        <v>6.5209499999999993E-3</v>
      </c>
      <c r="BD4" s="71">
        <f t="shared" si="1"/>
        <v>9.3901679999999992</v>
      </c>
      <c r="BE4" s="71">
        <f t="shared" si="2"/>
        <v>1685</v>
      </c>
      <c r="BF4" s="72">
        <f t="shared" si="3"/>
        <v>0</v>
      </c>
      <c r="BG4" s="72">
        <f t="shared" si="4"/>
        <v>0</v>
      </c>
      <c r="BH4" s="72">
        <f t="shared" si="5"/>
        <v>6.7399999999999922</v>
      </c>
      <c r="BI4" s="72" t="str">
        <f t="shared" ref="BI4:BI21" si="10">IF(B4="Python",AZ4*BE4/24/60,"")</f>
        <v/>
      </c>
      <c r="BJ4" s="72">
        <v>4.6805555555555498E-3</v>
      </c>
      <c r="BK4" s="73" t="str">
        <f t="shared" si="6"/>
        <v/>
      </c>
      <c r="BL4" s="72"/>
      <c r="BM4" s="93">
        <v>1.685E-4</v>
      </c>
      <c r="BN4" s="28">
        <f t="shared" ref="BN4:BN23" si="11">IF(BI4&lt;&gt;"",BI4/0.000385,IF(BJ4&lt;&gt;"",BJ4/0.000385,BK4/0.000385))</f>
        <v>12.157287157287143</v>
      </c>
      <c r="BO4" s="74">
        <f t="shared" ref="BO4:BO23" si="12">IF(BI4&lt;&gt;"",BI4,IF(BJ4&lt;&gt;"",BJ4,BK4))</f>
        <v>4.6805555555555498E-3</v>
      </c>
      <c r="BP4" s="30">
        <f t="shared" si="7"/>
        <v>1.685E-4</v>
      </c>
    </row>
    <row r="5" spans="1:68" x14ac:dyDescent="0.25">
      <c r="A5" s="1" t="s">
        <v>77</v>
      </c>
      <c r="B5" t="s">
        <v>78</v>
      </c>
      <c r="C5">
        <v>12</v>
      </c>
      <c r="D5">
        <v>0</v>
      </c>
      <c r="F5" s="68">
        <v>45491.477488425902</v>
      </c>
      <c r="G5" s="1">
        <v>146.51</v>
      </c>
      <c r="H5" s="69"/>
      <c r="I5" s="69">
        <v>118.11</v>
      </c>
      <c r="J5" s="69">
        <v>13.5</v>
      </c>
      <c r="K5" s="69">
        <v>13.3</v>
      </c>
      <c r="L5" s="69">
        <v>98.1</v>
      </c>
      <c r="M5" s="69">
        <v>16.600000000000001</v>
      </c>
      <c r="N5" s="69">
        <v>327</v>
      </c>
      <c r="O5" s="69">
        <v>0.63</v>
      </c>
      <c r="P5" s="69">
        <v>0.61</v>
      </c>
      <c r="Q5" s="69">
        <v>5.96</v>
      </c>
      <c r="R5" s="69"/>
      <c r="S5" s="69">
        <v>0.97</v>
      </c>
      <c r="T5" s="69">
        <v>2.36</v>
      </c>
      <c r="U5" s="69">
        <v>0.93</v>
      </c>
      <c r="V5" s="69">
        <v>7.0679999999999996</v>
      </c>
      <c r="W5" s="69">
        <v>95</v>
      </c>
      <c r="X5" s="69">
        <v>55.9</v>
      </c>
      <c r="Y5" s="69">
        <v>6.59</v>
      </c>
      <c r="Z5" s="69">
        <v>106.4</v>
      </c>
      <c r="AA5" s="69">
        <v>26.4</v>
      </c>
      <c r="AB5" s="69">
        <v>83.4</v>
      </c>
      <c r="AC5" s="69">
        <v>45.4</v>
      </c>
      <c r="AD5" s="17">
        <v>7.1050000000000004</v>
      </c>
      <c r="AE5" s="41">
        <v>300</v>
      </c>
      <c r="AF5" s="69">
        <v>49.3</v>
      </c>
      <c r="AG5" s="69">
        <v>7.1</v>
      </c>
      <c r="AH5" s="70">
        <f t="shared" si="8"/>
        <v>0.49299999999999999</v>
      </c>
      <c r="AI5" s="69">
        <v>34</v>
      </c>
      <c r="AJ5" s="69">
        <v>3.13</v>
      </c>
      <c r="AK5" s="69">
        <v>0</v>
      </c>
      <c r="AL5" s="69">
        <v>0</v>
      </c>
      <c r="AM5" s="70">
        <f t="shared" si="9"/>
        <v>6.9716747687283455E-3</v>
      </c>
      <c r="AN5" s="69">
        <v>0</v>
      </c>
      <c r="AO5" s="69">
        <v>0</v>
      </c>
      <c r="AP5" s="69">
        <v>775</v>
      </c>
      <c r="AQ5" s="70">
        <v>0</v>
      </c>
      <c r="AR5" s="70">
        <v>0</v>
      </c>
      <c r="AS5" s="70">
        <v>0</v>
      </c>
      <c r="AT5" s="25">
        <v>15</v>
      </c>
      <c r="AU5" s="106">
        <v>1700</v>
      </c>
      <c r="AV5" s="69">
        <v>34</v>
      </c>
      <c r="AW5" s="69">
        <v>7.2</v>
      </c>
      <c r="AX5" s="69">
        <v>50</v>
      </c>
      <c r="AY5" s="22">
        <v>2.9999999999999997E-4</v>
      </c>
      <c r="AZ5" s="11">
        <v>5.9579891198627997E-3</v>
      </c>
      <c r="BA5" s="67"/>
      <c r="BB5" s="22"/>
      <c r="BC5" s="11">
        <f t="shared" si="0"/>
        <v>6.7231499999999998E-3</v>
      </c>
      <c r="BD5" s="71">
        <f t="shared" si="1"/>
        <v>9.6813359999999999</v>
      </c>
      <c r="BE5" s="71">
        <f t="shared" si="2"/>
        <v>1685</v>
      </c>
      <c r="BF5" s="72">
        <f t="shared" si="3"/>
        <v>0</v>
      </c>
      <c r="BG5" s="72">
        <f t="shared" si="4"/>
        <v>0</v>
      </c>
      <c r="BH5" s="72">
        <f t="shared" si="5"/>
        <v>10.039211666968818</v>
      </c>
      <c r="BI5" s="72">
        <f t="shared" si="10"/>
        <v>6.9716747687283455E-3</v>
      </c>
      <c r="BJ5" s="73" t="str">
        <f t="shared" ref="BJ5:BJ21" si="13">IF(B5="Julia",BA5*BE5/24/60,"")</f>
        <v/>
      </c>
      <c r="BK5" s="73" t="str">
        <f t="shared" si="6"/>
        <v/>
      </c>
      <c r="BL5" s="72">
        <v>0</v>
      </c>
      <c r="BM5" s="93" t="str">
        <f t="shared" ref="BM5:BM21" si="14">IF(B5="Julia",BB5*BE5,"")</f>
        <v/>
      </c>
      <c r="BN5" s="28">
        <f t="shared" si="11"/>
        <v>18.10824615254116</v>
      </c>
      <c r="BO5" s="74">
        <f t="shared" si="12"/>
        <v>6.9716747687283455E-3</v>
      </c>
      <c r="BP5" s="30">
        <f t="shared" si="7"/>
        <v>0</v>
      </c>
    </row>
    <row r="6" spans="1:68" ht="15.75" thickBot="1" x14ac:dyDescent="0.3">
      <c r="A6" s="4" t="s">
        <v>79</v>
      </c>
      <c r="B6" s="5" t="s">
        <v>78</v>
      </c>
      <c r="C6" s="5">
        <v>12</v>
      </c>
      <c r="D6" s="5">
        <v>0</v>
      </c>
      <c r="E6" s="5"/>
      <c r="F6" s="76">
        <v>45491.480787036999</v>
      </c>
      <c r="G6" s="4">
        <v>146.51</v>
      </c>
      <c r="H6" s="7"/>
      <c r="I6" s="7">
        <v>121.99</v>
      </c>
      <c r="J6" s="7">
        <v>12.5</v>
      </c>
      <c r="K6" s="7">
        <v>12.2</v>
      </c>
      <c r="L6" s="7">
        <v>97.7</v>
      </c>
      <c r="M6" s="7">
        <v>16.5</v>
      </c>
      <c r="N6" s="7">
        <v>334</v>
      </c>
      <c r="O6" s="7">
        <v>0.64</v>
      </c>
      <c r="P6" s="7">
        <v>0.61</v>
      </c>
      <c r="Q6" s="7">
        <v>5.91</v>
      </c>
      <c r="R6" s="7"/>
      <c r="S6" s="7">
        <v>0.95</v>
      </c>
      <c r="T6" s="7">
        <v>2.34</v>
      </c>
      <c r="U6" s="7">
        <v>0.94</v>
      </c>
      <c r="V6" s="7">
        <v>7.0460000000000003</v>
      </c>
      <c r="W6" s="7">
        <v>92.7</v>
      </c>
      <c r="X6" s="7">
        <v>58.7</v>
      </c>
      <c r="Y6" s="7">
        <v>6.57</v>
      </c>
      <c r="Z6" s="7">
        <v>106.9</v>
      </c>
      <c r="AA6" s="7">
        <v>24.5</v>
      </c>
      <c r="AB6" s="7">
        <v>81.3</v>
      </c>
      <c r="AC6" s="7">
        <v>47.7</v>
      </c>
      <c r="AD6" s="18">
        <v>7.0839999999999996</v>
      </c>
      <c r="AE6" s="42">
        <v>300</v>
      </c>
      <c r="AF6" s="7">
        <v>48.9</v>
      </c>
      <c r="AG6" s="7">
        <v>7.09</v>
      </c>
      <c r="AH6" s="44">
        <f t="shared" si="8"/>
        <v>0.48899999999999999</v>
      </c>
      <c r="AI6" s="7">
        <v>34</v>
      </c>
      <c r="AJ6" s="7">
        <v>2.85</v>
      </c>
      <c r="AK6" s="7">
        <v>0</v>
      </c>
      <c r="AL6" s="7">
        <v>0</v>
      </c>
      <c r="AM6" s="44">
        <f t="shared" si="9"/>
        <v>8.4868529347877988E-3</v>
      </c>
      <c r="AN6" s="7">
        <v>0</v>
      </c>
      <c r="AO6" s="7">
        <v>0</v>
      </c>
      <c r="AP6" s="7">
        <v>620</v>
      </c>
      <c r="AQ6" s="44">
        <v>0</v>
      </c>
      <c r="AR6" s="44">
        <v>0</v>
      </c>
      <c r="AS6" s="44">
        <v>0</v>
      </c>
      <c r="AT6" s="26">
        <v>15</v>
      </c>
      <c r="AU6" s="107">
        <v>1700</v>
      </c>
      <c r="AV6" s="7">
        <v>34</v>
      </c>
      <c r="AW6" s="7">
        <v>7.2</v>
      </c>
      <c r="AX6" s="7">
        <v>50</v>
      </c>
      <c r="AY6" s="23">
        <v>2.9999999999999997E-4</v>
      </c>
      <c r="AZ6" s="12">
        <v>7.2528594813616801E-3</v>
      </c>
      <c r="BA6" s="5"/>
      <c r="BB6" s="23"/>
      <c r="BC6" s="12">
        <f t="shared" si="0"/>
        <v>6.1671E-3</v>
      </c>
      <c r="BD6" s="13">
        <f t="shared" si="1"/>
        <v>8.8806239999999992</v>
      </c>
      <c r="BE6" s="13">
        <f>AU6-AT6</f>
        <v>1685</v>
      </c>
      <c r="BF6" s="14">
        <f t="shared" si="3"/>
        <v>0</v>
      </c>
      <c r="BG6" s="14">
        <f t="shared" si="4"/>
        <v>0</v>
      </c>
      <c r="BH6" s="14">
        <f t="shared" si="5"/>
        <v>12.221068226094431</v>
      </c>
      <c r="BI6" s="14">
        <f t="shared" si="10"/>
        <v>8.4868529347877988E-3</v>
      </c>
      <c r="BJ6" s="73" t="str">
        <f t="shared" si="13"/>
        <v/>
      </c>
      <c r="BK6" s="36" t="str">
        <f t="shared" si="6"/>
        <v/>
      </c>
      <c r="BL6" s="14">
        <v>0</v>
      </c>
      <c r="BM6" s="94" t="str">
        <f t="shared" si="14"/>
        <v/>
      </c>
      <c r="BN6" s="29">
        <f t="shared" si="11"/>
        <v>22.043773856591688</v>
      </c>
      <c r="BO6" s="38">
        <f t="shared" si="12"/>
        <v>8.4868529347877988E-3</v>
      </c>
      <c r="BP6" s="31">
        <f t="shared" si="7"/>
        <v>0</v>
      </c>
    </row>
    <row r="7" spans="1:68" x14ac:dyDescent="0.25">
      <c r="A7" s="2" t="s">
        <v>74</v>
      </c>
      <c r="B7" s="3" t="s">
        <v>75</v>
      </c>
      <c r="C7" s="3">
        <v>12</v>
      </c>
      <c r="D7" s="3">
        <v>1</v>
      </c>
      <c r="E7" s="3"/>
      <c r="F7" s="68">
        <v>45492.338194444441</v>
      </c>
      <c r="G7" s="2">
        <v>509.83</v>
      </c>
      <c r="H7" s="6"/>
      <c r="I7" s="6">
        <v>430.17</v>
      </c>
      <c r="J7" s="6">
        <v>17</v>
      </c>
      <c r="K7" s="6">
        <v>16.7</v>
      </c>
      <c r="L7" s="6">
        <v>98.3</v>
      </c>
      <c r="M7" s="6">
        <v>16.8</v>
      </c>
      <c r="N7" s="6">
        <v>333</v>
      </c>
      <c r="O7" s="6">
        <v>1.82</v>
      </c>
      <c r="P7" s="6">
        <v>0.56000000000000005</v>
      </c>
      <c r="Q7" s="6">
        <v>0.93</v>
      </c>
      <c r="R7" s="6"/>
      <c r="S7" s="6">
        <v>0.56000000000000005</v>
      </c>
      <c r="T7" s="6">
        <v>2.56</v>
      </c>
      <c r="U7" s="6">
        <v>2.87</v>
      </c>
      <c r="V7" s="6">
        <v>7.0629999999999997</v>
      </c>
      <c r="W7" s="6">
        <v>123.7</v>
      </c>
      <c r="X7" s="6">
        <v>69</v>
      </c>
      <c r="Y7" s="6">
        <v>136.30000000000001</v>
      </c>
      <c r="Z7" s="6">
        <v>4.99</v>
      </c>
      <c r="AA7" s="6">
        <v>34.1</v>
      </c>
      <c r="AB7" s="6">
        <v>108.5</v>
      </c>
      <c r="AC7" s="6">
        <v>56.3</v>
      </c>
      <c r="AD7" s="16">
        <v>7.101</v>
      </c>
      <c r="AE7" s="40">
        <v>300</v>
      </c>
      <c r="AF7" s="6">
        <v>49.7</v>
      </c>
      <c r="AG7" s="6">
        <v>7.1</v>
      </c>
      <c r="AH7" s="43">
        <f t="shared" si="8"/>
        <v>0.49700000000000005</v>
      </c>
      <c r="AI7" s="6">
        <v>34</v>
      </c>
      <c r="AJ7" s="6">
        <v>19.36</v>
      </c>
      <c r="AK7" s="6">
        <v>0</v>
      </c>
      <c r="AL7" s="6">
        <v>1</v>
      </c>
      <c r="AM7" s="43">
        <f t="shared" si="9"/>
        <v>7.0290626807434503E-3</v>
      </c>
      <c r="AN7" s="6">
        <v>5</v>
      </c>
      <c r="AO7" s="6">
        <v>0</v>
      </c>
      <c r="AP7" s="6">
        <v>709</v>
      </c>
      <c r="AQ7" s="43">
        <f t="shared" ref="AQ7:AQ11" si="15">AN7-AN3</f>
        <v>5</v>
      </c>
      <c r="AR7" s="43">
        <f t="shared" ref="AR7:AR11" si="16">AO7-AO3</f>
        <v>0</v>
      </c>
      <c r="AS7" s="43">
        <f>AP3-AP7</f>
        <v>2</v>
      </c>
      <c r="AT7" s="24">
        <v>15</v>
      </c>
      <c r="AU7" s="105">
        <v>1700</v>
      </c>
      <c r="AV7" s="6">
        <v>34</v>
      </c>
      <c r="AW7" s="6">
        <v>7.2</v>
      </c>
      <c r="AX7" s="6">
        <v>50</v>
      </c>
      <c r="AY7" s="21">
        <v>2.9999999999999997E-4</v>
      </c>
      <c r="AZ7" s="8"/>
      <c r="BA7" s="9">
        <f>BJ7*24*60/BE7</f>
        <v>5.9703250402690687E-3</v>
      </c>
      <c r="BB7" s="21">
        <f>BM7/BE7</f>
        <v>9.9283171245639866E-3</v>
      </c>
      <c r="BC7" s="8">
        <f t="shared" si="0"/>
        <v>8.4937535999999991E-3</v>
      </c>
      <c r="BD7" s="9">
        <f t="shared" si="1"/>
        <v>12.231005183999997</v>
      </c>
      <c r="BE7" s="9">
        <f t="shared" ref="BE7:BE25" si="17">AU7+SUM(AJ7:AL7,AN7:AO7)-(AT7*(D7+1))</f>
        <v>1695.36</v>
      </c>
      <c r="BF7" s="10">
        <f t="shared" si="3"/>
        <v>2.949226123065308E-3</v>
      </c>
      <c r="BG7" s="10">
        <f t="shared" si="4"/>
        <v>2.9411764705882353E-3</v>
      </c>
      <c r="BH7" s="10">
        <f t="shared" si="5"/>
        <v>10.121850260270568</v>
      </c>
      <c r="BI7" s="10" t="str">
        <f t="shared" si="10"/>
        <v/>
      </c>
      <c r="BJ7" s="10">
        <v>7.0290626807434503E-3</v>
      </c>
      <c r="BK7" s="35" t="str">
        <f t="shared" si="6"/>
        <v/>
      </c>
      <c r="BL7" s="10" t="str">
        <f>IF(IF(B7&lt;&gt;"Julia",((5-Q7)*BE7)/400, "")&lt;0,0,IF(B7&lt;&gt;"Julia",((5-Q7)*BE7)/400, ""))</f>
        <v/>
      </c>
      <c r="BM7" s="92">
        <v>16.832071720300799</v>
      </c>
      <c r="BN7" s="28">
        <f t="shared" si="11"/>
        <v>18.257305664268703</v>
      </c>
      <c r="BO7" s="74">
        <f t="shared" si="12"/>
        <v>7.0290626807434503E-3</v>
      </c>
      <c r="BP7" s="30">
        <f t="shared" si="7"/>
        <v>16.832071720300799</v>
      </c>
    </row>
    <row r="8" spans="1:68" x14ac:dyDescent="0.25">
      <c r="A8" s="1" t="s">
        <v>76</v>
      </c>
      <c r="B8" t="s">
        <v>75</v>
      </c>
      <c r="C8">
        <v>12</v>
      </c>
      <c r="D8">
        <v>1</v>
      </c>
      <c r="E8" t="s">
        <v>80</v>
      </c>
      <c r="F8" s="68">
        <v>45492.34097222222</v>
      </c>
      <c r="G8" s="1">
        <v>509.83</v>
      </c>
      <c r="H8" s="69"/>
      <c r="I8" s="69">
        <v>436.43</v>
      </c>
      <c r="J8" s="69">
        <v>17.8</v>
      </c>
      <c r="K8" s="69">
        <v>17.399999999999999</v>
      </c>
      <c r="L8" s="69">
        <v>97.6</v>
      </c>
      <c r="M8" s="69">
        <v>16.7</v>
      </c>
      <c r="N8" s="69">
        <v>338</v>
      </c>
      <c r="O8" s="69">
        <v>3.49</v>
      </c>
      <c r="P8" s="69">
        <v>0.52</v>
      </c>
      <c r="Q8" s="69">
        <v>0.46</v>
      </c>
      <c r="R8" s="69"/>
      <c r="S8" s="69">
        <v>0.4</v>
      </c>
      <c r="T8" s="69">
        <v>1.81</v>
      </c>
      <c r="U8" s="69">
        <v>3.15</v>
      </c>
      <c r="V8" s="69">
        <v>7.1050000000000004</v>
      </c>
      <c r="W8" s="69">
        <v>137.69999999999999</v>
      </c>
      <c r="X8" s="69">
        <v>24.9</v>
      </c>
      <c r="Y8" s="69">
        <v>137.19999999999999</v>
      </c>
      <c r="Z8" s="69">
        <v>4.97</v>
      </c>
      <c r="AA8" s="69">
        <v>41.9</v>
      </c>
      <c r="AB8" s="69">
        <v>120.8</v>
      </c>
      <c r="AC8" s="69">
        <v>20.100000000000001</v>
      </c>
      <c r="AD8" s="17">
        <v>7.1440000000000001</v>
      </c>
      <c r="AE8" s="41">
        <v>300</v>
      </c>
      <c r="AF8" s="69">
        <v>47.8</v>
      </c>
      <c r="AG8" s="69">
        <v>7.1</v>
      </c>
      <c r="AH8" s="70">
        <f t="shared" si="8"/>
        <v>0.47799999999999998</v>
      </c>
      <c r="AI8" s="69">
        <v>34</v>
      </c>
      <c r="AJ8" s="69">
        <v>19.71</v>
      </c>
      <c r="AK8" s="69">
        <v>0</v>
      </c>
      <c r="AL8" s="69">
        <v>1</v>
      </c>
      <c r="AM8" s="70">
        <f t="shared" si="9"/>
        <v>7.37045380679486E-3</v>
      </c>
      <c r="AN8" s="69">
        <v>5</v>
      </c>
      <c r="AO8" s="69">
        <v>0</v>
      </c>
      <c r="AP8" s="69">
        <v>640</v>
      </c>
      <c r="AQ8" s="70">
        <f t="shared" si="15"/>
        <v>5</v>
      </c>
      <c r="AR8" s="70">
        <f t="shared" si="16"/>
        <v>0</v>
      </c>
      <c r="AS8" s="70">
        <f t="shared" ref="AS8:AS11" si="18">AP4-AP8</f>
        <v>30</v>
      </c>
      <c r="AT8" s="25">
        <v>15</v>
      </c>
      <c r="AU8" s="106">
        <v>1700</v>
      </c>
      <c r="AV8" s="69">
        <v>34</v>
      </c>
      <c r="AW8" s="69">
        <v>7.2</v>
      </c>
      <c r="AX8" s="69">
        <v>50</v>
      </c>
      <c r="AY8" s="22">
        <v>2.9999999999999997E-4</v>
      </c>
      <c r="AZ8" s="11"/>
      <c r="BA8" s="71">
        <f>BJ8*24*60/BE8</f>
        <v>6.2590027078831875E-3</v>
      </c>
      <c r="BB8" s="22">
        <f>BM8/BE8</f>
        <v>1.0979069734018257E-2</v>
      </c>
      <c r="BC8" s="11">
        <f t="shared" si="0"/>
        <v>8.8516061999999989E-3</v>
      </c>
      <c r="BD8" s="71">
        <f t="shared" si="1"/>
        <v>12.746312927999998</v>
      </c>
      <c r="BE8" s="71">
        <f t="shared" si="17"/>
        <v>1695.71</v>
      </c>
      <c r="BF8" s="72">
        <f t="shared" si="3"/>
        <v>2.9486173933042795E-3</v>
      </c>
      <c r="BG8" s="72">
        <f t="shared" si="4"/>
        <v>2.9411764705882353E-3</v>
      </c>
      <c r="BH8" s="72">
        <f t="shared" si="5"/>
        <v>10.6134534817846</v>
      </c>
      <c r="BI8" s="72" t="str">
        <f t="shared" si="10"/>
        <v/>
      </c>
      <c r="BJ8" s="72">
        <v>7.37045380679486E-3</v>
      </c>
      <c r="BK8" s="73" t="str">
        <f t="shared" si="6"/>
        <v/>
      </c>
      <c r="BL8" s="72" t="str">
        <f>IF(IF(B8&lt;&gt;"Julia",((5-Q8)*BE8)/400, "")&lt;0,0,IF(B8&lt;&gt;"Julia",((5-Q8)*BE8)/400, ""))</f>
        <v/>
      </c>
      <c r="BM8" s="93">
        <v>18.617318338672099</v>
      </c>
      <c r="BN8" s="28">
        <f t="shared" si="11"/>
        <v>19.144035861804831</v>
      </c>
      <c r="BO8" s="74">
        <f t="shared" si="12"/>
        <v>7.37045380679486E-3</v>
      </c>
      <c r="BP8" s="30">
        <f t="shared" si="7"/>
        <v>18.617318338672099</v>
      </c>
    </row>
    <row r="9" spans="1:68" x14ac:dyDescent="0.25">
      <c r="A9" s="1" t="s">
        <v>77</v>
      </c>
      <c r="B9" t="s">
        <v>78</v>
      </c>
      <c r="C9">
        <v>12</v>
      </c>
      <c r="D9">
        <v>1</v>
      </c>
      <c r="F9" s="68">
        <v>45492.34375</v>
      </c>
      <c r="G9" s="1">
        <v>509.83</v>
      </c>
      <c r="H9" s="69"/>
      <c r="I9" s="69">
        <v>433.26</v>
      </c>
      <c r="J9" s="69">
        <v>17.100000000000001</v>
      </c>
      <c r="K9" s="69">
        <v>16.8</v>
      </c>
      <c r="L9" s="69">
        <v>98.4</v>
      </c>
      <c r="M9" s="69">
        <v>17</v>
      </c>
      <c r="N9" s="69">
        <v>339</v>
      </c>
      <c r="O9" s="69">
        <v>1.85</v>
      </c>
      <c r="P9" s="69">
        <v>0.54</v>
      </c>
      <c r="Q9" s="69">
        <v>1.1100000000000001</v>
      </c>
      <c r="R9" s="69"/>
      <c r="S9" s="69">
        <v>0.68</v>
      </c>
      <c r="T9" s="69">
        <v>2.56</v>
      </c>
      <c r="U9" s="69">
        <v>2.99</v>
      </c>
      <c r="V9" s="69">
        <v>7.07</v>
      </c>
      <c r="W9" s="69">
        <v>117.2</v>
      </c>
      <c r="X9" s="69">
        <v>54.1</v>
      </c>
      <c r="Y9" s="69">
        <v>136.30000000000001</v>
      </c>
      <c r="Z9" s="69">
        <v>5</v>
      </c>
      <c r="AA9" s="69">
        <v>32.799999999999997</v>
      </c>
      <c r="AB9" s="69">
        <v>102.8</v>
      </c>
      <c r="AC9" s="69">
        <v>43.9</v>
      </c>
      <c r="AD9" s="17">
        <v>7.1079999999999997</v>
      </c>
      <c r="AE9" s="41">
        <v>300</v>
      </c>
      <c r="AF9" s="69">
        <v>49.5</v>
      </c>
      <c r="AG9" s="69">
        <v>7.1</v>
      </c>
      <c r="AH9" s="70">
        <f t="shared" si="8"/>
        <v>0.495</v>
      </c>
      <c r="AI9" s="69">
        <v>34</v>
      </c>
      <c r="AJ9" s="69">
        <v>19.48</v>
      </c>
      <c r="AK9" s="69">
        <v>0</v>
      </c>
      <c r="AL9" s="69">
        <v>1</v>
      </c>
      <c r="AM9" s="70">
        <f t="shared" si="9"/>
        <v>5.3061875000344899E-3</v>
      </c>
      <c r="AN9" s="69">
        <v>7.5</v>
      </c>
      <c r="AO9" s="69">
        <v>0</v>
      </c>
      <c r="AP9" s="69">
        <v>772</v>
      </c>
      <c r="AQ9" s="70">
        <f t="shared" si="15"/>
        <v>7.5</v>
      </c>
      <c r="AR9" s="70">
        <f t="shared" si="16"/>
        <v>0</v>
      </c>
      <c r="AS9" s="70">
        <f t="shared" si="18"/>
        <v>3</v>
      </c>
      <c r="AT9" s="25">
        <v>15</v>
      </c>
      <c r="AU9" s="106">
        <v>1700</v>
      </c>
      <c r="AV9" s="69">
        <v>34</v>
      </c>
      <c r="AW9" s="69">
        <v>7.2</v>
      </c>
      <c r="AX9" s="69">
        <v>50</v>
      </c>
      <c r="AY9" s="22">
        <v>2.9999999999999997E-4</v>
      </c>
      <c r="AZ9" s="11">
        <v>4.5000000000292497E-3</v>
      </c>
      <c r="BA9" s="67"/>
      <c r="BB9" s="99"/>
      <c r="BC9" s="11">
        <f t="shared" si="0"/>
        <v>8.5578191999999987E-3</v>
      </c>
      <c r="BD9" s="71">
        <f t="shared" si="1"/>
        <v>12.323259647999999</v>
      </c>
      <c r="BE9" s="71">
        <f t="shared" si="17"/>
        <v>1697.98</v>
      </c>
      <c r="BF9" s="72">
        <f t="shared" si="3"/>
        <v>4.4170131568098568E-3</v>
      </c>
      <c r="BG9" s="72">
        <f t="shared" si="4"/>
        <v>4.4117647058823529E-3</v>
      </c>
      <c r="BH9" s="72">
        <f t="shared" si="5"/>
        <v>7.640910000049665</v>
      </c>
      <c r="BI9" s="72">
        <f t="shared" si="10"/>
        <v>5.3061875000344899E-3</v>
      </c>
      <c r="BJ9" s="72" t="str">
        <f t="shared" si="13"/>
        <v/>
      </c>
      <c r="BK9" s="73" t="str">
        <f t="shared" si="6"/>
        <v/>
      </c>
      <c r="BL9" s="95">
        <f>IF(IF(B9&lt;&gt;"Julia",((5-Q9)*BE9)/400, "")&lt;0,0,IF(B9&lt;&gt;"Julia",((5-Q9)*BE9)/400, ""))</f>
        <v>16.512855499999997</v>
      </c>
      <c r="BM9" s="93" t="str">
        <f t="shared" si="14"/>
        <v/>
      </c>
      <c r="BN9" s="28">
        <f t="shared" si="11"/>
        <v>13.78230519489478</v>
      </c>
      <c r="BO9" s="74">
        <f t="shared" si="12"/>
        <v>5.3061875000344899E-3</v>
      </c>
      <c r="BP9" s="46">
        <f t="shared" si="7"/>
        <v>16.512855499999997</v>
      </c>
    </row>
    <row r="10" spans="1:68" ht="15.75" thickBot="1" x14ac:dyDescent="0.3">
      <c r="A10" s="1" t="s">
        <v>79</v>
      </c>
      <c r="B10" t="s">
        <v>78</v>
      </c>
      <c r="C10">
        <v>12</v>
      </c>
      <c r="D10">
        <v>1</v>
      </c>
      <c r="F10" s="68">
        <v>45492.345833333333</v>
      </c>
      <c r="G10" s="4">
        <v>509.83</v>
      </c>
      <c r="H10" s="7"/>
      <c r="I10" s="7">
        <v>424.31</v>
      </c>
      <c r="J10" s="7">
        <v>18</v>
      </c>
      <c r="K10" s="7">
        <v>17.600000000000001</v>
      </c>
      <c r="L10" s="7">
        <v>98.1</v>
      </c>
      <c r="M10" s="7">
        <v>16.899999999999999</v>
      </c>
      <c r="N10" s="7">
        <v>336</v>
      </c>
      <c r="O10" s="7">
        <v>1.75</v>
      </c>
      <c r="P10" s="7">
        <v>0.53</v>
      </c>
      <c r="Q10" s="7">
        <v>0.99</v>
      </c>
      <c r="R10" s="7"/>
      <c r="S10" s="7">
        <v>0.65</v>
      </c>
      <c r="T10" s="7">
        <v>2.56</v>
      </c>
      <c r="U10" s="7">
        <v>3.06</v>
      </c>
      <c r="V10" s="7">
        <v>7.0709999999999997</v>
      </c>
      <c r="W10" s="7">
        <v>98.6</v>
      </c>
      <c r="X10" s="7">
        <v>64.099999999999994</v>
      </c>
      <c r="Y10" s="7">
        <v>134.69999999999999</v>
      </c>
      <c r="Z10" s="7">
        <v>4.88</v>
      </c>
      <c r="AA10" s="7">
        <v>27.6</v>
      </c>
      <c r="AB10" s="7">
        <v>86.4</v>
      </c>
      <c r="AC10" s="7">
        <v>52.2</v>
      </c>
      <c r="AD10" s="18">
        <v>7.1079999999999997</v>
      </c>
      <c r="AE10" s="42">
        <v>300</v>
      </c>
      <c r="AF10" s="7">
        <v>50.6</v>
      </c>
      <c r="AG10" s="7">
        <v>7.1</v>
      </c>
      <c r="AH10" s="44">
        <f t="shared" si="8"/>
        <v>0.50600000000000001</v>
      </c>
      <c r="AI10" s="7">
        <v>34</v>
      </c>
      <c r="AJ10" s="7">
        <v>19.38</v>
      </c>
      <c r="AK10" s="7">
        <v>0</v>
      </c>
      <c r="AL10" s="7">
        <v>1</v>
      </c>
      <c r="AM10" s="44">
        <f t="shared" si="9"/>
        <v>5.3108750041710312E-3</v>
      </c>
      <c r="AN10" s="7">
        <v>9.1</v>
      </c>
      <c r="AO10" s="7">
        <v>0</v>
      </c>
      <c r="AP10" s="7">
        <v>617</v>
      </c>
      <c r="AQ10" s="44">
        <f t="shared" si="15"/>
        <v>9.1</v>
      </c>
      <c r="AR10" s="44">
        <f t="shared" si="16"/>
        <v>0</v>
      </c>
      <c r="AS10" s="44">
        <f t="shared" si="18"/>
        <v>3</v>
      </c>
      <c r="AT10" s="26">
        <v>15</v>
      </c>
      <c r="AU10" s="107">
        <v>1700</v>
      </c>
      <c r="AV10" s="7">
        <v>34</v>
      </c>
      <c r="AW10" s="7">
        <v>7.2</v>
      </c>
      <c r="AX10" s="7">
        <v>50</v>
      </c>
      <c r="AY10" s="23">
        <v>2.9999999999999997E-4</v>
      </c>
      <c r="AZ10" s="12">
        <v>4.50000000353419E-3</v>
      </c>
      <c r="BA10" s="13"/>
      <c r="BB10" s="23"/>
      <c r="BC10" s="12">
        <f t="shared" si="0"/>
        <v>8.9732544000000001E-3</v>
      </c>
      <c r="BD10" s="13">
        <f t="shared" si="1"/>
        <v>12.921486336000001</v>
      </c>
      <c r="BE10" s="13">
        <f t="shared" si="17"/>
        <v>1699.48</v>
      </c>
      <c r="BF10" s="14">
        <f t="shared" si="3"/>
        <v>5.354579047708711E-3</v>
      </c>
      <c r="BG10" s="14">
        <f t="shared" si="4"/>
        <v>5.3529411764705881E-3</v>
      </c>
      <c r="BH10" s="14">
        <f t="shared" si="5"/>
        <v>7.6476600060062854</v>
      </c>
      <c r="BI10" s="14">
        <f t="shared" si="10"/>
        <v>5.3108750041710312E-3</v>
      </c>
      <c r="BJ10" s="14" t="str">
        <f t="shared" si="13"/>
        <v/>
      </c>
      <c r="BK10" s="36" t="str">
        <f t="shared" si="6"/>
        <v/>
      </c>
      <c r="BL10" s="45">
        <f>IF(IF(B10&lt;&gt;"Julia",((5-Q10)*BE10)/400, "")&lt;0,0,IF(B10&lt;&gt;"Julia",((5-Q10)*BE10)/400, ""))</f>
        <v>17.037286999999999</v>
      </c>
      <c r="BM10" s="94" t="str">
        <f t="shared" si="14"/>
        <v/>
      </c>
      <c r="BN10" s="28">
        <f t="shared" si="11"/>
        <v>13.794480530314367</v>
      </c>
      <c r="BO10" s="74">
        <f t="shared" si="12"/>
        <v>5.3108750041710312E-3</v>
      </c>
      <c r="BP10" s="46">
        <f t="shared" si="7"/>
        <v>17.037286999999999</v>
      </c>
    </row>
    <row r="11" spans="1:68" x14ac:dyDescent="0.25">
      <c r="A11" s="2" t="s">
        <v>74</v>
      </c>
      <c r="B11" s="3" t="s">
        <v>75</v>
      </c>
      <c r="C11" s="3">
        <v>12</v>
      </c>
      <c r="D11" s="3">
        <v>2</v>
      </c>
      <c r="E11" s="3" t="s">
        <v>81</v>
      </c>
      <c r="F11" s="75">
        <v>45493.525694444397</v>
      </c>
      <c r="G11" s="1">
        <v>997.91</v>
      </c>
      <c r="H11" s="69"/>
      <c r="I11" s="69">
        <v>933.27</v>
      </c>
      <c r="J11" s="69">
        <v>22.8</v>
      </c>
      <c r="K11" s="69">
        <v>22.3</v>
      </c>
      <c r="L11" s="69">
        <v>97.8</v>
      </c>
      <c r="M11" s="69">
        <v>16.899999999999999</v>
      </c>
      <c r="N11" s="69">
        <v>331</v>
      </c>
      <c r="O11" s="69">
        <v>1.6</v>
      </c>
      <c r="P11" s="69">
        <v>0.43</v>
      </c>
      <c r="Q11" s="69">
        <v>0.04</v>
      </c>
      <c r="R11" s="69"/>
      <c r="S11" s="69">
        <v>0.1</v>
      </c>
      <c r="T11" s="69">
        <v>0.04</v>
      </c>
      <c r="U11" s="69">
        <v>3.86</v>
      </c>
      <c r="V11" s="69">
        <v>7.0960000000000001</v>
      </c>
      <c r="W11" s="69">
        <v>126.4</v>
      </c>
      <c r="X11" s="69">
        <v>57.8</v>
      </c>
      <c r="Y11" s="69">
        <v>147.5</v>
      </c>
      <c r="Z11" s="69">
        <v>3.37</v>
      </c>
      <c r="AA11" s="69">
        <v>37.6</v>
      </c>
      <c r="AB11" s="69">
        <v>110.9</v>
      </c>
      <c r="AC11" s="69">
        <v>47</v>
      </c>
      <c r="AD11" s="17">
        <v>7.1340000000000003</v>
      </c>
      <c r="AE11" s="40">
        <v>300</v>
      </c>
      <c r="AF11" s="6">
        <v>51.2</v>
      </c>
      <c r="AG11" s="6">
        <v>7.11</v>
      </c>
      <c r="AH11" s="43">
        <f t="shared" si="8"/>
        <v>0.51200000000000001</v>
      </c>
      <c r="AI11" s="6">
        <v>34</v>
      </c>
      <c r="AJ11" s="6">
        <v>26.193000000000001</v>
      </c>
      <c r="AK11" s="6">
        <v>0</v>
      </c>
      <c r="AL11" s="6">
        <v>3</v>
      </c>
      <c r="AM11" s="43">
        <f t="shared" si="9"/>
        <v>1.9587601193460299E-2</v>
      </c>
      <c r="AN11" s="6">
        <v>16</v>
      </c>
      <c r="AO11" s="6">
        <v>18</v>
      </c>
      <c r="AP11" s="6">
        <v>695</v>
      </c>
      <c r="AQ11" s="43">
        <f t="shared" si="15"/>
        <v>11</v>
      </c>
      <c r="AR11" s="43">
        <f t="shared" si="16"/>
        <v>18</v>
      </c>
      <c r="AS11" s="43">
        <f t="shared" si="18"/>
        <v>14</v>
      </c>
      <c r="AT11" s="24">
        <v>15</v>
      </c>
      <c r="AU11" s="105">
        <v>1700</v>
      </c>
      <c r="AV11" s="6">
        <v>34</v>
      </c>
      <c r="AW11" s="6">
        <v>7.2</v>
      </c>
      <c r="AX11" s="6">
        <v>50</v>
      </c>
      <c r="AY11" s="21">
        <v>2.9999999999999997E-4</v>
      </c>
      <c r="AZ11" s="8"/>
      <c r="BA11" s="9">
        <f>BJ11*24*60/BE11</f>
        <v>1.6416168450565701E-2</v>
      </c>
      <c r="BB11" s="21">
        <f>BM11/BE11</f>
        <v>7.0438155546433375E-3</v>
      </c>
      <c r="BC11" s="50">
        <f t="shared" si="0"/>
        <v>1.1494711169999998E-2</v>
      </c>
      <c r="BD11" s="9">
        <f t="shared" si="1"/>
        <v>16.552384084799996</v>
      </c>
      <c r="BE11" s="9">
        <f t="shared" si="17"/>
        <v>1718.193</v>
      </c>
      <c r="BF11" s="10">
        <f t="shared" si="3"/>
        <v>9.3121087095570758E-3</v>
      </c>
      <c r="BG11" s="10">
        <f t="shared" si="4"/>
        <v>9.4117647058823521E-3</v>
      </c>
      <c r="BH11" s="10">
        <f t="shared" si="5"/>
        <v>28.206145718582832</v>
      </c>
      <c r="BI11" s="10" t="str">
        <f>IF(B11="Python",AZ11*BE11/24/60,"")</f>
        <v/>
      </c>
      <c r="BJ11" s="10">
        <v>1.9587601193460299E-2</v>
      </c>
      <c r="BK11" s="35" t="str">
        <f t="shared" si="6"/>
        <v/>
      </c>
      <c r="BL11" s="10" t="str">
        <f t="shared" ref="BL11:BL25" si="19">IF(IF(B11&lt;&gt;"Julia",((1.5-Q11)*BE11)/400, "")&lt;0,0,IF(B11&lt;&gt;"Julia",((3-Q11)*BE11)/400, ""))</f>
        <v/>
      </c>
      <c r="BM11" s="92">
        <v>12.1026345792793</v>
      </c>
      <c r="BN11" s="27">
        <f t="shared" si="11"/>
        <v>50.876886216780001</v>
      </c>
      <c r="BO11" s="37">
        <f t="shared" si="12"/>
        <v>1.9587601193460299E-2</v>
      </c>
      <c r="BP11" s="32">
        <f t="shared" si="7"/>
        <v>12.1026345792793</v>
      </c>
    </row>
    <row r="12" spans="1:68" x14ac:dyDescent="0.25">
      <c r="A12" s="1" t="s">
        <v>77</v>
      </c>
      <c r="B12" t="s">
        <v>78</v>
      </c>
      <c r="C12">
        <v>12</v>
      </c>
      <c r="D12">
        <v>2</v>
      </c>
      <c r="E12" t="s">
        <v>82</v>
      </c>
      <c r="F12" s="68">
        <v>45493.528472222199</v>
      </c>
      <c r="G12" s="1">
        <v>997.91</v>
      </c>
      <c r="H12" s="69"/>
      <c r="I12" s="69">
        <v>919.68</v>
      </c>
      <c r="J12" s="69">
        <v>23.6</v>
      </c>
      <c r="K12" s="69">
        <v>23.1</v>
      </c>
      <c r="L12" s="69">
        <v>98.1</v>
      </c>
      <c r="M12" s="69">
        <v>16.8</v>
      </c>
      <c r="N12" s="69">
        <v>327</v>
      </c>
      <c r="O12" s="69">
        <v>1.55</v>
      </c>
      <c r="P12" s="69">
        <v>0.44</v>
      </c>
      <c r="Q12" s="69">
        <v>0</v>
      </c>
      <c r="R12" s="69"/>
      <c r="S12" s="69">
        <v>0.11</v>
      </c>
      <c r="T12" s="69">
        <v>0.03</v>
      </c>
      <c r="U12" s="69">
        <v>3.55</v>
      </c>
      <c r="V12" s="69">
        <v>7.1550000000000002</v>
      </c>
      <c r="W12" s="69">
        <v>119</v>
      </c>
      <c r="X12" s="69">
        <v>20.399999999999999</v>
      </c>
      <c r="Y12" s="69">
        <v>145.4</v>
      </c>
      <c r="Z12" s="69">
        <v>3.49</v>
      </c>
      <c r="AA12" s="69">
        <v>40.6</v>
      </c>
      <c r="AB12" s="69">
        <v>104.3</v>
      </c>
      <c r="AC12" s="69">
        <v>16.5</v>
      </c>
      <c r="AD12" s="17">
        <v>7.194</v>
      </c>
      <c r="AE12" s="41">
        <v>300</v>
      </c>
      <c r="AF12" s="69">
        <v>51.1</v>
      </c>
      <c r="AG12" s="69">
        <v>7.13</v>
      </c>
      <c r="AH12" s="70">
        <f t="shared" si="8"/>
        <v>0.51100000000000001</v>
      </c>
      <c r="AI12" s="69">
        <v>34</v>
      </c>
      <c r="AJ12" s="69">
        <v>24.361000000000001</v>
      </c>
      <c r="AK12" s="69">
        <v>0</v>
      </c>
      <c r="AL12" s="69">
        <v>3</v>
      </c>
      <c r="AM12" s="70">
        <f t="shared" si="9"/>
        <v>1.190824173E-2</v>
      </c>
      <c r="AN12" s="69">
        <v>16</v>
      </c>
      <c r="AO12" s="69">
        <v>20</v>
      </c>
      <c r="AP12" s="69">
        <v>762</v>
      </c>
      <c r="AQ12" s="70">
        <f t="shared" ref="AQ12:AQ15" si="20">AN12-AN9</f>
        <v>8.5</v>
      </c>
      <c r="AR12" s="70">
        <f t="shared" ref="AR12:AR15" si="21">AO12-AO9</f>
        <v>20</v>
      </c>
      <c r="AS12" s="70">
        <f t="shared" ref="AS12:AS15" si="22">AP9-AP12</f>
        <v>10</v>
      </c>
      <c r="AT12" s="25">
        <v>15</v>
      </c>
      <c r="AU12" s="106">
        <v>1700</v>
      </c>
      <c r="AV12" s="69">
        <v>34</v>
      </c>
      <c r="AW12" s="69">
        <v>7.2</v>
      </c>
      <c r="AX12" s="69">
        <v>50</v>
      </c>
      <c r="AY12" s="22">
        <v>2.9999999999999997E-4</v>
      </c>
      <c r="AZ12" s="11">
        <v>4.4999999999999997E-3</v>
      </c>
      <c r="BA12" s="67"/>
      <c r="BB12" s="22"/>
      <c r="BC12" s="48">
        <f t="shared" si="0"/>
        <v>1.190824173E-2</v>
      </c>
      <c r="BD12" s="71">
        <f t="shared" si="1"/>
        <v>17.147868091199999</v>
      </c>
      <c r="BE12" s="71">
        <f t="shared" si="17"/>
        <v>1718.3610000000001</v>
      </c>
      <c r="BF12" s="72">
        <f t="shared" si="3"/>
        <v>9.3111982872050737E-3</v>
      </c>
      <c r="BG12" s="72">
        <f t="shared" si="4"/>
        <v>9.4117647058823521E-3</v>
      </c>
      <c r="BH12" s="72">
        <f t="shared" si="5"/>
        <v>17.147868091199999</v>
      </c>
      <c r="BI12" s="96">
        <v>1.190824173E-2</v>
      </c>
      <c r="BJ12" s="72" t="str">
        <f t="shared" si="13"/>
        <v/>
      </c>
      <c r="BK12" s="73" t="str">
        <f t="shared" si="6"/>
        <v/>
      </c>
      <c r="BL12" s="72">
        <f t="shared" si="19"/>
        <v>12.887707500000001</v>
      </c>
      <c r="BM12" s="93" t="str">
        <f t="shared" si="14"/>
        <v/>
      </c>
      <c r="BN12" s="28">
        <f t="shared" si="11"/>
        <v>30.930498</v>
      </c>
      <c r="BO12" s="74">
        <f>IF(BI12&lt;&gt;"",BI12,IF(BJ12&lt;&gt;"",BJ12,BK12))</f>
        <v>1.190824173E-2</v>
      </c>
      <c r="BP12" s="30">
        <f t="shared" si="7"/>
        <v>12.887707500000001</v>
      </c>
    </row>
    <row r="13" spans="1:68" ht="15.75" thickBot="1" x14ac:dyDescent="0.3">
      <c r="A13" s="4" t="s">
        <v>79</v>
      </c>
      <c r="B13" s="5" t="s">
        <v>78</v>
      </c>
      <c r="C13" s="5">
        <v>12</v>
      </c>
      <c r="D13" s="5">
        <v>2</v>
      </c>
      <c r="E13" s="5" t="s">
        <v>82</v>
      </c>
      <c r="F13" s="76">
        <v>45493.536805555603</v>
      </c>
      <c r="G13" s="1">
        <v>997.91</v>
      </c>
      <c r="H13" s="69"/>
      <c r="I13" s="69">
        <v>949.59</v>
      </c>
      <c r="J13" s="69">
        <v>23.2</v>
      </c>
      <c r="K13" s="69">
        <v>22.7</v>
      </c>
      <c r="L13" s="69">
        <v>97.9</v>
      </c>
      <c r="M13" s="69">
        <v>16.899999999999999</v>
      </c>
      <c r="N13" s="69">
        <v>338</v>
      </c>
      <c r="O13" s="69">
        <v>1.47</v>
      </c>
      <c r="P13" s="69">
        <v>0.43</v>
      </c>
      <c r="Q13" s="69">
        <v>0.45</v>
      </c>
      <c r="R13" s="69"/>
      <c r="S13" s="69">
        <v>0.14000000000000001</v>
      </c>
      <c r="T13" s="69">
        <v>0.01</v>
      </c>
      <c r="U13" s="69">
        <v>4.01</v>
      </c>
      <c r="V13" s="69">
        <v>7.093</v>
      </c>
      <c r="W13" s="69">
        <v>118.1</v>
      </c>
      <c r="X13" s="69">
        <v>30.6</v>
      </c>
      <c r="Y13" s="69">
        <v>148.19999999999999</v>
      </c>
      <c r="Z13" s="69">
        <v>3.26</v>
      </c>
      <c r="AA13" s="69">
        <v>34.9</v>
      </c>
      <c r="AB13" s="69">
        <v>103.6</v>
      </c>
      <c r="AC13" s="69">
        <v>24.7</v>
      </c>
      <c r="AD13" s="17">
        <v>7.1310000000000002</v>
      </c>
      <c r="AE13" s="42">
        <v>300</v>
      </c>
      <c r="AF13" s="7">
        <v>49.5</v>
      </c>
      <c r="AG13" s="7">
        <v>7.1</v>
      </c>
      <c r="AH13" s="44">
        <f t="shared" si="8"/>
        <v>0.495</v>
      </c>
      <c r="AI13" s="7">
        <v>34</v>
      </c>
      <c r="AJ13" s="7">
        <v>26.657</v>
      </c>
      <c r="AK13" s="7">
        <v>0</v>
      </c>
      <c r="AL13" s="7">
        <v>2</v>
      </c>
      <c r="AM13" s="44">
        <f t="shared" si="9"/>
        <v>1.1710864169999998E-2</v>
      </c>
      <c r="AN13" s="7">
        <v>18</v>
      </c>
      <c r="AO13" s="7">
        <v>18</v>
      </c>
      <c r="AP13" s="7">
        <v>608</v>
      </c>
      <c r="AQ13" s="44">
        <f t="shared" si="20"/>
        <v>8.9</v>
      </c>
      <c r="AR13" s="44">
        <f t="shared" si="21"/>
        <v>18</v>
      </c>
      <c r="AS13" s="44">
        <f t="shared" si="22"/>
        <v>9</v>
      </c>
      <c r="AT13" s="26">
        <v>15</v>
      </c>
      <c r="AU13" s="107">
        <v>1700</v>
      </c>
      <c r="AV13" s="7">
        <v>34</v>
      </c>
      <c r="AW13" s="7">
        <v>7.2</v>
      </c>
      <c r="AX13" s="7">
        <v>50</v>
      </c>
      <c r="AY13" s="23">
        <v>2.9999999999999997E-4</v>
      </c>
      <c r="AZ13" s="12">
        <v>4.5000000009706104E-3</v>
      </c>
      <c r="BA13" s="67"/>
      <c r="BB13" s="23"/>
      <c r="BC13" s="49">
        <f t="shared" si="0"/>
        <v>1.1710864169999998E-2</v>
      </c>
      <c r="BD13" s="13">
        <f t="shared" si="1"/>
        <v>16.863644404799995</v>
      </c>
      <c r="BE13" s="13">
        <f t="shared" si="17"/>
        <v>1719.6569999999999</v>
      </c>
      <c r="BF13" s="14">
        <f t="shared" si="3"/>
        <v>1.0467203634213102E-2</v>
      </c>
      <c r="BG13" s="14">
        <f t="shared" si="4"/>
        <v>1.0588235294117647E-2</v>
      </c>
      <c r="BH13" s="14">
        <f t="shared" si="5"/>
        <v>16.863644404799995</v>
      </c>
      <c r="BI13" s="52">
        <v>1.1710864169999998E-2</v>
      </c>
      <c r="BJ13" s="14" t="str">
        <f t="shared" si="13"/>
        <v/>
      </c>
      <c r="BK13" s="36" t="str">
        <f t="shared" si="6"/>
        <v/>
      </c>
      <c r="BL13" s="14">
        <f t="shared" si="19"/>
        <v>10.962813374999998</v>
      </c>
      <c r="BM13" s="94" t="str">
        <f t="shared" si="14"/>
        <v/>
      </c>
      <c r="BN13" s="29">
        <f t="shared" si="11"/>
        <v>30.41782901298701</v>
      </c>
      <c r="BO13" s="38">
        <f t="shared" si="12"/>
        <v>1.1710864169999998E-2</v>
      </c>
      <c r="BP13" s="31">
        <f t="shared" si="7"/>
        <v>10.962813374999998</v>
      </c>
    </row>
    <row r="14" spans="1:68" x14ac:dyDescent="0.25">
      <c r="A14" s="2" t="s">
        <v>74</v>
      </c>
      <c r="B14" s="3" t="s">
        <v>75</v>
      </c>
      <c r="C14" s="3">
        <v>12</v>
      </c>
      <c r="D14" s="3">
        <v>3</v>
      </c>
      <c r="E14" s="3"/>
      <c r="F14" s="75">
        <v>45494.550289351901</v>
      </c>
      <c r="G14" s="2">
        <v>1505.08</v>
      </c>
      <c r="H14" s="6"/>
      <c r="I14" s="6">
        <v>1446.18</v>
      </c>
      <c r="J14" s="66">
        <v>24</v>
      </c>
      <c r="K14" s="66">
        <v>23.1</v>
      </c>
      <c r="L14" s="66">
        <v>96</v>
      </c>
      <c r="M14" s="66">
        <v>17.100000000000001</v>
      </c>
      <c r="N14" s="6">
        <v>350</v>
      </c>
      <c r="O14" s="6">
        <v>1.58</v>
      </c>
      <c r="P14" s="6">
        <v>0.38</v>
      </c>
      <c r="Q14" s="6">
        <v>2.0099999999999998</v>
      </c>
      <c r="R14" s="6"/>
      <c r="S14" s="6">
        <v>0</v>
      </c>
      <c r="T14" s="6">
        <v>0.03</v>
      </c>
      <c r="U14" s="6">
        <v>2.76</v>
      </c>
      <c r="V14" s="6">
        <v>7.218</v>
      </c>
      <c r="W14" s="6">
        <v>139.80000000000001</v>
      </c>
      <c r="X14" s="6">
        <v>0</v>
      </c>
      <c r="Y14" s="6">
        <v>2.92</v>
      </c>
      <c r="Z14" s="6">
        <v>149</v>
      </c>
      <c r="AA14" s="6">
        <v>55.4</v>
      </c>
      <c r="AB14" s="6">
        <v>122.6</v>
      </c>
      <c r="AC14" s="6">
        <v>0</v>
      </c>
      <c r="AD14" s="16">
        <v>7.2590000000000003</v>
      </c>
      <c r="AE14" s="40">
        <v>300</v>
      </c>
      <c r="AF14" s="6">
        <v>49.2</v>
      </c>
      <c r="AG14" s="6">
        <v>7.19</v>
      </c>
      <c r="AH14" s="43">
        <f t="shared" si="8"/>
        <v>0.49200000000000005</v>
      </c>
      <c r="AI14" s="6">
        <v>34</v>
      </c>
      <c r="AJ14" s="6">
        <v>27.664999999999999</v>
      </c>
      <c r="AK14" s="6">
        <v>0</v>
      </c>
      <c r="AL14" s="6">
        <v>4</v>
      </c>
      <c r="AM14" s="43">
        <f t="shared" si="9"/>
        <v>8.8587227564962904E-3</v>
      </c>
      <c r="AN14" s="6">
        <v>42</v>
      </c>
      <c r="AO14" s="6">
        <v>31</v>
      </c>
      <c r="AP14" s="6">
        <v>668</v>
      </c>
      <c r="AQ14" s="43">
        <f t="shared" si="20"/>
        <v>26</v>
      </c>
      <c r="AR14" s="43">
        <f t="shared" si="21"/>
        <v>13</v>
      </c>
      <c r="AS14" s="43">
        <f t="shared" si="22"/>
        <v>27</v>
      </c>
      <c r="AT14" s="24">
        <v>15</v>
      </c>
      <c r="AU14" s="105">
        <v>1700</v>
      </c>
      <c r="AV14" s="6">
        <v>34</v>
      </c>
      <c r="AW14" s="6">
        <v>7.2</v>
      </c>
      <c r="AX14" s="6">
        <v>50</v>
      </c>
      <c r="AY14" s="21">
        <v>2.9999999999999997E-4</v>
      </c>
      <c r="AZ14" s="8"/>
      <c r="BA14" s="9">
        <f>BJ14*24*60/BE14</f>
        <v>7.3117537001972637E-3</v>
      </c>
      <c r="BB14" s="21">
        <f>BM14/BE14</f>
        <v>6.5266999691008876E-3</v>
      </c>
      <c r="BC14" s="8">
        <f t="shared" si="0"/>
        <v>1.2090528449999999E-2</v>
      </c>
      <c r="BD14" s="9">
        <f t="shared" si="1"/>
        <v>17.410360967999999</v>
      </c>
      <c r="BE14" s="9">
        <f t="shared" si="17"/>
        <v>1744.665</v>
      </c>
      <c r="BF14" s="10">
        <f t="shared" si="3"/>
        <v>2.4073389447257783E-2</v>
      </c>
      <c r="BG14" s="10">
        <f t="shared" si="4"/>
        <v>2.4705882352941175E-2</v>
      </c>
      <c r="BH14" s="10">
        <f t="shared" si="5"/>
        <v>12.756560769354659</v>
      </c>
      <c r="BI14" s="10" t="str">
        <f t="shared" si="10"/>
        <v/>
      </c>
      <c r="BJ14" s="10">
        <v>8.8587227564962904E-3</v>
      </c>
      <c r="BK14" s="35" t="str">
        <f t="shared" si="6"/>
        <v/>
      </c>
      <c r="BL14" s="10" t="str">
        <f t="shared" si="19"/>
        <v/>
      </c>
      <c r="BM14" s="92">
        <v>11.3869050015914</v>
      </c>
      <c r="BN14" s="28">
        <f t="shared" si="11"/>
        <v>23.009669497392963</v>
      </c>
      <c r="BO14" s="74">
        <f t="shared" si="12"/>
        <v>8.8587227564962904E-3</v>
      </c>
      <c r="BP14" s="30">
        <f t="shared" si="7"/>
        <v>11.3869050015914</v>
      </c>
    </row>
    <row r="15" spans="1:68" ht="15.75" thickBot="1" x14ac:dyDescent="0.3">
      <c r="A15" s="1" t="s">
        <v>77</v>
      </c>
      <c r="B15" t="s">
        <v>78</v>
      </c>
      <c r="C15">
        <v>12</v>
      </c>
      <c r="D15">
        <v>3</v>
      </c>
      <c r="F15" s="68">
        <v>45494.554664351897</v>
      </c>
      <c r="G15" s="1">
        <v>1505.08</v>
      </c>
      <c r="H15" s="69"/>
      <c r="I15" s="69">
        <v>1350.49</v>
      </c>
      <c r="J15" s="114">
        <v>24.8</v>
      </c>
      <c r="K15" s="114">
        <v>23.3</v>
      </c>
      <c r="L15" s="114">
        <v>94.2</v>
      </c>
      <c r="M15" s="114">
        <v>16.5</v>
      </c>
      <c r="N15" s="69">
        <v>372</v>
      </c>
      <c r="O15" s="69">
        <v>2.68</v>
      </c>
      <c r="P15" s="69">
        <v>0.4</v>
      </c>
      <c r="Q15" s="69">
        <v>0.01</v>
      </c>
      <c r="R15" s="69"/>
      <c r="S15" s="69">
        <v>0.08</v>
      </c>
      <c r="T15" s="69">
        <v>0.1</v>
      </c>
      <c r="U15" s="69">
        <v>3.17</v>
      </c>
      <c r="V15" s="69">
        <v>7.3440000000000003</v>
      </c>
      <c r="W15" s="69">
        <v>146.69999999999999</v>
      </c>
      <c r="X15" s="69">
        <v>0</v>
      </c>
      <c r="Y15" s="69">
        <v>3.6</v>
      </c>
      <c r="Z15" s="69">
        <v>167.8</v>
      </c>
      <c r="AA15" s="69">
        <v>78</v>
      </c>
      <c r="AB15" s="69">
        <v>128.6</v>
      </c>
      <c r="AC15" s="69">
        <v>0</v>
      </c>
      <c r="AD15" s="17">
        <v>7.3869999999999996</v>
      </c>
      <c r="AE15" s="41">
        <v>300</v>
      </c>
      <c r="AF15" s="69">
        <v>52.2</v>
      </c>
      <c r="AG15" s="69">
        <v>7.29</v>
      </c>
      <c r="AH15" s="70">
        <f t="shared" si="8"/>
        <v>0.52200000000000002</v>
      </c>
      <c r="AI15" s="69">
        <v>34</v>
      </c>
      <c r="AJ15" s="69">
        <v>37.567</v>
      </c>
      <c r="AK15" s="69">
        <v>0</v>
      </c>
      <c r="AL15" s="69">
        <v>4</v>
      </c>
      <c r="AM15" s="70">
        <f t="shared" si="9"/>
        <v>4.7913410285290454E-2</v>
      </c>
      <c r="AN15" s="69">
        <v>33</v>
      </c>
      <c r="AO15" s="69">
        <v>34</v>
      </c>
      <c r="AP15" s="69">
        <v>743</v>
      </c>
      <c r="AQ15" s="70">
        <f t="shared" si="20"/>
        <v>17</v>
      </c>
      <c r="AR15" s="70">
        <f t="shared" si="21"/>
        <v>14</v>
      </c>
      <c r="AS15" s="70">
        <f t="shared" si="22"/>
        <v>19</v>
      </c>
      <c r="AT15" s="25">
        <v>15</v>
      </c>
      <c r="AU15" s="106">
        <v>1700</v>
      </c>
      <c r="AV15" s="69">
        <v>34</v>
      </c>
      <c r="AW15" s="69">
        <v>7.2</v>
      </c>
      <c r="AX15" s="69">
        <v>50</v>
      </c>
      <c r="AY15" s="22">
        <v>2.9999999999999997E-4</v>
      </c>
      <c r="AZ15" s="11">
        <v>3.9458202522876303E-2</v>
      </c>
      <c r="BA15" s="71"/>
      <c r="BB15" s="22"/>
      <c r="BC15" s="11">
        <f t="shared" si="0"/>
        <v>1.2222483329999999E-2</v>
      </c>
      <c r="BD15" s="71">
        <f t="shared" si="1"/>
        <v>17.600375995199997</v>
      </c>
      <c r="BE15" s="71">
        <f t="shared" si="17"/>
        <v>1748.567</v>
      </c>
      <c r="BF15" s="72">
        <f t="shared" si="3"/>
        <v>1.8872596817851417E-2</v>
      </c>
      <c r="BG15" s="72">
        <f t="shared" si="4"/>
        <v>1.9411764705882354E-2</v>
      </c>
      <c r="BH15" s="72">
        <f t="shared" si="5"/>
        <v>68.995310810818253</v>
      </c>
      <c r="BI15" s="72">
        <f t="shared" si="10"/>
        <v>4.7913410285290454E-2</v>
      </c>
      <c r="BJ15" s="72" t="str">
        <f t="shared" si="13"/>
        <v/>
      </c>
      <c r="BK15" s="73" t="str">
        <f t="shared" si="6"/>
        <v/>
      </c>
      <c r="BL15" s="72">
        <f t="shared" si="19"/>
        <v>13.070538324999999</v>
      </c>
      <c r="BM15" s="93" t="str">
        <f t="shared" si="14"/>
        <v/>
      </c>
      <c r="BN15" s="28">
        <f t="shared" si="11"/>
        <v>124.45041632542976</v>
      </c>
      <c r="BO15" s="74">
        <f t="shared" si="12"/>
        <v>4.7913410285290454E-2</v>
      </c>
      <c r="BP15" s="30">
        <f t="shared" si="7"/>
        <v>13.070538324999999</v>
      </c>
    </row>
    <row r="16" spans="1:68" x14ac:dyDescent="0.25">
      <c r="A16" s="2" t="s">
        <v>74</v>
      </c>
      <c r="B16" s="3" t="s">
        <v>78</v>
      </c>
      <c r="C16" s="3">
        <v>12</v>
      </c>
      <c r="D16" s="3">
        <v>4</v>
      </c>
      <c r="E16" s="3"/>
      <c r="F16" s="75"/>
      <c r="G16" s="2">
        <v>2119.61</v>
      </c>
      <c r="H16" s="6"/>
      <c r="I16" s="6">
        <v>1695.12</v>
      </c>
      <c r="J16" s="6">
        <v>26.4</v>
      </c>
      <c r="K16" s="6">
        <v>24.2</v>
      </c>
      <c r="L16" s="6">
        <v>91.6</v>
      </c>
      <c r="M16" s="6">
        <v>16.2</v>
      </c>
      <c r="N16" s="6">
        <v>349</v>
      </c>
      <c r="O16" s="6">
        <v>1.35</v>
      </c>
      <c r="P16" s="6">
        <v>0.4</v>
      </c>
      <c r="Q16" s="6">
        <v>2.91</v>
      </c>
      <c r="R16" s="6"/>
      <c r="S16" s="6">
        <v>0.15</v>
      </c>
      <c r="T16" s="6">
        <v>0.01</v>
      </c>
      <c r="U16" s="6">
        <v>2.48</v>
      </c>
      <c r="V16" s="6">
        <v>7.29</v>
      </c>
      <c r="W16" s="6">
        <v>117.3</v>
      </c>
      <c r="X16" s="6">
        <v>36.4</v>
      </c>
      <c r="Y16" s="6">
        <v>3.07</v>
      </c>
      <c r="Z16" s="6">
        <v>150.19999999999999</v>
      </c>
      <c r="AA16" s="6">
        <v>55</v>
      </c>
      <c r="AB16" s="6">
        <v>102.9</v>
      </c>
      <c r="AC16" s="6">
        <v>29.4</v>
      </c>
      <c r="AD16" s="16">
        <v>7.3319999999999999</v>
      </c>
      <c r="AE16" s="40">
        <v>300</v>
      </c>
      <c r="AF16" s="6">
        <v>49.7</v>
      </c>
      <c r="AG16" s="6">
        <v>7.29</v>
      </c>
      <c r="AH16" s="43">
        <f t="shared" si="8"/>
        <v>0.49700000000000005</v>
      </c>
      <c r="AI16" s="6">
        <v>34</v>
      </c>
      <c r="AJ16" s="6">
        <v>27.664999999999999</v>
      </c>
      <c r="AK16" s="6">
        <v>6.7811000000000003</v>
      </c>
      <c r="AL16" s="6">
        <v>5</v>
      </c>
      <c r="AM16" s="43">
        <f t="shared" si="9"/>
        <v>0</v>
      </c>
      <c r="AN16" s="6">
        <v>57</v>
      </c>
      <c r="AO16" s="6">
        <v>43</v>
      </c>
      <c r="AP16" s="6">
        <v>652</v>
      </c>
      <c r="AQ16" s="43">
        <f>AN16-AN14</f>
        <v>15</v>
      </c>
      <c r="AR16" s="43">
        <f>AO16-AO14</f>
        <v>12</v>
      </c>
      <c r="AS16" s="43">
        <f>AP14-AP16</f>
        <v>16</v>
      </c>
      <c r="AT16" s="24">
        <v>15</v>
      </c>
      <c r="AU16" s="105">
        <v>1700</v>
      </c>
      <c r="AV16" s="6">
        <v>34</v>
      </c>
      <c r="AW16" s="6">
        <v>7.2</v>
      </c>
      <c r="AX16" s="6">
        <v>50</v>
      </c>
      <c r="AY16" s="21">
        <v>2.9999999999999997E-4</v>
      </c>
      <c r="AZ16" s="8"/>
      <c r="BA16" s="9"/>
      <c r="BB16" s="21"/>
      <c r="BC16" s="8">
        <f t="shared" si="0"/>
        <v>1.2809878686E-2</v>
      </c>
      <c r="BD16" s="9">
        <f t="shared" si="1"/>
        <v>18.446225307839999</v>
      </c>
      <c r="BE16" s="9">
        <f t="shared" si="17"/>
        <v>1764.4461000000001</v>
      </c>
      <c r="BF16" s="10">
        <f t="shared" si="3"/>
        <v>3.2304755583069382E-2</v>
      </c>
      <c r="BG16" s="10">
        <f t="shared" si="4"/>
        <v>3.3529411764705884E-2</v>
      </c>
      <c r="BH16" s="10">
        <f t="shared" si="5"/>
        <v>0</v>
      </c>
      <c r="BI16" s="10">
        <f t="shared" si="10"/>
        <v>0</v>
      </c>
      <c r="BJ16" s="10" t="str">
        <f t="shared" si="13"/>
        <v/>
      </c>
      <c r="BK16" s="35" t="str">
        <f t="shared" si="6"/>
        <v/>
      </c>
      <c r="BL16" s="10">
        <f t="shared" si="19"/>
        <v>0</v>
      </c>
      <c r="BM16" s="92" t="str">
        <f t="shared" si="14"/>
        <v/>
      </c>
      <c r="BN16" s="27">
        <f t="shared" si="11"/>
        <v>0</v>
      </c>
      <c r="BO16" s="37">
        <f t="shared" si="12"/>
        <v>0</v>
      </c>
      <c r="BP16" s="32">
        <f t="shared" si="7"/>
        <v>0</v>
      </c>
    </row>
    <row r="17" spans="1:68" ht="15.75" thickBot="1" x14ac:dyDescent="0.3">
      <c r="A17" s="1" t="s">
        <v>77</v>
      </c>
      <c r="B17" s="67" t="s">
        <v>78</v>
      </c>
      <c r="C17" s="67">
        <v>12</v>
      </c>
      <c r="D17" s="67">
        <v>4</v>
      </c>
      <c r="E17" s="67" t="s">
        <v>80</v>
      </c>
      <c r="F17" s="68"/>
      <c r="G17" s="1">
        <v>2119.61</v>
      </c>
      <c r="H17" s="69"/>
      <c r="I17" s="69"/>
      <c r="J17" s="69">
        <v>32.299999999999997</v>
      </c>
      <c r="K17" s="69">
        <v>28.4</v>
      </c>
      <c r="L17" s="69">
        <v>88.1</v>
      </c>
      <c r="M17" s="69">
        <v>16.399999999999999</v>
      </c>
      <c r="N17" s="69">
        <v>382</v>
      </c>
      <c r="O17" s="69">
        <v>1.62</v>
      </c>
      <c r="P17" s="69">
        <v>0.35</v>
      </c>
      <c r="Q17" s="69">
        <v>1.1599999999999999</v>
      </c>
      <c r="R17" s="69"/>
      <c r="S17" s="69">
        <v>0.46</v>
      </c>
      <c r="T17" s="69">
        <v>0.92</v>
      </c>
      <c r="U17" s="69">
        <v>1.68</v>
      </c>
      <c r="V17" s="69">
        <v>7.1740000000000004</v>
      </c>
      <c r="W17" s="69">
        <v>161.9</v>
      </c>
      <c r="X17" s="69">
        <v>0</v>
      </c>
      <c r="Y17" s="69">
        <v>2.3199999999999998</v>
      </c>
      <c r="Z17" s="69">
        <v>169.6</v>
      </c>
      <c r="AA17" s="69">
        <v>57.8</v>
      </c>
      <c r="AB17" s="69">
        <v>142</v>
      </c>
      <c r="AC17" s="69">
        <v>0</v>
      </c>
      <c r="AD17" s="17">
        <v>7.2140000000000004</v>
      </c>
      <c r="AE17" s="41"/>
      <c r="AF17" s="69"/>
      <c r="AG17" s="69"/>
      <c r="AH17" s="70">
        <f t="shared" si="8"/>
        <v>0</v>
      </c>
      <c r="AI17" s="69"/>
      <c r="AJ17" s="69"/>
      <c r="AK17" s="69"/>
      <c r="AL17" s="69"/>
      <c r="AM17" s="70">
        <f t="shared" si="9"/>
        <v>0</v>
      </c>
      <c r="AN17" s="69"/>
      <c r="AO17" s="69"/>
      <c r="AP17" s="69"/>
      <c r="AQ17" s="70">
        <f>AN17-AN15</f>
        <v>-33</v>
      </c>
      <c r="AR17" s="70">
        <f>AO17-AO15</f>
        <v>-34</v>
      </c>
      <c r="AS17" s="70">
        <f>AP15-AP17</f>
        <v>743</v>
      </c>
      <c r="AT17" s="25">
        <v>15</v>
      </c>
      <c r="AU17" s="106">
        <v>1700</v>
      </c>
      <c r="AV17" s="69">
        <v>34</v>
      </c>
      <c r="AW17" s="69">
        <v>7.2</v>
      </c>
      <c r="AX17" s="69">
        <v>50</v>
      </c>
      <c r="AY17" s="22">
        <v>2.9999999999999997E-4</v>
      </c>
      <c r="AZ17" s="11"/>
      <c r="BA17" s="71"/>
      <c r="BB17" s="22"/>
      <c r="BC17" s="11">
        <f t="shared" si="0"/>
        <v>1.3844999999999998E-2</v>
      </c>
      <c r="BD17" s="71">
        <f t="shared" si="1"/>
        <v>19.936799999999998</v>
      </c>
      <c r="BE17" s="71">
        <f t="shared" si="17"/>
        <v>1625</v>
      </c>
      <c r="BF17" s="72" t="e">
        <f t="shared" si="3"/>
        <v>#N/A</v>
      </c>
      <c r="BG17" s="72" t="e">
        <f t="shared" si="4"/>
        <v>#N/A</v>
      </c>
      <c r="BH17" s="72">
        <f t="shared" si="5"/>
        <v>0</v>
      </c>
      <c r="BI17" s="72">
        <f t="shared" si="10"/>
        <v>0</v>
      </c>
      <c r="BJ17" s="72" t="str">
        <f t="shared" si="13"/>
        <v/>
      </c>
      <c r="BK17" s="73" t="str">
        <f t="shared" si="6"/>
        <v/>
      </c>
      <c r="BL17" s="72">
        <f t="shared" si="19"/>
        <v>7.4749999999999996</v>
      </c>
      <c r="BM17" s="93" t="str">
        <f t="shared" si="14"/>
        <v/>
      </c>
      <c r="BN17" s="28">
        <f t="shared" si="11"/>
        <v>0</v>
      </c>
      <c r="BO17" s="74">
        <f t="shared" si="12"/>
        <v>0</v>
      </c>
      <c r="BP17" s="30">
        <f t="shared" si="7"/>
        <v>7.4749999999999996</v>
      </c>
    </row>
    <row r="18" spans="1:68" ht="15.75" thickBot="1" x14ac:dyDescent="0.3">
      <c r="A18" s="2" t="s">
        <v>74</v>
      </c>
      <c r="B18" s="3" t="s">
        <v>78</v>
      </c>
      <c r="C18" s="3">
        <v>12</v>
      </c>
      <c r="D18" s="3">
        <v>5</v>
      </c>
      <c r="E18" s="3"/>
      <c r="F18" s="75"/>
      <c r="G18" s="2">
        <v>2716.05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16"/>
      <c r="AE18" s="40"/>
      <c r="AF18" s="6"/>
      <c r="AG18" s="6"/>
      <c r="AH18" s="43">
        <f t="shared" si="8"/>
        <v>0</v>
      </c>
      <c r="AI18" s="6"/>
      <c r="AJ18" s="6"/>
      <c r="AK18" s="6"/>
      <c r="AL18" s="6"/>
      <c r="AM18" s="43">
        <f t="shared" si="9"/>
        <v>0</v>
      </c>
      <c r="AN18" s="6"/>
      <c r="AO18" s="6"/>
      <c r="AP18" s="6"/>
      <c r="AQ18" s="43">
        <f>AN18-AN16</f>
        <v>-57</v>
      </c>
      <c r="AR18" s="43">
        <f>AO18-AO16</f>
        <v>-43</v>
      </c>
      <c r="AS18" s="43">
        <f>AP16-AP18</f>
        <v>652</v>
      </c>
      <c r="AT18" s="24">
        <v>15</v>
      </c>
      <c r="AU18" s="105">
        <v>1700</v>
      </c>
      <c r="AV18" s="6">
        <v>34</v>
      </c>
      <c r="AW18" s="6">
        <v>7.2</v>
      </c>
      <c r="AX18" s="6">
        <v>50</v>
      </c>
      <c r="AY18" s="21">
        <v>4.0000000000000002E-4</v>
      </c>
      <c r="AZ18" s="8"/>
      <c r="BA18" s="9"/>
      <c r="BB18" s="21"/>
      <c r="BC18" s="8">
        <f t="shared" si="0"/>
        <v>0</v>
      </c>
      <c r="BD18" s="9">
        <f t="shared" si="1"/>
        <v>0</v>
      </c>
      <c r="BE18" s="9">
        <f t="shared" si="17"/>
        <v>1610</v>
      </c>
      <c r="BF18" s="10" t="e">
        <f t="shared" si="3"/>
        <v>#N/A</v>
      </c>
      <c r="BG18" s="10" t="e">
        <f t="shared" si="4"/>
        <v>#N/A</v>
      </c>
      <c r="BH18" s="10">
        <f t="shared" si="5"/>
        <v>0</v>
      </c>
      <c r="BI18" s="10">
        <f t="shared" si="10"/>
        <v>0</v>
      </c>
      <c r="BJ18" s="10" t="str">
        <f t="shared" si="13"/>
        <v/>
      </c>
      <c r="BK18" s="35" t="str">
        <f t="shared" si="6"/>
        <v/>
      </c>
      <c r="BL18" s="10">
        <f t="shared" si="19"/>
        <v>12.074999999999999</v>
      </c>
      <c r="BM18" s="92" t="str">
        <f t="shared" si="14"/>
        <v/>
      </c>
      <c r="BN18" s="27">
        <f t="shared" si="11"/>
        <v>0</v>
      </c>
      <c r="BO18" s="37">
        <f t="shared" si="12"/>
        <v>0</v>
      </c>
      <c r="BP18" s="32">
        <f t="shared" si="7"/>
        <v>12.074999999999999</v>
      </c>
    </row>
    <row r="19" spans="1:68" ht="15.75" thickBot="1" x14ac:dyDescent="0.3">
      <c r="A19" s="77" t="s">
        <v>74</v>
      </c>
      <c r="B19" s="78" t="s">
        <v>78</v>
      </c>
      <c r="C19" s="78">
        <v>12</v>
      </c>
      <c r="D19" s="78">
        <v>6</v>
      </c>
      <c r="E19" s="78"/>
      <c r="F19" s="79"/>
      <c r="G19" s="77">
        <v>3307.9</v>
      </c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0"/>
      <c r="AA19" s="80"/>
      <c r="AB19" s="80"/>
      <c r="AC19" s="80"/>
      <c r="AD19" s="115"/>
      <c r="AE19" s="110"/>
      <c r="AF19" s="80"/>
      <c r="AG19" s="80"/>
      <c r="AH19" s="81">
        <f t="shared" si="8"/>
        <v>0</v>
      </c>
      <c r="AI19" s="80"/>
      <c r="AJ19" s="80"/>
      <c r="AK19" s="80"/>
      <c r="AL19" s="80"/>
      <c r="AM19" s="81">
        <f t="shared" si="9"/>
        <v>0</v>
      </c>
      <c r="AN19" s="80"/>
      <c r="AO19" s="80"/>
      <c r="AP19" s="80"/>
      <c r="AQ19" s="81">
        <f>AN19-AN18</f>
        <v>0</v>
      </c>
      <c r="AR19" s="81">
        <f>AO19-AO18</f>
        <v>0</v>
      </c>
      <c r="AS19" s="81">
        <f>AP18-AP19</f>
        <v>0</v>
      </c>
      <c r="AT19" s="111">
        <v>15</v>
      </c>
      <c r="AU19" s="108">
        <v>1700</v>
      </c>
      <c r="AV19" s="80">
        <v>34</v>
      </c>
      <c r="AW19" s="80">
        <v>7.2</v>
      </c>
      <c r="AX19" s="80">
        <v>50</v>
      </c>
      <c r="AY19" s="100">
        <v>4.0000000000000002E-4</v>
      </c>
      <c r="AZ19" s="97"/>
      <c r="BA19" s="82"/>
      <c r="BB19" s="100"/>
      <c r="BC19" s="97">
        <f t="shared" si="0"/>
        <v>0</v>
      </c>
      <c r="BD19" s="82">
        <f t="shared" si="1"/>
        <v>0</v>
      </c>
      <c r="BE19" s="82">
        <f t="shared" si="17"/>
        <v>1595</v>
      </c>
      <c r="BF19" s="83" t="e">
        <f t="shared" si="3"/>
        <v>#N/A</v>
      </c>
      <c r="BG19" s="83" t="e">
        <f t="shared" si="4"/>
        <v>#N/A</v>
      </c>
      <c r="BH19" s="83">
        <f t="shared" si="5"/>
        <v>0</v>
      </c>
      <c r="BI19" s="83">
        <f t="shared" si="10"/>
        <v>0</v>
      </c>
      <c r="BJ19" s="83" t="str">
        <f t="shared" si="13"/>
        <v/>
      </c>
      <c r="BK19" s="84" t="str">
        <f t="shared" si="6"/>
        <v/>
      </c>
      <c r="BL19" s="83">
        <f t="shared" si="19"/>
        <v>11.9625</v>
      </c>
      <c r="BM19" s="98" t="str">
        <f t="shared" si="14"/>
        <v/>
      </c>
      <c r="BN19" s="88">
        <f t="shared" si="11"/>
        <v>0</v>
      </c>
      <c r="BO19" s="85">
        <f t="shared" si="12"/>
        <v>0</v>
      </c>
      <c r="BP19" s="86">
        <f t="shared" si="7"/>
        <v>11.9625</v>
      </c>
    </row>
    <row r="20" spans="1:68" ht="15.75" thickBot="1" x14ac:dyDescent="0.3">
      <c r="A20" s="1" t="s">
        <v>74</v>
      </c>
      <c r="B20" s="67" t="s">
        <v>78</v>
      </c>
      <c r="C20" s="67">
        <v>12</v>
      </c>
      <c r="D20" s="67">
        <v>7</v>
      </c>
      <c r="E20" s="67"/>
      <c r="F20" s="68"/>
      <c r="G20" s="1">
        <v>3888.32</v>
      </c>
      <c r="H20" s="69"/>
      <c r="I20" s="69"/>
      <c r="J20" s="69"/>
      <c r="K20" s="69"/>
      <c r="L20" s="69"/>
      <c r="M20" s="69"/>
      <c r="N20" s="69"/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69"/>
      <c r="AA20" s="69"/>
      <c r="AB20" s="69"/>
      <c r="AC20" s="69"/>
      <c r="AD20" s="17"/>
      <c r="AE20" s="41"/>
      <c r="AF20" s="69"/>
      <c r="AG20" s="69"/>
      <c r="AH20" s="70">
        <f t="shared" si="8"/>
        <v>0</v>
      </c>
      <c r="AI20" s="69"/>
      <c r="AJ20" s="69"/>
      <c r="AK20" s="69"/>
      <c r="AL20" s="69"/>
      <c r="AM20" s="70">
        <f t="shared" si="9"/>
        <v>0</v>
      </c>
      <c r="AN20" s="69"/>
      <c r="AO20" s="69"/>
      <c r="AP20" s="69"/>
      <c r="AQ20" s="70">
        <f>AN20-AN19</f>
        <v>0</v>
      </c>
      <c r="AR20" s="70">
        <f>AO20-AO19</f>
        <v>0</v>
      </c>
      <c r="AS20" s="70">
        <f>AP19-AP20</f>
        <v>0</v>
      </c>
      <c r="AT20" s="25">
        <v>15</v>
      </c>
      <c r="AU20" s="106">
        <v>1700</v>
      </c>
      <c r="AV20" s="69">
        <v>34</v>
      </c>
      <c r="AW20" s="69">
        <v>7.2</v>
      </c>
      <c r="AX20" s="69">
        <v>50</v>
      </c>
      <c r="AY20" s="22">
        <v>4.0000000000000002E-4</v>
      </c>
      <c r="AZ20" s="11"/>
      <c r="BA20" s="71"/>
      <c r="BB20" s="22"/>
      <c r="BC20" s="11">
        <f t="shared" si="0"/>
        <v>0</v>
      </c>
      <c r="BD20" s="71">
        <f t="shared" si="1"/>
        <v>0</v>
      </c>
      <c r="BE20" s="71">
        <f t="shared" si="17"/>
        <v>1580</v>
      </c>
      <c r="BF20" s="72" t="e">
        <f t="shared" si="3"/>
        <v>#N/A</v>
      </c>
      <c r="BG20" s="72" t="e">
        <f t="shared" si="4"/>
        <v>#N/A</v>
      </c>
      <c r="BH20" s="72">
        <f t="shared" si="5"/>
        <v>0</v>
      </c>
      <c r="BI20" s="72">
        <f t="shared" si="10"/>
        <v>0</v>
      </c>
      <c r="BJ20" s="72" t="str">
        <f t="shared" si="13"/>
        <v/>
      </c>
      <c r="BK20" s="73" t="str">
        <f t="shared" si="6"/>
        <v/>
      </c>
      <c r="BL20" s="72">
        <f t="shared" si="19"/>
        <v>11.85</v>
      </c>
      <c r="BM20" s="93" t="str">
        <f t="shared" si="14"/>
        <v/>
      </c>
      <c r="BN20" s="28">
        <f t="shared" si="11"/>
        <v>0</v>
      </c>
      <c r="BO20" s="74">
        <f t="shared" si="12"/>
        <v>0</v>
      </c>
      <c r="BP20" s="30">
        <f t="shared" si="7"/>
        <v>11.85</v>
      </c>
    </row>
    <row r="21" spans="1:68" ht="15.75" thickBot="1" x14ac:dyDescent="0.3">
      <c r="A21" s="77" t="s">
        <v>74</v>
      </c>
      <c r="B21" s="78" t="s">
        <v>78</v>
      </c>
      <c r="C21" s="78">
        <v>12</v>
      </c>
      <c r="D21" s="78">
        <v>8</v>
      </c>
      <c r="E21" s="78"/>
      <c r="F21" s="79"/>
      <c r="G21" s="77">
        <v>4309.7</v>
      </c>
      <c r="H21" s="80"/>
      <c r="I21" s="80"/>
      <c r="J21" s="80"/>
      <c r="K21" s="80"/>
      <c r="L21" s="80"/>
      <c r="M21" s="80"/>
      <c r="N21" s="80"/>
      <c r="O21" s="80"/>
      <c r="P21" s="80"/>
      <c r="Q21" s="80"/>
      <c r="R21" s="80"/>
      <c r="S21" s="80"/>
      <c r="T21" s="80"/>
      <c r="U21" s="80"/>
      <c r="V21" s="80"/>
      <c r="W21" s="80"/>
      <c r="X21" s="80"/>
      <c r="Y21" s="80"/>
      <c r="Z21" s="80"/>
      <c r="AA21" s="80"/>
      <c r="AB21" s="80"/>
      <c r="AC21" s="80"/>
      <c r="AD21" s="115"/>
      <c r="AE21" s="110"/>
      <c r="AF21" s="80"/>
      <c r="AG21" s="80"/>
      <c r="AH21" s="81">
        <f t="shared" si="8"/>
        <v>0</v>
      </c>
      <c r="AI21" s="80"/>
      <c r="AJ21" s="80"/>
      <c r="AK21" s="80"/>
      <c r="AL21" s="80"/>
      <c r="AM21" s="81">
        <f t="shared" si="9"/>
        <v>0</v>
      </c>
      <c r="AN21" s="80"/>
      <c r="AO21" s="80"/>
      <c r="AP21" s="80"/>
      <c r="AQ21" s="81">
        <f>AN21-AN20</f>
        <v>0</v>
      </c>
      <c r="AR21" s="81">
        <f>AO21-AO20</f>
        <v>0</v>
      </c>
      <c r="AS21" s="81">
        <f>AP20-AP21</f>
        <v>0</v>
      </c>
      <c r="AT21" s="111">
        <v>15</v>
      </c>
      <c r="AU21" s="77">
        <v>1700</v>
      </c>
      <c r="AV21" s="80">
        <v>34</v>
      </c>
      <c r="AW21" s="80">
        <v>7.2</v>
      </c>
      <c r="AX21" s="80">
        <v>50</v>
      </c>
      <c r="AY21" s="100">
        <v>4.0000000000000002E-4</v>
      </c>
      <c r="AZ21" s="97"/>
      <c r="BA21" s="82"/>
      <c r="BB21" s="100"/>
      <c r="BC21" s="97">
        <f t="shared" ref="BC21:BC25" si="23">AY21*K21*BE21/1000</f>
        <v>0</v>
      </c>
      <c r="BD21" s="82">
        <f t="shared" ref="BD21:BD25" si="24">BC21*24*60</f>
        <v>0</v>
      </c>
      <c r="BE21" s="82">
        <f t="shared" si="17"/>
        <v>1565</v>
      </c>
      <c r="BF21" s="83" t="e">
        <f t="shared" ref="BF21:BF25" si="25">IF(ISBLANK(AN21),NA(),IFERROR(AN21/BE21,0))</f>
        <v>#N/A</v>
      </c>
      <c r="BG21" s="83" t="e">
        <f t="shared" ref="BG21:BG25" si="26">IF(ISBLANK(AN21),NA(),AN21/AU21)</f>
        <v>#N/A</v>
      </c>
      <c r="BH21" s="83">
        <f t="shared" ref="BH21:BH25" si="27">AM21*24*60</f>
        <v>0</v>
      </c>
      <c r="BI21" s="83">
        <f t="shared" si="10"/>
        <v>0</v>
      </c>
      <c r="BJ21" s="83" t="str">
        <f t="shared" si="13"/>
        <v/>
      </c>
      <c r="BK21" s="84" t="str">
        <f t="shared" ref="BK21:BK25" si="28">IF(B21="No MPC", AY21*K21*BE21/1000,"")</f>
        <v/>
      </c>
      <c r="BL21" s="83">
        <f t="shared" si="19"/>
        <v>11.737500000000001</v>
      </c>
      <c r="BM21" s="98" t="str">
        <f t="shared" si="14"/>
        <v/>
      </c>
      <c r="BN21" s="88">
        <f t="shared" si="11"/>
        <v>0</v>
      </c>
      <c r="BO21" s="85">
        <f t="shared" si="12"/>
        <v>0</v>
      </c>
      <c r="BP21" s="86">
        <f t="shared" ref="BP21:BP25" si="29">IF(BL21&lt;&gt;"",BL21,BM21)</f>
        <v>11.737500000000001</v>
      </c>
    </row>
    <row r="22" spans="1:68" ht="15.75" thickBot="1" x14ac:dyDescent="0.3">
      <c r="A22" s="1" t="s">
        <v>74</v>
      </c>
      <c r="B22" s="67" t="s">
        <v>78</v>
      </c>
      <c r="C22" s="67">
        <v>12</v>
      </c>
      <c r="D22" s="67">
        <v>9</v>
      </c>
      <c r="E22" s="67"/>
      <c r="F22" s="68"/>
      <c r="G22" s="1">
        <v>4805.7299999999996</v>
      </c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69"/>
      <c r="S22" s="69"/>
      <c r="T22" s="69"/>
      <c r="U22" s="69"/>
      <c r="V22" s="69"/>
      <c r="W22" s="69"/>
      <c r="X22" s="69"/>
      <c r="Y22" s="69"/>
      <c r="Z22" s="69"/>
      <c r="AA22" s="69"/>
      <c r="AB22" s="69"/>
      <c r="AC22" s="69"/>
      <c r="AD22" s="17"/>
      <c r="AE22" s="41"/>
      <c r="AF22" s="69"/>
      <c r="AG22" s="69"/>
      <c r="AH22" s="70">
        <f t="shared" si="8"/>
        <v>0</v>
      </c>
      <c r="AI22" s="69"/>
      <c r="AJ22" s="69"/>
      <c r="AK22" s="69"/>
      <c r="AL22" s="69"/>
      <c r="AM22" s="70">
        <f t="shared" si="9"/>
        <v>0</v>
      </c>
      <c r="AN22" s="69"/>
      <c r="AO22" s="69"/>
      <c r="AP22" s="69"/>
      <c r="AQ22" s="70">
        <f>AN22-AN21</f>
        <v>0</v>
      </c>
      <c r="AR22" s="70">
        <f>AO22-AO21</f>
        <v>0</v>
      </c>
      <c r="AS22" s="70">
        <f>AP21-AP22</f>
        <v>0</v>
      </c>
      <c r="AT22" s="25">
        <v>15</v>
      </c>
      <c r="AU22" s="1">
        <v>1700</v>
      </c>
      <c r="AV22" s="69">
        <v>34</v>
      </c>
      <c r="AW22" s="69">
        <v>7.2</v>
      </c>
      <c r="AX22" s="69">
        <v>50</v>
      </c>
      <c r="AY22" s="22">
        <v>4.0000000000000002E-4</v>
      </c>
      <c r="AZ22" s="11"/>
      <c r="BA22" s="71"/>
      <c r="BB22" s="22"/>
      <c r="BC22" s="11">
        <f t="shared" si="23"/>
        <v>0</v>
      </c>
      <c r="BD22" s="71">
        <f t="shared" si="24"/>
        <v>0</v>
      </c>
      <c r="BE22" s="71">
        <f t="shared" si="17"/>
        <v>1550</v>
      </c>
      <c r="BF22" s="72" t="e">
        <f t="shared" si="25"/>
        <v>#N/A</v>
      </c>
      <c r="BG22" s="72" t="e">
        <f t="shared" si="26"/>
        <v>#N/A</v>
      </c>
      <c r="BH22" s="72">
        <f t="shared" si="27"/>
        <v>0</v>
      </c>
      <c r="BI22" s="72">
        <f t="shared" ref="BI22:BI25" si="30">IF(B22="Python",AZ22*BE22/24/60,"")</f>
        <v>0</v>
      </c>
      <c r="BJ22" s="72" t="str">
        <f t="shared" ref="BJ22:BJ25" si="31">IF(B22="Julia",BA22*BE22/24/60,"")</f>
        <v/>
      </c>
      <c r="BK22" s="73" t="str">
        <f t="shared" si="28"/>
        <v/>
      </c>
      <c r="BL22" s="72">
        <f t="shared" si="19"/>
        <v>11.625</v>
      </c>
      <c r="BM22" s="93" t="str">
        <f t="shared" ref="BM22:BM25" si="32">IF(B22="Julia",BB22*BE22,"")</f>
        <v/>
      </c>
      <c r="BN22" s="28">
        <f t="shared" si="11"/>
        <v>0</v>
      </c>
      <c r="BO22" s="74">
        <f t="shared" si="12"/>
        <v>0</v>
      </c>
      <c r="BP22" s="30">
        <f t="shared" si="29"/>
        <v>11.625</v>
      </c>
    </row>
    <row r="23" spans="1:68" ht="15.75" thickBot="1" x14ac:dyDescent="0.3">
      <c r="A23" s="2" t="s">
        <v>74</v>
      </c>
      <c r="B23" s="3" t="s">
        <v>78</v>
      </c>
      <c r="C23" s="3">
        <v>12</v>
      </c>
      <c r="D23" s="3">
        <v>10</v>
      </c>
      <c r="E23" s="3"/>
      <c r="F23" s="75"/>
      <c r="G23" s="116">
        <v>5497.99</v>
      </c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16"/>
      <c r="AE23" s="40"/>
      <c r="AF23" s="6"/>
      <c r="AG23" s="6"/>
      <c r="AH23" s="43">
        <f t="shared" si="8"/>
        <v>0</v>
      </c>
      <c r="AI23" s="6"/>
      <c r="AJ23" s="6"/>
      <c r="AK23" s="6"/>
      <c r="AL23" s="6"/>
      <c r="AM23" s="43">
        <f t="shared" si="9"/>
        <v>0</v>
      </c>
      <c r="AN23" s="6"/>
      <c r="AO23" s="6"/>
      <c r="AP23" s="6"/>
      <c r="AQ23" s="43">
        <f>AN23-AN22</f>
        <v>0</v>
      </c>
      <c r="AR23" s="43">
        <f>AO23-AO22</f>
        <v>0</v>
      </c>
      <c r="AS23" s="43">
        <f>AP22-AP23</f>
        <v>0</v>
      </c>
      <c r="AT23" s="24">
        <v>15</v>
      </c>
      <c r="AU23" s="2">
        <v>1700</v>
      </c>
      <c r="AV23" s="6">
        <v>34</v>
      </c>
      <c r="AW23" s="6">
        <v>7.2</v>
      </c>
      <c r="AX23" s="6">
        <v>50</v>
      </c>
      <c r="AY23" s="21">
        <v>4.0000000000000002E-4</v>
      </c>
      <c r="AZ23" s="8"/>
      <c r="BA23" s="9"/>
      <c r="BB23" s="21"/>
      <c r="BC23" s="8">
        <f t="shared" si="23"/>
        <v>0</v>
      </c>
      <c r="BD23" s="9">
        <f t="shared" si="24"/>
        <v>0</v>
      </c>
      <c r="BE23" s="9">
        <f t="shared" si="17"/>
        <v>1535</v>
      </c>
      <c r="BF23" s="10" t="e">
        <f t="shared" si="25"/>
        <v>#N/A</v>
      </c>
      <c r="BG23" s="10" t="e">
        <f t="shared" si="26"/>
        <v>#N/A</v>
      </c>
      <c r="BH23" s="10">
        <f t="shared" si="27"/>
        <v>0</v>
      </c>
      <c r="BI23" s="10">
        <f t="shared" si="30"/>
        <v>0</v>
      </c>
      <c r="BJ23" s="10" t="str">
        <f t="shared" si="31"/>
        <v/>
      </c>
      <c r="BK23" s="35" t="str">
        <f t="shared" si="28"/>
        <v/>
      </c>
      <c r="BL23" s="10">
        <f t="shared" si="19"/>
        <v>11.512499999999999</v>
      </c>
      <c r="BM23" s="92" t="str">
        <f t="shared" si="32"/>
        <v/>
      </c>
      <c r="BN23" s="27">
        <f t="shared" si="11"/>
        <v>0</v>
      </c>
      <c r="BO23" s="37">
        <f t="shared" si="12"/>
        <v>0</v>
      </c>
      <c r="BP23" s="32">
        <f t="shared" si="29"/>
        <v>11.512499999999999</v>
      </c>
    </row>
    <row r="24" spans="1:68" ht="15.75" thickBot="1" x14ac:dyDescent="0.3">
      <c r="A24" s="2" t="s">
        <v>74</v>
      </c>
      <c r="B24" s="3" t="s">
        <v>78</v>
      </c>
      <c r="C24" s="3">
        <v>12</v>
      </c>
      <c r="D24" s="3">
        <v>11</v>
      </c>
      <c r="E24" s="3"/>
      <c r="F24" s="75"/>
      <c r="G24" s="116">
        <v>6057.48</v>
      </c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16"/>
      <c r="AE24" s="40"/>
      <c r="AF24" s="6"/>
      <c r="AG24" s="6"/>
      <c r="AH24" s="43">
        <f t="shared" si="8"/>
        <v>0</v>
      </c>
      <c r="AI24" s="6"/>
      <c r="AJ24" s="6"/>
      <c r="AK24" s="6"/>
      <c r="AL24" s="6"/>
      <c r="AM24" s="43">
        <f t="shared" si="9"/>
        <v>0</v>
      </c>
      <c r="AN24" s="6"/>
      <c r="AO24" s="6"/>
      <c r="AP24" s="6"/>
      <c r="AQ24" s="43">
        <f>AN24-AN23</f>
        <v>0</v>
      </c>
      <c r="AR24" s="43">
        <f>AO24-AO23</f>
        <v>0</v>
      </c>
      <c r="AS24" s="43">
        <f>AP23-AP24</f>
        <v>0</v>
      </c>
      <c r="AT24" s="24">
        <v>15</v>
      </c>
      <c r="AU24" s="2">
        <v>1700</v>
      </c>
      <c r="AV24" s="6">
        <v>34</v>
      </c>
      <c r="AW24" s="6">
        <v>7.2</v>
      </c>
      <c r="AX24" s="6">
        <v>50</v>
      </c>
      <c r="AY24" s="21">
        <v>4.0000000000000002E-4</v>
      </c>
      <c r="AZ24" s="8"/>
      <c r="BA24" s="9"/>
      <c r="BB24" s="21"/>
      <c r="BC24" s="8">
        <f t="shared" si="23"/>
        <v>0</v>
      </c>
      <c r="BD24" s="9">
        <f t="shared" si="24"/>
        <v>0</v>
      </c>
      <c r="BE24" s="9">
        <f t="shared" si="17"/>
        <v>1520</v>
      </c>
      <c r="BF24" s="10" t="e">
        <f t="shared" si="25"/>
        <v>#N/A</v>
      </c>
      <c r="BG24" s="10" t="e">
        <f t="shared" si="26"/>
        <v>#N/A</v>
      </c>
      <c r="BH24" s="10">
        <f t="shared" si="27"/>
        <v>0</v>
      </c>
      <c r="BI24" s="10">
        <f t="shared" si="30"/>
        <v>0</v>
      </c>
      <c r="BJ24" s="10" t="str">
        <f t="shared" si="31"/>
        <v/>
      </c>
      <c r="BK24" s="35" t="str">
        <f t="shared" si="28"/>
        <v/>
      </c>
      <c r="BL24" s="10">
        <f t="shared" si="19"/>
        <v>11.4</v>
      </c>
      <c r="BM24" s="92" t="str">
        <f t="shared" si="32"/>
        <v/>
      </c>
      <c r="BN24" s="27">
        <f t="shared" ref="BN24:BN25" si="33">IF(BI24&lt;&gt;"",BI24/0.000385,IF(BJ24&lt;&gt;"",BJ24/0.000385,BK24/0.000385))</f>
        <v>0</v>
      </c>
      <c r="BO24" s="37">
        <f t="shared" ref="BO24" si="34">IF(BI24&lt;&gt;"",BI24,IF(BJ24&lt;&gt;"",BJ24,BK24))</f>
        <v>0</v>
      </c>
      <c r="BP24" s="32">
        <f t="shared" si="29"/>
        <v>11.4</v>
      </c>
    </row>
    <row r="25" spans="1:68" ht="15.75" thickBot="1" x14ac:dyDescent="0.3">
      <c r="A25" s="77" t="s">
        <v>74</v>
      </c>
      <c r="B25" s="78" t="s">
        <v>78</v>
      </c>
      <c r="C25" s="78">
        <v>12</v>
      </c>
      <c r="D25" s="78">
        <v>12</v>
      </c>
      <c r="E25" s="78"/>
      <c r="F25" s="79"/>
      <c r="G25" s="117">
        <v>6478.05</v>
      </c>
      <c r="H25" s="78"/>
      <c r="I25" s="80"/>
      <c r="J25" s="80"/>
      <c r="K25" s="80"/>
      <c r="L25" s="80"/>
      <c r="M25" s="80"/>
      <c r="N25" s="80"/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115"/>
      <c r="AE25" s="110"/>
      <c r="AF25" s="80"/>
      <c r="AG25" s="80"/>
      <c r="AH25" s="81">
        <f t="shared" si="8"/>
        <v>0</v>
      </c>
      <c r="AI25" s="80"/>
      <c r="AJ25" s="80"/>
      <c r="AK25" s="80"/>
      <c r="AL25" s="80"/>
      <c r="AM25" s="81">
        <f t="shared" si="9"/>
        <v>0</v>
      </c>
      <c r="AN25" s="80"/>
      <c r="AO25" s="80"/>
      <c r="AP25" s="80"/>
      <c r="AQ25" s="81">
        <f>AN25-AN24</f>
        <v>0</v>
      </c>
      <c r="AR25" s="81">
        <f>AO25-AO24</f>
        <v>0</v>
      </c>
      <c r="AS25" s="81">
        <f>AP24-AP25</f>
        <v>0</v>
      </c>
      <c r="AT25" s="111">
        <v>15</v>
      </c>
      <c r="AU25" s="77">
        <v>1700</v>
      </c>
      <c r="AV25" s="80">
        <v>34</v>
      </c>
      <c r="AW25" s="80">
        <v>7.2</v>
      </c>
      <c r="AX25" s="80">
        <v>50</v>
      </c>
      <c r="AY25" s="100">
        <v>4.0000000000000002E-4</v>
      </c>
      <c r="AZ25" s="97"/>
      <c r="BA25" s="78"/>
      <c r="BB25" s="101"/>
      <c r="BC25" s="97">
        <f t="shared" si="23"/>
        <v>0</v>
      </c>
      <c r="BD25" s="82">
        <f t="shared" si="24"/>
        <v>0</v>
      </c>
      <c r="BE25" s="82">
        <f t="shared" si="17"/>
        <v>1505</v>
      </c>
      <c r="BF25" s="83" t="e">
        <f t="shared" si="25"/>
        <v>#N/A</v>
      </c>
      <c r="BG25" s="83" t="e">
        <f t="shared" si="26"/>
        <v>#N/A</v>
      </c>
      <c r="BH25" s="83">
        <f t="shared" si="27"/>
        <v>0</v>
      </c>
      <c r="BI25" s="83">
        <f t="shared" si="30"/>
        <v>0</v>
      </c>
      <c r="BJ25" s="83" t="str">
        <f t="shared" si="31"/>
        <v/>
      </c>
      <c r="BK25" s="84" t="str">
        <f t="shared" si="28"/>
        <v/>
      </c>
      <c r="BL25" s="83">
        <f t="shared" si="19"/>
        <v>11.2875</v>
      </c>
      <c r="BM25" s="98" t="str">
        <f t="shared" si="32"/>
        <v/>
      </c>
      <c r="BN25" s="88">
        <f t="shared" si="33"/>
        <v>0</v>
      </c>
      <c r="BO25" s="85">
        <f>IF(BI25&lt;&gt;"",BI25,IF(BJ25&lt;&gt;"",BJ25,BK25))</f>
        <v>0</v>
      </c>
      <c r="BP25" s="86">
        <f t="shared" si="29"/>
        <v>11.2875</v>
      </c>
    </row>
    <row r="28" spans="1:68" x14ac:dyDescent="0.25">
      <c r="S28" s="39"/>
    </row>
  </sheetData>
  <autoFilter ref="A2:BM259" xr:uid="{00000000-0001-0000-0000-000000000000}"/>
  <mergeCells count="7">
    <mergeCell ref="A1:F1"/>
    <mergeCell ref="G1:AD1"/>
    <mergeCell ref="BN1:BP1"/>
    <mergeCell ref="BC1:BM1"/>
    <mergeCell ref="AU1:AY1"/>
    <mergeCell ref="AZ1:BB1"/>
    <mergeCell ref="AE1:AT1"/>
  </mergeCells>
  <phoneticPr fontId="18" type="noConversion"/>
  <conditionalFormatting sqref="AZ3:AZ25">
    <cfRule type="expression" dxfId="3" priority="2">
      <formula>IF($B3 = "Python", TRUE, FALSE)</formula>
    </cfRule>
  </conditionalFormatting>
  <conditionalFormatting sqref="BC3:BH25">
    <cfRule type="notContainsBlanks" dxfId="2" priority="12">
      <formula>LEN(TRIM(BC3))&gt;0</formula>
    </cfRule>
  </conditionalFormatting>
  <conditionalFormatting sqref="BA3:BB25">
    <cfRule type="expression" dxfId="1" priority="9">
      <formula>IF($B3 = "Julia", TRUE, FALSE)</formula>
    </cfRule>
  </conditionalFormatting>
  <conditionalFormatting sqref="BC3:BM25">
    <cfRule type="expression" dxfId="0" priority="207">
      <formula>ISNA($BC$3:$BM$25)</formula>
    </cfRule>
  </conditionalFormatting>
  <pageMargins left="0.7" right="0.7" top="0.75" bottom="0.75" header="0.3" footer="0.3"/>
  <pageSetup orientation="portrait" r:id="rId1"/>
  <ignoredErrors>
    <ignoredError sqref="BE8:BE10" formulaRange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1E7D6-1405-4AC8-A599-0CE4601ECD66}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75172DAFC2BB6479729CB287362C7E3" ma:contentTypeVersion="13" ma:contentTypeDescription="Create a new document." ma:contentTypeScope="" ma:versionID="0fc11b0946794a47057850b4f6c92dd7">
  <xsd:schema xmlns:xsd="http://www.w3.org/2001/XMLSchema" xmlns:xs="http://www.w3.org/2001/XMLSchema" xmlns:p="http://schemas.microsoft.com/office/2006/metadata/properties" xmlns:ns2="34d8c884-fe7e-4d4f-a833-b92a2823f74b" xmlns:ns3="a198008e-c7f6-4ed0-9865-26ace3c97b59" targetNamespace="http://schemas.microsoft.com/office/2006/metadata/properties" ma:root="true" ma:fieldsID="fb90ec7fe59ed1d44226abab88cd233b" ns2:_="" ns3:_="">
    <xsd:import namespace="34d8c884-fe7e-4d4f-a833-b92a2823f74b"/>
    <xsd:import namespace="a198008e-c7f6-4ed0-9865-26ace3c97b5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d8c884-fe7e-4d4f-a833-b92a2823f74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c451d461-d530-465a-81eb-73ef42a83da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98008e-c7f6-4ed0-9865-26ace3c97b5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4cd41ce-512c-4471-a627-8bf77c2cc8fd}" ma:internalName="TaxCatchAll" ma:showField="CatchAllData" ma:web="a198008e-c7f6-4ed0-9865-26ace3c97b5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198008e-c7f6-4ed0-9865-26ace3c97b59" xsi:nil="true"/>
    <lcf76f155ced4ddcb4097134ff3c332f xmlns="34d8c884-fe7e-4d4f-a833-b92a2823f74b">
      <Terms xmlns="http://schemas.microsoft.com/office/infopath/2007/PartnerControls"/>
    </lcf76f155ced4ddcb4097134ff3c332f>
    <SharedWithUsers xmlns="a198008e-c7f6-4ed0-9865-26ace3c97b59">
      <UserInfo>
        <DisplayName/>
        <AccountId xsi:nil="true"/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F43DC28-AE43-4EFF-8739-4E0C557B415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4d8c884-fe7e-4d4f-a833-b92a2823f74b"/>
    <ds:schemaRef ds:uri="a198008e-c7f6-4ed0-9865-26ace3c97b5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1736866-79EE-4C47-B374-7C3565856A36}">
  <ds:schemaRefs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34d8c884-fe7e-4d4f-a833-b92a2823f74b"/>
    <ds:schemaRef ds:uri="a198008e-c7f6-4ed0-9865-26ace3c97b59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6FA2C79D-5C43-4F8C-8CB2-6CBFC459154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MasterDataTable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Zach Hatzenbeller</dc:creator>
  <cp:keywords/>
  <dc:description/>
  <cp:lastModifiedBy>Yu Luo</cp:lastModifiedBy>
  <cp:revision/>
  <dcterms:created xsi:type="dcterms:W3CDTF">2024-02-21T20:31:27Z</dcterms:created>
  <dcterms:modified xsi:type="dcterms:W3CDTF">2024-07-22T18:11:59Z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0x010100B75172DAFC2BB6479729CB287362C7E3</vt:lpwstr>
  </property>
  <property fmtid="{D5CDD505-2E9C-101B-9397-08002B2CF9AE}" pid="3" name="MediaServiceImageTags">
    <vt:lpwstr/>
  </property>
  <property fmtid="{D5CDD505-2E9C-101B-9397-08002B2CF9AE}" pid="4" name="MSIP_Label_bea66b2b-af80-48b6-873b-d341d3035cfa_Enabled">
    <vt:lpwstr>true</vt:lpwstr>
  </property>
  <property fmtid="{D5CDD505-2E9C-101B-9397-08002B2CF9AE}" pid="5" name="MSIP_Label_bea66b2b-af80-48b6-873b-d341d3035cfa_SetDate">
    <vt:lpwstr>2024-02-29T22:36:18Z</vt:lpwstr>
  </property>
  <property fmtid="{D5CDD505-2E9C-101B-9397-08002B2CF9AE}" pid="6" name="MSIP_Label_bea66b2b-af80-48b6-873b-d341d3035cfa_Method">
    <vt:lpwstr>Standard</vt:lpwstr>
  </property>
  <property fmtid="{D5CDD505-2E9C-101B-9397-08002B2CF9AE}" pid="7" name="MSIP_Label_bea66b2b-af80-48b6-873b-d341d3035cfa_Name">
    <vt:lpwstr>Proprietary</vt:lpwstr>
  </property>
  <property fmtid="{D5CDD505-2E9C-101B-9397-08002B2CF9AE}" pid="8" name="MSIP_Label_bea66b2b-af80-48b6-873b-d341d3035cfa_SiteId">
    <vt:lpwstr>63982aff-fb6c-4c22-973b-70e4acfb63e6</vt:lpwstr>
  </property>
  <property fmtid="{D5CDD505-2E9C-101B-9397-08002B2CF9AE}" pid="9" name="MSIP_Label_bea66b2b-af80-48b6-873b-d341d3035cfa_ActionId">
    <vt:lpwstr>91d85dac-42e1-4dc2-93ee-7512b7f20543</vt:lpwstr>
  </property>
  <property fmtid="{D5CDD505-2E9C-101B-9397-08002B2CF9AE}" pid="10" name="MSIP_Label_bea66b2b-af80-48b6-873b-d341d3035cfa_ContentBits">
    <vt:lpwstr>0</vt:lpwstr>
  </property>
</Properties>
</file>