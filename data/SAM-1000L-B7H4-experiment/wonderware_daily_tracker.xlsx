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604392\Git\state-space-model\data\SAM-1000L-B7H4-experiment\"/>
    </mc:Choice>
  </mc:AlternateContent>
  <xr:revisionPtr revIDLastSave="0" documentId="13_ncr:1_{6945452E-1B87-4BE1-82D3-3009FD54A7AC}" xr6:coauthVersionLast="47" xr6:coauthVersionMax="47" xr10:uidLastSave="{00000000-0000-0000-0000-000000000000}"/>
  <bookViews>
    <workbookView xWindow="-25710" yWindow="-110" windowWidth="25820" windowHeight="15500" xr2:uid="{E961445A-110E-4F6E-BEC2-83002F09025D}"/>
  </bookViews>
  <sheets>
    <sheet name="HPLC" sheetId="1" r:id="rId1"/>
    <sheet name="Ram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D3" i="1"/>
  <c r="E3" i="1" s="1"/>
  <c r="D4" i="1"/>
  <c r="E4" i="1" s="1"/>
  <c r="D5" i="1"/>
  <c r="D6" i="1"/>
  <c r="D7" i="1"/>
  <c r="D8" i="1"/>
  <c r="D9" i="1"/>
  <c r="D10" i="1"/>
  <c r="D11" i="1"/>
  <c r="E11" i="1" s="1"/>
  <c r="D12" i="1"/>
  <c r="D13" i="1"/>
  <c r="D14" i="1"/>
  <c r="D15" i="1"/>
  <c r="D16" i="1"/>
  <c r="E16" i="1" s="1"/>
  <c r="D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  <c r="H6" i="1"/>
  <c r="H7" i="1"/>
  <c r="H8" i="1"/>
  <c r="H9" i="1"/>
  <c r="H10" i="1"/>
  <c r="H11" i="1"/>
  <c r="H12" i="1"/>
  <c r="H13" i="1"/>
  <c r="H14" i="1"/>
  <c r="H15" i="1"/>
  <c r="H16" i="1"/>
  <c r="H5" i="1"/>
  <c r="E12" i="1"/>
  <c r="E5" i="1"/>
  <c r="E6" i="1"/>
  <c r="E7" i="1"/>
  <c r="E8" i="1"/>
  <c r="E9" i="1"/>
  <c r="E10" i="1"/>
  <c r="E13" i="1"/>
  <c r="E14" i="1"/>
  <c r="E15" i="1"/>
  <c r="E2" i="1"/>
</calcChain>
</file>

<file path=xl/sharedStrings.xml><?xml version="1.0" encoding="utf-8"?>
<sst xmlns="http://schemas.openxmlformats.org/spreadsheetml/2006/main" count="14" uniqueCount="14">
  <si>
    <t>Date</t>
  </si>
  <si>
    <t>Day</t>
  </si>
  <si>
    <t>SP</t>
  </si>
  <si>
    <t>SP progress</t>
  </si>
  <si>
    <t>SP to go</t>
  </si>
  <si>
    <t>1-d SP+</t>
  </si>
  <si>
    <t>1-d SP+%</t>
  </si>
  <si>
    <t>3-d SP+</t>
  </si>
  <si>
    <t>HPLC</t>
  </si>
  <si>
    <t>Sq. Err.</t>
  </si>
  <si>
    <t>RMSE</t>
  </si>
  <si>
    <t>NRMSE</t>
  </si>
  <si>
    <t>APE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</si>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</sst>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9" fontId="0" fillId="0" borderId="0" xfId="1" applyFont="1"/>
    <xf numFmtId="16" fontId="0" fillId="0" borderId="0" xfId="0" applyNumberFormat="1"/>
    <xf numFmtId="9" fontId="0" fillId="0" borderId="0" xfId="0" applyNumberFormat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9" fontId="0" fillId="0" borderId="0" xfId="1" applyFont="1" applyFill="1"/>
    <xf numFmtId="16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9" fontId="0" fillId="0" borderId="0" xfId="0" applyNumberFormat="1" applyFill="1"/>
    <xf numFmtId="1" fontId="0" fillId="0" borderId="0" xfId="0" applyNumberFormat="1" applyFill="1"/>
  </cellXfs>
  <cellStyles count="2"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8C77-2130-4297-8EC4-B76980043D87}">
  <dimension ref="A1:N16"/>
  <sheetViews>
    <sheetView tabSelected="1" workbookViewId="0">
      <selection activeCell="R21" sqref="R21"/>
    </sheetView>
  </sheetViews>
  <sheetFormatPr defaultRowHeight="15" x14ac:dyDescent="0.25"/>
  <cols>
    <col min="1" max="1" width="7.140625" bestFit="1" customWidth="1"/>
    <col min="2" max="2" width="4.42578125" bestFit="1" customWidth="1"/>
    <col min="3" max="3" width="7.5703125" style="6" bestFit="1" customWidth="1"/>
    <col min="4" max="4" width="11.5703125" bestFit="1" customWidth="1"/>
    <col min="5" max="5" width="8.140625" bestFit="1" customWidth="1"/>
    <col min="6" max="6" width="7.5703125" style="8" bestFit="1" customWidth="1"/>
    <col min="7" max="7" width="9.140625" style="8" bestFit="1" customWidth="1"/>
    <col min="8" max="8" width="7.5703125" style="8" bestFit="1" customWidth="1"/>
    <col min="10" max="10" width="9.5703125" style="6" bestFit="1" customWidth="1"/>
  </cols>
  <sheetData>
    <row r="1" spans="1:14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5">
      <c r="A2" s="2">
        <v>45982</v>
      </c>
      <c r="B2">
        <v>0</v>
      </c>
      <c r="C2" s="6">
        <v>21.05</v>
      </c>
      <c r="D2" s="1">
        <f>C2/$C$16</f>
        <v>6.3880962467749852E-3</v>
      </c>
      <c r="E2" s="3">
        <f>1-D2</f>
        <v>0.99361190375322506</v>
      </c>
      <c r="I2">
        <v>22.4</v>
      </c>
      <c r="J2" s="6">
        <f>(I2-C2)^2</f>
        <v>1.8224999999999942</v>
      </c>
      <c r="K2">
        <f>SQRT(AVERAGE(J:J))</f>
        <v>134.49136069472749</v>
      </c>
      <c r="L2" s="1">
        <f>K2/C16</f>
        <v>4.0814430236467907E-2</v>
      </c>
      <c r="M2" s="1">
        <f>ABS(I2-C2)/C2</f>
        <v>6.4133016627078279E-2</v>
      </c>
      <c r="N2" s="1">
        <f>AVERAGE(M:M)</f>
        <v>7.8627464735837774E-2</v>
      </c>
    </row>
    <row r="3" spans="1:14" x14ac:dyDescent="0.25">
      <c r="A3" s="2">
        <v>45983</v>
      </c>
      <c r="B3">
        <v>1</v>
      </c>
      <c r="C3" s="6">
        <v>33.386785709999998</v>
      </c>
      <c r="D3" s="1">
        <f t="shared" ref="D3:D16" si="0">C3/$C$16</f>
        <v>1.0131971519521697E-2</v>
      </c>
      <c r="E3" s="3">
        <f t="shared" ref="E3:E16" si="1">1-D3</f>
        <v>0.98986802848047828</v>
      </c>
      <c r="F3" s="8">
        <f>C3-C2</f>
        <v>12.336785709999997</v>
      </c>
      <c r="G3" s="1">
        <f>F3/C2</f>
        <v>0.58607058004750578</v>
      </c>
      <c r="I3">
        <v>38.1</v>
      </c>
      <c r="J3" s="6">
        <f t="shared" ref="J3:J16" si="2">(I3-C3)^2</f>
        <v>22.214388943460236</v>
      </c>
      <c r="M3" s="1">
        <f t="shared" ref="M3:M16" si="3">ABS(I3-C3)/C3</f>
        <v>0.14117005245546305</v>
      </c>
    </row>
    <row r="4" spans="1:14" x14ac:dyDescent="0.25">
      <c r="A4" s="2">
        <v>45984</v>
      </c>
      <c r="B4">
        <v>2</v>
      </c>
      <c r="C4" s="6">
        <v>60.400714290000003</v>
      </c>
      <c r="D4" s="1">
        <f t="shared" si="0"/>
        <v>1.8329956116792268E-2</v>
      </c>
      <c r="E4" s="3">
        <f t="shared" si="1"/>
        <v>0.98167004388320778</v>
      </c>
      <c r="F4" s="8">
        <f t="shared" ref="F4:F16" si="4">C4-C3</f>
        <v>27.013928580000005</v>
      </c>
      <c r="G4" s="1">
        <f t="shared" ref="G4:G16" si="5">F4/C3</f>
        <v>0.80912037518810331</v>
      </c>
      <c r="I4">
        <v>69.599999999999994</v>
      </c>
      <c r="J4" s="6">
        <f t="shared" si="2"/>
        <v>84.626857574210035</v>
      </c>
      <c r="M4" s="1">
        <f t="shared" si="3"/>
        <v>0.1523042536522293</v>
      </c>
    </row>
    <row r="5" spans="1:14" x14ac:dyDescent="0.25">
      <c r="A5" s="2">
        <v>45985</v>
      </c>
      <c r="B5">
        <v>3</v>
      </c>
      <c r="C5" s="6">
        <v>122.9070408</v>
      </c>
      <c r="D5" s="1">
        <f t="shared" si="0"/>
        <v>3.7298907650199525E-2</v>
      </c>
      <c r="E5" s="3">
        <f t="shared" si="1"/>
        <v>0.9627010923498005</v>
      </c>
      <c r="F5" s="8">
        <f t="shared" si="4"/>
        <v>62.506326510000001</v>
      </c>
      <c r="G5" s="1">
        <f t="shared" si="5"/>
        <v>1.0348607172075879</v>
      </c>
      <c r="H5" s="8">
        <f>C5-C2</f>
        <v>101.85704080000001</v>
      </c>
      <c r="I5">
        <v>136</v>
      </c>
      <c r="J5" s="6">
        <f t="shared" si="2"/>
        <v>171.42558061286454</v>
      </c>
      <c r="M5" s="1">
        <f t="shared" si="3"/>
        <v>0.10652733248460079</v>
      </c>
    </row>
    <row r="6" spans="1:14" x14ac:dyDescent="0.25">
      <c r="A6" s="2">
        <v>45986</v>
      </c>
      <c r="B6">
        <v>4</v>
      </c>
      <c r="C6" s="6">
        <v>236.89469389999999</v>
      </c>
      <c r="D6" s="1">
        <f t="shared" si="0"/>
        <v>7.1891026365011823E-2</v>
      </c>
      <c r="E6" s="3">
        <f t="shared" si="1"/>
        <v>0.92810897363498812</v>
      </c>
      <c r="F6" s="8">
        <f t="shared" si="4"/>
        <v>113.98765309999999</v>
      </c>
      <c r="G6" s="1">
        <f t="shared" si="5"/>
        <v>0.92742980677149278</v>
      </c>
      <c r="H6" s="8">
        <f t="shared" ref="H6:H16" si="6">C6-C3</f>
        <v>203.50790818999999</v>
      </c>
      <c r="I6">
        <v>267.39999999999998</v>
      </c>
      <c r="J6" s="6">
        <f t="shared" si="2"/>
        <v>930.57370025469629</v>
      </c>
      <c r="M6" s="1">
        <f t="shared" si="3"/>
        <v>0.12877158875021971</v>
      </c>
    </row>
    <row r="7" spans="1:14" x14ac:dyDescent="0.25">
      <c r="A7" s="2">
        <v>45987</v>
      </c>
      <c r="B7">
        <v>5</v>
      </c>
      <c r="C7" s="6">
        <v>423.57755100000003</v>
      </c>
      <c r="D7" s="9">
        <f t="shared" si="0"/>
        <v>0.12854414079625845</v>
      </c>
      <c r="E7" s="3">
        <f t="shared" si="1"/>
        <v>0.87145585920374158</v>
      </c>
      <c r="F7" s="8">
        <f t="shared" si="4"/>
        <v>186.68285710000004</v>
      </c>
      <c r="G7" s="9">
        <f t="shared" si="5"/>
        <v>0.78804153029617541</v>
      </c>
      <c r="H7" s="8">
        <f t="shared" si="6"/>
        <v>363.17683671000003</v>
      </c>
      <c r="I7">
        <v>472</v>
      </c>
      <c r="J7" s="6">
        <f t="shared" si="2"/>
        <v>2344.7335671575984</v>
      </c>
      <c r="M7" s="1">
        <f t="shared" si="3"/>
        <v>0.11431778876307816</v>
      </c>
    </row>
    <row r="8" spans="1:14" x14ac:dyDescent="0.25">
      <c r="A8" s="2">
        <v>45988</v>
      </c>
      <c r="B8">
        <v>6</v>
      </c>
      <c r="C8" s="6">
        <v>738.80469389999996</v>
      </c>
      <c r="D8" s="9">
        <f t="shared" si="0"/>
        <v>0.22420691174357871</v>
      </c>
      <c r="E8" s="3">
        <f t="shared" si="1"/>
        <v>0.77579308825642124</v>
      </c>
      <c r="F8" s="8">
        <f t="shared" si="4"/>
        <v>315.22714289999993</v>
      </c>
      <c r="G8" s="9">
        <f t="shared" si="5"/>
        <v>0.74420172210684488</v>
      </c>
      <c r="H8" s="8">
        <f t="shared" si="6"/>
        <v>615.89765309999996</v>
      </c>
      <c r="I8">
        <v>797.6</v>
      </c>
      <c r="J8" s="6">
        <f t="shared" si="2"/>
        <v>3456.8880193927043</v>
      </c>
      <c r="M8" s="1">
        <f t="shared" si="3"/>
        <v>7.9581662901505923E-2</v>
      </c>
    </row>
    <row r="9" spans="1:14" x14ac:dyDescent="0.25">
      <c r="A9" s="2">
        <v>45989</v>
      </c>
      <c r="B9">
        <v>7</v>
      </c>
      <c r="C9" s="6">
        <v>1098.7950000000001</v>
      </c>
      <c r="D9" s="9">
        <f t="shared" si="0"/>
        <v>0.33345407199406746</v>
      </c>
      <c r="E9" s="3">
        <f t="shared" si="1"/>
        <v>0.66654592800593249</v>
      </c>
      <c r="F9" s="8">
        <f t="shared" si="4"/>
        <v>359.99030610000011</v>
      </c>
      <c r="G9" s="9">
        <f t="shared" si="5"/>
        <v>0.48726044795368634</v>
      </c>
      <c r="H9" s="8">
        <f t="shared" si="6"/>
        <v>861.90030610000008</v>
      </c>
      <c r="I9">
        <v>1163.3</v>
      </c>
      <c r="J9" s="6">
        <f t="shared" si="2"/>
        <v>4160.8950249999843</v>
      </c>
      <c r="M9" s="1">
        <f t="shared" si="3"/>
        <v>5.8705217988796708E-2</v>
      </c>
    </row>
    <row r="10" spans="1:14" x14ac:dyDescent="0.25">
      <c r="A10" s="2">
        <v>45990</v>
      </c>
      <c r="B10">
        <v>8</v>
      </c>
      <c r="C10" s="6">
        <v>1576.8040820000001</v>
      </c>
      <c r="D10" s="9">
        <f t="shared" si="0"/>
        <v>0.47851668589661173</v>
      </c>
      <c r="E10" s="3">
        <f t="shared" si="1"/>
        <v>0.52148331410338833</v>
      </c>
      <c r="F10" s="8">
        <f t="shared" si="4"/>
        <v>478.00908200000003</v>
      </c>
      <c r="G10" s="9">
        <f t="shared" si="5"/>
        <v>0.43503026679225881</v>
      </c>
      <c r="H10" s="8">
        <f t="shared" si="6"/>
        <v>1153.226531</v>
      </c>
      <c r="I10">
        <v>1551</v>
      </c>
      <c r="J10" s="6">
        <f t="shared" si="2"/>
        <v>665.8506478627296</v>
      </c>
      <c r="M10" s="1">
        <f t="shared" si="3"/>
        <v>1.6364799086054184E-2</v>
      </c>
    </row>
    <row r="11" spans="1:14" x14ac:dyDescent="0.25">
      <c r="A11" s="2">
        <v>45991</v>
      </c>
      <c r="B11">
        <v>9</v>
      </c>
      <c r="C11" s="6">
        <v>1964.336939</v>
      </c>
      <c r="D11" s="9">
        <f t="shared" si="0"/>
        <v>0.59612225308443534</v>
      </c>
      <c r="E11" s="3">
        <f t="shared" si="1"/>
        <v>0.40387774691556466</v>
      </c>
      <c r="F11" s="8">
        <f t="shared" si="4"/>
        <v>387.53285699999992</v>
      </c>
      <c r="G11" s="9">
        <f t="shared" si="5"/>
        <v>0.24577108939777587</v>
      </c>
      <c r="H11" s="8">
        <f t="shared" si="6"/>
        <v>1225.5322451000002</v>
      </c>
      <c r="I11">
        <v>1983.9</v>
      </c>
      <c r="J11" s="6">
        <f t="shared" si="2"/>
        <v>382.71335568972341</v>
      </c>
      <c r="M11" s="1">
        <f t="shared" si="3"/>
        <v>9.9591167948810139E-3</v>
      </c>
    </row>
    <row r="12" spans="1:14" x14ac:dyDescent="0.25">
      <c r="A12" s="2">
        <v>45992</v>
      </c>
      <c r="B12">
        <v>10</v>
      </c>
      <c r="C12" s="6">
        <v>2359.9132650000001</v>
      </c>
      <c r="D12" s="9">
        <f t="shared" si="0"/>
        <v>0.71616879196489325</v>
      </c>
      <c r="E12" s="3">
        <f t="shared" si="1"/>
        <v>0.28383120803510675</v>
      </c>
      <c r="F12" s="8">
        <f t="shared" si="4"/>
        <v>395.57632600000011</v>
      </c>
      <c r="G12" s="9">
        <f t="shared" si="5"/>
        <v>0.2013790598477363</v>
      </c>
      <c r="H12" s="8">
        <f t="shared" si="6"/>
        <v>1261.1182650000001</v>
      </c>
      <c r="I12">
        <v>2332.9</v>
      </c>
      <c r="J12" s="6">
        <f t="shared" si="2"/>
        <v>729.71648596022749</v>
      </c>
      <c r="M12" s="1">
        <f t="shared" si="3"/>
        <v>1.1446719420003788E-2</v>
      </c>
    </row>
    <row r="13" spans="1:14" x14ac:dyDescent="0.25">
      <c r="A13" s="2">
        <v>45993</v>
      </c>
      <c r="B13">
        <v>11</v>
      </c>
      <c r="C13" s="6">
        <v>2619.449388</v>
      </c>
      <c r="D13" s="9">
        <f t="shared" si="0"/>
        <v>0.79493086955343617</v>
      </c>
      <c r="E13" s="3">
        <f t="shared" si="1"/>
        <v>0.20506913044656383</v>
      </c>
      <c r="F13" s="8">
        <f t="shared" si="4"/>
        <v>259.53612299999986</v>
      </c>
      <c r="G13" s="9">
        <f t="shared" si="5"/>
        <v>0.1099769753614228</v>
      </c>
      <c r="H13" s="8">
        <f t="shared" si="6"/>
        <v>1042.6453059999999</v>
      </c>
      <c r="I13">
        <v>2538</v>
      </c>
      <c r="J13" s="6">
        <f t="shared" si="2"/>
        <v>6634.0028055745443</v>
      </c>
      <c r="M13" s="1">
        <f t="shared" si="3"/>
        <v>3.1094087319697431E-2</v>
      </c>
    </row>
    <row r="14" spans="1:14" x14ac:dyDescent="0.25">
      <c r="A14" s="2">
        <v>45994</v>
      </c>
      <c r="B14">
        <v>12</v>
      </c>
      <c r="C14" s="6">
        <v>2907.418776</v>
      </c>
      <c r="D14" s="9">
        <f t="shared" si="0"/>
        <v>0.88232166131917911</v>
      </c>
      <c r="E14" s="3">
        <f t="shared" si="1"/>
        <v>0.11767833868082089</v>
      </c>
      <c r="F14" s="8">
        <f t="shared" si="4"/>
        <v>287.96938799999998</v>
      </c>
      <c r="G14" s="9">
        <f t="shared" si="5"/>
        <v>0.10993508380777312</v>
      </c>
      <c r="H14" s="8">
        <f t="shared" si="6"/>
        <v>943.08183699999995</v>
      </c>
      <c r="I14">
        <v>2742.4</v>
      </c>
      <c r="J14" s="6">
        <f t="shared" si="2"/>
        <v>27231.196432538138</v>
      </c>
      <c r="M14" s="1">
        <f t="shared" si="3"/>
        <v>5.6757828408548427E-2</v>
      </c>
    </row>
    <row r="15" spans="1:14" x14ac:dyDescent="0.25">
      <c r="A15" s="2">
        <v>45995</v>
      </c>
      <c r="B15">
        <v>13</v>
      </c>
      <c r="C15" s="6">
        <v>3101.5754080000002</v>
      </c>
      <c r="D15" s="9">
        <f t="shared" si="0"/>
        <v>0.94124286094700216</v>
      </c>
      <c r="E15" s="3">
        <f t="shared" si="1"/>
        <v>5.8757139052997842E-2</v>
      </c>
      <c r="F15" s="8">
        <f t="shared" si="4"/>
        <v>194.15663200000017</v>
      </c>
      <c r="G15" s="9">
        <f t="shared" si="5"/>
        <v>6.6779726953238944E-2</v>
      </c>
      <c r="H15" s="8">
        <f t="shared" si="6"/>
        <v>741.66214300000001</v>
      </c>
      <c r="I15">
        <v>2798</v>
      </c>
      <c r="J15" s="6">
        <f t="shared" si="2"/>
        <v>92158.028342366553</v>
      </c>
      <c r="M15" s="1">
        <f t="shared" si="3"/>
        <v>9.7877809843661276E-2</v>
      </c>
    </row>
    <row r="16" spans="1:14" s="11" customFormat="1" x14ac:dyDescent="0.25">
      <c r="A16" s="10">
        <v>45996</v>
      </c>
      <c r="B16" s="11">
        <v>14</v>
      </c>
      <c r="C16" s="12">
        <v>3295.191429</v>
      </c>
      <c r="D16" s="9">
        <f t="shared" si="0"/>
        <v>1</v>
      </c>
      <c r="E16" s="13">
        <f t="shared" si="1"/>
        <v>0</v>
      </c>
      <c r="F16" s="14">
        <f t="shared" si="4"/>
        <v>193.61602099999982</v>
      </c>
      <c r="G16" s="9">
        <f t="shared" si="5"/>
        <v>6.2425056795523771E-2</v>
      </c>
      <c r="H16" s="14">
        <f t="shared" si="6"/>
        <v>675.74204099999997</v>
      </c>
      <c r="I16" s="11">
        <v>2931.4</v>
      </c>
      <c r="J16" s="12">
        <f t="shared" si="2"/>
        <v>132344.20381386197</v>
      </c>
      <c r="M16" s="1">
        <f t="shared" si="3"/>
        <v>0.11040069654174858</v>
      </c>
    </row>
  </sheetData>
  <conditionalFormatting sqref="I2:I1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81AB-145F-4016-81EB-E0B6306FDB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3522f-8c42-44b0-bea3-7f162a60ea50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HPLC</vt:lpstr>
      <vt:lpstr>Raman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Luo</dc:creator>
  <cp:lastModifiedBy>Yu Luo</cp:lastModifiedBy>
  <dcterms:created xsi:type="dcterms:W3CDTF">2025-11-26T11:56:50Z</dcterms:created>
  <dcterms:modified xsi:type="dcterms:W3CDTF">2025-12-09T15:30:33Z</dcterms:modified>
</cp:coreProperties>
</file>