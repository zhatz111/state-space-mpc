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zach_a_hatzenbeller_gsk_com/Documents/Documents/GitHub/state-space-model/data/SAM-1000L-B7H4-experiment/"/>
    </mc:Choice>
  </mc:AlternateContent>
  <xr:revisionPtr revIDLastSave="445" documentId="13_ncr:1_{ED1254C4-4D75-4A8F-AEE2-0F1B38868770}" xr6:coauthVersionLast="47" xr6:coauthVersionMax="47" xr10:uidLastSave="{AF805EBE-DC93-4DE5-A6BD-6C1175414FE5}"/>
  <bookViews>
    <workbookView xWindow="57480" yWindow="-30" windowWidth="29040" windowHeight="15720" xr2:uid="{00000000-000D-0000-FFFF-FFFF00000000}"/>
  </bookViews>
  <sheets>
    <sheet name="MasterDataTable" sheetId="1" r:id="rId1"/>
  </sheets>
  <definedNames>
    <definedName name="_xlnm._FilterDatabase" localSheetId="0" hidden="1">MasterDataTable!$F$2:$AA$17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<sst xmlns="http://schemas.openxmlformats.org/spreadsheetml/2006/main" count="107" uniqueCount="36">
  <si>
    <t>Batch Data</t>
  </si>
  <si>
    <t>Offline Data</t>
  </si>
  <si>
    <t>Online Data</t>
  </si>
  <si>
    <t>Process Setpoints</t>
  </si>
  <si>
    <t>Scale (L)</t>
  </si>
  <si>
    <t>Day</t>
  </si>
  <si>
    <t>Comments</t>
  </si>
  <si>
    <t>Osmolality</t>
  </si>
  <si>
    <t>Glutamate</t>
  </si>
  <si>
    <t>pH_setpoint</t>
  </si>
  <si>
    <t>Temp_setpoint</t>
  </si>
  <si>
    <t>Index</t>
  </si>
  <si>
    <t>Key</t>
  </si>
  <si>
    <t>FER437</t>
  </si>
  <si>
    <t>SAMMPCTESTRUN</t>
  </si>
  <si>
    <t>Used data from CTM1 for B7H4 and scaled it down to the 1K scale from 2K scale</t>
  </si>
  <si>
    <t>nutrient_rate</t>
  </si>
  <si>
    <t>nutrient_total</t>
  </si>
  <si>
    <t>vessel_weight</t>
  </si>
  <si>
    <t>campaign_id</t>
  </si>
  <si>
    <t>GSK5730912</t>
  </si>
  <si>
    <t>vessel_id</t>
  </si>
  <si>
    <t>batch_id</t>
  </si>
  <si>
    <t>lot_id</t>
  </si>
  <si>
    <t>dissolved_oxygen</t>
  </si>
  <si>
    <t>titre</t>
  </si>
  <si>
    <t>total_viable_cells</t>
  </si>
  <si>
    <t>total_cells</t>
  </si>
  <si>
    <t>CellCultureViability</t>
  </si>
  <si>
    <t>AmmoniumConcentration</t>
  </si>
  <si>
    <t>GlucoseConcentration</t>
  </si>
  <si>
    <t>LactateConcentration</t>
  </si>
  <si>
    <t>pCO2atTemperature</t>
  </si>
  <si>
    <t>pO2atTemperature</t>
  </si>
  <si>
    <t>pHatTemperature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</si>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</sst>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22" fontId="0" fillId="0" borderId="11" xfId="0" applyNumberFormat="1" applyBorder="1"/>
    <xf numFmtId="0" fontId="0" fillId="0" borderId="11" xfId="0" applyBorder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2" fontId="0" fillId="0" borderId="20" xfId="0" applyNumberFormat="1" applyBorder="1"/>
    <xf numFmtId="0" fontId="0" fillId="0" borderId="20" xfId="0" applyBorder="1"/>
    <xf numFmtId="164" fontId="0" fillId="0" borderId="0" xfId="0" applyNumberFormat="1"/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2" fontId="0" fillId="0" borderId="16" xfId="0" applyNumberFormat="1" applyBorder="1"/>
    <xf numFmtId="2" fontId="0" fillId="0" borderId="0" xfId="0" applyNumberFormat="1"/>
    <xf numFmtId="2" fontId="0" fillId="0" borderId="19" xfId="0" applyNumberFormat="1" applyBorder="1"/>
    <xf numFmtId="0" fontId="21" fillId="0" borderId="0" xfId="0" applyFont="1" applyAlignment="1">
      <alignment horizontal="center" vertical="center" wrapText="1"/>
    </xf>
    <xf numFmtId="0" fontId="19" fillId="37" borderId="13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4" xfId="0" applyFont="1" applyFill="1" applyBorder="1" applyAlignment="1">
      <alignment horizontal="center"/>
    </xf>
    <xf numFmtId="0" fontId="19" fillId="36" borderId="12" xfId="0" applyFont="1" applyFill="1" applyBorder="1" applyAlignment="1">
      <alignment horizontal="center"/>
    </xf>
    <xf numFmtId="0" fontId="19" fillId="36" borderId="13" xfId="0" applyFont="1" applyFill="1" applyBorder="1" applyAlignment="1">
      <alignment horizontal="center"/>
    </xf>
    <xf numFmtId="0" fontId="19" fillId="36" borderId="14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4" borderId="17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4"/>
  <sheetViews>
    <sheetView tabSelected="1" zoomScaleNormal="100" workbookViewId="0">
      <pane xSplit="9" ySplit="2" topLeftCell="S3" activePane="bottomRight" state="frozen"/>
      <selection pane="topRight" activeCell="H1" sqref="H1"/>
      <selection pane="bottomLeft" activeCell="A3" sqref="A3"/>
      <selection pane="bottomRight" activeCell="W14" sqref="W14"/>
    </sheetView>
  </sheetViews>
  <sheetFormatPr defaultColWidth="14.6640625" defaultRowHeight="14.4" x14ac:dyDescent="0.3"/>
  <cols>
    <col min="1" max="1" width="29.44140625" customWidth="1"/>
    <col min="2" max="2" width="9.21875" bestFit="1" customWidth="1"/>
    <col min="3" max="3" width="12" bestFit="1" customWidth="1"/>
    <col min="4" max="5" width="16.5546875" customWidth="1"/>
    <col min="6" max="6" width="14.88671875" customWidth="1"/>
    <col min="7" max="7" width="8.77734375" bestFit="1" customWidth="1"/>
    <col min="8" max="8" width="12.6640625" bestFit="1" customWidth="1"/>
    <col min="9" max="9" width="16.6640625" bestFit="1" customWidth="1"/>
    <col min="10" max="10" width="8.77734375" bestFit="1" customWidth="1"/>
    <col min="11" max="11" width="12.88671875" bestFit="1" customWidth="1"/>
    <col min="12" max="12" width="18.77734375" customWidth="1"/>
    <col min="13" max="13" width="12.77734375" bestFit="1" customWidth="1"/>
    <col min="14" max="14" width="15" bestFit="1" customWidth="1"/>
    <col min="15" max="15" width="15.6640625" bestFit="1" customWidth="1"/>
    <col min="16" max="16" width="12.44140625" bestFit="1" customWidth="1"/>
    <col min="17" max="17" width="14.77734375" bestFit="1" customWidth="1"/>
    <col min="18" max="18" width="11.88671875" bestFit="1" customWidth="1"/>
    <col min="19" max="19" width="12.44140625" bestFit="1" customWidth="1"/>
    <col min="20" max="20" width="16.6640625" bestFit="1" customWidth="1"/>
    <col min="21" max="21" width="15.44140625" bestFit="1" customWidth="1"/>
    <col min="22" max="22" width="18.109375" bestFit="1" customWidth="1"/>
    <col min="23" max="23" width="17.5546875" bestFit="1" customWidth="1"/>
    <col min="24" max="24" width="21.21875" bestFit="1" customWidth="1"/>
    <col min="25" max="25" width="18.21875" bestFit="1" customWidth="1"/>
    <col min="26" max="26" width="18.88671875" bestFit="1" customWidth="1"/>
    <col min="27" max="27" width="16.33203125" bestFit="1" customWidth="1"/>
    <col min="29" max="29" width="16.33203125" bestFit="1" customWidth="1"/>
  </cols>
  <sheetData>
    <row r="1" spans="1:27" ht="21.6" thickBot="1" x14ac:dyDescent="0.45">
      <c r="A1" s="23" t="s">
        <v>11</v>
      </c>
      <c r="B1" s="26" t="s">
        <v>0</v>
      </c>
      <c r="C1" s="27"/>
      <c r="D1" s="27"/>
      <c r="E1" s="27"/>
      <c r="F1" s="27"/>
      <c r="G1" s="27"/>
      <c r="H1" s="27"/>
      <c r="I1" s="28"/>
      <c r="J1" s="32" t="s">
        <v>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29" t="s">
        <v>2</v>
      </c>
      <c r="W1" s="30"/>
      <c r="X1" s="30"/>
      <c r="Y1" s="31"/>
      <c r="Z1" s="24" t="s">
        <v>3</v>
      </c>
      <c r="AA1" s="25"/>
    </row>
    <row r="2" spans="1:27" ht="30.6" thickBot="1" x14ac:dyDescent="0.35">
      <c r="A2" s="17" t="s">
        <v>12</v>
      </c>
      <c r="B2" s="16" t="s">
        <v>21</v>
      </c>
      <c r="C2" s="17" t="s">
        <v>19</v>
      </c>
      <c r="D2" s="17" t="s">
        <v>23</v>
      </c>
      <c r="E2" s="17" t="s">
        <v>22</v>
      </c>
      <c r="F2" s="17" t="s">
        <v>6</v>
      </c>
      <c r="G2" s="17" t="s">
        <v>5</v>
      </c>
      <c r="H2" s="17" t="s">
        <v>4</v>
      </c>
      <c r="I2" s="18" t="s">
        <v>35</v>
      </c>
      <c r="J2" s="22" t="s">
        <v>25</v>
      </c>
      <c r="K2" s="7" t="s">
        <v>27</v>
      </c>
      <c r="L2" s="7" t="s">
        <v>26</v>
      </c>
      <c r="M2" s="7" t="s">
        <v>28</v>
      </c>
      <c r="N2" s="6" t="s">
        <v>7</v>
      </c>
      <c r="O2" s="6" t="s">
        <v>29</v>
      </c>
      <c r="P2" s="6" t="s">
        <v>30</v>
      </c>
      <c r="Q2" s="6" t="s">
        <v>8</v>
      </c>
      <c r="R2" s="6" t="s">
        <v>31</v>
      </c>
      <c r="S2" s="6" t="s">
        <v>32</v>
      </c>
      <c r="T2" s="6" t="s">
        <v>33</v>
      </c>
      <c r="U2" s="6" t="s">
        <v>34</v>
      </c>
      <c r="V2" s="16" t="s">
        <v>17</v>
      </c>
      <c r="W2" s="17" t="s">
        <v>16</v>
      </c>
      <c r="X2" s="17" t="s">
        <v>24</v>
      </c>
      <c r="Y2" s="18" t="s">
        <v>18</v>
      </c>
      <c r="Z2" s="3" t="s">
        <v>10</v>
      </c>
      <c r="AA2" s="2" t="s">
        <v>9</v>
      </c>
    </row>
    <row r="3" spans="1:27" x14ac:dyDescent="0.3">
      <c r="A3" t="str">
        <f t="shared" ref="A3:A17" si="0">_xlfn.CONCAT(B3,"-",E3,"-","day",G3)</f>
        <v>FER437-SAMMPCTESTRUN-day0</v>
      </c>
      <c r="B3" s="1" t="s">
        <v>13</v>
      </c>
      <c r="C3" t="s">
        <v>20</v>
      </c>
      <c r="D3" t="s">
        <v>14</v>
      </c>
      <c r="E3" t="s">
        <v>14</v>
      </c>
      <c r="F3" t="s">
        <v>15</v>
      </c>
      <c r="G3">
        <v>0</v>
      </c>
      <c r="H3">
        <v>1000</v>
      </c>
      <c r="I3" s="4">
        <v>45721.451388888891</v>
      </c>
      <c r="J3" s="9">
        <v>23.9</v>
      </c>
      <c r="K3" s="19">
        <f>L3*(1/(M3/100))</f>
        <v>0.61</v>
      </c>
      <c r="L3" s="9">
        <v>0.61</v>
      </c>
      <c r="M3" s="9">
        <v>100</v>
      </c>
      <c r="N3" s="9">
        <v>309</v>
      </c>
      <c r="O3" s="9">
        <v>0.49</v>
      </c>
      <c r="P3" s="9">
        <v>6.38</v>
      </c>
      <c r="Q3" s="9">
        <v>2.8</v>
      </c>
      <c r="R3" s="9">
        <v>0.06</v>
      </c>
      <c r="S3" s="9">
        <v>53</v>
      </c>
      <c r="T3" s="9">
        <v>149</v>
      </c>
      <c r="U3" s="9">
        <v>7.27</v>
      </c>
      <c r="V3" s="8">
        <v>0</v>
      </c>
      <c r="W3" s="9">
        <v>0</v>
      </c>
      <c r="X3" s="9">
        <v>91.14</v>
      </c>
      <c r="Y3" s="10">
        <v>750</v>
      </c>
      <c r="Z3" s="8">
        <v>36.5</v>
      </c>
      <c r="AA3" s="10">
        <v>7.1</v>
      </c>
    </row>
    <row r="4" spans="1:27" x14ac:dyDescent="0.3">
      <c r="A4" t="str">
        <f t="shared" si="0"/>
        <v>FER437-SAMMPCTESTRUN-day1</v>
      </c>
      <c r="B4" s="1" t="s">
        <v>13</v>
      </c>
      <c r="C4" t="s">
        <v>20</v>
      </c>
      <c r="D4" t="s">
        <v>14</v>
      </c>
      <c r="E4" t="s">
        <v>14</v>
      </c>
      <c r="F4" t="s">
        <v>15</v>
      </c>
      <c r="G4">
        <v>1</v>
      </c>
      <c r="H4">
        <v>1000</v>
      </c>
      <c r="I4" s="4">
        <v>45722.396527777775</v>
      </c>
      <c r="J4">
        <v>35</v>
      </c>
      <c r="K4" s="20">
        <f t="shared" ref="K4:K17" si="1">L4*(1/(M4/100))</f>
        <v>1.0606060606060608</v>
      </c>
      <c r="L4">
        <v>1.05</v>
      </c>
      <c r="M4">
        <v>99</v>
      </c>
      <c r="N4">
        <v>310</v>
      </c>
      <c r="O4">
        <v>0.7</v>
      </c>
      <c r="P4">
        <v>6.27</v>
      </c>
      <c r="Q4">
        <v>3.04</v>
      </c>
      <c r="R4">
        <v>0.18</v>
      </c>
      <c r="S4">
        <v>57</v>
      </c>
      <c r="T4">
        <v>143</v>
      </c>
      <c r="U4">
        <v>7.23</v>
      </c>
      <c r="V4" s="1">
        <v>0</v>
      </c>
      <c r="W4">
        <v>0</v>
      </c>
      <c r="X4">
        <v>87.98</v>
      </c>
      <c r="Y4" s="5">
        <v>748.5</v>
      </c>
      <c r="Z4" s="1">
        <v>36.5</v>
      </c>
      <c r="AA4" s="5">
        <v>7.1</v>
      </c>
    </row>
    <row r="5" spans="1:27" x14ac:dyDescent="0.3">
      <c r="A5" t="str">
        <f t="shared" si="0"/>
        <v>FER437-SAMMPCTESTRUN-day2</v>
      </c>
      <c r="B5" s="1" t="s">
        <v>13</v>
      </c>
      <c r="C5" t="s">
        <v>20</v>
      </c>
      <c r="D5" t="s">
        <v>14</v>
      </c>
      <c r="E5" t="s">
        <v>14</v>
      </c>
      <c r="F5" t="s">
        <v>15</v>
      </c>
      <c r="G5">
        <v>2</v>
      </c>
      <c r="H5">
        <v>1000</v>
      </c>
      <c r="I5" s="4">
        <v>45723.597222222219</v>
      </c>
      <c r="J5">
        <v>66.8</v>
      </c>
      <c r="K5" s="20">
        <f t="shared" si="1"/>
        <v>2.3535353535353538</v>
      </c>
      <c r="L5">
        <v>2.33</v>
      </c>
      <c r="M5">
        <v>99</v>
      </c>
      <c r="N5">
        <v>301</v>
      </c>
      <c r="O5">
        <v>1.1499999999999999</v>
      </c>
      <c r="P5">
        <v>5.72</v>
      </c>
      <c r="Q5">
        <v>3.28</v>
      </c>
      <c r="R5">
        <v>0.4</v>
      </c>
      <c r="S5">
        <v>32</v>
      </c>
      <c r="T5">
        <v>93</v>
      </c>
      <c r="U5">
        <v>7.4</v>
      </c>
      <c r="V5" s="1">
        <v>0</v>
      </c>
      <c r="W5">
        <v>0</v>
      </c>
      <c r="X5" s="20">
        <v>40.863716125488303</v>
      </c>
      <c r="Y5" s="5">
        <v>745.5</v>
      </c>
      <c r="Z5" s="1">
        <v>36.5</v>
      </c>
      <c r="AA5" s="5">
        <v>7.1</v>
      </c>
    </row>
    <row r="6" spans="1:27" x14ac:dyDescent="0.3">
      <c r="A6" t="str">
        <f t="shared" si="0"/>
        <v>FER437-SAMMPCTESTRUN-day3</v>
      </c>
      <c r="B6" s="1" t="s">
        <v>13</v>
      </c>
      <c r="C6" t="s">
        <v>20</v>
      </c>
      <c r="D6" t="s">
        <v>14</v>
      </c>
      <c r="E6" t="s">
        <v>14</v>
      </c>
      <c r="F6" t="s">
        <v>15</v>
      </c>
      <c r="G6">
        <v>3</v>
      </c>
      <c r="H6">
        <v>1000</v>
      </c>
      <c r="I6" s="4">
        <v>45724.34097222222</v>
      </c>
      <c r="J6">
        <v>105.1</v>
      </c>
      <c r="K6" s="20">
        <f t="shared" si="1"/>
        <v>3.8080808080808084</v>
      </c>
      <c r="L6">
        <v>3.77</v>
      </c>
      <c r="M6">
        <v>99</v>
      </c>
      <c r="N6">
        <v>301</v>
      </c>
      <c r="O6">
        <v>1.7</v>
      </c>
      <c r="P6">
        <v>5.23</v>
      </c>
      <c r="Q6">
        <v>3.57</v>
      </c>
      <c r="R6">
        <v>0.54</v>
      </c>
      <c r="S6">
        <v>44</v>
      </c>
      <c r="T6">
        <v>74</v>
      </c>
      <c r="U6">
        <v>7.23</v>
      </c>
      <c r="V6" s="1">
        <v>0</v>
      </c>
      <c r="W6">
        <v>0</v>
      </c>
      <c r="X6" s="20">
        <v>40.028209686279297</v>
      </c>
      <c r="Y6" s="5">
        <v>745</v>
      </c>
      <c r="Z6" s="1">
        <v>36.5</v>
      </c>
      <c r="AA6" s="5">
        <v>7.1</v>
      </c>
    </row>
    <row r="7" spans="1:27" x14ac:dyDescent="0.3">
      <c r="A7" t="str">
        <f t="shared" si="0"/>
        <v>FER437-SAMMPCTESTRUN-day4</v>
      </c>
      <c r="B7" s="1" t="s">
        <v>13</v>
      </c>
      <c r="C7" t="s">
        <v>20</v>
      </c>
      <c r="D7" t="s">
        <v>14</v>
      </c>
      <c r="E7" t="s">
        <v>14</v>
      </c>
      <c r="F7" t="s">
        <v>15</v>
      </c>
      <c r="G7">
        <v>4</v>
      </c>
      <c r="H7">
        <v>1000</v>
      </c>
      <c r="I7" s="4">
        <v>45725.344444444447</v>
      </c>
      <c r="J7">
        <v>198.5</v>
      </c>
      <c r="K7" s="20">
        <f t="shared" si="1"/>
        <v>6.93</v>
      </c>
      <c r="L7">
        <v>6.93</v>
      </c>
      <c r="M7">
        <v>100</v>
      </c>
      <c r="N7">
        <v>287</v>
      </c>
      <c r="O7">
        <v>2.35</v>
      </c>
      <c r="P7">
        <v>3.92</v>
      </c>
      <c r="Q7">
        <v>3.95</v>
      </c>
      <c r="R7">
        <v>0.79</v>
      </c>
      <c r="S7">
        <v>38</v>
      </c>
      <c r="T7">
        <v>58</v>
      </c>
      <c r="U7">
        <v>7.15</v>
      </c>
      <c r="V7" s="1">
        <v>0</v>
      </c>
      <c r="W7">
        <v>0</v>
      </c>
      <c r="X7" s="20">
        <v>40.028209686279297</v>
      </c>
      <c r="Y7" s="5">
        <v>743.5</v>
      </c>
      <c r="Z7" s="1">
        <v>36.5</v>
      </c>
      <c r="AA7" s="5">
        <v>7.1</v>
      </c>
    </row>
    <row r="8" spans="1:27" x14ac:dyDescent="0.3">
      <c r="A8" t="str">
        <f t="shared" si="0"/>
        <v>FER437-SAMMPCTESTRUN-day5</v>
      </c>
      <c r="B8" s="1" t="s">
        <v>13</v>
      </c>
      <c r="C8" t="s">
        <v>20</v>
      </c>
      <c r="D8" t="s">
        <v>14</v>
      </c>
      <c r="E8" t="s">
        <v>14</v>
      </c>
      <c r="F8" t="s">
        <v>15</v>
      </c>
      <c r="G8">
        <v>5</v>
      </c>
      <c r="H8">
        <v>1000</v>
      </c>
      <c r="I8" s="4">
        <v>45726.383333333331</v>
      </c>
      <c r="J8">
        <v>362.2</v>
      </c>
      <c r="K8" s="20">
        <f t="shared" si="1"/>
        <v>9.7979797979797976</v>
      </c>
      <c r="L8">
        <v>9.6999999999999993</v>
      </c>
      <c r="M8">
        <v>99</v>
      </c>
      <c r="N8">
        <v>327</v>
      </c>
      <c r="O8">
        <v>4.0199999999999996</v>
      </c>
      <c r="P8">
        <v>4.3</v>
      </c>
      <c r="Q8">
        <v>4.95</v>
      </c>
      <c r="R8">
        <v>1.1100000000000001</v>
      </c>
      <c r="S8">
        <v>64</v>
      </c>
      <c r="T8">
        <v>33</v>
      </c>
      <c r="U8">
        <v>6.95</v>
      </c>
      <c r="V8" s="1">
        <v>40125</v>
      </c>
      <c r="W8">
        <v>0</v>
      </c>
      <c r="X8" s="20">
        <v>39.930553436279297</v>
      </c>
      <c r="Y8" s="5">
        <v>791.5</v>
      </c>
      <c r="Z8" s="1">
        <v>36.5</v>
      </c>
      <c r="AA8" s="5">
        <v>7.1</v>
      </c>
    </row>
    <row r="9" spans="1:27" x14ac:dyDescent="0.3">
      <c r="A9" t="str">
        <f t="shared" si="0"/>
        <v>FER437-SAMMPCTESTRUN-day6</v>
      </c>
      <c r="B9" s="1" t="s">
        <v>13</v>
      </c>
      <c r="C9" t="s">
        <v>20</v>
      </c>
      <c r="D9" t="s">
        <v>14</v>
      </c>
      <c r="E9" t="s">
        <v>14</v>
      </c>
      <c r="F9" t="s">
        <v>15</v>
      </c>
      <c r="G9">
        <v>6</v>
      </c>
      <c r="H9">
        <v>1000</v>
      </c>
      <c r="I9" s="4">
        <v>45727.385416666664</v>
      </c>
      <c r="J9">
        <v>648.9</v>
      </c>
      <c r="K9" s="20">
        <f t="shared" si="1"/>
        <v>13.545454545454547</v>
      </c>
      <c r="L9">
        <v>13.41</v>
      </c>
      <c r="M9">
        <v>99</v>
      </c>
      <c r="N9">
        <v>313</v>
      </c>
      <c r="O9">
        <v>4.4000000000000004</v>
      </c>
      <c r="P9">
        <v>1.8</v>
      </c>
      <c r="Q9">
        <v>6.42</v>
      </c>
      <c r="R9">
        <v>1.37</v>
      </c>
      <c r="S9">
        <v>65</v>
      </c>
      <c r="T9">
        <v>45</v>
      </c>
      <c r="U9">
        <v>6.96</v>
      </c>
      <c r="V9" s="1">
        <v>40125</v>
      </c>
      <c r="W9">
        <v>0</v>
      </c>
      <c r="X9">
        <v>40.505641937255902</v>
      </c>
      <c r="Y9" s="5">
        <v>794</v>
      </c>
      <c r="Z9" s="1">
        <v>36.5</v>
      </c>
      <c r="AA9" s="5">
        <v>7.1</v>
      </c>
    </row>
    <row r="10" spans="1:27" x14ac:dyDescent="0.3">
      <c r="A10" t="str">
        <f t="shared" si="0"/>
        <v>FER437-SAMMPCTESTRUN-day7</v>
      </c>
      <c r="B10" s="1" t="s">
        <v>13</v>
      </c>
      <c r="C10" t="s">
        <v>20</v>
      </c>
      <c r="D10" t="s">
        <v>14</v>
      </c>
      <c r="E10" t="s">
        <v>14</v>
      </c>
      <c r="F10" t="s">
        <v>15</v>
      </c>
      <c r="G10">
        <v>7</v>
      </c>
      <c r="H10">
        <v>1000</v>
      </c>
      <c r="I10" s="4">
        <v>45728.370833333334</v>
      </c>
      <c r="J10">
        <v>971.3</v>
      </c>
      <c r="K10" s="20">
        <f t="shared" si="1"/>
        <v>16.193877551020407</v>
      </c>
      <c r="L10">
        <v>15.87</v>
      </c>
      <c r="M10">
        <v>98</v>
      </c>
      <c r="N10">
        <v>353</v>
      </c>
      <c r="O10">
        <v>4.41</v>
      </c>
      <c r="P10">
        <v>3.76</v>
      </c>
      <c r="Q10">
        <v>7.43</v>
      </c>
      <c r="R10">
        <v>1.1599999999999999</v>
      </c>
      <c r="S10">
        <v>73</v>
      </c>
      <c r="T10">
        <v>47</v>
      </c>
      <c r="U10">
        <v>6.99</v>
      </c>
      <c r="V10" s="1">
        <v>80250</v>
      </c>
      <c r="W10">
        <v>0</v>
      </c>
      <c r="X10">
        <v>40.270542144775398</v>
      </c>
      <c r="Y10" s="5">
        <v>846.5</v>
      </c>
      <c r="Z10" s="1">
        <v>36.5</v>
      </c>
      <c r="AA10" s="5">
        <v>7.1</v>
      </c>
    </row>
    <row r="11" spans="1:27" x14ac:dyDescent="0.3">
      <c r="A11" t="str">
        <f t="shared" si="0"/>
        <v>FER437-SAMMPCTESTRUN-day8</v>
      </c>
      <c r="B11" s="1" t="s">
        <v>13</v>
      </c>
      <c r="C11" t="s">
        <v>20</v>
      </c>
      <c r="D11" t="s">
        <v>14</v>
      </c>
      <c r="E11" t="s">
        <v>14</v>
      </c>
      <c r="F11" t="s">
        <v>15</v>
      </c>
      <c r="G11">
        <v>8</v>
      </c>
      <c r="H11">
        <v>1000</v>
      </c>
      <c r="I11" s="4">
        <v>45729.362500000003</v>
      </c>
      <c r="J11">
        <v>1398.1</v>
      </c>
      <c r="K11" s="20">
        <f t="shared" si="1"/>
        <v>19.329896907216497</v>
      </c>
      <c r="L11">
        <v>18.75</v>
      </c>
      <c r="M11">
        <v>97</v>
      </c>
      <c r="N11">
        <v>341</v>
      </c>
      <c r="O11">
        <v>4.04</v>
      </c>
      <c r="P11">
        <v>3.64</v>
      </c>
      <c r="Q11">
        <v>6.88</v>
      </c>
      <c r="R11">
        <v>0.64</v>
      </c>
      <c r="S11">
        <v>78</v>
      </c>
      <c r="T11">
        <v>18</v>
      </c>
      <c r="U11">
        <v>7.07</v>
      </c>
      <c r="V11" s="1">
        <v>80250</v>
      </c>
      <c r="W11">
        <v>0</v>
      </c>
      <c r="X11">
        <v>39.409721374511697</v>
      </c>
      <c r="Y11" s="5">
        <v>850.5</v>
      </c>
      <c r="Z11" s="1">
        <v>36.5</v>
      </c>
      <c r="AA11" s="5">
        <v>7.1</v>
      </c>
    </row>
    <row r="12" spans="1:27" x14ac:dyDescent="0.3">
      <c r="A12" t="str">
        <f t="shared" si="0"/>
        <v>FER437-SAMMPCTESTRUN-day9</v>
      </c>
      <c r="B12" s="1" t="s">
        <v>13</v>
      </c>
      <c r="C12" t="s">
        <v>20</v>
      </c>
      <c r="D12" t="s">
        <v>14</v>
      </c>
      <c r="E12" t="s">
        <v>14</v>
      </c>
      <c r="F12" t="s">
        <v>15</v>
      </c>
      <c r="G12">
        <v>9</v>
      </c>
      <c r="H12">
        <v>1000</v>
      </c>
      <c r="I12" s="4">
        <v>45730.370833333334</v>
      </c>
      <c r="J12">
        <v>1765</v>
      </c>
      <c r="K12" s="20">
        <f t="shared" si="1"/>
        <v>18.114583333333336</v>
      </c>
      <c r="L12">
        <v>17.39</v>
      </c>
      <c r="M12">
        <v>96</v>
      </c>
      <c r="N12">
        <v>364</v>
      </c>
      <c r="O12">
        <v>5.34</v>
      </c>
      <c r="P12">
        <v>3.6</v>
      </c>
      <c r="Q12">
        <v>7.58</v>
      </c>
      <c r="R12">
        <v>0.17</v>
      </c>
      <c r="S12">
        <v>81</v>
      </c>
      <c r="T12">
        <v>19</v>
      </c>
      <c r="U12">
        <v>7.11</v>
      </c>
      <c r="V12" s="1">
        <v>120375</v>
      </c>
      <c r="W12">
        <v>0</v>
      </c>
      <c r="X12">
        <v>40.5454292297363</v>
      </c>
      <c r="Y12" s="5">
        <v>894.5</v>
      </c>
      <c r="Z12" s="1">
        <v>36.5</v>
      </c>
      <c r="AA12" s="5">
        <v>7.1</v>
      </c>
    </row>
    <row r="13" spans="1:27" x14ac:dyDescent="0.3">
      <c r="A13" t="str">
        <f t="shared" si="0"/>
        <v>FER437-SAMMPCTESTRUN-day10</v>
      </c>
      <c r="B13" s="1" t="s">
        <v>13</v>
      </c>
      <c r="C13" t="s">
        <v>20</v>
      </c>
      <c r="D13" t="s">
        <v>14</v>
      </c>
      <c r="E13" t="s">
        <v>14</v>
      </c>
      <c r="F13" t="s">
        <v>15</v>
      </c>
      <c r="G13">
        <v>10</v>
      </c>
      <c r="H13">
        <v>1000</v>
      </c>
      <c r="I13" s="4">
        <v>45731.338888888888</v>
      </c>
      <c r="J13">
        <v>2125.3000000000002</v>
      </c>
      <c r="K13" s="20">
        <f t="shared" si="1"/>
        <v>18.2258064516129</v>
      </c>
      <c r="L13">
        <v>16.95</v>
      </c>
      <c r="M13">
        <v>93</v>
      </c>
      <c r="N13">
        <v>348</v>
      </c>
      <c r="O13">
        <v>5.96</v>
      </c>
      <c r="P13">
        <v>3.23</v>
      </c>
      <c r="Q13">
        <v>7.86</v>
      </c>
      <c r="R13">
        <v>0.11</v>
      </c>
      <c r="S13">
        <v>84</v>
      </c>
      <c r="T13">
        <v>0</v>
      </c>
      <c r="U13">
        <v>7.17</v>
      </c>
      <c r="V13" s="1">
        <v>120375</v>
      </c>
      <c r="W13">
        <v>0</v>
      </c>
      <c r="X13">
        <v>40.049911499023402</v>
      </c>
      <c r="Y13" s="5">
        <v>900.5</v>
      </c>
      <c r="Z13" s="1">
        <v>36.5</v>
      </c>
      <c r="AA13" s="5">
        <v>7.1</v>
      </c>
    </row>
    <row r="14" spans="1:27" x14ac:dyDescent="0.3">
      <c r="A14" t="str">
        <f t="shared" si="0"/>
        <v>FER437-SAMMPCTESTRUN-day11</v>
      </c>
      <c r="B14" s="1" t="s">
        <v>13</v>
      </c>
      <c r="C14" t="s">
        <v>20</v>
      </c>
      <c r="D14" t="s">
        <v>14</v>
      </c>
      <c r="E14" t="s">
        <v>14</v>
      </c>
      <c r="F14" t="s">
        <v>15</v>
      </c>
      <c r="G14">
        <v>11</v>
      </c>
      <c r="H14">
        <v>1000</v>
      </c>
      <c r="I14" s="4">
        <v>45732.365277777775</v>
      </c>
      <c r="J14">
        <v>2366.6</v>
      </c>
      <c r="K14" s="20">
        <f t="shared" si="1"/>
        <v>16.714285714285712</v>
      </c>
      <c r="L14">
        <v>15.21</v>
      </c>
      <c r="M14">
        <v>91</v>
      </c>
      <c r="N14">
        <v>379</v>
      </c>
      <c r="O14">
        <v>6.71</v>
      </c>
      <c r="P14">
        <v>3.01</v>
      </c>
      <c r="Q14">
        <v>8.5299999999999994</v>
      </c>
      <c r="R14">
        <v>0.12</v>
      </c>
      <c r="S14">
        <v>68</v>
      </c>
      <c r="T14">
        <v>10</v>
      </c>
      <c r="U14">
        <v>7.16</v>
      </c>
      <c r="V14" s="1">
        <v>160500</v>
      </c>
      <c r="W14">
        <v>0</v>
      </c>
      <c r="X14">
        <v>40.5454292297363</v>
      </c>
      <c r="Y14" s="5">
        <v>945</v>
      </c>
      <c r="Z14" s="1">
        <v>36.5</v>
      </c>
      <c r="AA14" s="5">
        <v>7.1</v>
      </c>
    </row>
    <row r="15" spans="1:27" x14ac:dyDescent="0.3">
      <c r="A15" t="str">
        <f t="shared" si="0"/>
        <v>FER437-SAMMPCTESTRUN-day12</v>
      </c>
      <c r="B15" s="1" t="s">
        <v>13</v>
      </c>
      <c r="C15" t="s">
        <v>20</v>
      </c>
      <c r="D15" t="s">
        <v>14</v>
      </c>
      <c r="E15" t="s">
        <v>14</v>
      </c>
      <c r="F15" t="s">
        <v>15</v>
      </c>
      <c r="G15">
        <v>12</v>
      </c>
      <c r="H15">
        <v>1000</v>
      </c>
      <c r="I15" s="4">
        <v>45733.36041666667</v>
      </c>
      <c r="J15">
        <v>2638.6</v>
      </c>
      <c r="K15" s="20">
        <f t="shared" si="1"/>
        <v>18.460674157303373</v>
      </c>
      <c r="L15">
        <v>16.43</v>
      </c>
      <c r="M15">
        <v>89</v>
      </c>
      <c r="N15">
        <v>381</v>
      </c>
      <c r="O15">
        <v>7.25</v>
      </c>
      <c r="P15">
        <v>3.42</v>
      </c>
      <c r="Q15">
        <v>8.52</v>
      </c>
      <c r="R15">
        <v>0.11</v>
      </c>
      <c r="S15">
        <v>66</v>
      </c>
      <c r="T15">
        <v>8</v>
      </c>
      <c r="U15">
        <v>7.13</v>
      </c>
      <c r="V15" s="1">
        <v>160500</v>
      </c>
      <c r="W15">
        <v>0</v>
      </c>
      <c r="X15">
        <v>40.104164123535199</v>
      </c>
      <c r="Y15" s="5">
        <v>950.5</v>
      </c>
      <c r="Z15" s="1">
        <v>36.5</v>
      </c>
      <c r="AA15" s="5">
        <v>7.1</v>
      </c>
    </row>
    <row r="16" spans="1:27" x14ac:dyDescent="0.3">
      <c r="A16" t="str">
        <f t="shared" si="0"/>
        <v>FER437-SAMMPCTESTRUN-day13</v>
      </c>
      <c r="B16" s="1" t="s">
        <v>13</v>
      </c>
      <c r="C16" t="s">
        <v>20</v>
      </c>
      <c r="D16" t="s">
        <v>14</v>
      </c>
      <c r="E16" t="s">
        <v>14</v>
      </c>
      <c r="F16" t="s">
        <v>15</v>
      </c>
      <c r="G16">
        <v>13</v>
      </c>
      <c r="H16">
        <v>1000</v>
      </c>
      <c r="I16" s="4">
        <v>45734.439583333333</v>
      </c>
      <c r="J16">
        <v>2820.2</v>
      </c>
      <c r="K16" s="20">
        <f t="shared" si="1"/>
        <v>17.709302325581397</v>
      </c>
      <c r="L16">
        <v>15.23</v>
      </c>
      <c r="M16">
        <v>86</v>
      </c>
      <c r="N16">
        <v>405</v>
      </c>
      <c r="O16">
        <v>8.5399999999999991</v>
      </c>
      <c r="P16">
        <v>3.42</v>
      </c>
      <c r="Q16">
        <v>9.0399999999999991</v>
      </c>
      <c r="R16">
        <v>0.14000000000000001</v>
      </c>
      <c r="S16">
        <v>63</v>
      </c>
      <c r="T16">
        <v>0</v>
      </c>
      <c r="U16">
        <v>7.07</v>
      </c>
      <c r="V16" s="1">
        <v>200625</v>
      </c>
      <c r="W16">
        <v>0</v>
      </c>
      <c r="X16">
        <v>40.082466125488303</v>
      </c>
      <c r="Y16" s="5">
        <v>995.5</v>
      </c>
      <c r="Z16" s="1">
        <v>36.5</v>
      </c>
      <c r="AA16" s="5">
        <v>7.1</v>
      </c>
    </row>
    <row r="17" spans="1:29" ht="15" thickBot="1" x14ac:dyDescent="0.35">
      <c r="A17" s="12" t="str">
        <f t="shared" si="0"/>
        <v>FER437-SAMMPCTESTRUN-day14</v>
      </c>
      <c r="B17" s="11" t="s">
        <v>13</v>
      </c>
      <c r="C17" s="12" t="s">
        <v>20</v>
      </c>
      <c r="D17" s="12" t="s">
        <v>14</v>
      </c>
      <c r="E17" s="12" t="s">
        <v>14</v>
      </c>
      <c r="F17" s="12" t="s">
        <v>15</v>
      </c>
      <c r="G17" s="12">
        <v>14</v>
      </c>
      <c r="H17" s="12">
        <v>1000</v>
      </c>
      <c r="I17" s="13">
        <v>45735.327777777777</v>
      </c>
      <c r="J17" s="12">
        <v>2931.8</v>
      </c>
      <c r="K17" s="21">
        <f t="shared" si="1"/>
        <v>16.524390243902438</v>
      </c>
      <c r="L17" s="12">
        <v>13.55</v>
      </c>
      <c r="M17" s="12">
        <v>82</v>
      </c>
      <c r="N17" s="12">
        <v>410</v>
      </c>
      <c r="O17" s="12">
        <v>9.39</v>
      </c>
      <c r="P17" s="12">
        <v>4.0999999999999996</v>
      </c>
      <c r="Q17" s="12">
        <v>8.94</v>
      </c>
      <c r="R17" s="12">
        <v>0.15</v>
      </c>
      <c r="S17" s="12">
        <v>53</v>
      </c>
      <c r="T17" s="12">
        <v>0</v>
      </c>
      <c r="U17" s="12">
        <v>7.03</v>
      </c>
      <c r="V17" s="11">
        <v>200625</v>
      </c>
      <c r="W17" s="12">
        <v>0</v>
      </c>
      <c r="X17" s="12">
        <v>39.930553436279297</v>
      </c>
      <c r="Y17" s="14">
        <v>1000.5</v>
      </c>
      <c r="Z17" s="11">
        <v>36.5</v>
      </c>
      <c r="AA17" s="14">
        <v>7.1</v>
      </c>
    </row>
    <row r="20" spans="1:29" x14ac:dyDescent="0.3">
      <c r="AC20" s="15"/>
    </row>
    <row r="21" spans="1:29" x14ac:dyDescent="0.3">
      <c r="AC21" s="15"/>
    </row>
    <row r="22" spans="1:29" x14ac:dyDescent="0.3">
      <c r="AC22" s="15"/>
    </row>
    <row r="23" spans="1:29" x14ac:dyDescent="0.3">
      <c r="AC23" s="15"/>
    </row>
    <row r="24" spans="1:29" x14ac:dyDescent="0.3">
      <c r="AC24" s="15"/>
    </row>
    <row r="25" spans="1:29" x14ac:dyDescent="0.3">
      <c r="AC25" s="15"/>
    </row>
    <row r="26" spans="1:29" x14ac:dyDescent="0.3">
      <c r="AC26" s="15"/>
    </row>
    <row r="27" spans="1:29" x14ac:dyDescent="0.3">
      <c r="AC27" s="15"/>
    </row>
    <row r="28" spans="1:29" x14ac:dyDescent="0.3">
      <c r="AC28" s="15"/>
    </row>
    <row r="29" spans="1:29" x14ac:dyDescent="0.3">
      <c r="AC29" s="15"/>
    </row>
    <row r="30" spans="1:29" x14ac:dyDescent="0.3">
      <c r="AC30" s="15"/>
    </row>
    <row r="31" spans="1:29" x14ac:dyDescent="0.3">
      <c r="AC31" s="15"/>
    </row>
    <row r="32" spans="1:29" x14ac:dyDescent="0.3">
      <c r="AC32" s="15"/>
    </row>
    <row r="33" spans="29:29" x14ac:dyDescent="0.3">
      <c r="AC33" s="15"/>
    </row>
    <row r="34" spans="29:29" x14ac:dyDescent="0.3">
      <c r="AC34" s="15"/>
    </row>
  </sheetData>
  <autoFilter ref="F2:AA17" xr:uid="{00000000-0001-0000-0000-000000000000}"/>
  <mergeCells count="4">
    <mergeCell ref="Z1:AA1"/>
    <mergeCell ref="B1:I1"/>
    <mergeCell ref="V1:Y1"/>
    <mergeCell ref="J1:U1"/>
  </mergeCells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customXml/itemProps2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Zach Hatzenbeller</cp:lastModifiedBy>
  <cp:revision/>
  <dcterms:created xsi:type="dcterms:W3CDTF">2024-02-21T20:31:27Z</dcterms:created>
  <dcterms:modified xsi:type="dcterms:W3CDTF">2025-10-16T18:51:07Z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