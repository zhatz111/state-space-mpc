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teams.gsk.com/sites/BiopharmModelPredictiveControl/Shared Documents/General/data/MR24-030-MPC-3L/"/>
    </mc:Choice>
  </mc:AlternateContent>
  <xr:revisionPtr revIDLastSave="1841" documentId="8_{2425AED5-2B3D-4BFD-84B8-542313010F1F}" xr6:coauthVersionLast="47" xr6:coauthVersionMax="47" xr10:uidLastSave="{837ABAE3-FB6F-4FDF-883D-57F616BF18AE}"/>
  <bookViews>
    <workbookView xWindow="57480" yWindow="-120" windowWidth="29040" windowHeight="15840" xr2:uid="{00000000-000D-0000-FFFF-FFFF00000000}"/>
  </bookViews>
  <sheets>
    <sheet name="MasterDataTable" sheetId="1" r:id="rId1"/>
    <sheet name="Sheet1" sheetId="2" r:id="rId2"/>
  </sheets>
  <definedNames>
    <definedName name="_xlnm._FilterDatabase" localSheetId="0" hidden="1">MasterDataTable!$A$2:$BH$304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45" i="1" l="1"/>
  <c r="AM45" i="1"/>
  <c r="AN44" i="1"/>
  <c r="AM44" i="1"/>
  <c r="AN43" i="1"/>
  <c r="AM43" i="1"/>
  <c r="AN42" i="1"/>
  <c r="AM42" i="1"/>
  <c r="AN41" i="1"/>
  <c r="AM41" i="1"/>
  <c r="AZ36" i="1"/>
  <c r="AN40" i="1"/>
  <c r="AM40" i="1"/>
  <c r="AN39" i="1"/>
  <c r="AM39" i="1"/>
  <c r="AN38" i="1"/>
  <c r="AM38" i="1"/>
  <c r="AN37" i="1"/>
  <c r="AM37" i="1"/>
  <c r="AN36" i="1"/>
  <c r="AM36" i="1"/>
  <c r="AN35" i="1"/>
  <c r="AM35" i="1"/>
  <c r="AN34" i="1"/>
  <c r="AM34" i="1"/>
  <c r="AN33" i="1"/>
  <c r="AM33" i="1"/>
  <c r="AN32" i="1"/>
  <c r="AM32" i="1"/>
  <c r="AN31" i="1"/>
  <c r="AM31" i="1"/>
  <c r="AZ21" i="1"/>
  <c r="AZ70" i="1"/>
  <c r="AZ69" i="1"/>
  <c r="AZ68" i="1"/>
  <c r="AZ67" i="1"/>
  <c r="AZ66" i="1"/>
  <c r="AZ65" i="1"/>
  <c r="AZ64" i="1"/>
  <c r="AZ63" i="1"/>
  <c r="AZ62" i="1"/>
  <c r="AZ61" i="1"/>
  <c r="AZ60" i="1"/>
  <c r="AZ59" i="1"/>
  <c r="AZ58" i="1"/>
  <c r="AZ57" i="1"/>
  <c r="AZ56" i="1"/>
  <c r="AZ55" i="1"/>
  <c r="AZ54" i="1"/>
  <c r="AZ53" i="1"/>
  <c r="AZ52" i="1"/>
  <c r="AZ51" i="1"/>
  <c r="AZ50" i="1"/>
  <c r="AZ49" i="1"/>
  <c r="AZ48" i="1"/>
  <c r="AZ47" i="1"/>
  <c r="AZ46" i="1"/>
  <c r="AZ45" i="1"/>
  <c r="AZ44" i="1"/>
  <c r="AZ43" i="1"/>
  <c r="AZ42" i="1"/>
  <c r="AZ41" i="1"/>
  <c r="AZ40" i="1"/>
  <c r="AZ39" i="1"/>
  <c r="AZ38" i="1"/>
  <c r="AZ37" i="1"/>
  <c r="AZ35" i="1"/>
  <c r="AZ34" i="1"/>
  <c r="AZ33" i="1"/>
  <c r="AZ32" i="1"/>
  <c r="AZ31" i="1"/>
  <c r="AZ30" i="1"/>
  <c r="AZ29" i="1"/>
  <c r="AZ28" i="1"/>
  <c r="AZ27" i="1"/>
  <c r="AZ26" i="1"/>
  <c r="AZ25" i="1"/>
  <c r="AZ24" i="1"/>
  <c r="AZ23" i="1"/>
  <c r="BA23" i="1" s="1"/>
  <c r="AZ22" i="1"/>
  <c r="AM29" i="1"/>
  <c r="AN30" i="1"/>
  <c r="AM30" i="1"/>
  <c r="AN29" i="1"/>
  <c r="AN28" i="1"/>
  <c r="AM28" i="1"/>
  <c r="AN27" i="1"/>
  <c r="AM27" i="1"/>
  <c r="AN26" i="1"/>
  <c r="AM26" i="1"/>
  <c r="AM21" i="1"/>
  <c r="AN21" i="1"/>
  <c r="AM22" i="1"/>
  <c r="AN22" i="1"/>
  <c r="AM23" i="1"/>
  <c r="AN23" i="1"/>
  <c r="AM24" i="1"/>
  <c r="AN24" i="1"/>
  <c r="AM25" i="1"/>
  <c r="AN25" i="1"/>
  <c r="AM15" i="1"/>
  <c r="AZ3" i="1" l="1"/>
  <c r="BA3" i="1" s="1"/>
  <c r="AZ4" i="1"/>
  <c r="BA4" i="1" s="1"/>
  <c r="AZ5" i="1"/>
  <c r="BA5" i="1" s="1"/>
  <c r="AZ6" i="1"/>
  <c r="BA6" i="1" s="1"/>
  <c r="AZ7" i="1"/>
  <c r="BA7" i="1" s="1"/>
  <c r="AZ8" i="1"/>
  <c r="BA8" i="1" s="1"/>
  <c r="AZ9" i="1"/>
  <c r="AZ10" i="1"/>
  <c r="AZ11" i="1"/>
  <c r="AZ12" i="1"/>
  <c r="AZ13" i="1"/>
  <c r="AZ14" i="1"/>
  <c r="AZ15" i="1"/>
  <c r="AZ16" i="1"/>
  <c r="AZ17" i="1"/>
  <c r="AZ18" i="1"/>
  <c r="AZ19" i="1"/>
  <c r="AZ20" i="1"/>
  <c r="BA21" i="1"/>
  <c r="BA22" i="1"/>
  <c r="AN10" i="1"/>
  <c r="AM9" i="1"/>
  <c r="AN9" i="1"/>
  <c r="AM10" i="1"/>
  <c r="AM11" i="1"/>
  <c r="AN11" i="1"/>
  <c r="AM12" i="1"/>
  <c r="AN12" i="1"/>
  <c r="AM13" i="1"/>
  <c r="AN13" i="1"/>
  <c r="AM14" i="1"/>
  <c r="AN14" i="1"/>
  <c r="AN15" i="1"/>
  <c r="AN16" i="1"/>
  <c r="AN17" i="1"/>
  <c r="AN18" i="1"/>
  <c r="AN19" i="1"/>
  <c r="AN20" i="1"/>
  <c r="AM16" i="1"/>
  <c r="AM17" i="1"/>
  <c r="AM18" i="1"/>
  <c r="AM19" i="1"/>
  <c r="AM20" i="1"/>
  <c r="BD70" i="1"/>
  <c r="BD69" i="1"/>
  <c r="BD66" i="1"/>
  <c r="BD65" i="1"/>
  <c r="BD64" i="1"/>
  <c r="BD61" i="1"/>
  <c r="BD60" i="1"/>
  <c r="BD59" i="1"/>
  <c r="BD56" i="1"/>
  <c r="BD55" i="1"/>
  <c r="BD54" i="1"/>
  <c r="BD51" i="1"/>
  <c r="BD50" i="1"/>
  <c r="BD49" i="1"/>
  <c r="BD46" i="1"/>
  <c r="BD45" i="1"/>
  <c r="BD44" i="1"/>
  <c r="BD41" i="1"/>
  <c r="BD40" i="1"/>
  <c r="BD39" i="1"/>
  <c r="BD36" i="1"/>
  <c r="BD35" i="1"/>
  <c r="BD34" i="1"/>
  <c r="BD31" i="1"/>
  <c r="BD30" i="1"/>
  <c r="BD29" i="1"/>
  <c r="BD26" i="1"/>
  <c r="BD25" i="1"/>
  <c r="BD24" i="1"/>
  <c r="BD21" i="1"/>
  <c r="BD20" i="1"/>
  <c r="BD19" i="1"/>
  <c r="BD18" i="1"/>
  <c r="BD15" i="1"/>
  <c r="BD14" i="1"/>
  <c r="BD13" i="1"/>
  <c r="BD12" i="1"/>
  <c r="BD9" i="1"/>
  <c r="BD8" i="1"/>
  <c r="BD7" i="1"/>
  <c r="BD6" i="1"/>
  <c r="BA70" i="1"/>
  <c r="BA69" i="1"/>
  <c r="BA68" i="1"/>
  <c r="BA67" i="1"/>
  <c r="BA66" i="1"/>
  <c r="BA65" i="1"/>
  <c r="BA64" i="1"/>
  <c r="BA63" i="1"/>
  <c r="BA62" i="1"/>
  <c r="BA61" i="1"/>
  <c r="BA60" i="1"/>
  <c r="BA59" i="1"/>
  <c r="BA58" i="1"/>
  <c r="BA57" i="1"/>
  <c r="BA56" i="1"/>
  <c r="BA55" i="1"/>
  <c r="BA54" i="1"/>
  <c r="BA53" i="1"/>
  <c r="BA52" i="1"/>
  <c r="BA51" i="1"/>
  <c r="BA50" i="1"/>
  <c r="BA49" i="1"/>
  <c r="BA48" i="1"/>
  <c r="BA47" i="1"/>
  <c r="BA46" i="1"/>
  <c r="BA45" i="1"/>
  <c r="BA44" i="1"/>
  <c r="BA43" i="1"/>
  <c r="BA42" i="1"/>
  <c r="BA41" i="1"/>
  <c r="BA40" i="1"/>
  <c r="BA39" i="1"/>
  <c r="BA38" i="1"/>
  <c r="BA37" i="1"/>
  <c r="BA36" i="1"/>
  <c r="BA35" i="1"/>
  <c r="BA34" i="1"/>
  <c r="BA33" i="1"/>
  <c r="BA32" i="1"/>
  <c r="BA31" i="1"/>
  <c r="BA25" i="1"/>
  <c r="BA24" i="1"/>
  <c r="BE4" i="1"/>
  <c r="BE5" i="1"/>
  <c r="BE6" i="1"/>
  <c r="BE9" i="1"/>
  <c r="BE10" i="1"/>
  <c r="BE11" i="1"/>
  <c r="BE12" i="1"/>
  <c r="BE15" i="1"/>
  <c r="BE16" i="1"/>
  <c r="BE17" i="1"/>
  <c r="BE18" i="1"/>
  <c r="BE21" i="1"/>
  <c r="BE22" i="1"/>
  <c r="BE23" i="1"/>
  <c r="BE26" i="1"/>
  <c r="BE27" i="1"/>
  <c r="BE28" i="1"/>
  <c r="BE31" i="1"/>
  <c r="BE32" i="1"/>
  <c r="BE33" i="1"/>
  <c r="BE36" i="1"/>
  <c r="BE37" i="1"/>
  <c r="BE38" i="1"/>
  <c r="BE41" i="1"/>
  <c r="BE42" i="1"/>
  <c r="BE43" i="1"/>
  <c r="BE46" i="1"/>
  <c r="BE47" i="1"/>
  <c r="BE48" i="1"/>
  <c r="BE51" i="1"/>
  <c r="BE52" i="1"/>
  <c r="BE53" i="1"/>
  <c r="BE56" i="1"/>
  <c r="BE57" i="1"/>
  <c r="BE58" i="1"/>
  <c r="BE61" i="1"/>
  <c r="BE62" i="1"/>
  <c r="BE63" i="1"/>
  <c r="BE66" i="1"/>
  <c r="BE67" i="1"/>
  <c r="BE68" i="1"/>
  <c r="BE3" i="1"/>
  <c r="BD3" i="1"/>
  <c r="BF7" i="1"/>
  <c r="BC3" i="1"/>
  <c r="BF70" i="1"/>
  <c r="BF69" i="1"/>
  <c r="BF68" i="1"/>
  <c r="BF67" i="1"/>
  <c r="BF65" i="1"/>
  <c r="BF64" i="1"/>
  <c r="BF63" i="1"/>
  <c r="BF62" i="1"/>
  <c r="BF60" i="1"/>
  <c r="BF59" i="1"/>
  <c r="BF58" i="1"/>
  <c r="BF57" i="1"/>
  <c r="BF55" i="1"/>
  <c r="BF54" i="1"/>
  <c r="BF53" i="1"/>
  <c r="BF52" i="1"/>
  <c r="BF50" i="1"/>
  <c r="BF49" i="1"/>
  <c r="BF48" i="1"/>
  <c r="BF47" i="1"/>
  <c r="BF45" i="1"/>
  <c r="BF44" i="1"/>
  <c r="BF43" i="1"/>
  <c r="BF42" i="1"/>
  <c r="BF40" i="1"/>
  <c r="BF39" i="1"/>
  <c r="BF38" i="1"/>
  <c r="BF37" i="1"/>
  <c r="BF35" i="1"/>
  <c r="BF34" i="1"/>
  <c r="BF33" i="1"/>
  <c r="BF32" i="1"/>
  <c r="BF30" i="1"/>
  <c r="BF29" i="1"/>
  <c r="BF28" i="1"/>
  <c r="BF27" i="1"/>
  <c r="BF25" i="1"/>
  <c r="BF24" i="1"/>
  <c r="BF23" i="1"/>
  <c r="BF22" i="1"/>
  <c r="BF20" i="1"/>
  <c r="BF19" i="1"/>
  <c r="BF17" i="1"/>
  <c r="BF16" i="1"/>
  <c r="BF13" i="1"/>
  <c r="BF11" i="1"/>
  <c r="BF10" i="1"/>
  <c r="BF8" i="1"/>
  <c r="BF5" i="1"/>
  <c r="BF4" i="1"/>
  <c r="AX4" i="1" l="1"/>
  <c r="AY4" i="1" s="1"/>
  <c r="BD4" i="1"/>
  <c r="BJ4" i="1" s="1"/>
  <c r="BD5" i="1"/>
  <c r="BI5" i="1" s="1"/>
  <c r="BB3" i="1"/>
  <c r="AX5" i="1"/>
  <c r="AY5" i="1" s="1"/>
  <c r="BF9" i="1"/>
  <c r="BG70" i="1"/>
  <c r="BG69" i="1"/>
  <c r="BG65" i="1"/>
  <c r="BG64" i="1"/>
  <c r="BG60" i="1"/>
  <c r="BG59" i="1"/>
  <c r="BG55" i="1"/>
  <c r="BG54" i="1"/>
  <c r="BG50" i="1"/>
  <c r="BG49" i="1"/>
  <c r="BG45" i="1"/>
  <c r="BG44" i="1"/>
  <c r="BG40" i="1"/>
  <c r="BG35" i="1"/>
  <c r="BG34" i="1"/>
  <c r="BG25" i="1"/>
  <c r="BG24" i="1"/>
  <c r="BG20" i="1"/>
  <c r="BG8" i="1"/>
  <c r="BG7" i="1"/>
  <c r="BK6" i="1"/>
  <c r="BK5" i="1"/>
  <c r="BK4" i="1"/>
  <c r="BJ5" i="1" l="1"/>
  <c r="BI4" i="1"/>
  <c r="BG9" i="1"/>
  <c r="BK9" i="1" s="1"/>
  <c r="BA9" i="1"/>
  <c r="AX6" i="1"/>
  <c r="AY6" i="1" s="1"/>
  <c r="BF6" i="1"/>
  <c r="AX7" i="1"/>
  <c r="AY7" i="1" s="1"/>
  <c r="BE7" i="1"/>
  <c r="AX9" i="1"/>
  <c r="AX3" i="1"/>
  <c r="AY3" i="1" s="1"/>
  <c r="BF3" i="1"/>
  <c r="BH7" i="1"/>
  <c r="BE8" i="1"/>
  <c r="AX8" i="1"/>
  <c r="AY8" i="1" s="1"/>
  <c r="BK7" i="1"/>
  <c r="BK3" i="1"/>
  <c r="AY9" i="1" l="1"/>
  <c r="BI6" i="1"/>
  <c r="BJ6" i="1"/>
  <c r="BI3" i="1"/>
  <c r="BJ3" i="1"/>
  <c r="BI9" i="1"/>
  <c r="BJ9" i="1"/>
  <c r="BI8" i="1"/>
  <c r="BJ8" i="1"/>
  <c r="BI7" i="1"/>
  <c r="BJ7" i="1"/>
  <c r="BH4" i="1" l="1"/>
  <c r="BH5" i="1"/>
  <c r="BH6" i="1"/>
  <c r="BH9" i="1"/>
  <c r="BH10" i="1"/>
  <c r="BH11" i="1"/>
  <c r="BH12" i="1"/>
  <c r="BH15" i="1"/>
  <c r="BH16" i="1"/>
  <c r="BH17" i="1"/>
  <c r="BH18" i="1"/>
  <c r="BH21" i="1"/>
  <c r="BH22" i="1"/>
  <c r="BH23" i="1"/>
  <c r="BH26" i="1"/>
  <c r="BH27" i="1"/>
  <c r="BH28" i="1"/>
  <c r="BH31" i="1"/>
  <c r="BH32" i="1"/>
  <c r="BH33" i="1"/>
  <c r="BH36" i="1"/>
  <c r="BH37" i="1"/>
  <c r="BH38" i="1"/>
  <c r="BH41" i="1"/>
  <c r="BH42" i="1"/>
  <c r="BH43" i="1"/>
  <c r="BH46" i="1"/>
  <c r="BH47" i="1"/>
  <c r="BH48" i="1"/>
  <c r="BH51" i="1"/>
  <c r="BH52" i="1"/>
  <c r="BH53" i="1"/>
  <c r="BH56" i="1"/>
  <c r="BH57" i="1"/>
  <c r="BH58" i="1"/>
  <c r="BH61" i="1"/>
  <c r="BH62" i="1"/>
  <c r="BH63" i="1"/>
  <c r="BH66" i="1"/>
  <c r="BH67" i="1"/>
  <c r="BH68" i="1"/>
  <c r="BH3" i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58" i="1"/>
  <c r="BC59" i="1"/>
  <c r="BC60" i="1"/>
  <c r="BC61" i="1"/>
  <c r="BC62" i="1"/>
  <c r="BC63" i="1"/>
  <c r="BC64" i="1"/>
  <c r="BC65" i="1"/>
  <c r="BC66" i="1"/>
  <c r="BC67" i="1"/>
  <c r="BC68" i="1"/>
  <c r="BC69" i="1"/>
  <c r="BC70" i="1"/>
  <c r="BB4" i="1"/>
  <c r="BB5" i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49" i="1"/>
  <c r="BB50" i="1"/>
  <c r="BB51" i="1"/>
  <c r="BB52" i="1"/>
  <c r="BB53" i="1"/>
  <c r="BB54" i="1"/>
  <c r="BB55" i="1"/>
  <c r="BB56" i="1"/>
  <c r="BB57" i="1"/>
  <c r="BB58" i="1"/>
  <c r="BB59" i="1"/>
  <c r="BB60" i="1"/>
  <c r="BB61" i="1"/>
  <c r="BB62" i="1"/>
  <c r="BB63" i="1"/>
  <c r="BB64" i="1"/>
  <c r="BB65" i="1"/>
  <c r="BB66" i="1"/>
  <c r="BB67" i="1"/>
  <c r="BB68" i="1"/>
  <c r="BB69" i="1"/>
  <c r="BB70" i="1"/>
  <c r="BG13" i="1" l="1"/>
  <c r="BA12" i="1"/>
  <c r="BH8" i="1"/>
  <c r="BK8" i="1" s="1"/>
  <c r="BA14" i="1" l="1"/>
  <c r="BF14" i="1"/>
  <c r="AV14" i="1" s="1"/>
  <c r="BG14" i="1"/>
  <c r="AW14" i="1" s="1"/>
  <c r="BE13" i="1"/>
  <c r="BJ13" i="1" s="1"/>
  <c r="BA13" i="1"/>
  <c r="BD11" i="1"/>
  <c r="BJ11" i="1" s="1"/>
  <c r="BA11" i="1"/>
  <c r="BD10" i="1"/>
  <c r="BJ10" i="1" s="1"/>
  <c r="BA10" i="1"/>
  <c r="BE14" i="1"/>
  <c r="AX14" i="1"/>
  <c r="AX13" i="1"/>
  <c r="BF12" i="1"/>
  <c r="AX12" i="1"/>
  <c r="BG12" i="1"/>
  <c r="BK12" i="1" s="1"/>
  <c r="AX11" i="1"/>
  <c r="BG11" i="1"/>
  <c r="BK11" i="1" s="1"/>
  <c r="AX10" i="1"/>
  <c r="BG10" i="1"/>
  <c r="BK10" i="1" s="1"/>
  <c r="BH14" i="1"/>
  <c r="BH13" i="1"/>
  <c r="BK13" i="1" s="1"/>
  <c r="BA15" i="1"/>
  <c r="BA18" i="1"/>
  <c r="BA20" i="1"/>
  <c r="BA19" i="1"/>
  <c r="BD17" i="1" l="1"/>
  <c r="BA17" i="1"/>
  <c r="BD16" i="1"/>
  <c r="BJ16" i="1" s="1"/>
  <c r="BA16" i="1"/>
  <c r="BK14" i="1"/>
  <c r="BI10" i="1"/>
  <c r="BI13" i="1"/>
  <c r="BI11" i="1"/>
  <c r="BI14" i="1"/>
  <c r="BJ14" i="1"/>
  <c r="BI17" i="1"/>
  <c r="BJ17" i="1"/>
  <c r="BI12" i="1"/>
  <c r="BJ12" i="1"/>
  <c r="BG17" i="1"/>
  <c r="BK17" i="1" s="1"/>
  <c r="AX17" i="1"/>
  <c r="AX19" i="1"/>
  <c r="BE19" i="1"/>
  <c r="BF15" i="1"/>
  <c r="AX15" i="1"/>
  <c r="BG15" i="1"/>
  <c r="BK15" i="1" s="1"/>
  <c r="BE20" i="1"/>
  <c r="AX20" i="1"/>
  <c r="BG18" i="1"/>
  <c r="BK18" i="1" s="1"/>
  <c r="AX18" i="1"/>
  <c r="BF18" i="1"/>
  <c r="BG16" i="1"/>
  <c r="BK16" i="1" s="1"/>
  <c r="AX16" i="1"/>
  <c r="BH20" i="1"/>
  <c r="BK20" i="1" s="1"/>
  <c r="BD22" i="1"/>
  <c r="BJ22" i="1" s="1"/>
  <c r="BH19" i="1"/>
  <c r="BK19" i="1" s="1"/>
  <c r="BD23" i="1"/>
  <c r="BI16" i="1" l="1"/>
  <c r="BJ23" i="1"/>
  <c r="BI23" i="1"/>
  <c r="BI15" i="1"/>
  <c r="BJ15" i="1"/>
  <c r="BI20" i="1"/>
  <c r="BJ20" i="1"/>
  <c r="BI19" i="1"/>
  <c r="BJ19" i="1"/>
  <c r="BI18" i="1"/>
  <c r="BJ18" i="1"/>
  <c r="BG23" i="1"/>
  <c r="BK23" i="1" s="1"/>
  <c r="AX23" i="1"/>
  <c r="AX24" i="1"/>
  <c r="AY29" i="1" s="1"/>
  <c r="BE24" i="1"/>
  <c r="BG21" i="1"/>
  <c r="BK21" i="1" s="1"/>
  <c r="AX21" i="1"/>
  <c r="BF21" i="1"/>
  <c r="AX25" i="1"/>
  <c r="AY30" i="1" s="1"/>
  <c r="BE25" i="1"/>
  <c r="BG22" i="1"/>
  <c r="BK22" i="1" s="1"/>
  <c r="AX22" i="1"/>
  <c r="BI22" i="1"/>
  <c r="BA26" i="1"/>
  <c r="BA29" i="1"/>
  <c r="BH24" i="1"/>
  <c r="BK24" i="1" s="1"/>
  <c r="BA30" i="1"/>
  <c r="BH25" i="1"/>
  <c r="BK25" i="1" s="1"/>
  <c r="BD28" i="1" l="1"/>
  <c r="BI28" i="1" s="1"/>
  <c r="BA28" i="1"/>
  <c r="BD27" i="1"/>
  <c r="BJ27" i="1" s="1"/>
  <c r="BA27" i="1"/>
  <c r="BI24" i="1"/>
  <c r="BJ24" i="1"/>
  <c r="BI25" i="1"/>
  <c r="BJ25" i="1"/>
  <c r="BI21" i="1"/>
  <c r="BJ21" i="1"/>
  <c r="BG28" i="1"/>
  <c r="BK28" i="1" s="1"/>
  <c r="AX28" i="1"/>
  <c r="AX30" i="1"/>
  <c r="BE30" i="1"/>
  <c r="BE29" i="1"/>
  <c r="AX29" i="1"/>
  <c r="AY34" i="1" s="1"/>
  <c r="BG26" i="1"/>
  <c r="BK26" i="1" s="1"/>
  <c r="BF26" i="1"/>
  <c r="AX26" i="1"/>
  <c r="BG27" i="1"/>
  <c r="BK27" i="1" s="1"/>
  <c r="AX27" i="1"/>
  <c r="BH29" i="1"/>
  <c r="BK29" i="1" s="1"/>
  <c r="BD33" i="1"/>
  <c r="BD32" i="1"/>
  <c r="BJ32" i="1" s="1"/>
  <c r="BH30" i="1"/>
  <c r="BK30" i="1" s="1"/>
  <c r="BI27" i="1" l="1"/>
  <c r="BJ28" i="1"/>
  <c r="BI29" i="1"/>
  <c r="BJ29" i="1"/>
  <c r="BI33" i="1"/>
  <c r="BJ33" i="1"/>
  <c r="BI30" i="1"/>
  <c r="BJ30" i="1"/>
  <c r="BI26" i="1"/>
  <c r="BJ26" i="1"/>
  <c r="AX35" i="1"/>
  <c r="AY40" i="1" s="1"/>
  <c r="BE35" i="1"/>
  <c r="BG33" i="1"/>
  <c r="BK33" i="1" s="1"/>
  <c r="AX33" i="1"/>
  <c r="AY38" i="1" s="1"/>
  <c r="BE34" i="1"/>
  <c r="AX34" i="1"/>
  <c r="AY39" i="1" s="1"/>
  <c r="BG31" i="1"/>
  <c r="BK31" i="1" s="1"/>
  <c r="BF31" i="1"/>
  <c r="AX31" i="1"/>
  <c r="AY36" i="1" s="1"/>
  <c r="BG32" i="1"/>
  <c r="BK32" i="1" s="1"/>
  <c r="AX32" i="1"/>
  <c r="AY37" i="1" s="1"/>
  <c r="BI32" i="1"/>
  <c r="BD37" i="1"/>
  <c r="BJ37" i="1" s="1"/>
  <c r="BD38" i="1"/>
  <c r="BH35" i="1"/>
  <c r="BK35" i="1" s="1"/>
  <c r="BH34" i="1"/>
  <c r="BK34" i="1" s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31" i="1"/>
  <c r="AY32" i="1"/>
  <c r="AY33" i="1"/>
  <c r="AY35" i="1"/>
  <c r="BI38" i="1" l="1"/>
  <c r="BJ38" i="1"/>
  <c r="BI31" i="1"/>
  <c r="BJ31" i="1"/>
  <c r="BI34" i="1"/>
  <c r="BJ34" i="1"/>
  <c r="BI35" i="1"/>
  <c r="BJ35" i="1"/>
  <c r="AX39" i="1"/>
  <c r="AY44" i="1" s="1"/>
  <c r="BE39" i="1"/>
  <c r="BG38" i="1"/>
  <c r="BK38" i="1" s="1"/>
  <c r="AX38" i="1"/>
  <c r="AY43" i="1" s="1"/>
  <c r="BG36" i="1"/>
  <c r="BK36" i="1" s="1"/>
  <c r="AX36" i="1"/>
  <c r="AY41" i="1" s="1"/>
  <c r="BF36" i="1"/>
  <c r="AX40" i="1"/>
  <c r="AY45" i="1" s="1"/>
  <c r="BE40" i="1"/>
  <c r="BG37" i="1"/>
  <c r="BK37" i="1" s="1"/>
  <c r="AX37" i="1"/>
  <c r="AY42" i="1" s="1"/>
  <c r="BI37" i="1"/>
  <c r="BH40" i="1"/>
  <c r="BK40" i="1" s="1"/>
  <c r="BD43" i="1"/>
  <c r="BH39" i="1"/>
  <c r="BK39" i="1" s="1"/>
  <c r="BD42" i="1"/>
  <c r="BJ42" i="1" s="1"/>
  <c r="BJ43" i="1" l="1"/>
  <c r="BI43" i="1"/>
  <c r="BI39" i="1"/>
  <c r="BJ39" i="1"/>
  <c r="BI40" i="1"/>
  <c r="BJ40" i="1"/>
  <c r="BI36" i="1"/>
  <c r="BJ36" i="1"/>
  <c r="BG43" i="1"/>
  <c r="BK43" i="1" s="1"/>
  <c r="AX43" i="1"/>
  <c r="AY48" i="1" s="1"/>
  <c r="AX45" i="1"/>
  <c r="AY50" i="1" s="1"/>
  <c r="BE45" i="1"/>
  <c r="BG41" i="1"/>
  <c r="BK41" i="1" s="1"/>
  <c r="AX41" i="1"/>
  <c r="AY46" i="1" s="1"/>
  <c r="BF41" i="1"/>
  <c r="BE44" i="1"/>
  <c r="AX44" i="1"/>
  <c r="AY49" i="1" s="1"/>
  <c r="BG42" i="1"/>
  <c r="BK42" i="1" s="1"/>
  <c r="AX42" i="1"/>
  <c r="AY47" i="1" s="1"/>
  <c r="BI42" i="1"/>
  <c r="BD48" i="1"/>
  <c r="BD47" i="1"/>
  <c r="BJ47" i="1" s="1"/>
  <c r="BH45" i="1"/>
  <c r="BK45" i="1" s="1"/>
  <c r="BH44" i="1"/>
  <c r="BK44" i="1" s="1"/>
  <c r="BI44" i="1" l="1"/>
  <c r="BJ44" i="1"/>
  <c r="BJ48" i="1"/>
  <c r="BI48" i="1"/>
  <c r="BI41" i="1"/>
  <c r="BJ41" i="1"/>
  <c r="BI45" i="1"/>
  <c r="BJ45" i="1"/>
  <c r="BE50" i="1"/>
  <c r="AX50" i="1"/>
  <c r="AY55" i="1" s="1"/>
  <c r="BG48" i="1"/>
  <c r="BK48" i="1" s="1"/>
  <c r="AX48" i="1"/>
  <c r="AY53" i="1" s="1"/>
  <c r="BG46" i="1"/>
  <c r="BK46" i="1" s="1"/>
  <c r="AX46" i="1"/>
  <c r="AY51" i="1" s="1"/>
  <c r="BF46" i="1"/>
  <c r="BE49" i="1"/>
  <c r="AX49" i="1"/>
  <c r="AY54" i="1" s="1"/>
  <c r="BG47" i="1"/>
  <c r="BK47" i="1" s="1"/>
  <c r="AX47" i="1"/>
  <c r="AY52" i="1" s="1"/>
  <c r="BI47" i="1"/>
  <c r="BD52" i="1"/>
  <c r="BJ52" i="1" s="1"/>
  <c r="BH50" i="1"/>
  <c r="BK50" i="1" s="1"/>
  <c r="BH49" i="1"/>
  <c r="BK49" i="1" s="1"/>
  <c r="BD53" i="1"/>
  <c r="BI53" i="1" l="1"/>
  <c r="BJ53" i="1"/>
  <c r="BI50" i="1"/>
  <c r="BJ50" i="1"/>
  <c r="BI49" i="1"/>
  <c r="BJ49" i="1"/>
  <c r="BI46" i="1"/>
  <c r="BJ46" i="1"/>
  <c r="AX55" i="1"/>
  <c r="AY60" i="1" s="1"/>
  <c r="BE55" i="1"/>
  <c r="BG51" i="1"/>
  <c r="BK51" i="1" s="1"/>
  <c r="AX51" i="1"/>
  <c r="AY56" i="1" s="1"/>
  <c r="BF51" i="1"/>
  <c r="AX54" i="1"/>
  <c r="AY59" i="1" s="1"/>
  <c r="BE54" i="1"/>
  <c r="BG53" i="1"/>
  <c r="BK53" i="1" s="1"/>
  <c r="AX53" i="1"/>
  <c r="AY58" i="1" s="1"/>
  <c r="BG52" i="1"/>
  <c r="BK52" i="1" s="1"/>
  <c r="AX52" i="1"/>
  <c r="AY57" i="1" s="1"/>
  <c r="BI52" i="1"/>
  <c r="BH55" i="1"/>
  <c r="BK55" i="1" s="1"/>
  <c r="BD58" i="1"/>
  <c r="BH54" i="1"/>
  <c r="BK54" i="1" s="1"/>
  <c r="BD57" i="1"/>
  <c r="BJ57" i="1" s="1"/>
  <c r="BJ58" i="1" l="1"/>
  <c r="BI58" i="1"/>
  <c r="BI55" i="1"/>
  <c r="BJ55" i="1"/>
  <c r="BI51" i="1"/>
  <c r="BJ51" i="1"/>
  <c r="BI54" i="1"/>
  <c r="BJ54" i="1"/>
  <c r="BG58" i="1"/>
  <c r="BK58" i="1" s="1"/>
  <c r="AX58" i="1"/>
  <c r="AY63" i="1" s="1"/>
  <c r="BE60" i="1"/>
  <c r="AX60" i="1"/>
  <c r="AY65" i="1" s="1"/>
  <c r="AX59" i="1"/>
  <c r="AY64" i="1" s="1"/>
  <c r="BE59" i="1"/>
  <c r="BG56" i="1"/>
  <c r="BK56" i="1" s="1"/>
  <c r="AX56" i="1"/>
  <c r="AY61" i="1" s="1"/>
  <c r="BF56" i="1"/>
  <c r="BG57" i="1"/>
  <c r="BK57" i="1" s="1"/>
  <c r="AX57" i="1"/>
  <c r="AY62" i="1" s="1"/>
  <c r="BI57" i="1"/>
  <c r="BH59" i="1"/>
  <c r="BK59" i="1" s="1"/>
  <c r="BD63" i="1"/>
  <c r="BH60" i="1"/>
  <c r="BK60" i="1" s="1"/>
  <c r="BD62" i="1"/>
  <c r="BJ62" i="1" s="1"/>
  <c r="BI63" i="1" l="1"/>
  <c r="BJ63" i="1"/>
  <c r="BI59" i="1"/>
  <c r="BJ59" i="1"/>
  <c r="BI60" i="1"/>
  <c r="BJ60" i="1"/>
  <c r="BI56" i="1"/>
  <c r="BJ56" i="1"/>
  <c r="BG63" i="1"/>
  <c r="BK63" i="1" s="1"/>
  <c r="AX63" i="1"/>
  <c r="AY68" i="1" s="1"/>
  <c r="BE64" i="1"/>
  <c r="AX64" i="1"/>
  <c r="AY69" i="1" s="1"/>
  <c r="BG61" i="1"/>
  <c r="BK61" i="1" s="1"/>
  <c r="AX61" i="1"/>
  <c r="AY66" i="1" s="1"/>
  <c r="BF61" i="1"/>
  <c r="BE65" i="1"/>
  <c r="AX65" i="1"/>
  <c r="AY70" i="1" s="1"/>
  <c r="BG62" i="1"/>
  <c r="BK62" i="1" s="1"/>
  <c r="AX62" i="1"/>
  <c r="AY67" i="1" s="1"/>
  <c r="BI62" i="1"/>
  <c r="BD67" i="1"/>
  <c r="BH65" i="1"/>
  <c r="BK65" i="1" s="1"/>
  <c r="BD68" i="1"/>
  <c r="BI68" i="1" s="1"/>
  <c r="BH64" i="1"/>
  <c r="BK64" i="1" s="1"/>
  <c r="BI65" i="1" l="1"/>
  <c r="BJ65" i="1"/>
  <c r="BI64" i="1"/>
  <c r="BJ64" i="1"/>
  <c r="BI61" i="1"/>
  <c r="BJ61" i="1"/>
  <c r="BG68" i="1"/>
  <c r="BK68" i="1" s="1"/>
  <c r="AX68" i="1"/>
  <c r="BG66" i="1"/>
  <c r="BK66" i="1" s="1"/>
  <c r="BF66" i="1"/>
  <c r="BI66" i="1" s="1"/>
  <c r="AX66" i="1"/>
  <c r="AX70" i="1"/>
  <c r="BE70" i="1"/>
  <c r="BI70" i="1" s="1"/>
  <c r="AX69" i="1"/>
  <c r="BE69" i="1"/>
  <c r="BI69" i="1" s="1"/>
  <c r="BG67" i="1"/>
  <c r="BK67" i="1" s="1"/>
  <c r="AX67" i="1"/>
  <c r="BI67" i="1"/>
  <c r="BH69" i="1"/>
  <c r="BK69" i="1" s="1"/>
  <c r="BH70" i="1"/>
  <c r="BK70" i="1" s="1"/>
</calcChain>
</file>

<file path=xl/sharedStrings.xml><?xml version="1.0" encoding="utf-8"?>
<sst xmlns="http://schemas.openxmlformats.org/spreadsheetml/2006/main" count="206" uniqueCount="78">
  <si>
    <t>Batch Data</t>
  </si>
  <si>
    <t>Offline Data</t>
  </si>
  <si>
    <t>Online Data</t>
  </si>
  <si>
    <t>Batch</t>
  </si>
  <si>
    <t>Controller</t>
  </si>
  <si>
    <t>iVCC</t>
  </si>
  <si>
    <t>pH</t>
  </si>
  <si>
    <t>Day</t>
  </si>
  <si>
    <t>Sample Time</t>
  </si>
  <si>
    <t>HPLC Titer</t>
  </si>
  <si>
    <t>IGG</t>
  </si>
  <si>
    <t>VCC</t>
  </si>
  <si>
    <t>Viability</t>
  </si>
  <si>
    <t>Lactate</t>
  </si>
  <si>
    <t>Glucose</t>
  </si>
  <si>
    <t>Volume</t>
  </si>
  <si>
    <t>Sample Volume</t>
  </si>
  <si>
    <t>Amount of Future Feed</t>
  </si>
  <si>
    <t>Temperature</t>
  </si>
  <si>
    <t>pH_setpoint</t>
  </si>
  <si>
    <t>DO</t>
  </si>
  <si>
    <t>CD96 CSFR Setpoint</t>
  </si>
  <si>
    <t>Initial_Volume</t>
  </si>
  <si>
    <t>Model Feed Input Python</t>
  </si>
  <si>
    <t>Model Feed Input Julia</t>
  </si>
  <si>
    <t>Model Glucose Input Julia</t>
  </si>
  <si>
    <t>Julia</t>
  </si>
  <si>
    <t>Python</t>
  </si>
  <si>
    <t>No MPC</t>
  </si>
  <si>
    <t xml:space="preserve">TCC  </t>
  </si>
  <si>
    <t xml:space="preserve">Diam </t>
  </si>
  <si>
    <t>Osmolality</t>
  </si>
  <si>
    <t>Ammonium</t>
  </si>
  <si>
    <t>Calcium</t>
  </si>
  <si>
    <t>Glutamine</t>
  </si>
  <si>
    <t>Glutamate</t>
  </si>
  <si>
    <t>CO2</t>
  </si>
  <si>
    <t>pO2</t>
  </si>
  <si>
    <t>Potassium</t>
  </si>
  <si>
    <t>Sodium</t>
  </si>
  <si>
    <t>Bicarbonate</t>
  </si>
  <si>
    <t>pCO2 at Temp</t>
  </si>
  <si>
    <t>pO2 at Temp</t>
  </si>
  <si>
    <t>pH at Temp</t>
  </si>
  <si>
    <t>Agitation Rate (rpm)</t>
  </si>
  <si>
    <t>Vessel Temp (*C)</t>
  </si>
  <si>
    <t>Base Pumped (mL)</t>
  </si>
  <si>
    <t>Acid Pumped (mL)</t>
  </si>
  <si>
    <t>Antifoam Amount (mL)</t>
  </si>
  <si>
    <t>Daily Feed Amount (mL)</t>
  </si>
  <si>
    <t>Daily Glucose Amount (mL)</t>
  </si>
  <si>
    <t>Cumulative Feed Amount (mL)</t>
  </si>
  <si>
    <t>Cumulative Glucose Amount (mL)</t>
  </si>
  <si>
    <t>MR24-030-801</t>
  </si>
  <si>
    <t>MR24-030-802</t>
  </si>
  <si>
    <t>MR24-030-803</t>
  </si>
  <si>
    <t>MR24-030-804</t>
  </si>
  <si>
    <t>MR24-030-805</t>
  </si>
  <si>
    <t>MR24-030-806</t>
  </si>
  <si>
    <t>Amount of Glucose (mL) Julia</t>
  </si>
  <si>
    <t>Feed Fed based on CSFR (mL)</t>
  </si>
  <si>
    <t>Online pH</t>
  </si>
  <si>
    <t>Calculations</t>
  </si>
  <si>
    <t>Amount of Glucose to Feed (mL)</t>
  </si>
  <si>
    <t>MPC Data</t>
  </si>
  <si>
    <t>Flow Rates to Copy to System</t>
  </si>
  <si>
    <t>Final Values</t>
  </si>
  <si>
    <t>Cumulative_Normalized_Feed_Initial WV</t>
  </si>
  <si>
    <t>Cumulative_Normalized_Feed_Current WV</t>
  </si>
  <si>
    <t>Glucose to Copy to System</t>
  </si>
  <si>
    <t>Process Setpoints</t>
  </si>
  <si>
    <t>Feed Flow Rate based on CSFR (mL/min)</t>
  </si>
  <si>
    <t>Feed Rate (mL/min) Python</t>
  </si>
  <si>
    <t>Feed Rate (mL/min) Julia</t>
  </si>
  <si>
    <t>Feed Rate based on CSFR (mL/min)</t>
  </si>
  <si>
    <t>Pump RPM</t>
  </si>
  <si>
    <t>Feed Flow Rate (mL/min)</t>
  </si>
  <si>
    <t>Reference Titer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</si>
</sst>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00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.5"/>
      <color theme="1"/>
      <name val="Calibri"/>
      <family val="2"/>
      <scheme val="minor"/>
    </font>
    <font>
      <b/>
      <sz val="11.5"/>
      <color rgb="FF00B050"/>
      <name val="Calibri"/>
      <family val="2"/>
      <scheme val="minor"/>
    </font>
    <font>
      <b/>
      <sz val="11.5"/>
      <color rgb="FF7030A0"/>
      <name val="Calibri"/>
      <family val="2"/>
      <scheme val="minor"/>
    </font>
    <font>
      <b/>
      <sz val="11.5"/>
      <color rgb="FF0070C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F089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89">
    <xf numFmtId="0" fontId="0" fillId="0" borderId="0" xfId="0"/>
    <xf numFmtId="0" fontId="0" fillId="0" borderId="13" xfId="0" applyBorder="1"/>
    <xf numFmtId="0" fontId="0" fillId="0" borderId="14" xfId="0" applyBorder="1"/>
    <xf numFmtId="0" fontId="0" fillId="0" borderId="10" xfId="0" applyBorder="1"/>
    <xf numFmtId="0" fontId="0" fillId="0" borderId="11" xfId="0" applyBorder="1"/>
    <xf numFmtId="22" fontId="0" fillId="0" borderId="11" xfId="0" applyNumberFormat="1" applyBorder="1"/>
    <xf numFmtId="0" fontId="0" fillId="0" borderId="15" xfId="0" applyBorder="1"/>
    <xf numFmtId="0" fontId="0" fillId="0" borderId="16" xfId="0" applyBorder="1"/>
    <xf numFmtId="22" fontId="0" fillId="0" borderId="16" xfId="0" applyNumberFormat="1" applyBorder="1"/>
    <xf numFmtId="2" fontId="0" fillId="0" borderId="11" xfId="0" applyNumberFormat="1" applyBorder="1"/>
    <xf numFmtId="2" fontId="21" fillId="0" borderId="0" xfId="42" applyNumberFormat="1" applyFont="1" applyBorder="1"/>
    <xf numFmtId="2" fontId="0" fillId="0" borderId="16" xfId="0" applyNumberFormat="1" applyBorder="1"/>
    <xf numFmtId="164" fontId="0" fillId="0" borderId="10" xfId="0" applyNumberFormat="1" applyBorder="1"/>
    <xf numFmtId="164" fontId="0" fillId="0" borderId="11" xfId="0" applyNumberFormat="1" applyBorder="1"/>
    <xf numFmtId="164" fontId="0" fillId="38" borderId="11" xfId="0" applyNumberFormat="1" applyFill="1" applyBorder="1"/>
    <xf numFmtId="164" fontId="0" fillId="0" borderId="13" xfId="0" applyNumberFormat="1" applyBorder="1"/>
    <xf numFmtId="164" fontId="0" fillId="0" borderId="15" xfId="0" applyNumberFormat="1" applyBorder="1"/>
    <xf numFmtId="164" fontId="0" fillId="0" borderId="16" xfId="0" applyNumberFormat="1" applyBorder="1"/>
    <xf numFmtId="164" fontId="0" fillId="38" borderId="16" xfId="0" applyNumberFormat="1" applyFill="1" applyBorder="1"/>
    <xf numFmtId="1" fontId="0" fillId="0" borderId="11" xfId="0" applyNumberFormat="1" applyBorder="1"/>
    <xf numFmtId="1" fontId="0" fillId="0" borderId="16" xfId="0" applyNumberFormat="1" applyBorder="1"/>
    <xf numFmtId="0" fontId="22" fillId="0" borderId="14" xfId="0" applyFont="1" applyBorder="1" applyAlignment="1">
      <alignment horizontal="center" vertical="center" wrapText="1"/>
    </xf>
    <xf numFmtId="0" fontId="0" fillId="0" borderId="12" xfId="0" applyBorder="1"/>
    <xf numFmtId="0" fontId="0" fillId="0" borderId="17" xfId="0" applyBorder="1"/>
    <xf numFmtId="2" fontId="0" fillId="0" borderId="12" xfId="0" applyNumberFormat="1" applyBorder="1"/>
    <xf numFmtId="2" fontId="0" fillId="0" borderId="14" xfId="0" applyNumberFormat="1" applyBorder="1"/>
    <xf numFmtId="2" fontId="0" fillId="0" borderId="17" xfId="0" applyNumberFormat="1" applyBorder="1"/>
    <xf numFmtId="0" fontId="0" fillId="0" borderId="0" xfId="0" applyBorder="1"/>
    <xf numFmtId="22" fontId="0" fillId="0" borderId="0" xfId="0" applyNumberFormat="1" applyBorder="1"/>
    <xf numFmtId="2" fontId="0" fillId="0" borderId="0" xfId="0" applyNumberFormat="1" applyBorder="1"/>
    <xf numFmtId="164" fontId="0" fillId="0" borderId="0" xfId="0" applyNumberFormat="1" applyBorder="1"/>
    <xf numFmtId="164" fontId="0" fillId="38" borderId="0" xfId="0" applyNumberFormat="1" applyFill="1" applyBorder="1"/>
    <xf numFmtId="1" fontId="0" fillId="0" borderId="0" xfId="0" applyNumberFormat="1" applyBorder="1"/>
    <xf numFmtId="0" fontId="22" fillId="0" borderId="0" xfId="0" applyFont="1" applyBorder="1" applyAlignment="1">
      <alignment horizontal="center" vertical="center" wrapText="1"/>
    </xf>
    <xf numFmtId="2" fontId="14" fillId="0" borderId="0" xfId="0" applyNumberFormat="1" applyFont="1" applyBorder="1"/>
    <xf numFmtId="0" fontId="0" fillId="0" borderId="0" xfId="0" applyFill="1" applyBorder="1"/>
    <xf numFmtId="0" fontId="0" fillId="0" borderId="11" xfId="0" applyFill="1" applyBorder="1"/>
    <xf numFmtId="0" fontId="0" fillId="0" borderId="16" xfId="0" applyFill="1" applyBorder="1"/>
    <xf numFmtId="0" fontId="22" fillId="0" borderId="13" xfId="0" applyFont="1" applyBorder="1" applyAlignment="1">
      <alignment horizontal="center" vertical="center" wrapText="1"/>
    </xf>
    <xf numFmtId="164" fontId="0" fillId="0" borderId="12" xfId="0" applyNumberFormat="1" applyBorder="1"/>
    <xf numFmtId="164" fontId="0" fillId="0" borderId="14" xfId="0" applyNumberFormat="1" applyBorder="1"/>
    <xf numFmtId="164" fontId="0" fillId="0" borderId="17" xfId="0" applyNumberFormat="1" applyBorder="1"/>
    <xf numFmtId="1" fontId="0" fillId="0" borderId="12" xfId="0" applyNumberFormat="1" applyBorder="1"/>
    <xf numFmtId="1" fontId="0" fillId="0" borderId="14" xfId="0" applyNumberFormat="1" applyBorder="1"/>
    <xf numFmtId="1" fontId="0" fillId="0" borderId="17" xfId="0" applyNumberFormat="1" applyBorder="1"/>
    <xf numFmtId="165" fontId="0" fillId="39" borderId="10" xfId="0" applyNumberFormat="1" applyFill="1" applyBorder="1"/>
    <xf numFmtId="165" fontId="0" fillId="39" borderId="13" xfId="0" applyNumberFormat="1" applyFill="1" applyBorder="1"/>
    <xf numFmtId="165" fontId="0" fillId="39" borderId="15" xfId="0" applyNumberFormat="1" applyFill="1" applyBorder="1"/>
    <xf numFmtId="165" fontId="0" fillId="39" borderId="14" xfId="0" applyNumberFormat="1" applyFill="1" applyBorder="1"/>
    <xf numFmtId="165" fontId="0" fillId="39" borderId="17" xfId="0" applyNumberFormat="1" applyFill="1" applyBorder="1"/>
    <xf numFmtId="165" fontId="0" fillId="39" borderId="12" xfId="0" applyNumberFormat="1" applyFill="1" applyBorder="1"/>
    <xf numFmtId="2" fontId="0" fillId="0" borderId="0" xfId="0" applyNumberFormat="1" applyFill="1" applyBorder="1"/>
    <xf numFmtId="0" fontId="23" fillId="0" borderId="13" xfId="0" applyFont="1" applyBorder="1" applyAlignment="1">
      <alignment horizontal="center" vertical="center" wrapText="1"/>
    </xf>
    <xf numFmtId="0" fontId="23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25" fillId="0" borderId="0" xfId="0" applyFont="1" applyBorder="1" applyAlignment="1">
      <alignment horizontal="center" vertical="center" wrapText="1"/>
    </xf>
    <xf numFmtId="166" fontId="0" fillId="38" borderId="11" xfId="0" applyNumberFormat="1" applyFill="1" applyBorder="1"/>
    <xf numFmtId="166" fontId="0" fillId="38" borderId="0" xfId="0" applyNumberFormat="1" applyFill="1" applyBorder="1"/>
    <xf numFmtId="166" fontId="0" fillId="38" borderId="16" xfId="0" applyNumberFormat="1" applyFill="1" applyBorder="1"/>
    <xf numFmtId="166" fontId="0" fillId="38" borderId="0" xfId="0" applyNumberFormat="1" applyFill="1"/>
    <xf numFmtId="164" fontId="0" fillId="38" borderId="0" xfId="0" applyNumberFormat="1" applyFill="1"/>
    <xf numFmtId="165" fontId="0" fillId="39" borderId="11" xfId="0" applyNumberFormat="1" applyFill="1" applyBorder="1"/>
    <xf numFmtId="165" fontId="0" fillId="39" borderId="0" xfId="0" applyNumberFormat="1" applyFill="1" applyBorder="1"/>
    <xf numFmtId="165" fontId="0" fillId="39" borderId="16" xfId="0" applyNumberFormat="1" applyFill="1" applyBorder="1"/>
    <xf numFmtId="166" fontId="0" fillId="39" borderId="11" xfId="0" applyNumberFormat="1" applyFill="1" applyBorder="1"/>
    <xf numFmtId="166" fontId="0" fillId="39" borderId="0" xfId="0" applyNumberFormat="1" applyFill="1" applyBorder="1"/>
    <xf numFmtId="166" fontId="0" fillId="39" borderId="16" xfId="0" applyNumberFormat="1" applyFill="1" applyBorder="1"/>
    <xf numFmtId="164" fontId="14" fillId="38" borderId="0" xfId="0" applyNumberFormat="1" applyFont="1" applyFill="1" applyBorder="1"/>
    <xf numFmtId="164" fontId="14" fillId="38" borderId="16" xfId="0" applyNumberFormat="1" applyFont="1" applyFill="1" applyBorder="1"/>
    <xf numFmtId="165" fontId="14" fillId="39" borderId="14" xfId="0" applyNumberFormat="1" applyFont="1" applyFill="1" applyBorder="1"/>
    <xf numFmtId="164" fontId="0" fillId="0" borderId="0" xfId="0" applyNumberFormat="1"/>
    <xf numFmtId="0" fontId="19" fillId="40" borderId="0" xfId="0" applyFont="1" applyFill="1" applyBorder="1" applyAlignment="1">
      <alignment horizontal="center"/>
    </xf>
    <xf numFmtId="0" fontId="19" fillId="34" borderId="10" xfId="0" applyFont="1" applyFill="1" applyBorder="1" applyAlignment="1">
      <alignment horizontal="center"/>
    </xf>
    <xf numFmtId="0" fontId="19" fillId="34" borderId="11" xfId="0" applyFont="1" applyFill="1" applyBorder="1" applyAlignment="1">
      <alignment horizontal="center"/>
    </xf>
    <xf numFmtId="0" fontId="19" fillId="34" borderId="12" xfId="0" applyFont="1" applyFill="1" applyBorder="1" applyAlignment="1">
      <alignment horizontal="center"/>
    </xf>
    <xf numFmtId="0" fontId="19" fillId="33" borderId="10" xfId="0" applyFont="1" applyFill="1" applyBorder="1" applyAlignment="1">
      <alignment horizontal="center"/>
    </xf>
    <xf numFmtId="0" fontId="19" fillId="33" borderId="11" xfId="0" applyFont="1" applyFill="1" applyBorder="1" applyAlignment="1">
      <alignment horizontal="center"/>
    </xf>
    <xf numFmtId="0" fontId="19" fillId="33" borderId="12" xfId="0" applyFont="1" applyFill="1" applyBorder="1" applyAlignment="1">
      <alignment horizontal="center"/>
    </xf>
    <xf numFmtId="0" fontId="19" fillId="37" borderId="13" xfId="0" applyFont="1" applyFill="1" applyBorder="1" applyAlignment="1">
      <alignment horizontal="center"/>
    </xf>
    <xf numFmtId="0" fontId="19" fillId="37" borderId="0" xfId="0" applyFont="1" applyFill="1" applyBorder="1" applyAlignment="1">
      <alignment horizontal="center"/>
    </xf>
    <xf numFmtId="0" fontId="19" fillId="36" borderId="0" xfId="0" applyFont="1" applyFill="1" applyBorder="1" applyAlignment="1">
      <alignment horizontal="center"/>
    </xf>
    <xf numFmtId="0" fontId="19" fillId="36" borderId="14" xfId="0" applyFont="1" applyFill="1" applyBorder="1" applyAlignment="1">
      <alignment horizontal="center"/>
    </xf>
    <xf numFmtId="0" fontId="19" fillId="39" borderId="10" xfId="0" applyFont="1" applyFill="1" applyBorder="1" applyAlignment="1">
      <alignment horizontal="center"/>
    </xf>
    <xf numFmtId="0" fontId="19" fillId="39" borderId="11" xfId="0" applyFont="1" applyFill="1" applyBorder="1" applyAlignment="1">
      <alignment horizontal="center"/>
    </xf>
    <xf numFmtId="0" fontId="19" fillId="39" borderId="12" xfId="0" applyFont="1" applyFill="1" applyBorder="1" applyAlignment="1">
      <alignment horizontal="center"/>
    </xf>
    <xf numFmtId="0" fontId="19" fillId="35" borderId="10" xfId="0" applyFont="1" applyFill="1" applyBorder="1" applyAlignment="1">
      <alignment horizontal="center"/>
    </xf>
    <xf numFmtId="0" fontId="19" fillId="35" borderId="11" xfId="0" applyFont="1" applyFill="1" applyBorder="1" applyAlignment="1">
      <alignment horizontal="center"/>
    </xf>
    <xf numFmtId="0" fontId="19" fillId="35" borderId="12" xfId="0" applyFont="1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>
          <bgColor rgb="FF92D050"/>
        </patternFill>
      </fill>
    </dxf>
    <dxf>
      <fill>
        <patternFill>
          <bgColor theme="8" tint="0.59996337778862885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00F0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70"/>
  <sheetViews>
    <sheetView tabSelected="1" zoomScale="96" zoomScaleNormal="96" workbookViewId="0">
      <pane xSplit="5" ySplit="2" topLeftCell="F22" activePane="bottomRight" state="frozen"/>
      <selection pane="topRight" activeCell="H1" sqref="H1"/>
      <selection pane="bottomLeft" activeCell="A3" sqref="A3"/>
      <selection pane="bottomRight" activeCell="J49" sqref="J49"/>
    </sheetView>
  </sheetViews>
  <sheetFormatPr defaultColWidth="14.6640625" defaultRowHeight="14.4" x14ac:dyDescent="0.3"/>
  <cols>
    <col min="2" max="4" width="10.6640625" customWidth="1"/>
    <col min="5" max="5" width="16.88671875" bestFit="1" customWidth="1"/>
    <col min="6" max="60" width="12.6640625" customWidth="1"/>
    <col min="61" max="61" width="16.33203125" bestFit="1" customWidth="1"/>
    <col min="62" max="63" width="16.33203125" customWidth="1"/>
  </cols>
  <sheetData>
    <row r="1" spans="1:63" ht="21" x14ac:dyDescent="0.4">
      <c r="A1" s="72" t="s">
        <v>0</v>
      </c>
      <c r="B1" s="72"/>
      <c r="C1" s="72"/>
      <c r="D1" s="72"/>
      <c r="E1" s="72"/>
      <c r="F1" s="73" t="s">
        <v>1</v>
      </c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5"/>
      <c r="AC1" s="86" t="s">
        <v>2</v>
      </c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  <c r="AO1" s="88"/>
      <c r="AP1" s="81" t="s">
        <v>70</v>
      </c>
      <c r="AQ1" s="81"/>
      <c r="AR1" s="81"/>
      <c r="AS1" s="81"/>
      <c r="AT1" s="82"/>
      <c r="AU1" s="83" t="s">
        <v>64</v>
      </c>
      <c r="AV1" s="84"/>
      <c r="AW1" s="85"/>
      <c r="AX1" s="79" t="s">
        <v>62</v>
      </c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76" t="s">
        <v>66</v>
      </c>
      <c r="BJ1" s="77"/>
      <c r="BK1" s="78"/>
    </row>
    <row r="2" spans="1:63" ht="60.6" thickBot="1" x14ac:dyDescent="0.35">
      <c r="A2" s="33" t="s">
        <v>3</v>
      </c>
      <c r="B2" s="33" t="s">
        <v>4</v>
      </c>
      <c r="C2" s="33" t="s">
        <v>5</v>
      </c>
      <c r="D2" s="33" t="s">
        <v>7</v>
      </c>
      <c r="E2" s="33" t="s">
        <v>8</v>
      </c>
      <c r="F2" s="52" t="s">
        <v>77</v>
      </c>
      <c r="G2" s="53" t="s">
        <v>9</v>
      </c>
      <c r="H2" s="53" t="s">
        <v>10</v>
      </c>
      <c r="I2" s="56" t="s">
        <v>29</v>
      </c>
      <c r="J2" s="56" t="s">
        <v>11</v>
      </c>
      <c r="K2" s="56" t="s">
        <v>12</v>
      </c>
      <c r="L2" s="56" t="s">
        <v>30</v>
      </c>
      <c r="M2" s="54" t="s">
        <v>31</v>
      </c>
      <c r="N2" s="54" t="s">
        <v>32</v>
      </c>
      <c r="O2" s="54" t="s">
        <v>33</v>
      </c>
      <c r="P2" s="54" t="s">
        <v>14</v>
      </c>
      <c r="Q2" s="54" t="s">
        <v>34</v>
      </c>
      <c r="R2" s="54" t="s">
        <v>35</v>
      </c>
      <c r="S2" s="54" t="s">
        <v>13</v>
      </c>
      <c r="T2" s="54" t="s">
        <v>6</v>
      </c>
      <c r="U2" s="54" t="s">
        <v>36</v>
      </c>
      <c r="V2" s="54" t="s">
        <v>37</v>
      </c>
      <c r="W2" s="54" t="s">
        <v>38</v>
      </c>
      <c r="X2" s="54" t="s">
        <v>39</v>
      </c>
      <c r="Y2" s="54" t="s">
        <v>40</v>
      </c>
      <c r="Z2" s="54" t="s">
        <v>41</v>
      </c>
      <c r="AA2" s="54" t="s">
        <v>42</v>
      </c>
      <c r="AB2" s="55" t="s">
        <v>43</v>
      </c>
      <c r="AC2" s="38" t="s">
        <v>44</v>
      </c>
      <c r="AD2" s="33" t="s">
        <v>20</v>
      </c>
      <c r="AE2" s="33" t="s">
        <v>61</v>
      </c>
      <c r="AF2" s="33" t="s">
        <v>45</v>
      </c>
      <c r="AG2" s="33" t="s">
        <v>46</v>
      </c>
      <c r="AH2" s="33" t="s">
        <v>47</v>
      </c>
      <c r="AI2" s="33" t="s">
        <v>48</v>
      </c>
      <c r="AJ2" s="33" t="s">
        <v>76</v>
      </c>
      <c r="AK2" s="33" t="s">
        <v>51</v>
      </c>
      <c r="AL2" s="33" t="s">
        <v>52</v>
      </c>
      <c r="AM2" s="33" t="s">
        <v>49</v>
      </c>
      <c r="AN2" s="33" t="s">
        <v>50</v>
      </c>
      <c r="AO2" s="21" t="s">
        <v>16</v>
      </c>
      <c r="AP2" s="33" t="s">
        <v>22</v>
      </c>
      <c r="AQ2" s="33" t="s">
        <v>18</v>
      </c>
      <c r="AR2" s="33" t="s">
        <v>19</v>
      </c>
      <c r="AS2" s="33" t="s">
        <v>20</v>
      </c>
      <c r="AT2" s="33" t="s">
        <v>21</v>
      </c>
      <c r="AU2" s="38" t="s">
        <v>23</v>
      </c>
      <c r="AV2" s="33" t="s">
        <v>24</v>
      </c>
      <c r="AW2" s="21" t="s">
        <v>25</v>
      </c>
      <c r="AX2" s="33" t="s">
        <v>71</v>
      </c>
      <c r="AY2" s="33" t="s">
        <v>60</v>
      </c>
      <c r="AZ2" s="33" t="s">
        <v>15</v>
      </c>
      <c r="BA2" s="33" t="s">
        <v>68</v>
      </c>
      <c r="BB2" s="33" t="s">
        <v>67</v>
      </c>
      <c r="BC2" s="33" t="s">
        <v>17</v>
      </c>
      <c r="BD2" s="33" t="s">
        <v>72</v>
      </c>
      <c r="BE2" s="33" t="s">
        <v>73</v>
      </c>
      <c r="BF2" s="33" t="s">
        <v>74</v>
      </c>
      <c r="BG2" s="33" t="s">
        <v>63</v>
      </c>
      <c r="BH2" s="33" t="s">
        <v>59</v>
      </c>
      <c r="BI2" s="38" t="s">
        <v>75</v>
      </c>
      <c r="BJ2" s="33" t="s">
        <v>65</v>
      </c>
      <c r="BK2" s="21" t="s">
        <v>69</v>
      </c>
    </row>
    <row r="3" spans="1:63" x14ac:dyDescent="0.3">
      <c r="A3" s="3" t="s">
        <v>53</v>
      </c>
      <c r="B3" s="4" t="s">
        <v>28</v>
      </c>
      <c r="C3" s="4">
        <v>12</v>
      </c>
      <c r="D3" s="4">
        <v>0</v>
      </c>
      <c r="E3" s="5">
        <v>45449.560416666704</v>
      </c>
      <c r="F3" s="4">
        <v>146.51</v>
      </c>
      <c r="G3" s="9"/>
      <c r="H3" s="9">
        <v>127.2368</v>
      </c>
      <c r="I3" s="9">
        <v>13.6</v>
      </c>
      <c r="J3" s="9">
        <v>13.5</v>
      </c>
      <c r="K3" s="9">
        <v>99</v>
      </c>
      <c r="L3" s="9">
        <v>16.7</v>
      </c>
      <c r="M3" s="9">
        <v>317</v>
      </c>
      <c r="N3" s="9">
        <v>0.99</v>
      </c>
      <c r="O3" s="9">
        <v>0.56000000000000005</v>
      </c>
      <c r="P3" s="9">
        <v>5.88</v>
      </c>
      <c r="Q3" s="9">
        <v>0.37</v>
      </c>
      <c r="R3" s="9">
        <v>2.2799999999999998</v>
      </c>
      <c r="S3" s="9">
        <v>1.01</v>
      </c>
      <c r="T3" s="9">
        <v>6.95</v>
      </c>
      <c r="U3" s="9">
        <v>97.2</v>
      </c>
      <c r="V3" s="9">
        <v>52.9</v>
      </c>
      <c r="W3" s="9">
        <v>6.3</v>
      </c>
      <c r="X3" s="9">
        <v>100.2</v>
      </c>
      <c r="Y3" s="9">
        <v>20.5</v>
      </c>
      <c r="Z3" s="9">
        <v>85.2</v>
      </c>
      <c r="AA3" s="9">
        <v>42.9</v>
      </c>
      <c r="AB3" s="24">
        <v>6.9850000000000003</v>
      </c>
      <c r="AC3" s="12">
        <v>300</v>
      </c>
      <c r="AD3" s="13">
        <v>0.502</v>
      </c>
      <c r="AE3" s="13">
        <v>7.04</v>
      </c>
      <c r="AF3" s="13">
        <v>34</v>
      </c>
      <c r="AG3" s="13">
        <v>0</v>
      </c>
      <c r="AH3" s="27">
        <v>0</v>
      </c>
      <c r="AI3" s="13">
        <v>0.1</v>
      </c>
      <c r="AJ3" s="13">
        <v>6.8242499999999996E-3</v>
      </c>
      <c r="AK3" s="13">
        <v>0</v>
      </c>
      <c r="AL3" s="13">
        <v>0</v>
      </c>
      <c r="AM3" s="13">
        <v>0</v>
      </c>
      <c r="AN3" s="13">
        <v>0</v>
      </c>
      <c r="AO3" s="42">
        <v>15</v>
      </c>
      <c r="AP3" s="19">
        <v>1700</v>
      </c>
      <c r="AQ3" s="9">
        <v>34</v>
      </c>
      <c r="AR3" s="9">
        <v>7.2</v>
      </c>
      <c r="AS3" s="9">
        <v>50</v>
      </c>
      <c r="AT3" s="13">
        <v>2.9999999999999997E-4</v>
      </c>
      <c r="AU3" s="12"/>
      <c r="AV3" s="13"/>
      <c r="AW3" s="39"/>
      <c r="AX3" s="12">
        <f>AT3*J3*AZ3/1000</f>
        <v>6.8242499999999996E-3</v>
      </c>
      <c r="AY3" s="13">
        <f>AX3*24</f>
        <v>0.16378199999999998</v>
      </c>
      <c r="AZ3" s="13">
        <f t="shared" ref="AZ3:AZ8" si="0">AP3-AO3</f>
        <v>1685</v>
      </c>
      <c r="BA3" s="14">
        <f>IF(ISBLANK(AK3),NA(),IFERROR(AK3/AZ3,0))</f>
        <v>0</v>
      </c>
      <c r="BB3" s="14">
        <f>AK3/AP3</f>
        <v>0</v>
      </c>
      <c r="BC3" s="14">
        <f>AJ3*24</f>
        <v>0.16378199999999998</v>
      </c>
      <c r="BD3" s="14" t="str">
        <f>IF(B3="Python",AU3*AP3/24/60,"")</f>
        <v/>
      </c>
      <c r="BE3" s="14" t="str">
        <f t="shared" ref="BE3:BE34" si="1">IF(B3="Julia",AV3*AZ3/24/60,"")</f>
        <v/>
      </c>
      <c r="BF3" s="57">
        <f t="shared" ref="BF3:BF13" si="2">IF(B3="No MPC", AT3*J3*AZ3/1000,"")</f>
        <v>6.8242499999999996E-3</v>
      </c>
      <c r="BG3" s="14">
        <v>0</v>
      </c>
      <c r="BH3" s="14" t="str">
        <f t="shared" ref="BH3:BH34" si="3">IF(B3="Julia",AW3*AZ3,"")</f>
        <v/>
      </c>
      <c r="BI3" s="45">
        <f>IF(BD3&lt;&gt;"",BD3/0.000385,IF(BE3&lt;&gt;"",BE3/0.000385,BF3/0.000385))</f>
        <v>17.725324675324675</v>
      </c>
      <c r="BJ3" s="65">
        <f>IF(BD3&lt;&gt;"",BD3,IF(BE3&lt;&gt;"",BE3,BF3))</f>
        <v>6.8242499999999996E-3</v>
      </c>
      <c r="BK3" s="50">
        <f>IF(BG3&lt;&gt;"",BG3,BH3)</f>
        <v>0</v>
      </c>
    </row>
    <row r="4" spans="1:63" x14ac:dyDescent="0.3">
      <c r="A4" s="1" t="s">
        <v>54</v>
      </c>
      <c r="B4" s="27" t="s">
        <v>27</v>
      </c>
      <c r="C4" s="27">
        <v>12</v>
      </c>
      <c r="D4" s="27">
        <v>0</v>
      </c>
      <c r="E4" s="28">
        <v>45449.564282407402</v>
      </c>
      <c r="F4" s="27">
        <v>146.51</v>
      </c>
      <c r="G4" s="29"/>
      <c r="H4" s="29">
        <v>128.01390000000001</v>
      </c>
      <c r="I4" s="29">
        <v>12.5</v>
      </c>
      <c r="J4" s="29">
        <v>12.4</v>
      </c>
      <c r="K4" s="29">
        <v>99.2</v>
      </c>
      <c r="L4" s="29">
        <v>16.7</v>
      </c>
      <c r="M4" s="29">
        <v>317</v>
      </c>
      <c r="N4" s="29">
        <v>0.99</v>
      </c>
      <c r="O4" s="29">
        <v>0.57999999999999996</v>
      </c>
      <c r="P4" s="29">
        <v>5.85</v>
      </c>
      <c r="Q4" s="29">
        <v>0.37</v>
      </c>
      <c r="R4" s="29">
        <v>2.2999999999999998</v>
      </c>
      <c r="S4" s="29">
        <v>0.98</v>
      </c>
      <c r="T4" s="29">
        <v>6.9379999999999997</v>
      </c>
      <c r="U4" s="29">
        <v>96.6</v>
      </c>
      <c r="V4" s="29">
        <v>62.2</v>
      </c>
      <c r="W4" s="29">
        <v>6.34</v>
      </c>
      <c r="X4" s="29">
        <v>101.8</v>
      </c>
      <c r="Y4" s="29">
        <v>19.8</v>
      </c>
      <c r="Z4" s="29">
        <v>84.7</v>
      </c>
      <c r="AA4" s="29">
        <v>50.6</v>
      </c>
      <c r="AB4" s="25">
        <v>6.9729999999999999</v>
      </c>
      <c r="AC4" s="15">
        <v>299</v>
      </c>
      <c r="AD4" s="30">
        <v>0.49700000000000005</v>
      </c>
      <c r="AE4" s="30">
        <v>6.94</v>
      </c>
      <c r="AF4" s="30">
        <v>34</v>
      </c>
      <c r="AG4" s="30">
        <v>0</v>
      </c>
      <c r="AH4" s="27">
        <v>0</v>
      </c>
      <c r="AI4" s="30">
        <v>0.1</v>
      </c>
      <c r="AJ4" s="30">
        <v>5.2656249999999995E-3</v>
      </c>
      <c r="AK4" s="30">
        <v>0</v>
      </c>
      <c r="AL4" s="30">
        <v>0</v>
      </c>
      <c r="AM4" s="30">
        <v>0</v>
      </c>
      <c r="AN4" s="30">
        <v>0</v>
      </c>
      <c r="AO4" s="43">
        <v>15</v>
      </c>
      <c r="AP4" s="32">
        <v>1700</v>
      </c>
      <c r="AQ4" s="29">
        <v>34</v>
      </c>
      <c r="AR4" s="29">
        <v>7.2</v>
      </c>
      <c r="AS4" s="29">
        <v>50</v>
      </c>
      <c r="AT4" s="30">
        <v>2.9999999999999997E-4</v>
      </c>
      <c r="AU4" s="15">
        <v>4.4999999999999997E-3</v>
      </c>
      <c r="AV4" s="30"/>
      <c r="AW4" s="40"/>
      <c r="AX4" s="15">
        <f t="shared" ref="AX4:AX59" si="4">AT4*J4*AZ4/1000</f>
        <v>6.2681999999999989E-3</v>
      </c>
      <c r="AY4" s="30">
        <f t="shared" ref="AY4:AY8" si="5">AX4*24</f>
        <v>0.15043679999999998</v>
      </c>
      <c r="AZ4" s="30">
        <f t="shared" si="0"/>
        <v>1685</v>
      </c>
      <c r="BA4" s="31">
        <f t="shared" ref="BA4:BA59" si="6">IF(ISBLANK(AK4),NA(),IFERROR(AK4/AZ4,0))</f>
        <v>0</v>
      </c>
      <c r="BB4" s="31">
        <f t="shared" ref="BB4:BB32" si="7">AK4/AP4</f>
        <v>0</v>
      </c>
      <c r="BC4" s="31">
        <f t="shared" ref="BC4:BC32" si="8">AJ4*24</f>
        <v>0.12637499999999999</v>
      </c>
      <c r="BD4" s="31">
        <f t="shared" ref="BD4:BD35" si="9">IF(B4="Python",AU4*AZ4/24/60,"")</f>
        <v>5.2656249999999995E-3</v>
      </c>
      <c r="BE4" s="61" t="str">
        <f t="shared" si="1"/>
        <v/>
      </c>
      <c r="BF4" s="58" t="str">
        <f t="shared" si="2"/>
        <v/>
      </c>
      <c r="BG4" s="31">
        <v>0</v>
      </c>
      <c r="BH4" s="31" t="str">
        <f t="shared" si="3"/>
        <v/>
      </c>
      <c r="BI4" s="46">
        <f t="shared" ref="BI4:BI59" si="10">IF(BD4&lt;&gt;"",BD4/0.000385,IF(BE4&lt;&gt;"",BE4/0.000385,BF4/0.000385))</f>
        <v>13.676948051948051</v>
      </c>
      <c r="BJ4" s="66">
        <f t="shared" ref="BJ4:BJ59" si="11">IF(BD4&lt;&gt;"",BD4,IF(BE4&lt;&gt;"",BE4,BF4))</f>
        <v>5.2656249999999995E-3</v>
      </c>
      <c r="BK4" s="48">
        <f t="shared" ref="BK4:BK59" si="12">IF(BG4&lt;&gt;"",BG4,BH4)</f>
        <v>0</v>
      </c>
    </row>
    <row r="5" spans="1:63" x14ac:dyDescent="0.3">
      <c r="A5" s="1" t="s">
        <v>55</v>
      </c>
      <c r="B5" s="27" t="s">
        <v>27</v>
      </c>
      <c r="C5" s="27">
        <v>12</v>
      </c>
      <c r="D5" s="27">
        <v>0</v>
      </c>
      <c r="E5" s="28">
        <v>45449.567604166703</v>
      </c>
      <c r="F5" s="27">
        <v>146.51</v>
      </c>
      <c r="G5" s="29"/>
      <c r="H5" s="29">
        <v>131.52670000000001</v>
      </c>
      <c r="I5" s="29">
        <v>13.5</v>
      </c>
      <c r="J5" s="29">
        <v>13.3</v>
      </c>
      <c r="K5" s="29">
        <v>99.1</v>
      </c>
      <c r="L5" s="29">
        <v>16.600000000000001</v>
      </c>
      <c r="M5" s="29">
        <v>323</v>
      </c>
      <c r="N5" s="29">
        <v>1</v>
      </c>
      <c r="O5" s="29">
        <v>0.57999999999999996</v>
      </c>
      <c r="P5" s="29">
        <v>5.79</v>
      </c>
      <c r="Q5" s="29">
        <v>0.37</v>
      </c>
      <c r="R5" s="29">
        <v>2.27</v>
      </c>
      <c r="S5" s="29">
        <v>1.03</v>
      </c>
      <c r="T5" s="29">
        <v>6.9530000000000003</v>
      </c>
      <c r="U5" s="29">
        <v>92</v>
      </c>
      <c r="V5" s="29">
        <v>61.7</v>
      </c>
      <c r="W5" s="29">
        <v>6.35</v>
      </c>
      <c r="X5" s="29">
        <v>100.9</v>
      </c>
      <c r="Y5" s="29">
        <v>19.5</v>
      </c>
      <c r="Z5" s="29">
        <v>80.7</v>
      </c>
      <c r="AA5" s="29">
        <v>50.2</v>
      </c>
      <c r="AB5" s="25">
        <v>6.9880000000000004</v>
      </c>
      <c r="AC5" s="15">
        <v>302</v>
      </c>
      <c r="AD5" s="30">
        <v>0.49299999999999999</v>
      </c>
      <c r="AE5" s="30">
        <v>6.98</v>
      </c>
      <c r="AF5" s="30">
        <v>34</v>
      </c>
      <c r="AG5" s="30">
        <v>0</v>
      </c>
      <c r="AH5" s="27">
        <v>0</v>
      </c>
      <c r="AI5" s="30">
        <v>0.1</v>
      </c>
      <c r="AJ5" s="30">
        <v>5.2656249999999995E-3</v>
      </c>
      <c r="AK5" s="30">
        <v>0</v>
      </c>
      <c r="AL5" s="30">
        <v>0</v>
      </c>
      <c r="AM5" s="30">
        <v>0</v>
      </c>
      <c r="AN5" s="30">
        <v>0</v>
      </c>
      <c r="AO5" s="43">
        <v>15</v>
      </c>
      <c r="AP5" s="32">
        <v>1700</v>
      </c>
      <c r="AQ5" s="29">
        <v>34</v>
      </c>
      <c r="AR5" s="29">
        <v>7.2</v>
      </c>
      <c r="AS5" s="29">
        <v>50</v>
      </c>
      <c r="AT5" s="30">
        <v>2.9999999999999997E-4</v>
      </c>
      <c r="AU5" s="15">
        <v>4.4999999999999997E-3</v>
      </c>
      <c r="AV5" s="30"/>
      <c r="AW5" s="40"/>
      <c r="AX5" s="15">
        <f t="shared" si="4"/>
        <v>6.7231499999999998E-3</v>
      </c>
      <c r="AY5" s="30">
        <f t="shared" si="5"/>
        <v>0.16135559999999999</v>
      </c>
      <c r="AZ5" s="30">
        <f t="shared" si="0"/>
        <v>1685</v>
      </c>
      <c r="BA5" s="31">
        <f t="shared" si="6"/>
        <v>0</v>
      </c>
      <c r="BB5" s="31">
        <f t="shared" si="7"/>
        <v>0</v>
      </c>
      <c r="BC5" s="31">
        <f t="shared" si="8"/>
        <v>0.12637499999999999</v>
      </c>
      <c r="BD5" s="31">
        <f t="shared" si="9"/>
        <v>5.2656249999999995E-3</v>
      </c>
      <c r="BE5" s="61" t="str">
        <f t="shared" si="1"/>
        <v/>
      </c>
      <c r="BF5" s="58" t="str">
        <f t="shared" si="2"/>
        <v/>
      </c>
      <c r="BG5" s="31">
        <v>0</v>
      </c>
      <c r="BH5" s="31" t="str">
        <f t="shared" si="3"/>
        <v/>
      </c>
      <c r="BI5" s="46">
        <f t="shared" si="10"/>
        <v>13.676948051948051</v>
      </c>
      <c r="BJ5" s="66">
        <f t="shared" si="11"/>
        <v>5.2656249999999995E-3</v>
      </c>
      <c r="BK5" s="48">
        <f t="shared" si="12"/>
        <v>0</v>
      </c>
    </row>
    <row r="6" spans="1:63" x14ac:dyDescent="0.3">
      <c r="A6" s="1" t="s">
        <v>56</v>
      </c>
      <c r="B6" s="27" t="s">
        <v>28</v>
      </c>
      <c r="C6" s="27">
        <v>15</v>
      </c>
      <c r="D6" s="27">
        <v>0</v>
      </c>
      <c r="E6" s="28">
        <v>45449.570925925902</v>
      </c>
      <c r="F6" s="27">
        <v>146.51</v>
      </c>
      <c r="G6" s="29"/>
      <c r="H6" s="29">
        <v>162.4066</v>
      </c>
      <c r="I6" s="29">
        <v>16.3</v>
      </c>
      <c r="J6" s="29">
        <v>16.100000000000001</v>
      </c>
      <c r="K6" s="29">
        <v>98.6</v>
      </c>
      <c r="L6" s="29">
        <v>16.5</v>
      </c>
      <c r="M6" s="29">
        <v>316</v>
      </c>
      <c r="N6" s="29">
        <v>1.1200000000000001</v>
      </c>
      <c r="O6" s="29">
        <v>0.57999999999999996</v>
      </c>
      <c r="P6" s="29">
        <v>5.23</v>
      </c>
      <c r="Q6" s="29">
        <v>0.37</v>
      </c>
      <c r="R6" s="29">
        <v>2.25</v>
      </c>
      <c r="S6" s="29">
        <v>1.1499999999999999</v>
      </c>
      <c r="T6" s="29">
        <v>6.9219999999999997</v>
      </c>
      <c r="U6" s="29">
        <v>98.8</v>
      </c>
      <c r="V6" s="29">
        <v>87.4</v>
      </c>
      <c r="W6" s="29">
        <v>6.25</v>
      </c>
      <c r="X6" s="29">
        <v>102.7</v>
      </c>
      <c r="Y6" s="29">
        <v>19.5</v>
      </c>
      <c r="Z6" s="29">
        <v>86.6</v>
      </c>
      <c r="AA6" s="29">
        <v>72.2</v>
      </c>
      <c r="AB6" s="25">
        <v>6.9569999999999999</v>
      </c>
      <c r="AC6" s="15">
        <v>299</v>
      </c>
      <c r="AD6" s="30">
        <v>0.42899999999999999</v>
      </c>
      <c r="AE6" s="30">
        <v>6.97</v>
      </c>
      <c r="AF6" s="30">
        <v>34</v>
      </c>
      <c r="AG6" s="30">
        <v>0</v>
      </c>
      <c r="AH6" s="30">
        <v>0</v>
      </c>
      <c r="AI6" s="30">
        <v>0.1</v>
      </c>
      <c r="AJ6" s="30">
        <v>8.1385499999999996E-3</v>
      </c>
      <c r="AK6" s="30">
        <v>0</v>
      </c>
      <c r="AL6" s="30">
        <v>0</v>
      </c>
      <c r="AM6" s="30">
        <v>0</v>
      </c>
      <c r="AN6" s="30">
        <v>0</v>
      </c>
      <c r="AO6" s="43">
        <v>15</v>
      </c>
      <c r="AP6" s="32">
        <v>1700</v>
      </c>
      <c r="AQ6" s="29">
        <v>34</v>
      </c>
      <c r="AR6" s="29">
        <v>7.2</v>
      </c>
      <c r="AS6" s="29">
        <v>50</v>
      </c>
      <c r="AT6" s="30">
        <v>2.9999999999999997E-4</v>
      </c>
      <c r="AU6" s="15"/>
      <c r="AV6" s="30"/>
      <c r="AW6" s="40"/>
      <c r="AX6" s="15">
        <f t="shared" si="4"/>
        <v>8.1385499999999996E-3</v>
      </c>
      <c r="AY6" s="30">
        <f t="shared" si="5"/>
        <v>0.19532519999999998</v>
      </c>
      <c r="AZ6" s="30">
        <f t="shared" si="0"/>
        <v>1685</v>
      </c>
      <c r="BA6" s="31">
        <f t="shared" si="6"/>
        <v>0</v>
      </c>
      <c r="BB6" s="31">
        <f t="shared" si="7"/>
        <v>0</v>
      </c>
      <c r="BC6" s="31">
        <f t="shared" si="8"/>
        <v>0.19532519999999998</v>
      </c>
      <c r="BD6" s="31" t="str">
        <f t="shared" si="9"/>
        <v/>
      </c>
      <c r="BE6" s="61" t="str">
        <f t="shared" si="1"/>
        <v/>
      </c>
      <c r="BF6" s="58">
        <f t="shared" si="2"/>
        <v>8.1385499999999996E-3</v>
      </c>
      <c r="BG6" s="31">
        <v>0</v>
      </c>
      <c r="BH6" s="31" t="str">
        <f t="shared" si="3"/>
        <v/>
      </c>
      <c r="BI6" s="46">
        <f t="shared" si="10"/>
        <v>21.13909090909091</v>
      </c>
      <c r="BJ6" s="66">
        <f t="shared" si="11"/>
        <v>8.1385499999999996E-3</v>
      </c>
      <c r="BK6" s="48">
        <f t="shared" si="12"/>
        <v>0</v>
      </c>
    </row>
    <row r="7" spans="1:63" x14ac:dyDescent="0.3">
      <c r="A7" s="1" t="s">
        <v>57</v>
      </c>
      <c r="B7" s="27" t="s">
        <v>26</v>
      </c>
      <c r="C7" s="27">
        <v>12</v>
      </c>
      <c r="D7" s="27">
        <v>0</v>
      </c>
      <c r="E7" s="28">
        <v>45449.573888888903</v>
      </c>
      <c r="F7" s="27">
        <v>146.51</v>
      </c>
      <c r="G7" s="29"/>
      <c r="H7" s="29">
        <v>115.47369999999999</v>
      </c>
      <c r="I7" s="29">
        <v>12.2</v>
      </c>
      <c r="J7" s="29">
        <v>12.1</v>
      </c>
      <c r="K7" s="29">
        <v>99</v>
      </c>
      <c r="L7" s="29">
        <v>16.600000000000001</v>
      </c>
      <c r="M7" s="29">
        <v>327</v>
      </c>
      <c r="N7" s="29">
        <v>1.02</v>
      </c>
      <c r="O7" s="29">
        <v>0.59</v>
      </c>
      <c r="P7" s="29">
        <v>6.1</v>
      </c>
      <c r="Q7" s="29">
        <v>0.34</v>
      </c>
      <c r="R7" s="29">
        <v>2.2400000000000002</v>
      </c>
      <c r="S7" s="29">
        <v>1.22</v>
      </c>
      <c r="T7" s="29">
        <v>6.8869999999999996</v>
      </c>
      <c r="U7" s="29">
        <v>90.7</v>
      </c>
      <c r="V7" s="29">
        <v>54.7</v>
      </c>
      <c r="W7" s="29">
        <v>6.36</v>
      </c>
      <c r="X7" s="29">
        <v>100.5</v>
      </c>
      <c r="Y7" s="29">
        <v>16.5</v>
      </c>
      <c r="Z7" s="29">
        <v>79.5</v>
      </c>
      <c r="AA7" s="29">
        <v>44.4</v>
      </c>
      <c r="AB7" s="25">
        <v>6.9210000000000003</v>
      </c>
      <c r="AC7" s="15">
        <v>300</v>
      </c>
      <c r="AD7" s="30">
        <v>0.496</v>
      </c>
      <c r="AE7" s="30">
        <v>6.94</v>
      </c>
      <c r="AF7" s="30">
        <v>34</v>
      </c>
      <c r="AG7" s="30">
        <v>0</v>
      </c>
      <c r="AH7" s="30">
        <v>0</v>
      </c>
      <c r="AI7" s="30">
        <v>0.1</v>
      </c>
      <c r="AJ7" s="30">
        <v>6.116549999999988E-3</v>
      </c>
      <c r="AK7" s="30">
        <v>0</v>
      </c>
      <c r="AL7" s="30">
        <v>0</v>
      </c>
      <c r="AM7" s="30">
        <v>0</v>
      </c>
      <c r="AN7" s="30">
        <v>0</v>
      </c>
      <c r="AO7" s="43">
        <v>15</v>
      </c>
      <c r="AP7" s="32">
        <v>1700</v>
      </c>
      <c r="AQ7" s="29">
        <v>34</v>
      </c>
      <c r="AR7" s="29">
        <v>7.2</v>
      </c>
      <c r="AS7" s="29">
        <v>50</v>
      </c>
      <c r="AT7" s="30">
        <v>2.9999999999999997E-4</v>
      </c>
      <c r="AU7" s="15"/>
      <c r="AV7">
        <v>5.22719999999999E-3</v>
      </c>
      <c r="AW7" s="40">
        <v>0</v>
      </c>
      <c r="AX7" s="15">
        <f t="shared" si="4"/>
        <v>6.1165499999999992E-3</v>
      </c>
      <c r="AY7" s="30">
        <f t="shared" si="5"/>
        <v>0.14679719999999999</v>
      </c>
      <c r="AZ7" s="30">
        <f t="shared" si="0"/>
        <v>1685</v>
      </c>
      <c r="BA7" s="31">
        <f t="shared" si="6"/>
        <v>0</v>
      </c>
      <c r="BB7" s="31">
        <f t="shared" si="7"/>
        <v>0</v>
      </c>
      <c r="BC7" s="31">
        <f t="shared" si="8"/>
        <v>0.14679719999999971</v>
      </c>
      <c r="BD7" s="31" t="str">
        <f t="shared" si="9"/>
        <v/>
      </c>
      <c r="BE7" s="60">
        <f t="shared" si="1"/>
        <v>6.116549999999988E-3</v>
      </c>
      <c r="BF7" s="60" t="str">
        <f t="shared" si="2"/>
        <v/>
      </c>
      <c r="BG7" s="31" t="str">
        <f>IF(IF(B7&lt;&gt;"Julia",((5-P7)*AZ7)/400, "")&lt;0,0,IF(B7&lt;&gt;"Julia",((5-P7)*AZ7)/400, ""))</f>
        <v/>
      </c>
      <c r="BH7" s="31">
        <f t="shared" si="3"/>
        <v>0</v>
      </c>
      <c r="BI7" s="46">
        <f t="shared" si="10"/>
        <v>15.887142857142827</v>
      </c>
      <c r="BJ7" s="66">
        <f t="shared" si="11"/>
        <v>6.116549999999988E-3</v>
      </c>
      <c r="BK7" s="48">
        <f t="shared" si="12"/>
        <v>0</v>
      </c>
    </row>
    <row r="8" spans="1:63" ht="15" thickBot="1" x14ac:dyDescent="0.35">
      <c r="A8" s="6" t="s">
        <v>58</v>
      </c>
      <c r="B8" s="7" t="s">
        <v>26</v>
      </c>
      <c r="C8" s="7">
        <v>12</v>
      </c>
      <c r="D8" s="7">
        <v>0</v>
      </c>
      <c r="E8" s="8">
        <v>45449.576921296299</v>
      </c>
      <c r="F8" s="7">
        <v>146.51</v>
      </c>
      <c r="G8" s="11"/>
      <c r="H8" s="11">
        <v>122.6279</v>
      </c>
      <c r="I8" s="11">
        <v>13</v>
      </c>
      <c r="J8" s="11">
        <v>12.9</v>
      </c>
      <c r="K8" s="11">
        <v>99</v>
      </c>
      <c r="L8" s="11">
        <v>16.5</v>
      </c>
      <c r="M8" s="11">
        <v>321</v>
      </c>
      <c r="N8" s="11">
        <v>1.02</v>
      </c>
      <c r="O8" s="11">
        <v>0.56999999999999995</v>
      </c>
      <c r="P8" s="11">
        <v>5.72</v>
      </c>
      <c r="Q8" s="11">
        <v>0.38</v>
      </c>
      <c r="R8" s="11">
        <v>2.19</v>
      </c>
      <c r="S8" s="11">
        <v>1.01</v>
      </c>
      <c r="T8" s="11">
        <v>6.931</v>
      </c>
      <c r="U8" s="11">
        <v>94.2</v>
      </c>
      <c r="V8" s="11">
        <v>64.400000000000006</v>
      </c>
      <c r="W8" s="11">
        <v>6.24</v>
      </c>
      <c r="X8" s="11">
        <v>101.1</v>
      </c>
      <c r="Y8" s="11">
        <v>19</v>
      </c>
      <c r="Z8" s="11">
        <v>82.6</v>
      </c>
      <c r="AA8" s="11">
        <v>52.4</v>
      </c>
      <c r="AB8" s="26">
        <v>6.9660000000000002</v>
      </c>
      <c r="AC8" s="16">
        <v>300</v>
      </c>
      <c r="AD8" s="17">
        <v>0.499</v>
      </c>
      <c r="AE8" s="17">
        <v>6.97</v>
      </c>
      <c r="AF8" s="17">
        <v>34</v>
      </c>
      <c r="AG8" s="17">
        <v>0</v>
      </c>
      <c r="AH8" s="17">
        <v>0</v>
      </c>
      <c r="AI8" s="17">
        <v>0.1</v>
      </c>
      <c r="AJ8" s="17">
        <v>6.520949999999988E-3</v>
      </c>
      <c r="AK8" s="17">
        <v>0</v>
      </c>
      <c r="AL8" s="17">
        <v>0</v>
      </c>
      <c r="AM8" s="17">
        <v>0</v>
      </c>
      <c r="AN8" s="17">
        <v>0</v>
      </c>
      <c r="AO8" s="44">
        <v>15</v>
      </c>
      <c r="AP8" s="20">
        <v>1700</v>
      </c>
      <c r="AQ8" s="11">
        <v>34</v>
      </c>
      <c r="AR8" s="11">
        <v>7.2</v>
      </c>
      <c r="AS8" s="11">
        <v>50</v>
      </c>
      <c r="AT8" s="17">
        <v>2.9999999999999997E-4</v>
      </c>
      <c r="AU8" s="16"/>
      <c r="AV8">
        <v>5.5727999999999897E-3</v>
      </c>
      <c r="AW8" s="41">
        <v>0</v>
      </c>
      <c r="AX8" s="16">
        <f t="shared" si="4"/>
        <v>6.5209499999999993E-3</v>
      </c>
      <c r="AY8" s="17">
        <f t="shared" si="5"/>
        <v>0.1565028</v>
      </c>
      <c r="AZ8" s="17">
        <f t="shared" si="0"/>
        <v>1685</v>
      </c>
      <c r="BA8" s="18">
        <f t="shared" si="6"/>
        <v>0</v>
      </c>
      <c r="BB8" s="18">
        <f t="shared" si="7"/>
        <v>0</v>
      </c>
      <c r="BC8" s="18">
        <f t="shared" si="8"/>
        <v>0.15650279999999972</v>
      </c>
      <c r="BD8" s="18" t="str">
        <f t="shared" si="9"/>
        <v/>
      </c>
      <c r="BE8" s="60">
        <f t="shared" si="1"/>
        <v>6.520949999999988E-3</v>
      </c>
      <c r="BF8" s="59" t="str">
        <f t="shared" si="2"/>
        <v/>
      </c>
      <c r="BG8" s="18" t="str">
        <f>IF(IF(B8&lt;&gt;"Julia",((5-P8)*AZ8)/400, "")&lt;0,0,IF(B8&lt;&gt;"Julia",((5-P8)*AZ8)/400, ""))</f>
        <v/>
      </c>
      <c r="BH8" s="18">
        <f t="shared" si="3"/>
        <v>0</v>
      </c>
      <c r="BI8" s="47">
        <f t="shared" si="10"/>
        <v>16.937532467532439</v>
      </c>
      <c r="BJ8" s="67">
        <f t="shared" si="11"/>
        <v>6.520949999999988E-3</v>
      </c>
      <c r="BK8" s="49">
        <f t="shared" si="12"/>
        <v>0</v>
      </c>
    </row>
    <row r="9" spans="1:63" x14ac:dyDescent="0.3">
      <c r="A9" s="3" t="s">
        <v>53</v>
      </c>
      <c r="B9" s="4" t="s">
        <v>28</v>
      </c>
      <c r="C9" s="4">
        <v>12</v>
      </c>
      <c r="D9" s="36">
        <v>1</v>
      </c>
      <c r="E9" s="5">
        <v>45450.408518518503</v>
      </c>
      <c r="F9" s="4">
        <v>509.83</v>
      </c>
      <c r="G9" s="9"/>
      <c r="H9" s="9">
        <v>465.95</v>
      </c>
      <c r="I9" s="9">
        <v>19.399999999999999</v>
      </c>
      <c r="J9" s="9">
        <v>19.2</v>
      </c>
      <c r="K9" s="9">
        <v>99</v>
      </c>
      <c r="L9" s="9">
        <v>16.8</v>
      </c>
      <c r="M9" s="9">
        <v>323</v>
      </c>
      <c r="N9" s="9">
        <v>1.6</v>
      </c>
      <c r="O9" s="9">
        <v>0.5</v>
      </c>
      <c r="P9" s="9">
        <v>0.91</v>
      </c>
      <c r="Q9" s="9">
        <v>0.32</v>
      </c>
      <c r="R9" s="9">
        <v>2.4</v>
      </c>
      <c r="S9" s="9">
        <v>2.88</v>
      </c>
      <c r="T9" s="9">
        <v>7.0629999999999997</v>
      </c>
      <c r="U9" s="9">
        <v>103.9</v>
      </c>
      <c r="V9" s="9">
        <v>65.099999999999994</v>
      </c>
      <c r="W9" s="9">
        <v>4.6399999999999997</v>
      </c>
      <c r="X9" s="9">
        <v>129.4</v>
      </c>
      <c r="Y9" s="9">
        <v>28.6</v>
      </c>
      <c r="Z9" s="9">
        <v>91.1</v>
      </c>
      <c r="AA9" s="9">
        <v>53</v>
      </c>
      <c r="AB9" s="24">
        <v>7.1</v>
      </c>
      <c r="AC9" s="12">
        <v>299</v>
      </c>
      <c r="AD9" s="13">
        <v>0.50800000000000001</v>
      </c>
      <c r="AE9" s="13">
        <v>7.1</v>
      </c>
      <c r="AF9" s="13">
        <v>34</v>
      </c>
      <c r="AG9" s="13">
        <v>16.54</v>
      </c>
      <c r="AH9" s="13">
        <v>0</v>
      </c>
      <c r="AI9" s="13">
        <v>1</v>
      </c>
      <c r="AJ9" s="13">
        <v>9.7663103999999987E-3</v>
      </c>
      <c r="AK9" s="13">
        <v>8</v>
      </c>
      <c r="AL9" s="13">
        <v>0</v>
      </c>
      <c r="AM9" s="13">
        <f t="shared" ref="AM9:AM20" si="13">AK9-AK3</f>
        <v>8</v>
      </c>
      <c r="AN9" s="13">
        <f t="shared" ref="AN9:AN20" si="14">AL9-AL3</f>
        <v>0</v>
      </c>
      <c r="AO9" s="42">
        <v>15</v>
      </c>
      <c r="AP9" s="19">
        <v>1700</v>
      </c>
      <c r="AQ9" s="9">
        <v>34</v>
      </c>
      <c r="AR9" s="9">
        <v>7.2</v>
      </c>
      <c r="AS9" s="9">
        <v>50</v>
      </c>
      <c r="AT9" s="13">
        <v>2.9999999999999997E-4</v>
      </c>
      <c r="AU9" s="12"/>
      <c r="AV9" s="13"/>
      <c r="AW9" s="39"/>
      <c r="AX9" s="12">
        <f t="shared" si="4"/>
        <v>9.8469503999999985E-3</v>
      </c>
      <c r="AY9" s="13">
        <f t="shared" ref="AY9:AY23" si="15">AX3*24</f>
        <v>0.16378199999999998</v>
      </c>
      <c r="AZ9" s="13">
        <f t="shared" ref="AZ9:AZ40" si="16">AP9+SUM(AG9:AI9,AK9:AL9)-((AO9+1)*D9)</f>
        <v>1709.54</v>
      </c>
      <c r="BA9" s="14">
        <f>IF(ISBLANK(AK9),NA(),IFERROR(AK9/AZ9,0))</f>
        <v>4.6796214186272328E-3</v>
      </c>
      <c r="BB9" s="14">
        <f t="shared" si="7"/>
        <v>4.7058823529411761E-3</v>
      </c>
      <c r="BC9" s="14">
        <f t="shared" si="8"/>
        <v>0.23439144959999997</v>
      </c>
      <c r="BD9" s="14" t="str">
        <f t="shared" si="9"/>
        <v/>
      </c>
      <c r="BE9" s="14" t="str">
        <f t="shared" si="1"/>
        <v/>
      </c>
      <c r="BF9" s="57">
        <f t="shared" si="2"/>
        <v>9.8469503999999985E-3</v>
      </c>
      <c r="BG9" s="14">
        <f>IF(P9&lt;10, IF(B9&lt;&gt;"Julia",((5-P9)*AZ9)/400, ""),0)</f>
        <v>17.4800465</v>
      </c>
      <c r="BH9" s="14" t="str">
        <f t="shared" si="3"/>
        <v/>
      </c>
      <c r="BI9" s="46">
        <f t="shared" si="10"/>
        <v>25.576494545454544</v>
      </c>
      <c r="BJ9" s="66">
        <f t="shared" si="11"/>
        <v>9.8469503999999985E-3</v>
      </c>
      <c r="BK9" s="48">
        <f t="shared" si="12"/>
        <v>17.4800465</v>
      </c>
    </row>
    <row r="10" spans="1:63" x14ac:dyDescent="0.3">
      <c r="A10" s="1" t="s">
        <v>54</v>
      </c>
      <c r="B10" s="27" t="s">
        <v>27</v>
      </c>
      <c r="C10" s="27">
        <v>12</v>
      </c>
      <c r="D10" s="35">
        <v>1</v>
      </c>
      <c r="E10" s="28">
        <v>45450.411412037</v>
      </c>
      <c r="F10" s="27">
        <v>509.83</v>
      </c>
      <c r="G10" s="29"/>
      <c r="H10" s="29">
        <v>446.74</v>
      </c>
      <c r="I10" s="29">
        <v>16.100000000000001</v>
      </c>
      <c r="J10" s="29">
        <v>15.9</v>
      </c>
      <c r="K10" s="27">
        <v>98.8</v>
      </c>
      <c r="L10" s="27">
        <v>16.899999999999999</v>
      </c>
      <c r="M10" s="27">
        <v>337</v>
      </c>
      <c r="N10" s="27">
        <v>1.8</v>
      </c>
      <c r="O10" s="27">
        <v>0.49</v>
      </c>
      <c r="P10" s="27">
        <v>0.85</v>
      </c>
      <c r="Q10" s="27">
        <v>0.36</v>
      </c>
      <c r="R10" s="27">
        <v>2.2999999999999998</v>
      </c>
      <c r="S10" s="27">
        <v>2.93</v>
      </c>
      <c r="T10" s="27">
        <v>7.0960000000000001</v>
      </c>
      <c r="U10" s="27">
        <v>116.1</v>
      </c>
      <c r="V10" s="27">
        <v>53</v>
      </c>
      <c r="W10" s="27">
        <v>4.71</v>
      </c>
      <c r="X10" s="27">
        <v>134</v>
      </c>
      <c r="Y10" s="27">
        <v>34.6</v>
      </c>
      <c r="Z10" s="27">
        <v>101.8</v>
      </c>
      <c r="AA10" s="27">
        <v>43</v>
      </c>
      <c r="AB10" s="25">
        <v>7.1349999999999998</v>
      </c>
      <c r="AC10" s="15">
        <v>300</v>
      </c>
      <c r="AD10" s="30">
        <v>0.499</v>
      </c>
      <c r="AE10" s="30">
        <v>7.1</v>
      </c>
      <c r="AF10" s="30">
        <v>34</v>
      </c>
      <c r="AG10" s="30">
        <v>19.440000000000001</v>
      </c>
      <c r="AH10" s="30">
        <v>0</v>
      </c>
      <c r="AI10" s="30">
        <v>1</v>
      </c>
      <c r="AJ10" s="30">
        <v>9.0267334057285136E-3</v>
      </c>
      <c r="AK10" s="30">
        <v>6</v>
      </c>
      <c r="AL10" s="30">
        <v>0</v>
      </c>
      <c r="AM10" s="71">
        <f t="shared" si="13"/>
        <v>6</v>
      </c>
      <c r="AN10" s="30">
        <f t="shared" si="14"/>
        <v>0</v>
      </c>
      <c r="AO10" s="43">
        <v>15</v>
      </c>
      <c r="AP10" s="32">
        <v>1700</v>
      </c>
      <c r="AQ10" s="29">
        <v>34</v>
      </c>
      <c r="AR10" s="29">
        <v>7.2</v>
      </c>
      <c r="AS10" s="29">
        <v>50</v>
      </c>
      <c r="AT10" s="30">
        <v>2.9999999999999997E-4</v>
      </c>
      <c r="AU10" s="15">
        <v>7.6622197686031096E-3</v>
      </c>
      <c r="AV10" s="30"/>
      <c r="AW10" s="40"/>
      <c r="AX10" s="15">
        <f t="shared" si="4"/>
        <v>8.1587988000000004E-3</v>
      </c>
      <c r="AY10" s="30">
        <f t="shared" si="15"/>
        <v>0.15043679999999998</v>
      </c>
      <c r="AZ10" s="30">
        <f t="shared" si="16"/>
        <v>1710.44</v>
      </c>
      <c r="BA10" s="31">
        <f t="shared" si="6"/>
        <v>3.5078693201749255E-3</v>
      </c>
      <c r="BB10" s="31">
        <f t="shared" si="7"/>
        <v>3.5294117647058825E-3</v>
      </c>
      <c r="BC10" s="31">
        <f t="shared" si="8"/>
        <v>0.21664160173748431</v>
      </c>
      <c r="BD10" s="31">
        <f t="shared" si="9"/>
        <v>9.1012272090343783E-3</v>
      </c>
      <c r="BE10" s="61" t="str">
        <f t="shared" si="1"/>
        <v/>
      </c>
      <c r="BF10" s="58" t="str">
        <f t="shared" si="2"/>
        <v/>
      </c>
      <c r="BG10" s="31">
        <f>IF(P10&lt;10, IF(B10&lt;&gt;"Julia",((5-P10)*AZ10)/400, ""),0)</f>
        <v>17.745815000000004</v>
      </c>
      <c r="BH10" s="31" t="str">
        <f t="shared" si="3"/>
        <v/>
      </c>
      <c r="BI10" s="46">
        <f t="shared" si="10"/>
        <v>23.639551192297088</v>
      </c>
      <c r="BJ10" s="66">
        <f t="shared" si="11"/>
        <v>9.1012272090343783E-3</v>
      </c>
      <c r="BK10" s="48">
        <f t="shared" si="12"/>
        <v>17.745815000000004</v>
      </c>
    </row>
    <row r="11" spans="1:63" x14ac:dyDescent="0.3">
      <c r="A11" s="1" t="s">
        <v>55</v>
      </c>
      <c r="B11" s="27" t="s">
        <v>27</v>
      </c>
      <c r="C11" s="27">
        <v>12</v>
      </c>
      <c r="D11" s="35">
        <v>1</v>
      </c>
      <c r="E11" s="28">
        <v>45450.415150462999</v>
      </c>
      <c r="F11" s="27">
        <v>509.83</v>
      </c>
      <c r="G11" s="29"/>
      <c r="H11" s="29">
        <v>467.44</v>
      </c>
      <c r="I11" s="29">
        <v>16.100000000000001</v>
      </c>
      <c r="J11" s="29">
        <v>15.9</v>
      </c>
      <c r="K11" s="27">
        <v>98.4</v>
      </c>
      <c r="L11" s="27">
        <v>16.8</v>
      </c>
      <c r="M11" s="27">
        <v>325</v>
      </c>
      <c r="N11" s="27">
        <v>1.55</v>
      </c>
      <c r="O11" s="27">
        <v>0.51</v>
      </c>
      <c r="P11" s="51">
        <v>0.92</v>
      </c>
      <c r="Q11" s="27">
        <v>0.34</v>
      </c>
      <c r="R11" s="27">
        <v>2.38</v>
      </c>
      <c r="S11" s="27">
        <v>2.83</v>
      </c>
      <c r="T11" s="27">
        <v>7.0750000000000002</v>
      </c>
      <c r="U11" s="27">
        <v>86.9</v>
      </c>
      <c r="V11" s="27">
        <v>52.5</v>
      </c>
      <c r="W11" s="27">
        <v>4.74</v>
      </c>
      <c r="X11" s="27">
        <v>125.8</v>
      </c>
      <c r="Y11" s="27">
        <v>24.6</v>
      </c>
      <c r="Z11" s="27">
        <v>76.2</v>
      </c>
      <c r="AA11" s="27">
        <v>42.5</v>
      </c>
      <c r="AB11" s="25">
        <v>7.1130000000000004</v>
      </c>
      <c r="AC11" s="15">
        <v>299</v>
      </c>
      <c r="AD11" s="30">
        <v>0.495</v>
      </c>
      <c r="AE11" s="30">
        <v>7.1</v>
      </c>
      <c r="AF11" s="30">
        <v>34</v>
      </c>
      <c r="AG11" s="30">
        <v>14.23</v>
      </c>
      <c r="AH11" s="30">
        <v>0</v>
      </c>
      <c r="AI11" s="30">
        <v>1</v>
      </c>
      <c r="AJ11" s="30">
        <v>8.7115764713592454E-3</v>
      </c>
      <c r="AK11" s="30">
        <v>6</v>
      </c>
      <c r="AL11" s="30">
        <v>0</v>
      </c>
      <c r="AM11" s="71">
        <f t="shared" si="13"/>
        <v>6</v>
      </c>
      <c r="AN11" s="30">
        <f t="shared" si="14"/>
        <v>0</v>
      </c>
      <c r="AO11" s="43">
        <v>15</v>
      </c>
      <c r="AP11" s="32">
        <v>1700</v>
      </c>
      <c r="AQ11" s="29">
        <v>34</v>
      </c>
      <c r="AR11" s="29">
        <v>7.2</v>
      </c>
      <c r="AS11" s="29">
        <v>50</v>
      </c>
      <c r="AT11" s="30">
        <v>2.9999999999999997E-4</v>
      </c>
      <c r="AU11" s="15">
        <v>7.41748320379683E-3</v>
      </c>
      <c r="AV11" s="30"/>
      <c r="AW11" s="40"/>
      <c r="AX11" s="15">
        <f t="shared" si="4"/>
        <v>8.1339471000000003E-3</v>
      </c>
      <c r="AY11" s="30">
        <f t="shared" si="15"/>
        <v>0.16135559999999999</v>
      </c>
      <c r="AZ11" s="30">
        <f t="shared" si="16"/>
        <v>1705.23</v>
      </c>
      <c r="BA11" s="31">
        <f t="shared" si="6"/>
        <v>3.5185869354867087E-3</v>
      </c>
      <c r="BB11" s="31">
        <f t="shared" si="7"/>
        <v>3.5294117647058825E-3</v>
      </c>
      <c r="BC11" s="31">
        <f t="shared" si="8"/>
        <v>0.20907783531262189</v>
      </c>
      <c r="BD11" s="31">
        <f t="shared" si="9"/>
        <v>8.7836908913961585E-3</v>
      </c>
      <c r="BE11" s="61" t="str">
        <f t="shared" si="1"/>
        <v/>
      </c>
      <c r="BF11" s="58" t="str">
        <f t="shared" si="2"/>
        <v/>
      </c>
      <c r="BG11" s="31">
        <f>IF(P11&lt;10, IF(B11&lt;&gt;"Julia",((5-P11)*AZ11)/400, ""),0)</f>
        <v>17.393346000000001</v>
      </c>
      <c r="BH11" s="31" t="str">
        <f t="shared" si="3"/>
        <v/>
      </c>
      <c r="BI11" s="46">
        <f t="shared" si="10"/>
        <v>22.814781536093918</v>
      </c>
      <c r="BJ11" s="66">
        <f t="shared" si="11"/>
        <v>8.7836908913961585E-3</v>
      </c>
      <c r="BK11" s="48">
        <f t="shared" si="12"/>
        <v>17.393346000000001</v>
      </c>
    </row>
    <row r="12" spans="1:63" x14ac:dyDescent="0.3">
      <c r="A12" s="1" t="s">
        <v>56</v>
      </c>
      <c r="B12" s="27" t="s">
        <v>28</v>
      </c>
      <c r="C12" s="27">
        <v>15</v>
      </c>
      <c r="D12" s="35">
        <v>1</v>
      </c>
      <c r="E12" s="28">
        <v>45450.439641203702</v>
      </c>
      <c r="F12" s="27">
        <v>509.83</v>
      </c>
      <c r="G12" s="29"/>
      <c r="H12" s="29">
        <v>546.27</v>
      </c>
      <c r="I12" s="29">
        <v>25.1</v>
      </c>
      <c r="J12" s="29">
        <v>24.6</v>
      </c>
      <c r="K12" s="27">
        <v>98.3</v>
      </c>
      <c r="L12" s="27">
        <v>15.1</v>
      </c>
      <c r="M12" s="27">
        <v>316</v>
      </c>
      <c r="N12" s="27">
        <v>0.42</v>
      </c>
      <c r="O12" s="27">
        <v>0.48</v>
      </c>
      <c r="P12" s="51">
        <v>0</v>
      </c>
      <c r="Q12" s="27">
        <v>0.02</v>
      </c>
      <c r="R12" s="27">
        <v>1.87</v>
      </c>
      <c r="S12" s="27">
        <v>2.46</v>
      </c>
      <c r="T12" s="27">
        <v>7.1150000000000002</v>
      </c>
      <c r="U12" s="27">
        <v>117.2</v>
      </c>
      <c r="V12" s="27">
        <v>0</v>
      </c>
      <c r="W12" s="27">
        <v>4.46</v>
      </c>
      <c r="X12" s="27">
        <v>130.6</v>
      </c>
      <c r="Y12" s="27">
        <v>36.4</v>
      </c>
      <c r="Z12" s="27">
        <v>102.8</v>
      </c>
      <c r="AA12" s="27">
        <v>0</v>
      </c>
      <c r="AB12" s="25">
        <v>7.1529999999999996</v>
      </c>
      <c r="AC12" s="15">
        <v>300</v>
      </c>
      <c r="AD12" s="30">
        <v>6.3E-2</v>
      </c>
      <c r="AE12" s="30">
        <v>7.12</v>
      </c>
      <c r="AF12" s="30">
        <v>34</v>
      </c>
      <c r="AG12" s="30">
        <v>14.91</v>
      </c>
      <c r="AH12" s="30">
        <v>0</v>
      </c>
      <c r="AI12" s="30">
        <v>1</v>
      </c>
      <c r="AJ12" s="30">
        <v>1.25158158E-2</v>
      </c>
      <c r="AK12" s="30">
        <v>10</v>
      </c>
      <c r="AL12" s="30">
        <v>0</v>
      </c>
      <c r="AM12" s="71">
        <f t="shared" si="13"/>
        <v>10</v>
      </c>
      <c r="AN12" s="30">
        <f t="shared" si="14"/>
        <v>0</v>
      </c>
      <c r="AO12" s="43">
        <v>15</v>
      </c>
      <c r="AP12" s="32">
        <v>1700</v>
      </c>
      <c r="AQ12" s="29">
        <v>34</v>
      </c>
      <c r="AR12" s="29">
        <v>7.2</v>
      </c>
      <c r="AS12" s="29">
        <v>50</v>
      </c>
      <c r="AT12" s="30">
        <v>2.9999999999999997E-4</v>
      </c>
      <c r="AU12" s="15"/>
      <c r="AV12" s="30"/>
      <c r="AW12" s="40"/>
      <c r="AX12" s="15">
        <f t="shared" si="4"/>
        <v>1.26191358E-2</v>
      </c>
      <c r="AY12" s="30">
        <f t="shared" si="15"/>
        <v>0.19532519999999998</v>
      </c>
      <c r="AZ12" s="30">
        <f t="shared" si="16"/>
        <v>1709.91</v>
      </c>
      <c r="BA12" s="31">
        <f t="shared" si="6"/>
        <v>5.8482610195858256E-3</v>
      </c>
      <c r="BB12" s="31">
        <f t="shared" si="7"/>
        <v>5.8823529411764705E-3</v>
      </c>
      <c r="BC12" s="31">
        <f t="shared" si="8"/>
        <v>0.30037957920000002</v>
      </c>
      <c r="BD12" s="31" t="str">
        <f t="shared" si="9"/>
        <v/>
      </c>
      <c r="BE12" s="61" t="str">
        <f t="shared" si="1"/>
        <v/>
      </c>
      <c r="BF12" s="58">
        <f t="shared" si="2"/>
        <v>1.26191358E-2</v>
      </c>
      <c r="BG12" s="31">
        <f>IF(P12&lt;10, IF(B12&lt;&gt;"Julia",((5-P12)*AZ12)/400, ""),0)</f>
        <v>21.373875000000002</v>
      </c>
      <c r="BH12" s="31" t="str">
        <f t="shared" si="3"/>
        <v/>
      </c>
      <c r="BI12" s="46">
        <f t="shared" si="10"/>
        <v>32.776976103896104</v>
      </c>
      <c r="BJ12" s="66">
        <f t="shared" si="11"/>
        <v>1.26191358E-2</v>
      </c>
      <c r="BK12" s="48">
        <f t="shared" si="12"/>
        <v>21.373875000000002</v>
      </c>
    </row>
    <row r="13" spans="1:63" x14ac:dyDescent="0.3">
      <c r="A13" s="1" t="s">
        <v>57</v>
      </c>
      <c r="B13" s="27" t="s">
        <v>26</v>
      </c>
      <c r="C13" s="27">
        <v>12</v>
      </c>
      <c r="D13" s="35">
        <v>1</v>
      </c>
      <c r="E13" s="28">
        <v>45450.444930555597</v>
      </c>
      <c r="F13" s="27">
        <v>509.83</v>
      </c>
      <c r="G13" s="29"/>
      <c r="H13" s="29">
        <v>428.11</v>
      </c>
      <c r="I13" s="29">
        <v>15.4</v>
      </c>
      <c r="J13" s="29">
        <v>15.2</v>
      </c>
      <c r="K13" s="29">
        <v>98.7</v>
      </c>
      <c r="L13" s="29">
        <v>17.2</v>
      </c>
      <c r="M13" s="29">
        <v>341</v>
      </c>
      <c r="N13" s="29">
        <v>1.92</v>
      </c>
      <c r="O13" s="29">
        <v>0.5</v>
      </c>
      <c r="P13" s="29">
        <v>1.72</v>
      </c>
      <c r="Q13" s="29">
        <v>0.4</v>
      </c>
      <c r="R13" s="29">
        <v>2.5</v>
      </c>
      <c r="S13" s="29">
        <v>3</v>
      </c>
      <c r="T13" s="29">
        <v>7.0839999999999996</v>
      </c>
      <c r="U13" s="29">
        <v>105.5</v>
      </c>
      <c r="V13" s="29">
        <v>44.2</v>
      </c>
      <c r="W13" s="29">
        <v>4.88</v>
      </c>
      <c r="X13" s="29">
        <v>131.6</v>
      </c>
      <c r="Y13" s="29">
        <v>30.5</v>
      </c>
      <c r="Z13" s="29">
        <v>92.5</v>
      </c>
      <c r="AA13" s="29">
        <v>35.799999999999997</v>
      </c>
      <c r="AB13" s="25">
        <v>7.1210000000000004</v>
      </c>
      <c r="AC13" s="15">
        <v>301</v>
      </c>
      <c r="AD13" s="30">
        <v>0.53799999999999992</v>
      </c>
      <c r="AE13" s="30">
        <v>7.1</v>
      </c>
      <c r="AF13" s="30">
        <v>34</v>
      </c>
      <c r="AG13" s="30">
        <v>18.03</v>
      </c>
      <c r="AH13" s="30">
        <v>0</v>
      </c>
      <c r="AI13" s="30">
        <v>1</v>
      </c>
      <c r="AJ13" s="30">
        <v>1.5235230244764976E-2</v>
      </c>
      <c r="AK13" s="30">
        <v>7</v>
      </c>
      <c r="AL13" s="30">
        <v>0</v>
      </c>
      <c r="AM13" s="71">
        <f t="shared" si="13"/>
        <v>7</v>
      </c>
      <c r="AN13" s="30">
        <f t="shared" si="14"/>
        <v>0</v>
      </c>
      <c r="AO13" s="43">
        <v>15</v>
      </c>
      <c r="AP13" s="32">
        <v>1700</v>
      </c>
      <c r="AQ13" s="29">
        <v>34</v>
      </c>
      <c r="AR13" s="29">
        <v>7.2</v>
      </c>
      <c r="AS13" s="29">
        <v>50</v>
      </c>
      <c r="AT13" s="30">
        <v>2.9999999999999997E-4</v>
      </c>
      <c r="AU13" s="15"/>
      <c r="AV13">
        <v>1.2935344040177099E-2</v>
      </c>
      <c r="AW13">
        <v>7.5395846178023399E-3</v>
      </c>
      <c r="AX13" s="15">
        <f t="shared" si="4"/>
        <v>7.797736799999999E-3</v>
      </c>
      <c r="AY13" s="30">
        <f t="shared" si="15"/>
        <v>0.14679719999999999</v>
      </c>
      <c r="AZ13" s="30">
        <f t="shared" si="16"/>
        <v>1710.03</v>
      </c>
      <c r="BA13" s="31">
        <f t="shared" si="6"/>
        <v>4.0934954357525893E-3</v>
      </c>
      <c r="BB13" s="31">
        <f t="shared" si="7"/>
        <v>4.1176470588235297E-3</v>
      </c>
      <c r="BC13" s="31">
        <f t="shared" si="8"/>
        <v>0.36564552587435944</v>
      </c>
      <c r="BD13" s="31" t="str">
        <f t="shared" si="9"/>
        <v/>
      </c>
      <c r="BE13" s="61">
        <f t="shared" si="1"/>
        <v>1.5360990534044473E-2</v>
      </c>
      <c r="BF13" s="58" t="str">
        <f t="shared" si="2"/>
        <v/>
      </c>
      <c r="BG13" s="68">
        <f>IF(P13&lt;10, IF(B13&lt;&gt;"Jul",((5-P13)*AZ13)/400, ""),0)</f>
        <v>14.022246000000001</v>
      </c>
      <c r="BH13" s="31">
        <f t="shared" si="3"/>
        <v>12.892915883980535</v>
      </c>
      <c r="BI13" s="46">
        <f t="shared" si="10"/>
        <v>39.89867671180383</v>
      </c>
      <c r="BJ13" s="66">
        <f t="shared" si="11"/>
        <v>1.5360990534044473E-2</v>
      </c>
      <c r="BK13" s="70">
        <f t="shared" si="12"/>
        <v>14.022246000000001</v>
      </c>
    </row>
    <row r="14" spans="1:63" ht="15" thickBot="1" x14ac:dyDescent="0.35">
      <c r="A14" s="6" t="s">
        <v>58</v>
      </c>
      <c r="B14" s="7" t="s">
        <v>26</v>
      </c>
      <c r="C14" s="7">
        <v>12</v>
      </c>
      <c r="D14" s="37">
        <v>1</v>
      </c>
      <c r="E14" s="8">
        <v>45450.4586921296</v>
      </c>
      <c r="F14" s="7">
        <v>509.83</v>
      </c>
      <c r="G14" s="11"/>
      <c r="H14" s="11">
        <v>446.1</v>
      </c>
      <c r="I14" s="11">
        <v>16.5</v>
      </c>
      <c r="J14" s="11">
        <v>16.2</v>
      </c>
      <c r="K14" s="11">
        <v>98.4</v>
      </c>
      <c r="L14" s="11">
        <v>17.100000000000001</v>
      </c>
      <c r="M14" s="11">
        <v>333</v>
      </c>
      <c r="N14" s="11">
        <v>1.73</v>
      </c>
      <c r="O14" s="11">
        <v>0.49</v>
      </c>
      <c r="P14" s="11">
        <v>0.86</v>
      </c>
      <c r="Q14" s="11">
        <v>0.34</v>
      </c>
      <c r="R14" s="11">
        <v>2.46</v>
      </c>
      <c r="S14" s="11">
        <v>3</v>
      </c>
      <c r="T14" s="11">
        <v>7.077</v>
      </c>
      <c r="U14" s="11">
        <v>108.3</v>
      </c>
      <c r="V14" s="11">
        <v>48.9</v>
      </c>
      <c r="W14" s="11">
        <v>4.7</v>
      </c>
      <c r="X14" s="11">
        <v>133.6</v>
      </c>
      <c r="Y14" s="11">
        <v>30.8</v>
      </c>
      <c r="Z14" s="11">
        <v>95</v>
      </c>
      <c r="AA14" s="11">
        <v>39.6</v>
      </c>
      <c r="AB14" s="26">
        <v>7.1150000000000002</v>
      </c>
      <c r="AC14" s="16">
        <v>301</v>
      </c>
      <c r="AD14" s="17">
        <v>0.5</v>
      </c>
      <c r="AE14" s="17">
        <v>7.1</v>
      </c>
      <c r="AF14" s="17">
        <v>34</v>
      </c>
      <c r="AG14" s="17">
        <v>18.68</v>
      </c>
      <c r="AH14" s="17">
        <v>0</v>
      </c>
      <c r="AI14" s="17">
        <v>1</v>
      </c>
      <c r="AJ14" s="17">
        <v>8.2507248000000012E-3</v>
      </c>
      <c r="AK14" s="17">
        <v>8</v>
      </c>
      <c r="AL14" s="17">
        <v>0</v>
      </c>
      <c r="AM14" s="17">
        <f t="shared" si="13"/>
        <v>8</v>
      </c>
      <c r="AN14" s="17">
        <f t="shared" si="14"/>
        <v>0</v>
      </c>
      <c r="AO14" s="44">
        <v>15</v>
      </c>
      <c r="AP14" s="20">
        <v>1700</v>
      </c>
      <c r="AQ14" s="11">
        <v>34</v>
      </c>
      <c r="AR14" s="11">
        <v>7.2</v>
      </c>
      <c r="AS14" s="11">
        <v>50</v>
      </c>
      <c r="AT14" s="17">
        <v>2.9999999999999997E-4</v>
      </c>
      <c r="AU14" s="16"/>
      <c r="AV14" s="17">
        <f>BF14*60*24/AZ14</f>
        <v>6.9983999999999992E-3</v>
      </c>
      <c r="AW14" s="17">
        <f>BG14/AZ14</f>
        <v>1.035E-2</v>
      </c>
      <c r="AX14" s="16">
        <f t="shared" si="4"/>
        <v>8.3187647999999996E-3</v>
      </c>
      <c r="AY14" s="17">
        <f t="shared" si="15"/>
        <v>0.1565028</v>
      </c>
      <c r="AZ14" s="17">
        <f t="shared" si="16"/>
        <v>1711.68</v>
      </c>
      <c r="BA14" s="18">
        <f t="shared" si="6"/>
        <v>4.6737707982800521E-3</v>
      </c>
      <c r="BB14" s="18">
        <f t="shared" si="7"/>
        <v>4.7058823529411761E-3</v>
      </c>
      <c r="BC14" s="18">
        <f t="shared" si="8"/>
        <v>0.19801739520000003</v>
      </c>
      <c r="BD14" s="18" t="str">
        <f t="shared" si="9"/>
        <v/>
      </c>
      <c r="BE14" s="18">
        <f t="shared" si="1"/>
        <v>8.3187647999999996E-3</v>
      </c>
      <c r="BF14" s="59">
        <f>AT14*J14*AZ14/1000</f>
        <v>8.3187647999999996E-3</v>
      </c>
      <c r="BG14" s="69">
        <f>IF(P14&lt;10, IF(B14&lt;&gt;"Jul",((5-P14)*AZ14)/400, ""),0)</f>
        <v>17.715888</v>
      </c>
      <c r="BH14" s="18">
        <f t="shared" si="3"/>
        <v>17.715888</v>
      </c>
      <c r="BI14" s="46">
        <f t="shared" si="10"/>
        <v>21.607181298701299</v>
      </c>
      <c r="BJ14" s="66">
        <f t="shared" si="11"/>
        <v>8.3187647999999996E-3</v>
      </c>
      <c r="BK14" s="70">
        <f t="shared" si="12"/>
        <v>17.715888</v>
      </c>
    </row>
    <row r="15" spans="1:63" x14ac:dyDescent="0.3">
      <c r="A15" s="1" t="s">
        <v>53</v>
      </c>
      <c r="B15" s="27" t="s">
        <v>28</v>
      </c>
      <c r="C15" s="27">
        <v>12</v>
      </c>
      <c r="D15" s="27">
        <v>2</v>
      </c>
      <c r="E15" s="28">
        <v>45451.506053240701</v>
      </c>
      <c r="F15">
        <v>997.91</v>
      </c>
      <c r="G15" s="29"/>
      <c r="H15" s="29">
        <v>993.18</v>
      </c>
      <c r="I15" s="29">
        <v>24</v>
      </c>
      <c r="J15" s="29">
        <v>23.6</v>
      </c>
      <c r="K15" s="29">
        <v>98.2</v>
      </c>
      <c r="L15" s="29">
        <v>16.7</v>
      </c>
      <c r="M15" s="29">
        <v>323</v>
      </c>
      <c r="N15" s="29">
        <v>1.38</v>
      </c>
      <c r="O15" s="29">
        <v>0.45</v>
      </c>
      <c r="P15" s="29">
        <v>0.34</v>
      </c>
      <c r="Q15" s="29">
        <v>0.01</v>
      </c>
      <c r="R15" s="29">
        <v>0.15</v>
      </c>
      <c r="S15" s="29">
        <v>3.72</v>
      </c>
      <c r="T15" s="29">
        <v>7.0839999999999996</v>
      </c>
      <c r="U15" s="29">
        <v>114.9</v>
      </c>
      <c r="V15" s="29">
        <v>26.3</v>
      </c>
      <c r="W15" s="29">
        <v>2.98</v>
      </c>
      <c r="X15" s="29">
        <v>136.4</v>
      </c>
      <c r="Y15" s="29">
        <v>33.200000000000003</v>
      </c>
      <c r="Z15" s="29">
        <v>100.7</v>
      </c>
      <c r="AA15" s="29">
        <v>21.3</v>
      </c>
      <c r="AB15" s="25">
        <v>7.1219999999999999</v>
      </c>
      <c r="AC15" s="12">
        <v>299</v>
      </c>
      <c r="AD15" s="13">
        <v>0.55600000000000005</v>
      </c>
      <c r="AE15" s="13">
        <v>7.1</v>
      </c>
      <c r="AF15" s="13">
        <v>34</v>
      </c>
      <c r="AG15" s="13">
        <v>23.41</v>
      </c>
      <c r="AH15" s="13">
        <v>0</v>
      </c>
      <c r="AI15" s="13">
        <v>2</v>
      </c>
      <c r="AJ15" s="13">
        <v>1.2285640799999999E-2</v>
      </c>
      <c r="AK15" s="13">
        <v>22.3</v>
      </c>
      <c r="AL15" s="13">
        <v>19.55</v>
      </c>
      <c r="AM15" s="13">
        <f>AK15-AK9</f>
        <v>14.3</v>
      </c>
      <c r="AN15" s="13">
        <f t="shared" si="14"/>
        <v>19.55</v>
      </c>
      <c r="AO15" s="42">
        <v>15</v>
      </c>
      <c r="AP15" s="19">
        <v>1700</v>
      </c>
      <c r="AQ15" s="9">
        <v>34</v>
      </c>
      <c r="AR15" s="9">
        <v>7.2</v>
      </c>
      <c r="AS15" s="9">
        <v>50</v>
      </c>
      <c r="AT15" s="13">
        <v>2.9999999999999997E-4</v>
      </c>
      <c r="AU15" s="12"/>
      <c r="AV15" s="13"/>
      <c r="AW15" s="39"/>
      <c r="AX15" s="12">
        <f t="shared" si="4"/>
        <v>1.2285640799999999E-2</v>
      </c>
      <c r="AY15" s="13">
        <f t="shared" si="15"/>
        <v>0.23632680959999997</v>
      </c>
      <c r="AZ15" s="13">
        <f t="shared" si="16"/>
        <v>1735.26</v>
      </c>
      <c r="BA15" s="14">
        <f t="shared" si="6"/>
        <v>1.2851100123324459E-2</v>
      </c>
      <c r="BB15" s="14">
        <f t="shared" si="7"/>
        <v>1.3117647058823529E-2</v>
      </c>
      <c r="BC15" s="14">
        <f t="shared" si="8"/>
        <v>0.29485537919999999</v>
      </c>
      <c r="BD15" s="14" t="str">
        <f t="shared" si="9"/>
        <v/>
      </c>
      <c r="BE15" s="14" t="str">
        <f t="shared" si="1"/>
        <v/>
      </c>
      <c r="BF15" s="57">
        <f t="shared" ref="BF15:BF46" si="17">IF(B15="No MPC", AT15*J15*AZ15/1000,"")</f>
        <v>1.2285640799999999E-2</v>
      </c>
      <c r="BG15" s="14">
        <f>IF(P15&lt;1.5, IF(B15&lt;&gt;"Julia",((3-P15)*AZ15)/400, ""),0)</f>
        <v>11.539479000000002</v>
      </c>
      <c r="BH15" s="14" t="str">
        <f t="shared" si="3"/>
        <v/>
      </c>
      <c r="BI15" s="45">
        <f t="shared" si="10"/>
        <v>31.910755324675325</v>
      </c>
      <c r="BJ15" s="65">
        <f t="shared" si="11"/>
        <v>1.2285640799999999E-2</v>
      </c>
      <c r="BK15" s="50">
        <f t="shared" si="12"/>
        <v>11.539479000000002</v>
      </c>
    </row>
    <row r="16" spans="1:63" x14ac:dyDescent="0.3">
      <c r="A16" s="1" t="s">
        <v>54</v>
      </c>
      <c r="B16" s="27" t="s">
        <v>27</v>
      </c>
      <c r="C16" s="27">
        <v>12</v>
      </c>
      <c r="D16" s="27">
        <v>2</v>
      </c>
      <c r="E16" s="28">
        <v>45451.516516203701</v>
      </c>
      <c r="F16">
        <v>997.91</v>
      </c>
      <c r="G16" s="29"/>
      <c r="H16" s="29">
        <v>931.29</v>
      </c>
      <c r="I16" s="29">
        <v>21.7</v>
      </c>
      <c r="J16" s="29">
        <v>21.4</v>
      </c>
      <c r="K16" s="29">
        <v>98.7</v>
      </c>
      <c r="L16" s="29">
        <v>17</v>
      </c>
      <c r="M16" s="29">
        <v>329</v>
      </c>
      <c r="N16" s="29">
        <v>1.26</v>
      </c>
      <c r="O16" s="29">
        <v>0.4</v>
      </c>
      <c r="P16" s="29">
        <v>0.09</v>
      </c>
      <c r="Q16" s="29">
        <v>0.06</v>
      </c>
      <c r="R16" s="29">
        <v>0.09</v>
      </c>
      <c r="S16" s="29">
        <v>3.73</v>
      </c>
      <c r="T16" s="29">
        <v>7.1239999999999997</v>
      </c>
      <c r="U16" s="29">
        <v>121.4</v>
      </c>
      <c r="V16" s="29">
        <v>26.9</v>
      </c>
      <c r="W16" s="29">
        <v>2.87</v>
      </c>
      <c r="X16" s="29">
        <v>143.19999999999999</v>
      </c>
      <c r="Y16" s="29">
        <v>38.6</v>
      </c>
      <c r="Z16" s="29">
        <v>106.5</v>
      </c>
      <c r="AA16" s="29">
        <v>21.7</v>
      </c>
      <c r="AB16" s="25">
        <v>7.1630000000000003</v>
      </c>
      <c r="AC16" s="15">
        <v>299</v>
      </c>
      <c r="AD16" s="30">
        <v>0.435</v>
      </c>
      <c r="AE16" s="30">
        <v>7.1</v>
      </c>
      <c r="AF16" s="30">
        <v>34</v>
      </c>
      <c r="AG16" s="30">
        <v>25.196999999999999</v>
      </c>
      <c r="AH16" s="30">
        <v>0</v>
      </c>
      <c r="AI16" s="30">
        <v>1.43</v>
      </c>
      <c r="AJ16" s="30">
        <v>6.4874039047218583E-3</v>
      </c>
      <c r="AK16" s="30">
        <v>19.2</v>
      </c>
      <c r="AL16" s="30">
        <v>19.34</v>
      </c>
      <c r="AM16" s="30">
        <f t="shared" si="13"/>
        <v>13.2</v>
      </c>
      <c r="AN16" s="30">
        <f t="shared" si="14"/>
        <v>19.34</v>
      </c>
      <c r="AO16" s="43">
        <v>15</v>
      </c>
      <c r="AP16" s="32">
        <v>1700</v>
      </c>
      <c r="AQ16" s="29">
        <v>34</v>
      </c>
      <c r="AR16" s="29">
        <v>7.2</v>
      </c>
      <c r="AS16" s="29">
        <v>50</v>
      </c>
      <c r="AT16" s="30">
        <v>2.9999999999999997E-4</v>
      </c>
      <c r="AU16" s="15">
        <v>5.39005278937314E-3</v>
      </c>
      <c r="AV16" s="30"/>
      <c r="AW16" s="40"/>
      <c r="AX16" s="15">
        <f t="shared" si="4"/>
        <v>1.1126932139999997E-2</v>
      </c>
      <c r="AY16" s="30">
        <f t="shared" si="15"/>
        <v>0.19581117120000002</v>
      </c>
      <c r="AZ16" s="30">
        <f t="shared" si="16"/>
        <v>1733.1669999999999</v>
      </c>
      <c r="BA16" s="31">
        <f t="shared" si="6"/>
        <v>1.1077986137515889E-2</v>
      </c>
      <c r="BB16" s="31">
        <f t="shared" si="7"/>
        <v>1.1294117647058823E-2</v>
      </c>
      <c r="BC16" s="31">
        <f t="shared" si="8"/>
        <v>0.15569769371332459</v>
      </c>
      <c r="BD16" s="31">
        <f t="shared" si="9"/>
        <v>6.4874039047218583E-3</v>
      </c>
      <c r="BE16" s="61" t="str">
        <f t="shared" si="1"/>
        <v/>
      </c>
      <c r="BF16" s="58" t="str">
        <f t="shared" si="17"/>
        <v/>
      </c>
      <c r="BG16" s="31">
        <f>IF(P16&lt;1.5, IF(B16&lt;&gt;"Julia",((3-P16)*AZ16)/400, ""),0)</f>
        <v>12.608789925000002</v>
      </c>
      <c r="BH16" s="31" t="str">
        <f t="shared" si="3"/>
        <v/>
      </c>
      <c r="BI16" s="46">
        <f t="shared" si="10"/>
        <v>16.850399752524307</v>
      </c>
      <c r="BJ16" s="66">
        <f t="shared" si="11"/>
        <v>6.4874039047218583E-3</v>
      </c>
      <c r="BK16" s="48">
        <f t="shared" si="12"/>
        <v>12.608789925000002</v>
      </c>
    </row>
    <row r="17" spans="1:63" x14ac:dyDescent="0.3">
      <c r="A17" s="1" t="s">
        <v>55</v>
      </c>
      <c r="B17" s="27" t="s">
        <v>27</v>
      </c>
      <c r="C17" s="27">
        <v>12</v>
      </c>
      <c r="D17" s="27">
        <v>2</v>
      </c>
      <c r="E17" s="28">
        <v>45451.5221296296</v>
      </c>
      <c r="F17">
        <v>997.91</v>
      </c>
      <c r="G17" s="29"/>
      <c r="H17" s="29">
        <v>945.81</v>
      </c>
      <c r="I17" s="29">
        <v>23.6</v>
      </c>
      <c r="J17" s="29">
        <v>23.2</v>
      </c>
      <c r="K17" s="29">
        <v>98.2</v>
      </c>
      <c r="L17" s="29">
        <v>16.600000000000001</v>
      </c>
      <c r="M17" s="29">
        <v>320</v>
      </c>
      <c r="N17" s="29">
        <v>1.21</v>
      </c>
      <c r="O17" s="29">
        <v>0.42</v>
      </c>
      <c r="P17" s="29">
        <v>0.23</v>
      </c>
      <c r="Q17" s="29">
        <v>0.06</v>
      </c>
      <c r="R17" s="29">
        <v>7.0000000000000007E-2</v>
      </c>
      <c r="S17" s="29">
        <v>3.38</v>
      </c>
      <c r="T17" s="29">
        <v>7.1180000000000003</v>
      </c>
      <c r="U17" s="29">
        <v>105</v>
      </c>
      <c r="V17" s="29">
        <v>0</v>
      </c>
      <c r="W17" s="29">
        <v>3.01</v>
      </c>
      <c r="X17" s="29">
        <v>135.4</v>
      </c>
      <c r="Y17" s="29">
        <v>32.9</v>
      </c>
      <c r="Z17" s="29">
        <v>92.1</v>
      </c>
      <c r="AA17" s="29">
        <v>0</v>
      </c>
      <c r="AB17" s="25">
        <v>7.1559999999999997</v>
      </c>
      <c r="AC17" s="15">
        <v>301</v>
      </c>
      <c r="AD17" s="30">
        <v>0.51100000000000001</v>
      </c>
      <c r="AE17" s="30">
        <v>7.11</v>
      </c>
      <c r="AF17" s="30">
        <v>34</v>
      </c>
      <c r="AG17" s="30">
        <v>19.446999999999999</v>
      </c>
      <c r="AH17" s="30">
        <v>0</v>
      </c>
      <c r="AI17" s="30">
        <v>5.78</v>
      </c>
      <c r="AJ17" s="30">
        <v>6.7547597046078529E-3</v>
      </c>
      <c r="AK17" s="30">
        <v>19</v>
      </c>
      <c r="AL17" s="30">
        <v>19.73</v>
      </c>
      <c r="AM17" s="30">
        <f t="shared" si="13"/>
        <v>13</v>
      </c>
      <c r="AN17" s="30">
        <f t="shared" si="14"/>
        <v>19.73</v>
      </c>
      <c r="AO17" s="43">
        <v>15</v>
      </c>
      <c r="AP17" s="32">
        <v>1700</v>
      </c>
      <c r="AQ17" s="29">
        <v>34</v>
      </c>
      <c r="AR17" s="29">
        <v>7.2</v>
      </c>
      <c r="AS17" s="29">
        <v>50</v>
      </c>
      <c r="AT17" s="30">
        <v>2.9999999999999997E-4</v>
      </c>
      <c r="AU17" s="15">
        <v>5.6161059279389199E-3</v>
      </c>
      <c r="AV17" s="30"/>
      <c r="AW17" s="40"/>
      <c r="AX17" s="15">
        <f t="shared" si="4"/>
        <v>1.205442072E-2</v>
      </c>
      <c r="AY17" s="30">
        <f t="shared" si="15"/>
        <v>0.19521473040000001</v>
      </c>
      <c r="AZ17" s="30">
        <f t="shared" si="16"/>
        <v>1731.9570000000001</v>
      </c>
      <c r="BA17" s="31">
        <f t="shared" si="6"/>
        <v>1.0970249261384664E-2</v>
      </c>
      <c r="BB17" s="31">
        <f t="shared" si="7"/>
        <v>1.1176470588235295E-2</v>
      </c>
      <c r="BC17" s="31">
        <f t="shared" si="8"/>
        <v>0.16211423291058846</v>
      </c>
      <c r="BD17" s="31">
        <f t="shared" si="9"/>
        <v>6.7547597046078529E-3</v>
      </c>
      <c r="BE17" s="61" t="str">
        <f t="shared" si="1"/>
        <v/>
      </c>
      <c r="BF17" s="58" t="str">
        <f t="shared" si="17"/>
        <v/>
      </c>
      <c r="BG17" s="31">
        <f>IF(P17&lt;1.5, IF(B17&lt;&gt;"Julia",((3-P17)*AZ17)/400, ""),0)</f>
        <v>11.993802225000001</v>
      </c>
      <c r="BH17" s="31" t="str">
        <f t="shared" si="3"/>
        <v/>
      </c>
      <c r="BI17" s="46">
        <f t="shared" si="10"/>
        <v>17.544830401578839</v>
      </c>
      <c r="BJ17" s="66">
        <f t="shared" si="11"/>
        <v>6.7547597046078529E-3</v>
      </c>
      <c r="BK17" s="48">
        <f t="shared" si="12"/>
        <v>11.993802225000001</v>
      </c>
    </row>
    <row r="18" spans="1:63" x14ac:dyDescent="0.3">
      <c r="A18" s="1" t="s">
        <v>56</v>
      </c>
      <c r="B18" s="27" t="s">
        <v>28</v>
      </c>
      <c r="C18" s="27">
        <v>15</v>
      </c>
      <c r="D18" s="27">
        <v>2</v>
      </c>
      <c r="E18" s="28">
        <v>45451.5255555556</v>
      </c>
      <c r="F18">
        <v>997.91</v>
      </c>
      <c r="G18" s="29"/>
      <c r="H18" s="29"/>
      <c r="I18" s="29"/>
      <c r="J18" s="29"/>
      <c r="K18" s="29"/>
      <c r="L18" s="29"/>
      <c r="M18" s="29">
        <v>303</v>
      </c>
      <c r="N18" s="29">
        <v>0.39</v>
      </c>
      <c r="O18" s="29">
        <v>0.31</v>
      </c>
      <c r="P18" s="29">
        <v>0</v>
      </c>
      <c r="Q18" s="29">
        <v>0</v>
      </c>
      <c r="R18" s="29">
        <v>0.25</v>
      </c>
      <c r="S18" s="29">
        <v>0.06</v>
      </c>
      <c r="T18" s="29">
        <v>7.36</v>
      </c>
      <c r="U18" s="29">
        <v>152.9</v>
      </c>
      <c r="V18" s="29">
        <v>18</v>
      </c>
      <c r="W18" s="29">
        <v>5.22</v>
      </c>
      <c r="X18" s="29">
        <v>127.5</v>
      </c>
      <c r="Y18" s="29">
        <v>84.4</v>
      </c>
      <c r="Z18" s="29">
        <v>134.1</v>
      </c>
      <c r="AA18" s="29">
        <v>14.6</v>
      </c>
      <c r="AB18" s="25">
        <v>7.4029999999999996</v>
      </c>
      <c r="AC18" s="15">
        <v>300</v>
      </c>
      <c r="AD18" s="30">
        <v>0.82299999999999995</v>
      </c>
      <c r="AE18" s="30">
        <v>7.31</v>
      </c>
      <c r="AF18" s="30">
        <v>34</v>
      </c>
      <c r="AG18" s="30">
        <v>14.912000000000001</v>
      </c>
      <c r="AH18" s="30">
        <v>0</v>
      </c>
      <c r="AI18" s="30">
        <v>1.1499999999999999</v>
      </c>
      <c r="AJ18" s="30">
        <v>0</v>
      </c>
      <c r="AK18" s="30">
        <v>28.02</v>
      </c>
      <c r="AL18" s="30">
        <v>24.67</v>
      </c>
      <c r="AM18" s="30">
        <f t="shared" si="13"/>
        <v>18.02</v>
      </c>
      <c r="AN18" s="30">
        <f t="shared" si="14"/>
        <v>24.67</v>
      </c>
      <c r="AO18" s="43">
        <v>15</v>
      </c>
      <c r="AP18" s="32">
        <v>1700</v>
      </c>
      <c r="AQ18" s="29">
        <v>34</v>
      </c>
      <c r="AR18" s="29">
        <v>7.2</v>
      </c>
      <c r="AS18" s="29">
        <v>50</v>
      </c>
      <c r="AT18" s="30">
        <v>2.9999999999999997E-4</v>
      </c>
      <c r="AU18" s="15"/>
      <c r="AV18" s="30"/>
      <c r="AW18" s="40"/>
      <c r="AX18" s="15">
        <f t="shared" si="4"/>
        <v>0</v>
      </c>
      <c r="AY18" s="30">
        <f t="shared" si="15"/>
        <v>0.30285925920000001</v>
      </c>
      <c r="AZ18" s="30">
        <f t="shared" si="16"/>
        <v>1736.752</v>
      </c>
      <c r="BA18" s="31">
        <f t="shared" si="6"/>
        <v>1.6133564262485377E-2</v>
      </c>
      <c r="BB18" s="31">
        <f t="shared" si="7"/>
        <v>1.6482352941176469E-2</v>
      </c>
      <c r="BC18" s="31">
        <f t="shared" si="8"/>
        <v>0</v>
      </c>
      <c r="BD18" s="31" t="str">
        <f t="shared" si="9"/>
        <v/>
      </c>
      <c r="BE18" s="61" t="str">
        <f t="shared" si="1"/>
        <v/>
      </c>
      <c r="BF18" s="58">
        <f t="shared" si="17"/>
        <v>0</v>
      </c>
      <c r="BG18" s="31">
        <f>IF(P18&lt;1.5, IF(B18&lt;&gt;"Julia",((3-P18)*AZ18)/400, ""),0)</f>
        <v>13.025639999999999</v>
      </c>
      <c r="BH18" s="31" t="str">
        <f t="shared" si="3"/>
        <v/>
      </c>
      <c r="BI18" s="46">
        <f t="shared" si="10"/>
        <v>0</v>
      </c>
      <c r="BJ18" s="66">
        <f t="shared" si="11"/>
        <v>0</v>
      </c>
      <c r="BK18" s="48">
        <f t="shared" si="12"/>
        <v>13.025639999999999</v>
      </c>
    </row>
    <row r="19" spans="1:63" x14ac:dyDescent="0.3">
      <c r="A19" s="1" t="s">
        <v>57</v>
      </c>
      <c r="B19" s="27" t="s">
        <v>26</v>
      </c>
      <c r="C19" s="27">
        <v>12</v>
      </c>
      <c r="D19" s="27">
        <v>2</v>
      </c>
      <c r="E19" s="28">
        <v>45451.528067129599</v>
      </c>
      <c r="F19">
        <v>997.91</v>
      </c>
      <c r="G19" s="29"/>
      <c r="H19" s="29">
        <v>868.48</v>
      </c>
      <c r="I19" s="29">
        <v>19.8</v>
      </c>
      <c r="J19" s="29">
        <v>19.3</v>
      </c>
      <c r="K19" s="29">
        <v>97.5</v>
      </c>
      <c r="L19" s="29">
        <v>17.3</v>
      </c>
      <c r="M19" s="29">
        <v>347</v>
      </c>
      <c r="N19" s="29">
        <v>1.1399999999999999</v>
      </c>
      <c r="O19" s="29">
        <v>0.42</v>
      </c>
      <c r="P19" s="29">
        <v>2.14</v>
      </c>
      <c r="Q19" s="29">
        <v>0.15</v>
      </c>
      <c r="R19" s="29">
        <v>1.1399999999999999</v>
      </c>
      <c r="S19" s="29">
        <v>3.74</v>
      </c>
      <c r="T19" s="29">
        <v>7.109</v>
      </c>
      <c r="U19" s="29">
        <v>108.2</v>
      </c>
      <c r="V19" s="29">
        <v>14.8</v>
      </c>
      <c r="W19" s="29">
        <v>3.06</v>
      </c>
      <c r="X19" s="29">
        <v>142.9</v>
      </c>
      <c r="Y19" s="29">
        <v>33.1</v>
      </c>
      <c r="Z19" s="29">
        <v>94.9</v>
      </c>
      <c r="AA19" s="29">
        <v>12</v>
      </c>
      <c r="AB19" s="25">
        <v>7.1470000000000002</v>
      </c>
      <c r="AC19" s="15">
        <v>298</v>
      </c>
      <c r="AD19" s="30">
        <v>0.49099999999999999</v>
      </c>
      <c r="AE19" s="30">
        <v>7.13</v>
      </c>
      <c r="AF19" s="30">
        <v>34</v>
      </c>
      <c r="AG19" s="30">
        <v>24.227</v>
      </c>
      <c r="AH19" s="30">
        <v>0</v>
      </c>
      <c r="AI19" s="30">
        <v>3.54</v>
      </c>
      <c r="AJ19" s="30">
        <v>1.6993613868659822E-2</v>
      </c>
      <c r="AK19" s="30">
        <v>28.89</v>
      </c>
      <c r="AL19" s="30">
        <v>15.88</v>
      </c>
      <c r="AM19" s="30">
        <f t="shared" si="13"/>
        <v>21.89</v>
      </c>
      <c r="AN19" s="30">
        <f t="shared" si="14"/>
        <v>15.88</v>
      </c>
      <c r="AO19" s="43">
        <v>15</v>
      </c>
      <c r="AP19" s="32">
        <v>1700</v>
      </c>
      <c r="AQ19" s="29">
        <v>34</v>
      </c>
      <c r="AR19" s="29">
        <v>7.2</v>
      </c>
      <c r="AS19" s="29">
        <v>50</v>
      </c>
      <c r="AT19" s="30">
        <v>2.9999999999999997E-4</v>
      </c>
      <c r="AU19" s="15"/>
      <c r="AV19">
        <v>1.40593414393777E-2</v>
      </c>
      <c r="AW19" s="40">
        <v>2.2770951490618898E-3</v>
      </c>
      <c r="AX19" s="15">
        <f t="shared" si="4"/>
        <v>1.0077709230000001E-2</v>
      </c>
      <c r="AY19" s="30">
        <f t="shared" si="15"/>
        <v>0.18714568319999997</v>
      </c>
      <c r="AZ19" s="30">
        <f t="shared" si="16"/>
        <v>1740.537</v>
      </c>
      <c r="BA19" s="31">
        <f t="shared" si="6"/>
        <v>1.6598325689140766E-2</v>
      </c>
      <c r="BB19" s="31">
        <f t="shared" si="7"/>
        <v>1.6994117647058823E-2</v>
      </c>
      <c r="BC19" s="31">
        <f t="shared" si="8"/>
        <v>0.40784673284783574</v>
      </c>
      <c r="BD19" s="31" t="str">
        <f t="shared" si="9"/>
        <v/>
      </c>
      <c r="BE19" s="61">
        <f t="shared" si="1"/>
        <v>1.6993613868659822E-2</v>
      </c>
      <c r="BF19" s="58" t="str">
        <f t="shared" si="17"/>
        <v/>
      </c>
      <c r="BG19" s="31"/>
      <c r="BH19" s="31">
        <f t="shared" si="3"/>
        <v>3.9633683594627347</v>
      </c>
      <c r="BI19" s="46">
        <f t="shared" si="10"/>
        <v>44.139256801713827</v>
      </c>
      <c r="BJ19" s="66">
        <f t="shared" si="11"/>
        <v>1.6993613868659822E-2</v>
      </c>
      <c r="BK19" s="48">
        <f t="shared" si="12"/>
        <v>3.9633683594627347</v>
      </c>
    </row>
    <row r="20" spans="1:63" ht="15" thickBot="1" x14ac:dyDescent="0.35">
      <c r="A20" s="1" t="s">
        <v>58</v>
      </c>
      <c r="B20" s="27" t="s">
        <v>26</v>
      </c>
      <c r="C20" s="27">
        <v>12</v>
      </c>
      <c r="D20" s="27">
        <v>2</v>
      </c>
      <c r="E20" s="28">
        <v>45451.5307060185</v>
      </c>
      <c r="F20">
        <v>997.91</v>
      </c>
      <c r="G20" s="29"/>
      <c r="H20" s="29">
        <v>952.58</v>
      </c>
      <c r="I20" s="29">
        <v>20.9</v>
      </c>
      <c r="J20" s="29">
        <v>20.399999999999999</v>
      </c>
      <c r="K20" s="29">
        <v>97.5</v>
      </c>
      <c r="L20" s="29">
        <v>16.600000000000001</v>
      </c>
      <c r="M20" s="29">
        <v>319</v>
      </c>
      <c r="N20" s="29">
        <v>1.33</v>
      </c>
      <c r="O20" s="29">
        <v>0.41</v>
      </c>
      <c r="P20" s="29">
        <v>0</v>
      </c>
      <c r="Q20" s="29">
        <v>0.15</v>
      </c>
      <c r="R20" s="29">
        <v>0.12</v>
      </c>
      <c r="S20" s="29">
        <v>1.9</v>
      </c>
      <c r="T20" s="29">
        <v>7.3280000000000003</v>
      </c>
      <c r="U20" s="29">
        <v>117.4</v>
      </c>
      <c r="V20" s="29">
        <v>30.4</v>
      </c>
      <c r="W20" s="29">
        <v>3.53</v>
      </c>
      <c r="X20" s="29">
        <v>138</v>
      </c>
      <c r="Y20" s="29">
        <v>60.2</v>
      </c>
      <c r="Z20" s="29">
        <v>103</v>
      </c>
      <c r="AA20" s="29">
        <v>24.6</v>
      </c>
      <c r="AB20" s="25">
        <v>7.3710000000000004</v>
      </c>
      <c r="AC20" s="16">
        <v>300</v>
      </c>
      <c r="AD20" s="17">
        <v>0.52600000000000002</v>
      </c>
      <c r="AE20" s="17">
        <v>7.3</v>
      </c>
      <c r="AF20" s="17">
        <v>34</v>
      </c>
      <c r="AG20" s="17">
        <v>21.77</v>
      </c>
      <c r="AH20" s="17">
        <v>3.22</v>
      </c>
      <c r="AI20" s="17">
        <v>3.55</v>
      </c>
      <c r="AJ20" s="17">
        <v>2.4710181546437494E-2</v>
      </c>
      <c r="AK20" s="17">
        <v>20.149999999999999</v>
      </c>
      <c r="AL20" s="17">
        <v>20.98</v>
      </c>
      <c r="AM20" s="17">
        <f t="shared" si="13"/>
        <v>12.149999999999999</v>
      </c>
      <c r="AN20" s="17">
        <f t="shared" si="14"/>
        <v>20.98</v>
      </c>
      <c r="AO20" s="44">
        <v>15</v>
      </c>
      <c r="AP20" s="20">
        <v>1700</v>
      </c>
      <c r="AQ20" s="11">
        <v>34</v>
      </c>
      <c r="AR20" s="11">
        <v>7.2</v>
      </c>
      <c r="AS20" s="11">
        <v>50</v>
      </c>
      <c r="AT20" s="17">
        <v>2.9999999999999997E-4</v>
      </c>
      <c r="AU20" s="16"/>
      <c r="AV20">
        <v>2.0477226071043401E-2</v>
      </c>
      <c r="AW20" s="41">
        <v>4.8817390308066597E-3</v>
      </c>
      <c r="AX20" s="16">
        <f t="shared" si="4"/>
        <v>1.0634540399999998E-2</v>
      </c>
      <c r="AY20" s="17">
        <f t="shared" si="15"/>
        <v>0.19965035519999999</v>
      </c>
      <c r="AZ20" s="17">
        <f t="shared" si="16"/>
        <v>1737.67</v>
      </c>
      <c r="BA20" s="18">
        <f t="shared" si="6"/>
        <v>1.1595987730696851E-2</v>
      </c>
      <c r="BB20" s="18">
        <f t="shared" si="7"/>
        <v>1.1852941176470587E-2</v>
      </c>
      <c r="BC20" s="18">
        <f t="shared" si="8"/>
        <v>0.59304435711449988</v>
      </c>
      <c r="BD20" s="18" t="str">
        <f t="shared" si="9"/>
        <v/>
      </c>
      <c r="BE20" s="18">
        <f t="shared" si="1"/>
        <v>2.4710181546437494E-2</v>
      </c>
      <c r="BF20" s="59" t="str">
        <f t="shared" si="17"/>
        <v/>
      </c>
      <c r="BG20" s="18" t="str">
        <f t="shared" ref="BG20:BG28" si="18">IF(P20&lt;1.5, IF(B20&lt;&gt;"Julia",((3-P20)*AZ20)/400, ""),0)</f>
        <v/>
      </c>
      <c r="BH20" s="18">
        <f t="shared" si="3"/>
        <v>8.4828514616618094</v>
      </c>
      <c r="BI20" s="47">
        <f t="shared" si="10"/>
        <v>64.182289731006477</v>
      </c>
      <c r="BJ20" s="67">
        <f t="shared" si="11"/>
        <v>2.4710181546437494E-2</v>
      </c>
      <c r="BK20" s="49">
        <f t="shared" si="12"/>
        <v>8.4828514616618094</v>
      </c>
    </row>
    <row r="21" spans="1:63" x14ac:dyDescent="0.3">
      <c r="A21" s="3" t="s">
        <v>53</v>
      </c>
      <c r="B21" s="4" t="s">
        <v>28</v>
      </c>
      <c r="C21" s="4">
        <v>12</v>
      </c>
      <c r="D21" s="4">
        <v>3</v>
      </c>
      <c r="E21" s="5">
        <v>45452.488032407397</v>
      </c>
      <c r="F21" s="4">
        <v>1505.08</v>
      </c>
      <c r="G21" s="9"/>
      <c r="H21" s="9">
        <v>1357.44</v>
      </c>
      <c r="I21" s="9">
        <v>26.9</v>
      </c>
      <c r="J21" s="9">
        <v>26.1</v>
      </c>
      <c r="K21" s="9">
        <v>96.7</v>
      </c>
      <c r="L21" s="9">
        <v>16.3</v>
      </c>
      <c r="M21" s="9">
        <v>349</v>
      </c>
      <c r="N21" s="9">
        <v>2.34</v>
      </c>
      <c r="O21" s="9">
        <v>0.38</v>
      </c>
      <c r="P21" s="9">
        <v>0</v>
      </c>
      <c r="Q21" s="9">
        <v>7.0000000000000007E-2</v>
      </c>
      <c r="R21" s="9">
        <v>0.06</v>
      </c>
      <c r="S21" s="9">
        <v>4.42</v>
      </c>
      <c r="T21" s="9">
        <v>7.2889999999999997</v>
      </c>
      <c r="U21" s="9">
        <v>97</v>
      </c>
      <c r="V21" s="9">
        <v>19.100000000000001</v>
      </c>
      <c r="W21" s="9">
        <v>3.21</v>
      </c>
      <c r="X21" s="9">
        <v>151.6</v>
      </c>
      <c r="Y21" s="9">
        <v>45.4</v>
      </c>
      <c r="Z21" s="9">
        <v>85.1</v>
      </c>
      <c r="AA21" s="9">
        <v>15.5</v>
      </c>
      <c r="AB21" s="24">
        <v>7.3310000000000004</v>
      </c>
      <c r="AC21" s="12">
        <v>299</v>
      </c>
      <c r="AD21" s="13">
        <v>0.503</v>
      </c>
      <c r="AE21" s="13">
        <v>7.3</v>
      </c>
      <c r="AF21" s="13">
        <v>34</v>
      </c>
      <c r="AG21" s="13">
        <v>31.315000000000001</v>
      </c>
      <c r="AH21" s="13">
        <v>0.57499999999999996</v>
      </c>
      <c r="AI21" s="13">
        <v>2.73</v>
      </c>
      <c r="AJ21" s="13">
        <v>1.37621646E-2</v>
      </c>
      <c r="AK21" s="13">
        <v>39.03</v>
      </c>
      <c r="AL21" s="13">
        <v>31.97</v>
      </c>
      <c r="AM21" s="13">
        <f t="shared" ref="AM21:AN23" si="19">AK21-AK15</f>
        <v>16.73</v>
      </c>
      <c r="AN21" s="13">
        <f t="shared" si="19"/>
        <v>12.419999999999998</v>
      </c>
      <c r="AO21" s="42">
        <v>15</v>
      </c>
      <c r="AP21" s="19">
        <v>1700</v>
      </c>
      <c r="AQ21" s="9">
        <v>34</v>
      </c>
      <c r="AR21" s="9">
        <v>7.2</v>
      </c>
      <c r="AS21" s="9">
        <v>50</v>
      </c>
      <c r="AT21" s="13">
        <v>2.9999999999999997E-4</v>
      </c>
      <c r="AU21" s="12"/>
      <c r="AV21" s="13"/>
      <c r="AW21" s="39"/>
      <c r="AX21" s="12">
        <f t="shared" si="4"/>
        <v>1.37621646E-2</v>
      </c>
      <c r="AY21" s="13">
        <f t="shared" si="15"/>
        <v>0.29485537919999999</v>
      </c>
      <c r="AZ21" s="13">
        <f t="shared" si="16"/>
        <v>1757.62</v>
      </c>
      <c r="BA21" s="14">
        <f t="shared" si="6"/>
        <v>2.2206165155152995E-2</v>
      </c>
      <c r="BB21" s="14">
        <f t="shared" si="7"/>
        <v>2.2958823529411764E-2</v>
      </c>
      <c r="BC21" s="14">
        <f t="shared" si="8"/>
        <v>0.33029195039999998</v>
      </c>
      <c r="BD21" s="14" t="str">
        <f t="shared" si="9"/>
        <v/>
      </c>
      <c r="BE21" s="14" t="str">
        <f t="shared" si="1"/>
        <v/>
      </c>
      <c r="BF21" s="57">
        <f t="shared" si="17"/>
        <v>1.37621646E-2</v>
      </c>
      <c r="BG21" s="14">
        <f t="shared" si="18"/>
        <v>13.18215</v>
      </c>
      <c r="BH21" s="14" t="str">
        <f t="shared" si="3"/>
        <v/>
      </c>
      <c r="BI21" s="46">
        <f t="shared" si="10"/>
        <v>35.745882077922076</v>
      </c>
      <c r="BJ21" s="66">
        <f t="shared" si="11"/>
        <v>1.37621646E-2</v>
      </c>
      <c r="BK21" s="48">
        <f t="shared" si="12"/>
        <v>13.18215</v>
      </c>
    </row>
    <row r="22" spans="1:63" x14ac:dyDescent="0.3">
      <c r="A22" s="1" t="s">
        <v>54</v>
      </c>
      <c r="B22" s="27" t="s">
        <v>27</v>
      </c>
      <c r="C22" s="27">
        <v>12</v>
      </c>
      <c r="D22" s="27">
        <v>3</v>
      </c>
      <c r="E22" s="28">
        <v>45452.491539351897</v>
      </c>
      <c r="F22" s="27">
        <v>1505.08</v>
      </c>
      <c r="G22" s="29"/>
      <c r="H22" s="29">
        <v>1295.5</v>
      </c>
      <c r="I22" s="29">
        <v>24.3</v>
      </c>
      <c r="J22" s="29">
        <v>23.4</v>
      </c>
      <c r="K22" s="29">
        <v>96</v>
      </c>
      <c r="L22" s="29">
        <v>16.2</v>
      </c>
      <c r="M22" s="29">
        <v>354</v>
      </c>
      <c r="N22" s="29">
        <v>3.12</v>
      </c>
      <c r="O22" s="29">
        <v>0.39</v>
      </c>
      <c r="P22" s="29">
        <v>0</v>
      </c>
      <c r="Q22" s="29">
        <v>0.05</v>
      </c>
      <c r="R22" s="29">
        <v>0.12</v>
      </c>
      <c r="S22" s="29">
        <v>5.05</v>
      </c>
      <c r="T22" s="29">
        <v>7.2779999999999996</v>
      </c>
      <c r="U22" s="29">
        <v>95</v>
      </c>
      <c r="V22" s="29">
        <v>39.6</v>
      </c>
      <c r="W22" s="29">
        <v>3.8</v>
      </c>
      <c r="X22" s="29">
        <v>155.6</v>
      </c>
      <c r="Y22" s="29">
        <v>43.2</v>
      </c>
      <c r="Z22" s="29">
        <v>83.3</v>
      </c>
      <c r="AA22" s="29">
        <v>32</v>
      </c>
      <c r="AB22" s="25">
        <v>7.319</v>
      </c>
      <c r="AC22" s="15">
        <v>299</v>
      </c>
      <c r="AD22" s="30">
        <v>0.47899999999999998</v>
      </c>
      <c r="AE22" s="30">
        <v>7.3</v>
      </c>
      <c r="AF22" s="30">
        <v>34</v>
      </c>
      <c r="AG22" s="30">
        <v>33.53</v>
      </c>
      <c r="AH22" s="30">
        <v>3.91</v>
      </c>
      <c r="AI22" s="30">
        <v>1.93</v>
      </c>
      <c r="AJ22" s="30">
        <v>1.5530378609650473E-2</v>
      </c>
      <c r="AK22" s="30">
        <v>29.1</v>
      </c>
      <c r="AL22" s="30">
        <v>32.9</v>
      </c>
      <c r="AM22" s="30">
        <f t="shared" si="19"/>
        <v>9.9000000000000021</v>
      </c>
      <c r="AN22" s="30">
        <f t="shared" si="19"/>
        <v>13.559999999999999</v>
      </c>
      <c r="AO22" s="43">
        <v>15</v>
      </c>
      <c r="AP22" s="32">
        <v>1700</v>
      </c>
      <c r="AQ22" s="29">
        <v>34</v>
      </c>
      <c r="AR22" s="29">
        <v>7.2</v>
      </c>
      <c r="AS22" s="29">
        <v>50</v>
      </c>
      <c r="AT22" s="30">
        <v>2.9999999999999997E-4</v>
      </c>
      <c r="AU22" s="15">
        <v>1.2754721021744801E-2</v>
      </c>
      <c r="AV22" s="30"/>
      <c r="AW22" s="40"/>
      <c r="AX22" s="15">
        <f t="shared" si="4"/>
        <v>1.2308657399999997E-2</v>
      </c>
      <c r="AY22" s="30">
        <f t="shared" si="15"/>
        <v>0.26704637135999992</v>
      </c>
      <c r="AZ22" s="30">
        <f t="shared" si="16"/>
        <v>1753.37</v>
      </c>
      <c r="BA22" s="31">
        <f t="shared" si="6"/>
        <v>1.6596611097486558E-2</v>
      </c>
      <c r="BB22" s="31">
        <f t="shared" si="7"/>
        <v>1.7117647058823529E-2</v>
      </c>
      <c r="BC22" s="31">
        <f t="shared" si="8"/>
        <v>0.37272908663161136</v>
      </c>
      <c r="BD22" s="31">
        <f t="shared" si="9"/>
        <v>1.5530378609650473E-2</v>
      </c>
      <c r="BE22" s="61" t="str">
        <f t="shared" si="1"/>
        <v/>
      </c>
      <c r="BF22" s="58" t="str">
        <f t="shared" si="17"/>
        <v/>
      </c>
      <c r="BG22" s="31">
        <f t="shared" si="18"/>
        <v>13.150274999999999</v>
      </c>
      <c r="BH22" s="31" t="str">
        <f t="shared" si="3"/>
        <v/>
      </c>
      <c r="BI22" s="46">
        <f t="shared" si="10"/>
        <v>40.338645739351882</v>
      </c>
      <c r="BJ22" s="66">
        <f t="shared" si="11"/>
        <v>1.5530378609650473E-2</v>
      </c>
      <c r="BK22" s="48">
        <f t="shared" si="12"/>
        <v>13.150274999999999</v>
      </c>
    </row>
    <row r="23" spans="1:63" x14ac:dyDescent="0.3">
      <c r="A23" s="1" t="s">
        <v>55</v>
      </c>
      <c r="B23" s="27" t="s">
        <v>27</v>
      </c>
      <c r="C23" s="27">
        <v>12</v>
      </c>
      <c r="D23" s="27">
        <v>3</v>
      </c>
      <c r="E23" s="28">
        <v>45452.4950231482</v>
      </c>
      <c r="F23" s="27">
        <v>1505.08</v>
      </c>
      <c r="G23" s="29"/>
      <c r="H23" s="29">
        <v>1377.43</v>
      </c>
      <c r="I23" s="29">
        <v>24.3</v>
      </c>
      <c r="J23" s="29">
        <v>23.1</v>
      </c>
      <c r="K23" s="29">
        <v>95.1</v>
      </c>
      <c r="L23" s="29">
        <v>16</v>
      </c>
      <c r="M23" s="29">
        <v>335</v>
      </c>
      <c r="N23" s="29">
        <v>3.02</v>
      </c>
      <c r="O23" s="29">
        <v>0.4</v>
      </c>
      <c r="P23" s="29">
        <v>0</v>
      </c>
      <c r="Q23" s="29">
        <v>0.06</v>
      </c>
      <c r="R23" s="29">
        <v>7.0000000000000007E-2</v>
      </c>
      <c r="S23" s="29">
        <v>4.63</v>
      </c>
      <c r="T23" s="29">
        <v>7.2460000000000004</v>
      </c>
      <c r="U23" s="29">
        <v>83.5</v>
      </c>
      <c r="V23" s="29">
        <v>33.9</v>
      </c>
      <c r="W23" s="29">
        <v>3.72</v>
      </c>
      <c r="X23" s="29">
        <v>148.1</v>
      </c>
      <c r="Y23" s="29">
        <v>35.299999999999997</v>
      </c>
      <c r="Z23" s="29">
        <v>73.3</v>
      </c>
      <c r="AA23" s="29">
        <v>27.4</v>
      </c>
      <c r="AB23" s="25">
        <v>7.2869999999999999</v>
      </c>
      <c r="AC23" s="15">
        <v>300</v>
      </c>
      <c r="AD23" s="30">
        <v>0.52</v>
      </c>
      <c r="AE23" s="30">
        <v>7.27</v>
      </c>
      <c r="AF23" s="30">
        <v>34</v>
      </c>
      <c r="AG23" s="30">
        <v>27.27</v>
      </c>
      <c r="AH23" s="30">
        <v>3.55</v>
      </c>
      <c r="AI23" s="30">
        <v>5.8</v>
      </c>
      <c r="AJ23" s="30">
        <v>1.378567248603532E-2</v>
      </c>
      <c r="AK23" s="30">
        <v>28.91</v>
      </c>
      <c r="AL23" s="30">
        <v>32.65</v>
      </c>
      <c r="AM23" s="30">
        <f t="shared" si="19"/>
        <v>9.91</v>
      </c>
      <c r="AN23" s="30">
        <f t="shared" si="19"/>
        <v>12.919999999999998</v>
      </c>
      <c r="AO23" s="43">
        <v>15</v>
      </c>
      <c r="AP23" s="32">
        <v>1700</v>
      </c>
      <c r="AQ23" s="29">
        <v>34</v>
      </c>
      <c r="AR23" s="29">
        <v>7.2</v>
      </c>
      <c r="AS23" s="29">
        <v>50</v>
      </c>
      <c r="AT23" s="30">
        <v>2.9999999999999997E-4</v>
      </c>
      <c r="AU23" s="15">
        <v>1.13424724199173E-2</v>
      </c>
      <c r="AV23" s="30"/>
      <c r="AW23" s="40"/>
      <c r="AX23" s="15">
        <f t="shared" si="4"/>
        <v>1.2128747400000001E-2</v>
      </c>
      <c r="AY23" s="30">
        <f t="shared" si="15"/>
        <v>0.28930609728000001</v>
      </c>
      <c r="AZ23" s="30">
        <f t="shared" si="16"/>
        <v>1750.18</v>
      </c>
      <c r="BA23" s="31">
        <f>IF(ISBLANK(AK23),NA(),IFERROR(AK23/AZ23,0))</f>
        <v>1.6518300974756882E-2</v>
      </c>
      <c r="BB23" s="31">
        <f t="shared" si="7"/>
        <v>1.7005882352941176E-2</v>
      </c>
      <c r="BC23" s="31">
        <f t="shared" si="8"/>
        <v>0.33085613966484767</v>
      </c>
      <c r="BD23" s="31">
        <f t="shared" si="9"/>
        <v>1.378567248603532E-2</v>
      </c>
      <c r="BE23" s="61" t="str">
        <f t="shared" si="1"/>
        <v/>
      </c>
      <c r="BF23" s="58" t="str">
        <f t="shared" si="17"/>
        <v/>
      </c>
      <c r="BG23" s="31">
        <f t="shared" si="18"/>
        <v>13.12635</v>
      </c>
      <c r="BH23" s="31" t="str">
        <f t="shared" si="3"/>
        <v/>
      </c>
      <c r="BI23" s="46">
        <f t="shared" si="10"/>
        <v>35.806941522169666</v>
      </c>
      <c r="BJ23" s="66">
        <f t="shared" si="11"/>
        <v>1.378567248603532E-2</v>
      </c>
      <c r="BK23" s="48">
        <f t="shared" si="12"/>
        <v>13.12635</v>
      </c>
    </row>
    <row r="24" spans="1:63" x14ac:dyDescent="0.3">
      <c r="A24" s="1" t="s">
        <v>57</v>
      </c>
      <c r="B24" s="27" t="s">
        <v>26</v>
      </c>
      <c r="C24" s="27">
        <v>12</v>
      </c>
      <c r="D24" s="27">
        <v>3</v>
      </c>
      <c r="E24" s="28">
        <v>45452.497673611098</v>
      </c>
      <c r="F24" s="27">
        <v>1505.08</v>
      </c>
      <c r="G24" s="29"/>
      <c r="H24" s="29">
        <v>1329.46</v>
      </c>
      <c r="I24" s="29">
        <v>22.8</v>
      </c>
      <c r="J24" s="29">
        <v>22.1</v>
      </c>
      <c r="K24" s="29">
        <v>97.2</v>
      </c>
      <c r="L24" s="29">
        <v>16.899999999999999</v>
      </c>
      <c r="M24" s="29">
        <v>343</v>
      </c>
      <c r="N24" s="29">
        <v>2.14</v>
      </c>
      <c r="O24" s="29">
        <v>0.37</v>
      </c>
      <c r="P24" s="29">
        <v>1.1200000000000001</v>
      </c>
      <c r="Q24" s="29">
        <v>0.15</v>
      </c>
      <c r="R24" s="29">
        <v>0.06</v>
      </c>
      <c r="S24" s="29">
        <v>3.62</v>
      </c>
      <c r="T24" s="29">
        <v>7.1669999999999998</v>
      </c>
      <c r="U24" s="29">
        <v>109.5</v>
      </c>
      <c r="V24" s="29">
        <v>18.5</v>
      </c>
      <c r="W24" s="29">
        <v>2.58</v>
      </c>
      <c r="X24" s="29">
        <v>145.30000000000001</v>
      </c>
      <c r="Y24" s="29">
        <v>38.4</v>
      </c>
      <c r="Z24" s="29">
        <v>96</v>
      </c>
      <c r="AA24" s="29">
        <v>14.9</v>
      </c>
      <c r="AB24" s="25">
        <v>7.2060000000000004</v>
      </c>
      <c r="AC24" s="15">
        <v>298</v>
      </c>
      <c r="AD24" s="30">
        <v>0.50900000000000001</v>
      </c>
      <c r="AE24" s="30">
        <v>7.18</v>
      </c>
      <c r="AF24" s="30">
        <v>34</v>
      </c>
      <c r="AG24" s="30">
        <v>24.77</v>
      </c>
      <c r="AH24" s="30">
        <v>0</v>
      </c>
      <c r="AI24" s="30">
        <v>4.7699999999999996</v>
      </c>
      <c r="AJ24" s="30">
        <v>2.4482926221812498E-2</v>
      </c>
      <c r="AK24" s="30">
        <v>52.6</v>
      </c>
      <c r="AL24" s="30">
        <v>20.73</v>
      </c>
      <c r="AM24" s="30">
        <f t="shared" ref="AM24:AN30" si="20">AK24-AK19</f>
        <v>23.71</v>
      </c>
      <c r="AN24" s="30">
        <f t="shared" si="20"/>
        <v>4.8499999999999996</v>
      </c>
      <c r="AO24" s="43">
        <v>15</v>
      </c>
      <c r="AP24" s="32">
        <v>1700</v>
      </c>
      <c r="AQ24" s="29">
        <v>34</v>
      </c>
      <c r="AR24" s="29">
        <v>7.2</v>
      </c>
      <c r="AS24" s="29">
        <v>50</v>
      </c>
      <c r="AT24" s="30">
        <v>2.9999999999999997E-4</v>
      </c>
      <c r="AU24" s="15"/>
      <c r="AV24" s="30">
        <v>2.0090042999999998E-2</v>
      </c>
      <c r="AW24" s="40">
        <v>3.0538307540188799E-3</v>
      </c>
      <c r="AX24" s="15">
        <f t="shared" si="4"/>
        <v>1.1634788099999998E-2</v>
      </c>
      <c r="AY24" s="30">
        <f t="shared" ref="AY24:AY70" si="21">AX19*24</f>
        <v>0.24186502152</v>
      </c>
      <c r="AZ24" s="30">
        <f t="shared" si="16"/>
        <v>1754.87</v>
      </c>
      <c r="BA24" s="31">
        <f t="shared" si="6"/>
        <v>2.9973730247824629E-2</v>
      </c>
      <c r="BB24" s="31">
        <f t="shared" si="7"/>
        <v>3.0941176470588236E-2</v>
      </c>
      <c r="BC24" s="31">
        <f t="shared" si="8"/>
        <v>0.58759022932349991</v>
      </c>
      <c r="BD24" s="31" t="str">
        <f t="shared" si="9"/>
        <v/>
      </c>
      <c r="BE24" s="61">
        <f t="shared" si="1"/>
        <v>2.4482926221812498E-2</v>
      </c>
      <c r="BF24" s="58" t="str">
        <f t="shared" si="17"/>
        <v/>
      </c>
      <c r="BG24" s="31" t="str">
        <f t="shared" si="18"/>
        <v/>
      </c>
      <c r="BH24" s="31">
        <f t="shared" si="3"/>
        <v>5.3590759753051112</v>
      </c>
      <c r="BI24" s="46">
        <f t="shared" si="10"/>
        <v>63.592016160551943</v>
      </c>
      <c r="BJ24" s="66">
        <f t="shared" si="11"/>
        <v>2.4482926221812498E-2</v>
      </c>
      <c r="BK24" s="48">
        <f t="shared" si="12"/>
        <v>5.3590759753051112</v>
      </c>
    </row>
    <row r="25" spans="1:63" ht="15" thickBot="1" x14ac:dyDescent="0.35">
      <c r="A25" s="6" t="s">
        <v>58</v>
      </c>
      <c r="B25" s="7" t="s">
        <v>26</v>
      </c>
      <c r="C25" s="7">
        <v>12</v>
      </c>
      <c r="D25" s="7">
        <v>3</v>
      </c>
      <c r="E25" s="8">
        <v>45452.501782407402</v>
      </c>
      <c r="F25" s="7">
        <v>1505.08</v>
      </c>
      <c r="G25" s="11"/>
      <c r="H25" s="11">
        <v>1424.87</v>
      </c>
      <c r="I25" s="11">
        <v>24.2</v>
      </c>
      <c r="J25" s="11">
        <v>23.4</v>
      </c>
      <c r="K25" s="11">
        <v>96.8</v>
      </c>
      <c r="L25" s="11">
        <v>16.399999999999999</v>
      </c>
      <c r="M25" s="11">
        <v>328</v>
      </c>
      <c r="N25" s="11">
        <v>1.48</v>
      </c>
      <c r="O25" s="11">
        <v>0.36</v>
      </c>
      <c r="P25" s="11">
        <v>0.86</v>
      </c>
      <c r="Q25" s="11">
        <v>0.19</v>
      </c>
      <c r="R25" s="11">
        <v>0.03</v>
      </c>
      <c r="S25" s="11">
        <v>1.91</v>
      </c>
      <c r="T25" s="11">
        <v>7.2450000000000001</v>
      </c>
      <c r="U25" s="11">
        <v>121.9</v>
      </c>
      <c r="V25" s="11">
        <v>24.8</v>
      </c>
      <c r="W25" s="11">
        <v>2.77</v>
      </c>
      <c r="X25" s="11">
        <v>140.9</v>
      </c>
      <c r="Y25" s="11">
        <v>51.4</v>
      </c>
      <c r="Z25" s="11">
        <v>106.9</v>
      </c>
      <c r="AA25" s="11">
        <v>20</v>
      </c>
      <c r="AB25" s="26">
        <v>7.2859999999999996</v>
      </c>
      <c r="AC25" s="16">
        <v>297</v>
      </c>
      <c r="AD25" s="17">
        <v>0.53300000000000003</v>
      </c>
      <c r="AE25" s="17">
        <v>7.3</v>
      </c>
      <c r="AF25" s="17">
        <v>34</v>
      </c>
      <c r="AG25" s="17">
        <v>21.77</v>
      </c>
      <c r="AH25" s="17">
        <v>14.266</v>
      </c>
      <c r="AI25" s="17">
        <v>4.76</v>
      </c>
      <c r="AJ25" s="17">
        <v>2.2130645171450001E-2</v>
      </c>
      <c r="AK25" s="17">
        <v>51</v>
      </c>
      <c r="AL25" s="17">
        <v>30.11</v>
      </c>
      <c r="AM25" s="17">
        <f t="shared" si="20"/>
        <v>30.85</v>
      </c>
      <c r="AN25" s="17">
        <f t="shared" si="20"/>
        <v>9.129999999999999</v>
      </c>
      <c r="AO25" s="44">
        <v>15</v>
      </c>
      <c r="AP25" s="20">
        <v>1700</v>
      </c>
      <c r="AQ25" s="11">
        <v>34</v>
      </c>
      <c r="AR25" s="11">
        <v>7.2</v>
      </c>
      <c r="AS25" s="11">
        <v>50</v>
      </c>
      <c r="AT25" s="17">
        <v>2.9999999999999997E-4</v>
      </c>
      <c r="AU25" s="16"/>
      <c r="AV25" s="17">
        <v>1.7964948000000001E-2</v>
      </c>
      <c r="AW25" s="41">
        <v>4.2153110000000002E-3</v>
      </c>
      <c r="AX25" s="16">
        <f t="shared" si="4"/>
        <v>1.2452820119999998E-2</v>
      </c>
      <c r="AY25" s="17">
        <f t="shared" si="21"/>
        <v>0.25522896959999997</v>
      </c>
      <c r="AZ25" s="17">
        <f t="shared" si="16"/>
        <v>1773.9059999999999</v>
      </c>
      <c r="BA25" s="18">
        <f t="shared" si="6"/>
        <v>2.8750114154865027E-2</v>
      </c>
      <c r="BB25" s="18">
        <f t="shared" si="7"/>
        <v>0.03</v>
      </c>
      <c r="BC25" s="18">
        <f t="shared" si="8"/>
        <v>0.53113548411480005</v>
      </c>
      <c r="BD25" s="18" t="str">
        <f t="shared" si="9"/>
        <v/>
      </c>
      <c r="BE25" s="18">
        <f t="shared" si="1"/>
        <v>2.2130645171450001E-2</v>
      </c>
      <c r="BF25" s="59" t="str">
        <f t="shared" si="17"/>
        <v/>
      </c>
      <c r="BG25" s="18" t="str">
        <f t="shared" si="18"/>
        <v/>
      </c>
      <c r="BH25" s="18">
        <f t="shared" si="3"/>
        <v>7.4775654747660001</v>
      </c>
      <c r="BI25" s="46">
        <f t="shared" si="10"/>
        <v>57.482195250519489</v>
      </c>
      <c r="BJ25" s="66">
        <f t="shared" si="11"/>
        <v>2.2130645171450001E-2</v>
      </c>
      <c r="BK25" s="48">
        <f t="shared" si="12"/>
        <v>7.4775654747660001</v>
      </c>
    </row>
    <row r="26" spans="1:63" x14ac:dyDescent="0.3">
      <c r="A26" s="1" t="s">
        <v>53</v>
      </c>
      <c r="B26" s="27" t="s">
        <v>28</v>
      </c>
      <c r="C26" s="27">
        <v>12</v>
      </c>
      <c r="D26" s="27">
        <v>4</v>
      </c>
      <c r="E26" s="28">
        <v>45453.432939814797</v>
      </c>
      <c r="F26">
        <v>2119.61</v>
      </c>
      <c r="G26" s="29"/>
      <c r="H26" s="29">
        <v>1772.22</v>
      </c>
      <c r="I26" s="29">
        <v>26.6</v>
      </c>
      <c r="J26" s="29">
        <v>25.3</v>
      </c>
      <c r="K26" s="29">
        <v>95.3</v>
      </c>
      <c r="L26" s="29">
        <v>16.100000000000001</v>
      </c>
      <c r="M26" s="29">
        <v>357</v>
      </c>
      <c r="N26" s="29">
        <v>1.38</v>
      </c>
      <c r="O26" s="29">
        <v>0.33</v>
      </c>
      <c r="P26" s="29">
        <v>2.21</v>
      </c>
      <c r="Q26" s="29">
        <v>7.0000000000000007E-2</v>
      </c>
      <c r="R26" s="29">
        <v>0.13</v>
      </c>
      <c r="S26" s="29">
        <v>3.3</v>
      </c>
      <c r="T26" s="29">
        <v>7.3049999999999997</v>
      </c>
      <c r="U26" s="29">
        <v>112.9</v>
      </c>
      <c r="V26" s="29">
        <v>32.1</v>
      </c>
      <c r="W26" s="29">
        <v>2.96</v>
      </c>
      <c r="X26" s="29">
        <v>157.5</v>
      </c>
      <c r="Y26" s="29">
        <v>54.8</v>
      </c>
      <c r="Z26" s="29">
        <v>99</v>
      </c>
      <c r="AA26" s="29">
        <v>26</v>
      </c>
      <c r="AB26" s="25">
        <v>7.3470000000000004</v>
      </c>
      <c r="AC26" s="12">
        <v>300</v>
      </c>
      <c r="AD26" s="13">
        <v>0.498</v>
      </c>
      <c r="AE26" s="13">
        <v>7.3</v>
      </c>
      <c r="AF26" s="13">
        <v>34</v>
      </c>
      <c r="AG26" s="13">
        <v>31.32</v>
      </c>
      <c r="AH26" s="13">
        <v>4.71</v>
      </c>
      <c r="AI26" s="13">
        <v>4</v>
      </c>
      <c r="AJ26" s="13">
        <v>1.3502837699999999E-2</v>
      </c>
      <c r="AK26" s="13">
        <v>57</v>
      </c>
      <c r="AL26" s="13">
        <v>46</v>
      </c>
      <c r="AM26" s="13">
        <f t="shared" si="20"/>
        <v>17.97</v>
      </c>
      <c r="AN26" s="13">
        <f t="shared" si="20"/>
        <v>14.030000000000001</v>
      </c>
      <c r="AO26" s="42">
        <v>15</v>
      </c>
      <c r="AP26" s="19">
        <v>1700</v>
      </c>
      <c r="AQ26" s="9">
        <v>34</v>
      </c>
      <c r="AR26" s="9">
        <v>7.2</v>
      </c>
      <c r="AS26" s="9">
        <v>50</v>
      </c>
      <c r="AT26" s="13">
        <v>2.9999999999999997E-4</v>
      </c>
      <c r="AU26" s="12"/>
      <c r="AV26" s="13"/>
      <c r="AW26" s="39"/>
      <c r="AX26" s="12">
        <f t="shared" si="4"/>
        <v>1.3502837699999999E-2</v>
      </c>
      <c r="AY26" s="13">
        <f t="shared" si="21"/>
        <v>0.33029195039999998</v>
      </c>
      <c r="AZ26" s="13">
        <f t="shared" si="16"/>
        <v>1779.03</v>
      </c>
      <c r="BA26" s="14">
        <f t="shared" si="6"/>
        <v>3.2039931872986968E-2</v>
      </c>
      <c r="BB26" s="14">
        <f t="shared" si="7"/>
        <v>3.3529411764705884E-2</v>
      </c>
      <c r="BC26" s="14">
        <f t="shared" si="8"/>
        <v>0.32406810479999998</v>
      </c>
      <c r="BD26" s="14" t="str">
        <f t="shared" si="9"/>
        <v/>
      </c>
      <c r="BE26" s="14" t="str">
        <f t="shared" si="1"/>
        <v/>
      </c>
      <c r="BF26" s="57">
        <f t="shared" si="17"/>
        <v>1.3502837699999999E-2</v>
      </c>
      <c r="BG26" s="14">
        <f t="shared" si="18"/>
        <v>0</v>
      </c>
      <c r="BH26" s="14" t="str">
        <f t="shared" si="3"/>
        <v/>
      </c>
      <c r="BI26" s="45">
        <f t="shared" si="10"/>
        <v>35.072305714285712</v>
      </c>
      <c r="BJ26" s="65">
        <f t="shared" si="11"/>
        <v>1.3502837699999999E-2</v>
      </c>
      <c r="BK26" s="50">
        <f t="shared" si="12"/>
        <v>0</v>
      </c>
    </row>
    <row r="27" spans="1:63" x14ac:dyDescent="0.3">
      <c r="A27" s="1" t="s">
        <v>54</v>
      </c>
      <c r="B27" s="27" t="s">
        <v>27</v>
      </c>
      <c r="C27" s="27">
        <v>12</v>
      </c>
      <c r="D27" s="27">
        <v>4</v>
      </c>
      <c r="E27" s="28">
        <v>45453.436979166698</v>
      </c>
      <c r="F27">
        <v>2119.61</v>
      </c>
      <c r="G27" s="29"/>
      <c r="H27" s="29">
        <v>1571.25</v>
      </c>
      <c r="I27" s="29">
        <v>22.4</v>
      </c>
      <c r="J27" s="29">
        <v>21</v>
      </c>
      <c r="K27" s="29">
        <v>93.7</v>
      </c>
      <c r="L27" s="29">
        <v>16.5</v>
      </c>
      <c r="M27" s="29">
        <v>361</v>
      </c>
      <c r="N27" s="29">
        <v>1.44</v>
      </c>
      <c r="O27" s="29">
        <v>0.35</v>
      </c>
      <c r="P27" s="29">
        <v>1.48</v>
      </c>
      <c r="Q27" s="29">
        <v>7.0000000000000007E-2</v>
      </c>
      <c r="R27" s="29">
        <v>0.08</v>
      </c>
      <c r="S27" s="29">
        <v>3.92</v>
      </c>
      <c r="T27" s="29">
        <v>7.2910000000000004</v>
      </c>
      <c r="U27" s="29">
        <v>108.3</v>
      </c>
      <c r="V27" s="29">
        <v>36.799999999999997</v>
      </c>
      <c r="W27" s="29">
        <v>2.85</v>
      </c>
      <c r="X27" s="34">
        <v>156</v>
      </c>
      <c r="Y27" s="34">
        <v>50.9</v>
      </c>
      <c r="Z27" s="29">
        <v>95</v>
      </c>
      <c r="AA27" s="29">
        <v>29.8</v>
      </c>
      <c r="AB27" s="25">
        <v>7.3330000000000002</v>
      </c>
      <c r="AC27" s="15">
        <v>300</v>
      </c>
      <c r="AD27" s="30">
        <v>0.51900000000000002</v>
      </c>
      <c r="AE27" s="30">
        <v>7.3</v>
      </c>
      <c r="AF27" s="30">
        <v>34</v>
      </c>
      <c r="AG27" s="30">
        <v>33.53</v>
      </c>
      <c r="AH27" s="30">
        <v>4.6399999999999997</v>
      </c>
      <c r="AI27" s="30">
        <v>3</v>
      </c>
      <c r="AJ27" s="30">
        <v>4.4315646613239966E-2</v>
      </c>
      <c r="AK27" s="30">
        <v>49</v>
      </c>
      <c r="AL27" s="30">
        <v>47</v>
      </c>
      <c r="AM27" s="30">
        <f t="shared" si="20"/>
        <v>19.899999999999999</v>
      </c>
      <c r="AN27" s="30">
        <f t="shared" si="20"/>
        <v>14.100000000000001</v>
      </c>
      <c r="AO27" s="43">
        <v>15</v>
      </c>
      <c r="AP27" s="32">
        <v>1700</v>
      </c>
      <c r="AQ27" s="29">
        <v>34</v>
      </c>
      <c r="AR27" s="29">
        <v>7.2</v>
      </c>
      <c r="AS27" s="29">
        <v>50</v>
      </c>
      <c r="AT27" s="30">
        <v>2.9999999999999997E-4</v>
      </c>
      <c r="AU27" s="15">
        <v>3.5988952623304898E-2</v>
      </c>
      <c r="AV27" s="30"/>
      <c r="AW27" s="40"/>
      <c r="AX27" s="15">
        <f t="shared" si="4"/>
        <v>1.1170971E-2</v>
      </c>
      <c r="AY27" s="30">
        <f t="shared" si="21"/>
        <v>0.29540777759999992</v>
      </c>
      <c r="AZ27" s="30">
        <f t="shared" si="16"/>
        <v>1773.17</v>
      </c>
      <c r="BA27" s="31">
        <f t="shared" si="6"/>
        <v>2.7634124195649597E-2</v>
      </c>
      <c r="BB27" s="31">
        <f t="shared" si="7"/>
        <v>2.8823529411764706E-2</v>
      </c>
      <c r="BC27" s="31">
        <f t="shared" si="8"/>
        <v>1.0635755187177591</v>
      </c>
      <c r="BD27" s="31">
        <f t="shared" si="9"/>
        <v>4.4315646613239966E-2</v>
      </c>
      <c r="BE27" s="61" t="str">
        <f t="shared" si="1"/>
        <v/>
      </c>
      <c r="BF27" s="58" t="str">
        <f t="shared" si="17"/>
        <v/>
      </c>
      <c r="BG27" s="31">
        <f t="shared" si="18"/>
        <v>6.7380460000000006</v>
      </c>
      <c r="BH27" s="31" t="str">
        <f t="shared" si="3"/>
        <v/>
      </c>
      <c r="BI27" s="46">
        <f t="shared" si="10"/>
        <v>115.10557561880512</v>
      </c>
      <c r="BJ27" s="66">
        <f t="shared" si="11"/>
        <v>4.4315646613239966E-2</v>
      </c>
      <c r="BK27" s="48">
        <f t="shared" si="12"/>
        <v>6.7380460000000006</v>
      </c>
    </row>
    <row r="28" spans="1:63" x14ac:dyDescent="0.3">
      <c r="A28" s="1" t="s">
        <v>55</v>
      </c>
      <c r="B28" s="27" t="s">
        <v>27</v>
      </c>
      <c r="C28" s="27">
        <v>12</v>
      </c>
      <c r="D28" s="27">
        <v>4</v>
      </c>
      <c r="E28" s="28">
        <v>45453.441400463002</v>
      </c>
      <c r="F28">
        <v>2119.61</v>
      </c>
      <c r="G28" s="29"/>
      <c r="H28" s="29">
        <v>1649.175</v>
      </c>
      <c r="I28" s="29">
        <v>23.7</v>
      </c>
      <c r="J28" s="29">
        <v>22.1</v>
      </c>
      <c r="K28" s="29">
        <v>93.1</v>
      </c>
      <c r="L28" s="29">
        <v>16.3</v>
      </c>
      <c r="M28" s="29">
        <v>352</v>
      </c>
      <c r="N28" s="29">
        <v>1.41</v>
      </c>
      <c r="O28" s="29">
        <v>0.36</v>
      </c>
      <c r="P28" s="29">
        <v>1.72</v>
      </c>
      <c r="Q28" s="29">
        <v>7.0000000000000007E-2</v>
      </c>
      <c r="R28" s="29">
        <v>0.1</v>
      </c>
      <c r="S28" s="29">
        <v>3.65</v>
      </c>
      <c r="T28" s="29">
        <v>7.258</v>
      </c>
      <c r="U28" s="29">
        <v>96.6</v>
      </c>
      <c r="V28" s="29">
        <v>44.1</v>
      </c>
      <c r="W28" s="29">
        <v>3.01</v>
      </c>
      <c r="X28" s="29">
        <v>148.9</v>
      </c>
      <c r="Y28" s="29">
        <v>42</v>
      </c>
      <c r="Z28" s="29">
        <v>84.7</v>
      </c>
      <c r="AA28" s="29">
        <v>35.700000000000003</v>
      </c>
      <c r="AB28" s="25">
        <v>7.2990000000000004</v>
      </c>
      <c r="AC28" s="15">
        <v>301</v>
      </c>
      <c r="AD28" s="30">
        <v>0.51100000000000001</v>
      </c>
      <c r="AE28" s="30">
        <v>7.3</v>
      </c>
      <c r="AF28" s="30">
        <v>34</v>
      </c>
      <c r="AG28" s="30">
        <v>27.27</v>
      </c>
      <c r="AH28" s="30">
        <v>5.78</v>
      </c>
      <c r="AI28" s="30">
        <v>6</v>
      </c>
      <c r="AJ28" s="30">
        <v>4.4316995715709212E-2</v>
      </c>
      <c r="AK28" s="30">
        <v>47</v>
      </c>
      <c r="AL28" s="30">
        <v>47</v>
      </c>
      <c r="AM28" s="30">
        <f t="shared" si="20"/>
        <v>18.09</v>
      </c>
      <c r="AN28" s="30">
        <f t="shared" si="20"/>
        <v>14.350000000000001</v>
      </c>
      <c r="AO28" s="43">
        <v>15</v>
      </c>
      <c r="AP28" s="32">
        <v>1700</v>
      </c>
      <c r="AQ28" s="29">
        <v>34</v>
      </c>
      <c r="AR28" s="29">
        <v>7.2</v>
      </c>
      <c r="AS28" s="29">
        <v>50</v>
      </c>
      <c r="AT28" s="30">
        <v>2.9999999999999997E-4</v>
      </c>
      <c r="AU28" s="15">
        <v>3.6073866668902103E-2</v>
      </c>
      <c r="AV28" s="30"/>
      <c r="AW28" s="40"/>
      <c r="AX28" s="15">
        <f t="shared" si="4"/>
        <v>1.17288015E-2</v>
      </c>
      <c r="AY28" s="30">
        <f t="shared" si="21"/>
        <v>0.29108993760000001</v>
      </c>
      <c r="AZ28" s="30">
        <f t="shared" si="16"/>
        <v>1769.05</v>
      </c>
      <c r="BA28" s="31">
        <f t="shared" si="6"/>
        <v>2.656793194087222E-2</v>
      </c>
      <c r="BB28" s="31">
        <f t="shared" si="7"/>
        <v>2.7647058823529413E-2</v>
      </c>
      <c r="BC28" s="31">
        <f t="shared" si="8"/>
        <v>1.0636078971770211</v>
      </c>
      <c r="BD28" s="31">
        <f t="shared" si="9"/>
        <v>4.4316995715709212E-2</v>
      </c>
      <c r="BE28" s="61" t="str">
        <f t="shared" si="1"/>
        <v/>
      </c>
      <c r="BF28" s="58" t="str">
        <f t="shared" si="17"/>
        <v/>
      </c>
      <c r="BG28" s="31">
        <f t="shared" si="18"/>
        <v>0</v>
      </c>
      <c r="BH28" s="31" t="str">
        <f t="shared" si="3"/>
        <v/>
      </c>
      <c r="BI28" s="46">
        <f t="shared" si="10"/>
        <v>115.10907978106289</v>
      </c>
      <c r="BJ28" s="66">
        <f t="shared" si="11"/>
        <v>4.4316995715709212E-2</v>
      </c>
      <c r="BK28" s="48">
        <f t="shared" si="12"/>
        <v>0</v>
      </c>
    </row>
    <row r="29" spans="1:63" x14ac:dyDescent="0.3">
      <c r="A29" s="1" t="s">
        <v>57</v>
      </c>
      <c r="B29" s="27" t="s">
        <v>26</v>
      </c>
      <c r="C29" s="27">
        <v>12</v>
      </c>
      <c r="D29" s="27">
        <v>4</v>
      </c>
      <c r="E29" s="28">
        <v>45453.4444560185</v>
      </c>
      <c r="F29">
        <v>2119.61</v>
      </c>
      <c r="G29" s="29"/>
      <c r="H29" s="29">
        <v>1716.7950000000001</v>
      </c>
      <c r="I29" s="29">
        <v>23.2</v>
      </c>
      <c r="J29" s="29">
        <v>22.4</v>
      </c>
      <c r="K29" s="29">
        <v>96.6</v>
      </c>
      <c r="L29" s="29">
        <v>16.8</v>
      </c>
      <c r="M29" s="29">
        <v>0</v>
      </c>
      <c r="N29" s="29">
        <v>1.33</v>
      </c>
      <c r="O29" s="29">
        <v>0.31</v>
      </c>
      <c r="P29" s="29">
        <v>2.36</v>
      </c>
      <c r="Q29" s="29">
        <v>0.18</v>
      </c>
      <c r="R29" s="29">
        <v>0.13</v>
      </c>
      <c r="S29" s="29">
        <v>2.2400000000000002</v>
      </c>
      <c r="T29" s="29">
        <v>7.2519999999999998</v>
      </c>
      <c r="U29" s="29">
        <v>129.30000000000001</v>
      </c>
      <c r="V29" s="29">
        <v>4.9000000000000004</v>
      </c>
      <c r="W29" s="29">
        <v>2.17</v>
      </c>
      <c r="X29" s="29">
        <v>148.1</v>
      </c>
      <c r="Y29" s="29">
        <v>55.4</v>
      </c>
      <c r="Z29" s="29">
        <v>113.4</v>
      </c>
      <c r="AA29" s="29">
        <v>4</v>
      </c>
      <c r="AB29" s="25">
        <v>7.2930000000000001</v>
      </c>
      <c r="AC29" s="15">
        <v>302</v>
      </c>
      <c r="AD29" s="30">
        <v>0.51600000000000001</v>
      </c>
      <c r="AE29" s="30">
        <v>7.23</v>
      </c>
      <c r="AF29" s="30">
        <v>34</v>
      </c>
      <c r="AG29" s="30">
        <v>24.77</v>
      </c>
      <c r="AH29" s="30">
        <v>0</v>
      </c>
      <c r="AI29" s="30">
        <v>6</v>
      </c>
      <c r="AJ29" s="30">
        <v>1.4000061328465761E-2</v>
      </c>
      <c r="AK29" s="30">
        <v>85</v>
      </c>
      <c r="AL29" s="30">
        <v>27</v>
      </c>
      <c r="AM29" s="30">
        <f t="shared" si="20"/>
        <v>32.4</v>
      </c>
      <c r="AN29" s="30">
        <f t="shared" si="20"/>
        <v>6.27</v>
      </c>
      <c r="AO29" s="43">
        <v>15</v>
      </c>
      <c r="AP29" s="32">
        <v>1700</v>
      </c>
      <c r="AQ29" s="29">
        <v>34</v>
      </c>
      <c r="AR29" s="29">
        <v>7.2</v>
      </c>
      <c r="AS29" s="29">
        <v>50</v>
      </c>
      <c r="AT29" s="30">
        <v>2.9999999999999997E-4</v>
      </c>
      <c r="AU29" s="15"/>
      <c r="AV29" s="30">
        <v>1.1333724041326701E-2</v>
      </c>
      <c r="AW29" s="40">
        <v>2.3715861773774098E-3</v>
      </c>
      <c r="AX29" s="15">
        <f t="shared" si="4"/>
        <v>1.19533344E-2</v>
      </c>
      <c r="AY29" s="30">
        <f t="shared" si="21"/>
        <v>0.27923491439999992</v>
      </c>
      <c r="AZ29" s="30">
        <f t="shared" si="16"/>
        <v>1778.77</v>
      </c>
      <c r="BA29" s="31">
        <f t="shared" si="6"/>
        <v>4.7785829533891398E-2</v>
      </c>
      <c r="BB29" s="31">
        <f t="shared" si="7"/>
        <v>0.05</v>
      </c>
      <c r="BC29" s="31">
        <f t="shared" si="8"/>
        <v>0.33600147188317825</v>
      </c>
      <c r="BD29" s="31" t="str">
        <f t="shared" si="9"/>
        <v/>
      </c>
      <c r="BE29" s="61">
        <f t="shared" si="1"/>
        <v>1.4000061328465761E-2</v>
      </c>
      <c r="BF29" s="58" t="str">
        <f t="shared" si="17"/>
        <v/>
      </c>
      <c r="BG29" s="31"/>
      <c r="BH29" s="31">
        <f t="shared" si="3"/>
        <v>4.2185063447336155</v>
      </c>
      <c r="BI29" s="46">
        <f t="shared" si="10"/>
        <v>36.363795658352629</v>
      </c>
      <c r="BJ29" s="66">
        <f t="shared" si="11"/>
        <v>1.4000061328465761E-2</v>
      </c>
      <c r="BK29" s="48">
        <f t="shared" si="12"/>
        <v>4.2185063447336155</v>
      </c>
    </row>
    <row r="30" spans="1:63" ht="15" thickBot="1" x14ac:dyDescent="0.35">
      <c r="A30" s="1" t="s">
        <v>58</v>
      </c>
      <c r="B30" s="27" t="s">
        <v>26</v>
      </c>
      <c r="C30" s="27">
        <v>12</v>
      </c>
      <c r="D30" s="27">
        <v>4</v>
      </c>
      <c r="E30" s="28">
        <v>45453.4511921296</v>
      </c>
      <c r="F30">
        <v>2119.61</v>
      </c>
      <c r="G30" s="29"/>
      <c r="H30" s="29">
        <v>1852.26</v>
      </c>
      <c r="I30" s="29">
        <v>24.5</v>
      </c>
      <c r="J30" s="29">
        <v>23.6</v>
      </c>
      <c r="K30" s="29">
        <v>96.2</v>
      </c>
      <c r="L30" s="29">
        <v>16.600000000000001</v>
      </c>
      <c r="M30" s="29">
        <v>326</v>
      </c>
      <c r="N30" s="29">
        <v>1.46</v>
      </c>
      <c r="O30" s="29">
        <v>0.31</v>
      </c>
      <c r="P30" s="29">
        <v>1.58</v>
      </c>
      <c r="Q30" s="29">
        <v>0.15</v>
      </c>
      <c r="R30" s="29">
        <v>0.1</v>
      </c>
      <c r="S30" s="29">
        <v>1.4</v>
      </c>
      <c r="T30" s="29">
        <v>7.2489999999999997</v>
      </c>
      <c r="U30" s="29">
        <v>129.4</v>
      </c>
      <c r="V30" s="29">
        <v>26.7</v>
      </c>
      <c r="W30" s="29">
        <v>2.46</v>
      </c>
      <c r="X30" s="29">
        <v>144.1</v>
      </c>
      <c r="Y30" s="29">
        <v>55.1</v>
      </c>
      <c r="Z30" s="29">
        <v>113.5</v>
      </c>
      <c r="AA30" s="29">
        <v>21.6</v>
      </c>
      <c r="AB30" s="25">
        <v>7.29</v>
      </c>
      <c r="AC30" s="16">
        <v>301</v>
      </c>
      <c r="AD30" s="17">
        <v>0.48100000000000004</v>
      </c>
      <c r="AE30" s="17">
        <v>7.3</v>
      </c>
      <c r="AF30" s="17">
        <v>34</v>
      </c>
      <c r="AG30" s="17">
        <v>21.77</v>
      </c>
      <c r="AH30" s="17">
        <v>21.64</v>
      </c>
      <c r="AI30" s="17">
        <v>6</v>
      </c>
      <c r="AJ30" s="17">
        <v>2.1265523894556992E-2</v>
      </c>
      <c r="AK30" s="17">
        <v>81</v>
      </c>
      <c r="AL30" s="17">
        <v>38</v>
      </c>
      <c r="AM30" s="17">
        <f t="shared" si="20"/>
        <v>30</v>
      </c>
      <c r="AN30" s="17">
        <f t="shared" si="20"/>
        <v>7.8900000000000006</v>
      </c>
      <c r="AO30" s="44">
        <v>15</v>
      </c>
      <c r="AP30" s="20">
        <v>1700</v>
      </c>
      <c r="AQ30" s="11">
        <v>34</v>
      </c>
      <c r="AR30" s="11">
        <v>7.2</v>
      </c>
      <c r="AS30" s="11">
        <v>50</v>
      </c>
      <c r="AT30" s="17">
        <v>2.9999999999999997E-4</v>
      </c>
      <c r="AU30" s="16"/>
      <c r="AV30" s="17">
        <v>1.6970840556282701E-2</v>
      </c>
      <c r="AW30" s="41">
        <v>2.0375862739135898E-3</v>
      </c>
      <c r="AX30" s="16">
        <f t="shared" si="4"/>
        <v>1.27752228E-2</v>
      </c>
      <c r="AY30" s="17">
        <f t="shared" si="21"/>
        <v>0.29886768287999993</v>
      </c>
      <c r="AZ30" s="17">
        <f t="shared" si="16"/>
        <v>1804.41</v>
      </c>
      <c r="BA30" s="18">
        <f t="shared" si="6"/>
        <v>4.4890019452341758E-2</v>
      </c>
      <c r="BB30" s="18">
        <f t="shared" si="7"/>
        <v>4.764705882352941E-2</v>
      </c>
      <c r="BC30" s="18">
        <f t="shared" si="8"/>
        <v>0.51037257346936782</v>
      </c>
      <c r="BD30" s="18" t="str">
        <f t="shared" si="9"/>
        <v/>
      </c>
      <c r="BE30" s="18">
        <f t="shared" si="1"/>
        <v>2.1265523894556992E-2</v>
      </c>
      <c r="BF30" s="59" t="str">
        <f t="shared" si="17"/>
        <v/>
      </c>
      <c r="BG30" s="18"/>
      <c r="BH30" s="18">
        <f t="shared" si="3"/>
        <v>3.6766410485124208</v>
      </c>
      <c r="BI30" s="47">
        <f t="shared" si="10"/>
        <v>55.235126998849331</v>
      </c>
      <c r="BJ30" s="67">
        <f t="shared" si="11"/>
        <v>2.1265523894556992E-2</v>
      </c>
      <c r="BK30" s="49">
        <f t="shared" si="12"/>
        <v>3.6766410485124208</v>
      </c>
    </row>
    <row r="31" spans="1:63" x14ac:dyDescent="0.3">
      <c r="A31" s="3" t="s">
        <v>53</v>
      </c>
      <c r="B31" s="4" t="s">
        <v>28</v>
      </c>
      <c r="C31" s="4">
        <v>12</v>
      </c>
      <c r="D31" s="4">
        <v>5</v>
      </c>
      <c r="E31" s="5">
        <v>45454.412476851903</v>
      </c>
      <c r="F31" s="4">
        <v>2716.05</v>
      </c>
      <c r="G31" s="9"/>
      <c r="H31" s="9">
        <v>2295.9</v>
      </c>
      <c r="I31" s="9">
        <v>24.8</v>
      </c>
      <c r="J31" s="9">
        <v>23.5</v>
      </c>
      <c r="K31" s="9">
        <v>94.8</v>
      </c>
      <c r="L31" s="9">
        <v>16.3</v>
      </c>
      <c r="M31" s="9">
        <v>353</v>
      </c>
      <c r="N31" s="9">
        <v>1.18</v>
      </c>
      <c r="O31" s="9">
        <v>0.28999999999999998</v>
      </c>
      <c r="P31" s="9">
        <v>2.0299999999999998</v>
      </c>
      <c r="Q31" s="9">
        <v>0.08</v>
      </c>
      <c r="R31" s="9">
        <v>0.15</v>
      </c>
      <c r="S31" s="9">
        <v>3.26</v>
      </c>
      <c r="T31" s="9">
        <v>7.2489999999999997</v>
      </c>
      <c r="U31" s="9">
        <v>118.6</v>
      </c>
      <c r="V31" s="9">
        <v>46.7</v>
      </c>
      <c r="W31" s="9">
        <v>2.72</v>
      </c>
      <c r="X31" s="9">
        <v>155</v>
      </c>
      <c r="Y31" s="9">
        <v>50.6</v>
      </c>
      <c r="Z31" s="9">
        <v>104</v>
      </c>
      <c r="AA31" s="9">
        <v>37.799999999999997</v>
      </c>
      <c r="AB31" s="24">
        <v>7.2910000000000004</v>
      </c>
      <c r="AC31" s="12">
        <v>299</v>
      </c>
      <c r="AD31" s="13">
        <v>0.51100000000000001</v>
      </c>
      <c r="AE31" s="13">
        <v>7.3</v>
      </c>
      <c r="AF31" s="13">
        <v>34</v>
      </c>
      <c r="AG31" s="13">
        <v>31.32</v>
      </c>
      <c r="AH31" s="13">
        <v>21.46</v>
      </c>
      <c r="AI31" s="13">
        <v>5</v>
      </c>
      <c r="AJ31" s="13">
        <v>1.6917932E-2</v>
      </c>
      <c r="AK31" s="13">
        <v>76</v>
      </c>
      <c r="AL31" s="13">
        <v>46</v>
      </c>
      <c r="AM31" s="13">
        <f t="shared" ref="AM31:AM35" si="22">AK31-AK26</f>
        <v>19</v>
      </c>
      <c r="AN31" s="13">
        <f t="shared" ref="AN31:AN35" si="23">AL31-AL26</f>
        <v>0</v>
      </c>
      <c r="AO31" s="42">
        <v>15</v>
      </c>
      <c r="AP31" s="19">
        <v>1700</v>
      </c>
      <c r="AQ31" s="9">
        <v>34</v>
      </c>
      <c r="AR31" s="9">
        <v>7.2</v>
      </c>
      <c r="AS31" s="9">
        <v>50</v>
      </c>
      <c r="AT31" s="13">
        <v>4.0000000000000002E-4</v>
      </c>
      <c r="AU31" s="12"/>
      <c r="AV31" s="13"/>
      <c r="AW31" s="39"/>
      <c r="AX31" s="12">
        <f t="shared" si="4"/>
        <v>1.6917932E-2</v>
      </c>
      <c r="AY31" s="13">
        <f t="shared" si="21"/>
        <v>0.32406810479999998</v>
      </c>
      <c r="AZ31" s="13">
        <f t="shared" si="16"/>
        <v>1799.78</v>
      </c>
      <c r="BA31" s="14">
        <f t="shared" si="6"/>
        <v>4.2227383346853505E-2</v>
      </c>
      <c r="BB31" s="14">
        <f t="shared" si="7"/>
        <v>4.4705882352941179E-2</v>
      </c>
      <c r="BC31" s="14">
        <f t="shared" si="8"/>
        <v>0.40603036800000003</v>
      </c>
      <c r="BD31" s="14" t="str">
        <f t="shared" si="9"/>
        <v/>
      </c>
      <c r="BE31" s="14" t="str">
        <f t="shared" si="1"/>
        <v/>
      </c>
      <c r="BF31" s="57">
        <f t="shared" si="17"/>
        <v>1.6917932E-2</v>
      </c>
      <c r="BG31" s="14">
        <f t="shared" ref="BG31:BG70" si="24">IF(P31&lt;1.5, IF(B31&lt;&gt;"Julia",((3-P31)*AZ31)/400, ""),0)</f>
        <v>0</v>
      </c>
      <c r="BH31" s="14" t="str">
        <f t="shared" si="3"/>
        <v/>
      </c>
      <c r="BI31" s="46">
        <f t="shared" si="10"/>
        <v>43.942680519480525</v>
      </c>
      <c r="BJ31" s="66">
        <f t="shared" si="11"/>
        <v>1.6917932E-2</v>
      </c>
      <c r="BK31" s="48">
        <f t="shared" si="12"/>
        <v>0</v>
      </c>
    </row>
    <row r="32" spans="1:63" x14ac:dyDescent="0.3">
      <c r="A32" s="1" t="s">
        <v>54</v>
      </c>
      <c r="B32" s="27" t="s">
        <v>27</v>
      </c>
      <c r="C32" s="27">
        <v>12</v>
      </c>
      <c r="D32" s="27">
        <v>5</v>
      </c>
      <c r="E32" s="28">
        <v>45454.415717592601</v>
      </c>
      <c r="F32" s="27">
        <v>2716.05</v>
      </c>
      <c r="G32" s="29"/>
      <c r="H32" s="29">
        <v>2198.355</v>
      </c>
      <c r="I32" s="29">
        <v>20.8</v>
      </c>
      <c r="J32" s="29">
        <v>19.3</v>
      </c>
      <c r="K32" s="29">
        <v>93</v>
      </c>
      <c r="L32" s="29">
        <v>17.3</v>
      </c>
      <c r="M32" s="29">
        <v>396</v>
      </c>
      <c r="N32" s="29">
        <v>1.32</v>
      </c>
      <c r="O32" s="29">
        <v>0.3</v>
      </c>
      <c r="P32" s="29">
        <v>5.62</v>
      </c>
      <c r="Q32" s="29">
        <v>0.23</v>
      </c>
      <c r="R32" s="29">
        <v>0.32</v>
      </c>
      <c r="S32" s="29">
        <v>2.87</v>
      </c>
      <c r="T32" s="29">
        <v>7.2560000000000002</v>
      </c>
      <c r="U32" s="29">
        <v>143.9</v>
      </c>
      <c r="V32" s="29">
        <v>42.6</v>
      </c>
      <c r="W32" s="29">
        <v>2.06</v>
      </c>
      <c r="X32" s="29">
        <v>158</v>
      </c>
      <c r="Y32" s="29">
        <v>62.3</v>
      </c>
      <c r="Z32" s="29">
        <v>126.2</v>
      </c>
      <c r="AA32" s="29">
        <v>34.5</v>
      </c>
      <c r="AB32" s="25">
        <v>7.2969999999999997</v>
      </c>
      <c r="AC32" s="15">
        <v>299</v>
      </c>
      <c r="AD32" s="30">
        <v>0.50900000000000001</v>
      </c>
      <c r="AE32" s="30">
        <v>7.28</v>
      </c>
      <c r="AF32" s="30">
        <v>34</v>
      </c>
      <c r="AG32" s="30">
        <v>33.53</v>
      </c>
      <c r="AH32" s="30">
        <v>6.72</v>
      </c>
      <c r="AI32" s="30">
        <v>3</v>
      </c>
      <c r="AJ32" s="30">
        <v>3.6440233892207234E-2</v>
      </c>
      <c r="AK32" s="30">
        <v>107</v>
      </c>
      <c r="AL32" s="30">
        <v>55</v>
      </c>
      <c r="AM32" s="30">
        <f t="shared" si="22"/>
        <v>58</v>
      </c>
      <c r="AN32" s="30">
        <f t="shared" si="23"/>
        <v>8</v>
      </c>
      <c r="AO32" s="43">
        <v>15</v>
      </c>
      <c r="AP32" s="32">
        <v>1700</v>
      </c>
      <c r="AQ32" s="29">
        <v>34</v>
      </c>
      <c r="AR32" s="29">
        <v>7.2</v>
      </c>
      <c r="AS32" s="29">
        <v>50</v>
      </c>
      <c r="AT32" s="30">
        <v>4.0000000000000002E-4</v>
      </c>
      <c r="AU32" s="15">
        <v>2.87489038787993E-2</v>
      </c>
      <c r="AV32" s="30"/>
      <c r="AW32" s="40"/>
      <c r="AX32" s="15">
        <f t="shared" si="4"/>
        <v>1.409093E-2</v>
      </c>
      <c r="AY32" s="30">
        <f t="shared" si="21"/>
        <v>0.26810330399999999</v>
      </c>
      <c r="AZ32" s="30">
        <f t="shared" si="16"/>
        <v>1825.25</v>
      </c>
      <c r="BA32" s="31">
        <f t="shared" si="6"/>
        <v>5.8622106560745103E-2</v>
      </c>
      <c r="BB32" s="31">
        <f t="shared" si="7"/>
        <v>6.2941176470588237E-2</v>
      </c>
      <c r="BC32" s="31">
        <f t="shared" si="8"/>
        <v>0.87456561341297356</v>
      </c>
      <c r="BD32" s="31">
        <f t="shared" si="9"/>
        <v>3.6440233892207234E-2</v>
      </c>
      <c r="BE32" s="61" t="str">
        <f t="shared" si="1"/>
        <v/>
      </c>
      <c r="BF32" s="58" t="str">
        <f t="shared" si="17"/>
        <v/>
      </c>
      <c r="BG32" s="31">
        <f t="shared" si="24"/>
        <v>0</v>
      </c>
      <c r="BH32" s="31" t="str">
        <f t="shared" si="3"/>
        <v/>
      </c>
      <c r="BI32" s="46">
        <f t="shared" si="10"/>
        <v>94.649958161577231</v>
      </c>
      <c r="BJ32" s="66">
        <f t="shared" si="11"/>
        <v>3.6440233892207234E-2</v>
      </c>
      <c r="BK32" s="48">
        <f t="shared" si="12"/>
        <v>0</v>
      </c>
    </row>
    <row r="33" spans="1:63" x14ac:dyDescent="0.3">
      <c r="A33" s="1" t="s">
        <v>55</v>
      </c>
      <c r="B33" s="27" t="s">
        <v>27</v>
      </c>
      <c r="C33" s="27">
        <v>12</v>
      </c>
      <c r="D33" s="27">
        <v>5</v>
      </c>
      <c r="E33" s="28">
        <v>45454.421145833301</v>
      </c>
      <c r="F33" s="27">
        <v>2716.05</v>
      </c>
      <c r="G33" s="29"/>
      <c r="H33" s="29">
        <v>2270.1149999999998</v>
      </c>
      <c r="I33" s="29">
        <v>21.7</v>
      </c>
      <c r="J33" s="29">
        <v>20</v>
      </c>
      <c r="K33" s="29">
        <v>92.5</v>
      </c>
      <c r="L33" s="29">
        <v>17</v>
      </c>
      <c r="M33" s="29">
        <v>376</v>
      </c>
      <c r="N33" s="29">
        <v>1.28</v>
      </c>
      <c r="O33" s="29">
        <v>0.3</v>
      </c>
      <c r="P33" s="29">
        <v>5.03</v>
      </c>
      <c r="Q33" s="29">
        <v>0.2</v>
      </c>
      <c r="R33" s="29">
        <v>0.54</v>
      </c>
      <c r="S33" s="29">
        <v>2.76</v>
      </c>
      <c r="T33" s="29">
        <v>7.24</v>
      </c>
      <c r="U33" s="29">
        <v>109.8</v>
      </c>
      <c r="V33" s="29">
        <v>40.4</v>
      </c>
      <c r="W33" s="29">
        <v>2.12</v>
      </c>
      <c r="X33" s="29">
        <v>150.30000000000001</v>
      </c>
      <c r="Y33" s="29">
        <v>45.7</v>
      </c>
      <c r="Z33" s="29">
        <v>96.3</v>
      </c>
      <c r="AA33" s="29">
        <v>32.700000000000003</v>
      </c>
      <c r="AB33" s="25">
        <v>7.2809999999999997</v>
      </c>
      <c r="AC33" s="15">
        <v>299</v>
      </c>
      <c r="AD33" s="30">
        <v>0.503</v>
      </c>
      <c r="AE33" s="30">
        <v>7.28</v>
      </c>
      <c r="AF33" s="30">
        <v>34</v>
      </c>
      <c r="AG33" s="30">
        <v>27.27</v>
      </c>
      <c r="AH33" s="30">
        <v>10.57</v>
      </c>
      <c r="AI33" s="30">
        <v>7</v>
      </c>
      <c r="AJ33" s="30">
        <v>3.2747608574761916E-2</v>
      </c>
      <c r="AK33" s="30">
        <v>104</v>
      </c>
      <c r="AL33" s="30">
        <v>47</v>
      </c>
      <c r="AM33" s="30">
        <f t="shared" si="22"/>
        <v>57</v>
      </c>
      <c r="AN33" s="30">
        <f t="shared" si="23"/>
        <v>0</v>
      </c>
      <c r="AO33" s="43">
        <v>15</v>
      </c>
      <c r="AP33" s="32">
        <v>1700</v>
      </c>
      <c r="AQ33" s="29">
        <v>34</v>
      </c>
      <c r="AR33" s="29">
        <v>7.2</v>
      </c>
      <c r="AS33" s="29">
        <v>50</v>
      </c>
      <c r="AT33" s="30">
        <v>4.0000000000000002E-4</v>
      </c>
      <c r="AU33" s="15">
        <v>2.5969554777765198E-2</v>
      </c>
      <c r="AV33" s="30"/>
      <c r="AW33" s="40"/>
      <c r="AX33" s="15">
        <f t="shared" si="4"/>
        <v>1.452672E-2</v>
      </c>
      <c r="AY33" s="30">
        <f t="shared" si="21"/>
        <v>0.28149123600000003</v>
      </c>
      <c r="AZ33" s="30">
        <f t="shared" si="16"/>
        <v>1815.84</v>
      </c>
      <c r="BA33" s="31">
        <f t="shared" si="6"/>
        <v>5.7273768613974804E-2</v>
      </c>
      <c r="BB33" s="31">
        <f t="shared" ref="BB33:BB58" si="25">AK33/AP33</f>
        <v>6.1176470588235297E-2</v>
      </c>
      <c r="BC33" s="31">
        <f t="shared" ref="BC33:BC58" si="26">AJ33*24</f>
        <v>0.78594260579428599</v>
      </c>
      <c r="BD33" s="31">
        <f t="shared" si="9"/>
        <v>3.2747608574761916E-2</v>
      </c>
      <c r="BE33" s="61" t="str">
        <f t="shared" si="1"/>
        <v/>
      </c>
      <c r="BF33" s="58" t="str">
        <f t="shared" si="17"/>
        <v/>
      </c>
      <c r="BG33" s="31">
        <f t="shared" si="24"/>
        <v>0</v>
      </c>
      <c r="BH33" s="31" t="str">
        <f t="shared" si="3"/>
        <v/>
      </c>
      <c r="BI33" s="46">
        <f t="shared" si="10"/>
        <v>85.058723570810173</v>
      </c>
      <c r="BJ33" s="66">
        <f t="shared" si="11"/>
        <v>3.2747608574761916E-2</v>
      </c>
      <c r="BK33" s="48">
        <f t="shared" si="12"/>
        <v>0</v>
      </c>
    </row>
    <row r="34" spans="1:63" x14ac:dyDescent="0.3">
      <c r="A34" s="1" t="s">
        <v>57</v>
      </c>
      <c r="B34" s="27" t="s">
        <v>26</v>
      </c>
      <c r="C34" s="27">
        <v>12</v>
      </c>
      <c r="D34" s="27">
        <v>5</v>
      </c>
      <c r="E34" s="28">
        <v>45454.425034722197</v>
      </c>
      <c r="F34" s="27">
        <v>2716.05</v>
      </c>
      <c r="G34" s="29"/>
      <c r="H34" s="29">
        <v>2325.9450000000002</v>
      </c>
      <c r="I34" s="29">
        <v>21.8</v>
      </c>
      <c r="J34" s="29">
        <v>20.9</v>
      </c>
      <c r="K34" s="29">
        <v>95.8</v>
      </c>
      <c r="L34" s="29">
        <v>16.899999999999999</v>
      </c>
      <c r="M34" s="29">
        <v>349</v>
      </c>
      <c r="N34" s="29">
        <v>1.44</v>
      </c>
      <c r="O34" s="29">
        <v>0.27</v>
      </c>
      <c r="P34" s="29">
        <v>1.33</v>
      </c>
      <c r="Q34" s="29">
        <v>0.16</v>
      </c>
      <c r="R34" s="29">
        <v>0.1</v>
      </c>
      <c r="S34" s="29">
        <v>1.83</v>
      </c>
      <c r="T34" s="29">
        <v>7.2539999999999996</v>
      </c>
      <c r="U34" s="29">
        <v>131.6</v>
      </c>
      <c r="V34" s="29">
        <v>12.7</v>
      </c>
      <c r="W34" s="29">
        <v>2.08</v>
      </c>
      <c r="X34" s="29">
        <v>149.1</v>
      </c>
      <c r="Y34" s="29">
        <v>56.7</v>
      </c>
      <c r="Z34" s="29">
        <v>115.4</v>
      </c>
      <c r="AA34" s="29">
        <v>10.3</v>
      </c>
      <c r="AB34" s="25">
        <v>7.2949999999999999</v>
      </c>
      <c r="AC34" s="15">
        <v>299</v>
      </c>
      <c r="AD34" s="30">
        <v>0.49399999999999999</v>
      </c>
      <c r="AE34" s="30">
        <v>7.3</v>
      </c>
      <c r="AF34" s="30">
        <v>34</v>
      </c>
      <c r="AG34" s="30">
        <v>24.77</v>
      </c>
      <c r="AH34" s="30">
        <v>3.99</v>
      </c>
      <c r="AI34" s="30">
        <v>8</v>
      </c>
      <c r="AJ34" s="30">
        <v>2.2234696197237742E-2</v>
      </c>
      <c r="AK34" s="30">
        <v>107</v>
      </c>
      <c r="AL34" s="30">
        <v>32</v>
      </c>
      <c r="AM34" s="30">
        <f t="shared" si="22"/>
        <v>22</v>
      </c>
      <c r="AN34" s="30">
        <f t="shared" si="23"/>
        <v>5</v>
      </c>
      <c r="AO34" s="43">
        <v>15</v>
      </c>
      <c r="AP34" s="32">
        <v>1700</v>
      </c>
      <c r="AQ34" s="29">
        <v>34</v>
      </c>
      <c r="AR34" s="29">
        <v>7.2</v>
      </c>
      <c r="AS34" s="29">
        <v>50</v>
      </c>
      <c r="AT34" s="30">
        <v>4.0000000000000002E-4</v>
      </c>
      <c r="AU34" s="15"/>
      <c r="AV34" s="30">
        <v>1.7829755938445199E-2</v>
      </c>
      <c r="AW34" s="40">
        <v>4.2762477749490602E-3</v>
      </c>
      <c r="AX34" s="15">
        <f t="shared" si="4"/>
        <v>1.5012553599999999E-2</v>
      </c>
      <c r="AY34" s="30">
        <f t="shared" si="21"/>
        <v>0.28688002559999998</v>
      </c>
      <c r="AZ34" s="30">
        <f t="shared" si="16"/>
        <v>1795.76</v>
      </c>
      <c r="BA34" s="31">
        <f t="shared" si="6"/>
        <v>5.9584799750523457E-2</v>
      </c>
      <c r="BB34" s="31">
        <f t="shared" si="25"/>
        <v>6.2941176470588237E-2</v>
      </c>
      <c r="BC34" s="31">
        <f t="shared" si="26"/>
        <v>0.53363270873370583</v>
      </c>
      <c r="BD34" s="31" t="str">
        <f t="shared" si="9"/>
        <v/>
      </c>
      <c r="BE34" s="61">
        <f t="shared" si="1"/>
        <v>2.2234696197237742E-2</v>
      </c>
      <c r="BF34" s="58" t="str">
        <f t="shared" si="17"/>
        <v/>
      </c>
      <c r="BG34" s="31" t="str">
        <f t="shared" si="24"/>
        <v/>
      </c>
      <c r="BH34" s="31">
        <f t="shared" si="3"/>
        <v>7.6791147043425241</v>
      </c>
      <c r="BI34" s="46">
        <f t="shared" si="10"/>
        <v>57.752457655162971</v>
      </c>
      <c r="BJ34" s="66">
        <f t="shared" si="11"/>
        <v>2.2234696197237742E-2</v>
      </c>
      <c r="BK34" s="48">
        <f t="shared" si="12"/>
        <v>7.6791147043425241</v>
      </c>
    </row>
    <row r="35" spans="1:63" ht="15" thickBot="1" x14ac:dyDescent="0.35">
      <c r="A35" s="6" t="s">
        <v>58</v>
      </c>
      <c r="B35" s="7" t="s">
        <v>26</v>
      </c>
      <c r="C35" s="7">
        <v>12</v>
      </c>
      <c r="D35" s="7">
        <v>5</v>
      </c>
      <c r="E35" s="8">
        <v>45454.4282060185</v>
      </c>
      <c r="F35" s="7">
        <v>2716.05</v>
      </c>
      <c r="G35" s="11"/>
      <c r="H35" s="11">
        <v>2518.02</v>
      </c>
      <c r="I35" s="11">
        <v>25.2</v>
      </c>
      <c r="J35" s="11">
        <v>24.5</v>
      </c>
      <c r="K35" s="11">
        <v>96.9</v>
      </c>
      <c r="L35" s="11">
        <v>16.600000000000001</v>
      </c>
      <c r="M35" s="11">
        <v>329</v>
      </c>
      <c r="N35" s="11">
        <v>1.47</v>
      </c>
      <c r="O35" s="11">
        <v>0.26</v>
      </c>
      <c r="P35" s="11">
        <v>1.21</v>
      </c>
      <c r="Q35" s="11">
        <v>0.15</v>
      </c>
      <c r="R35" s="11">
        <v>7.0000000000000007E-2</v>
      </c>
      <c r="S35" s="11">
        <v>1</v>
      </c>
      <c r="T35" s="11">
        <v>7.2539999999999996</v>
      </c>
      <c r="U35" s="11">
        <v>133.6</v>
      </c>
      <c r="V35" s="11">
        <v>21.9</v>
      </c>
      <c r="W35" s="11">
        <v>2.06</v>
      </c>
      <c r="X35" s="11">
        <v>143.69999999999999</v>
      </c>
      <c r="Y35" s="11">
        <v>57.6</v>
      </c>
      <c r="Z35" s="11">
        <v>117.1</v>
      </c>
      <c r="AA35" s="11">
        <v>17.7</v>
      </c>
      <c r="AB35" s="26">
        <v>7.2960000000000003</v>
      </c>
      <c r="AC35" s="16">
        <v>301</v>
      </c>
      <c r="AD35" s="17">
        <v>0.495</v>
      </c>
      <c r="AE35" s="17">
        <v>7.3</v>
      </c>
      <c r="AF35" s="17">
        <v>34</v>
      </c>
      <c r="AG35" s="17">
        <v>21.77</v>
      </c>
      <c r="AH35" s="17">
        <v>28</v>
      </c>
      <c r="AI35" s="17">
        <v>8</v>
      </c>
      <c r="AJ35" s="17">
        <v>2.5244879709235456E-2</v>
      </c>
      <c r="AK35" s="17">
        <v>111</v>
      </c>
      <c r="AL35" s="17">
        <v>43</v>
      </c>
      <c r="AM35" s="17">
        <f t="shared" si="22"/>
        <v>30</v>
      </c>
      <c r="AN35" s="17">
        <f t="shared" si="23"/>
        <v>5</v>
      </c>
      <c r="AO35" s="44">
        <v>15</v>
      </c>
      <c r="AP35" s="20">
        <v>1700</v>
      </c>
      <c r="AQ35" s="11">
        <v>34</v>
      </c>
      <c r="AR35" s="11">
        <v>7.2</v>
      </c>
      <c r="AS35" s="11">
        <v>50</v>
      </c>
      <c r="AT35" s="17">
        <v>4.0000000000000002E-4</v>
      </c>
      <c r="AU35" s="16"/>
      <c r="AV35" s="17">
        <v>1.9845628425675201E-2</v>
      </c>
      <c r="AW35" s="41">
        <v>5.6019013817215999E-3</v>
      </c>
      <c r="AX35" s="16">
        <f t="shared" si="4"/>
        <v>1.7951346E-2</v>
      </c>
      <c r="AY35" s="17">
        <f t="shared" si="21"/>
        <v>0.30660534719999999</v>
      </c>
      <c r="AZ35" s="17">
        <f t="shared" si="16"/>
        <v>1831.77</v>
      </c>
      <c r="BA35" s="18">
        <f t="shared" si="6"/>
        <v>6.0597127368610691E-2</v>
      </c>
      <c r="BB35" s="18">
        <f t="shared" si="25"/>
        <v>6.5294117647058822E-2</v>
      </c>
      <c r="BC35" s="18">
        <f t="shared" si="26"/>
        <v>0.60587711302165093</v>
      </c>
      <c r="BD35" s="18" t="str">
        <f t="shared" si="9"/>
        <v/>
      </c>
      <c r="BE35" s="18">
        <f t="shared" ref="BE35:BE70" si="27">IF(B35="Julia",AV35*AZ35/24/60,"")</f>
        <v>2.5244879709235456E-2</v>
      </c>
      <c r="BF35" s="59" t="str">
        <f t="shared" si="17"/>
        <v/>
      </c>
      <c r="BG35" s="18" t="str">
        <f t="shared" si="24"/>
        <v/>
      </c>
      <c r="BH35" s="18">
        <f t="shared" ref="BH35:BH70" si="28">IF(B35="Julia",AW35*AZ35,"")</f>
        <v>10.261394893996174</v>
      </c>
      <c r="BI35" s="46">
        <f t="shared" si="10"/>
        <v>65.571116127884309</v>
      </c>
      <c r="BJ35" s="66">
        <f t="shared" si="11"/>
        <v>2.5244879709235456E-2</v>
      </c>
      <c r="BK35" s="48">
        <f t="shared" si="12"/>
        <v>10.261394893996174</v>
      </c>
    </row>
    <row r="36" spans="1:63" x14ac:dyDescent="0.3">
      <c r="A36" s="1" t="s">
        <v>53</v>
      </c>
      <c r="B36" s="27" t="s">
        <v>28</v>
      </c>
      <c r="C36" s="27">
        <v>12</v>
      </c>
      <c r="D36" s="27">
        <v>6</v>
      </c>
      <c r="E36" s="28">
        <v>45455.407187500001</v>
      </c>
      <c r="F36">
        <v>3307.9</v>
      </c>
      <c r="G36" s="29"/>
      <c r="H36" s="29">
        <v>2801.43</v>
      </c>
      <c r="I36" s="29">
        <v>23.9</v>
      </c>
      <c r="J36" s="29">
        <v>22.4</v>
      </c>
      <c r="K36" s="29">
        <v>93.6</v>
      </c>
      <c r="L36" s="29">
        <v>16.399999999999999</v>
      </c>
      <c r="M36" s="29">
        <v>365</v>
      </c>
      <c r="N36" s="29">
        <v>1</v>
      </c>
      <c r="O36" s="29">
        <v>0.28000000000000003</v>
      </c>
      <c r="P36" s="29">
        <v>2.63</v>
      </c>
      <c r="Q36" s="29">
        <v>0.26</v>
      </c>
      <c r="R36" s="29">
        <v>0.02</v>
      </c>
      <c r="S36" s="29">
        <v>2.78</v>
      </c>
      <c r="T36" s="29">
        <v>7.2560000000000002</v>
      </c>
      <c r="U36" s="29">
        <v>112.8</v>
      </c>
      <c r="V36" s="29">
        <v>28.8</v>
      </c>
      <c r="W36" s="29">
        <v>2.59</v>
      </c>
      <c r="X36" s="29">
        <v>155.4</v>
      </c>
      <c r="Y36" s="29">
        <v>48.9</v>
      </c>
      <c r="Z36" s="29">
        <v>99</v>
      </c>
      <c r="AA36" s="29">
        <v>23.3</v>
      </c>
      <c r="AB36" s="25">
        <v>7.298</v>
      </c>
      <c r="AC36" s="12">
        <v>299</v>
      </c>
      <c r="AD36" s="13">
        <v>0.49700000000000005</v>
      </c>
      <c r="AE36" s="13">
        <v>7.3</v>
      </c>
      <c r="AF36" s="13">
        <v>34</v>
      </c>
      <c r="AG36" s="13">
        <v>31.32</v>
      </c>
      <c r="AH36" s="13">
        <v>35.200000000000003</v>
      </c>
      <c r="AI36" s="13">
        <v>6</v>
      </c>
      <c r="AJ36" s="13"/>
      <c r="AK36" s="13">
        <v>100</v>
      </c>
      <c r="AL36" s="13">
        <v>46</v>
      </c>
      <c r="AM36" s="13">
        <f t="shared" ref="AM36:AM40" si="29">AK36-AK31</f>
        <v>24</v>
      </c>
      <c r="AN36" s="13">
        <f t="shared" ref="AN36:AN40" si="30">AL36-AL31</f>
        <v>0</v>
      </c>
      <c r="AO36" s="42">
        <v>15</v>
      </c>
      <c r="AP36" s="19">
        <v>1700</v>
      </c>
      <c r="AQ36" s="9">
        <v>34</v>
      </c>
      <c r="AR36" s="9">
        <v>7.2</v>
      </c>
      <c r="AS36" s="9">
        <v>50</v>
      </c>
      <c r="AT36" s="13">
        <v>4.0000000000000002E-4</v>
      </c>
      <c r="AU36" s="12"/>
      <c r="AV36" s="13"/>
      <c r="AW36" s="39"/>
      <c r="AX36" s="12">
        <f t="shared" si="4"/>
        <v>1.6329779199999998E-2</v>
      </c>
      <c r="AY36" s="13">
        <f t="shared" si="21"/>
        <v>0.40603036800000003</v>
      </c>
      <c r="AZ36" s="13">
        <f>AP36+SUM(AG36:AI36,AK36:AL36)-((AO36+1)*D36)</f>
        <v>1822.52</v>
      </c>
      <c r="BA36" s="14">
        <f t="shared" si="6"/>
        <v>5.4869082369466457E-2</v>
      </c>
      <c r="BB36" s="14">
        <f t="shared" si="25"/>
        <v>5.8823529411764705E-2</v>
      </c>
      <c r="BC36" s="14">
        <f t="shared" si="26"/>
        <v>0</v>
      </c>
      <c r="BD36" s="14" t="str">
        <f t="shared" ref="BD36:BD70" si="31">IF(B36="Python",AU36*AZ36/24/60,"")</f>
        <v/>
      </c>
      <c r="BE36" s="14" t="str">
        <f t="shared" si="27"/>
        <v/>
      </c>
      <c r="BF36" s="57">
        <f t="shared" si="17"/>
        <v>1.6329779199999998E-2</v>
      </c>
      <c r="BG36" s="14">
        <f t="shared" si="24"/>
        <v>0</v>
      </c>
      <c r="BH36" s="14" t="str">
        <f t="shared" si="28"/>
        <v/>
      </c>
      <c r="BI36" s="45">
        <f t="shared" si="10"/>
        <v>42.41501090909091</v>
      </c>
      <c r="BJ36" s="65">
        <f t="shared" si="11"/>
        <v>1.6329779199999998E-2</v>
      </c>
      <c r="BK36" s="50">
        <f t="shared" si="12"/>
        <v>0</v>
      </c>
    </row>
    <row r="37" spans="1:63" x14ac:dyDescent="0.3">
      <c r="A37" s="1" t="s">
        <v>54</v>
      </c>
      <c r="B37" s="27" t="s">
        <v>27</v>
      </c>
      <c r="C37" s="27">
        <v>12</v>
      </c>
      <c r="D37" s="27">
        <v>6</v>
      </c>
      <c r="E37" s="28">
        <v>45455.410543981503</v>
      </c>
      <c r="F37">
        <v>3307.9</v>
      </c>
      <c r="G37" s="29"/>
      <c r="H37" s="29">
        <v>2795.67</v>
      </c>
      <c r="I37" s="29">
        <v>21.4</v>
      </c>
      <c r="J37" s="29">
        <v>20.3</v>
      </c>
      <c r="K37" s="29">
        <v>95.3</v>
      </c>
      <c r="L37">
        <v>18</v>
      </c>
      <c r="M37" s="29">
        <v>414</v>
      </c>
      <c r="N37" s="29">
        <v>1.62</v>
      </c>
      <c r="O37" s="29">
        <v>0.28999999999999998</v>
      </c>
      <c r="P37" s="29">
        <v>6.08</v>
      </c>
      <c r="Q37" s="29">
        <v>0.57999999999999996</v>
      </c>
      <c r="R37" s="29">
        <v>0.9</v>
      </c>
      <c r="S37" s="29">
        <v>2.4700000000000002</v>
      </c>
      <c r="T37" s="29">
        <v>7.194</v>
      </c>
      <c r="U37" s="29">
        <v>155.9</v>
      </c>
      <c r="V37" s="29">
        <v>21</v>
      </c>
      <c r="W37" s="29">
        <v>1.79</v>
      </c>
      <c r="X37" s="29">
        <v>164.1</v>
      </c>
      <c r="Y37" s="10">
        <v>58.4</v>
      </c>
      <c r="Z37" s="29">
        <v>136.69999999999999</v>
      </c>
      <c r="AA37" s="29">
        <v>17</v>
      </c>
      <c r="AB37" s="25">
        <v>7.234</v>
      </c>
      <c r="AC37" s="15">
        <v>300</v>
      </c>
      <c r="AD37" s="30">
        <v>0.49700000000000005</v>
      </c>
      <c r="AE37" s="30">
        <v>7.22</v>
      </c>
      <c r="AF37" s="30">
        <v>34</v>
      </c>
      <c r="AG37" s="30">
        <v>33.53</v>
      </c>
      <c r="AH37" s="30">
        <v>6.72</v>
      </c>
      <c r="AI37" s="30">
        <v>4</v>
      </c>
      <c r="AJ37" s="30"/>
      <c r="AK37" s="30">
        <v>160</v>
      </c>
      <c r="AL37" s="30">
        <v>55</v>
      </c>
      <c r="AM37" s="30">
        <f t="shared" si="29"/>
        <v>53</v>
      </c>
      <c r="AN37" s="30">
        <f t="shared" si="30"/>
        <v>0</v>
      </c>
      <c r="AO37" s="43">
        <v>15</v>
      </c>
      <c r="AP37" s="32">
        <v>1700</v>
      </c>
      <c r="AQ37" s="29">
        <v>34</v>
      </c>
      <c r="AR37" s="29">
        <v>7.2</v>
      </c>
      <c r="AS37" s="29">
        <v>50</v>
      </c>
      <c r="AT37" s="30">
        <v>4.0000000000000002E-4</v>
      </c>
      <c r="AU37" s="15">
        <v>1.3368395543308501E-2</v>
      </c>
      <c r="AV37" s="30"/>
      <c r="AW37" s="40"/>
      <c r="AX37" s="15">
        <f t="shared" si="4"/>
        <v>1.512959E-2</v>
      </c>
      <c r="AY37" s="30">
        <f t="shared" si="21"/>
        <v>0.33818231999999998</v>
      </c>
      <c r="AZ37" s="30">
        <f t="shared" si="16"/>
        <v>1863.25</v>
      </c>
      <c r="BA37" s="31">
        <f t="shared" si="6"/>
        <v>8.5871461156581244E-2</v>
      </c>
      <c r="BB37" s="31">
        <f t="shared" si="25"/>
        <v>9.4117647058823528E-2</v>
      </c>
      <c r="BC37" s="31">
        <f t="shared" si="26"/>
        <v>0</v>
      </c>
      <c r="BD37" s="31">
        <f t="shared" si="31"/>
        <v>1.7297682636159419E-2</v>
      </c>
      <c r="BE37" s="61" t="str">
        <f t="shared" si="27"/>
        <v/>
      </c>
      <c r="BF37" s="58" t="str">
        <f t="shared" si="17"/>
        <v/>
      </c>
      <c r="BG37" s="31">
        <f t="shared" si="24"/>
        <v>0</v>
      </c>
      <c r="BH37" s="31" t="str">
        <f t="shared" si="28"/>
        <v/>
      </c>
      <c r="BI37" s="46">
        <f t="shared" si="10"/>
        <v>44.929045808206283</v>
      </c>
      <c r="BJ37" s="66">
        <f t="shared" si="11"/>
        <v>1.7297682636159419E-2</v>
      </c>
      <c r="BK37" s="48">
        <f t="shared" si="12"/>
        <v>0</v>
      </c>
    </row>
    <row r="38" spans="1:63" x14ac:dyDescent="0.3">
      <c r="A38" s="1" t="s">
        <v>55</v>
      </c>
      <c r="B38" s="27" t="s">
        <v>27</v>
      </c>
      <c r="C38" s="27">
        <v>12</v>
      </c>
      <c r="D38" s="27">
        <v>6</v>
      </c>
      <c r="E38" s="28">
        <v>45455.413958333302</v>
      </c>
      <c r="F38">
        <v>3307.9</v>
      </c>
      <c r="G38" s="29"/>
      <c r="H38" s="29">
        <v>2845.89</v>
      </c>
      <c r="I38" s="29">
        <v>21.6</v>
      </c>
      <c r="J38" s="29">
        <v>20.3</v>
      </c>
      <c r="K38" s="29">
        <v>94.2</v>
      </c>
      <c r="L38" s="29">
        <v>17.5</v>
      </c>
      <c r="M38" s="29">
        <v>400</v>
      </c>
      <c r="N38" s="29">
        <v>1.54</v>
      </c>
      <c r="O38" s="29">
        <v>0.28999999999999998</v>
      </c>
      <c r="P38" s="29">
        <v>5.62</v>
      </c>
      <c r="Q38" s="29">
        <v>0.57999999999999996</v>
      </c>
      <c r="R38" s="29">
        <v>1.03</v>
      </c>
      <c r="S38" s="29">
        <v>2.1</v>
      </c>
      <c r="T38" s="29">
        <v>7.2380000000000004</v>
      </c>
      <c r="U38" s="29">
        <v>121.7</v>
      </c>
      <c r="V38" s="29">
        <v>18.2</v>
      </c>
      <c r="W38" s="29">
        <v>1.86</v>
      </c>
      <c r="X38" s="29">
        <v>155.6</v>
      </c>
      <c r="Y38" s="29">
        <v>50.5</v>
      </c>
      <c r="Z38" s="29">
        <v>106.7</v>
      </c>
      <c r="AA38" s="29">
        <v>14.7</v>
      </c>
      <c r="AB38" s="25">
        <v>7.2789999999999999</v>
      </c>
      <c r="AC38" s="15">
        <v>301</v>
      </c>
      <c r="AD38" s="30">
        <v>0.51100000000000001</v>
      </c>
      <c r="AE38" s="30">
        <v>7.27</v>
      </c>
      <c r="AF38" s="30">
        <v>34</v>
      </c>
      <c r="AG38" s="30">
        <v>27.27</v>
      </c>
      <c r="AH38" s="30">
        <v>10.57</v>
      </c>
      <c r="AI38" s="30">
        <v>7</v>
      </c>
      <c r="AJ38" s="30"/>
      <c r="AK38" s="30">
        <v>152</v>
      </c>
      <c r="AL38" s="30">
        <v>47</v>
      </c>
      <c r="AM38" s="30">
        <f t="shared" si="29"/>
        <v>48</v>
      </c>
      <c r="AN38" s="30">
        <f t="shared" si="30"/>
        <v>0</v>
      </c>
      <c r="AO38" s="43">
        <v>15</v>
      </c>
      <c r="AP38" s="32">
        <v>1700</v>
      </c>
      <c r="AQ38" s="29">
        <v>34</v>
      </c>
      <c r="AR38" s="29">
        <v>7.2</v>
      </c>
      <c r="AS38" s="29">
        <v>50</v>
      </c>
      <c r="AT38" s="30">
        <v>4.0000000000000002E-4</v>
      </c>
      <c r="AU38" s="15">
        <v>1.6192580649375399E-2</v>
      </c>
      <c r="AV38" s="30"/>
      <c r="AW38" s="40"/>
      <c r="AX38" s="15">
        <f t="shared" si="4"/>
        <v>1.5004460800000001E-2</v>
      </c>
      <c r="AY38" s="30">
        <f t="shared" si="21"/>
        <v>0.34864128</v>
      </c>
      <c r="AZ38" s="30">
        <f t="shared" si="16"/>
        <v>1847.84</v>
      </c>
      <c r="BA38" s="31">
        <f t="shared" si="6"/>
        <v>8.2258204173521518E-2</v>
      </c>
      <c r="BB38" s="31">
        <f t="shared" si="25"/>
        <v>8.9411764705882357E-2</v>
      </c>
      <c r="BC38" s="31">
        <f t="shared" si="26"/>
        <v>0</v>
      </c>
      <c r="BD38" s="31">
        <f t="shared" si="31"/>
        <v>2.077867932440405E-2</v>
      </c>
      <c r="BE38" s="61" t="str">
        <f t="shared" si="27"/>
        <v/>
      </c>
      <c r="BF38" s="58" t="str">
        <f t="shared" si="17"/>
        <v/>
      </c>
      <c r="BG38" s="31">
        <f t="shared" si="24"/>
        <v>0</v>
      </c>
      <c r="BH38" s="31" t="str">
        <f t="shared" si="28"/>
        <v/>
      </c>
      <c r="BI38" s="46">
        <f t="shared" si="10"/>
        <v>53.970595647802732</v>
      </c>
      <c r="BJ38" s="66">
        <f t="shared" si="11"/>
        <v>2.077867932440405E-2</v>
      </c>
      <c r="BK38" s="48">
        <f t="shared" si="12"/>
        <v>0</v>
      </c>
    </row>
    <row r="39" spans="1:63" x14ac:dyDescent="0.3">
      <c r="A39" s="1" t="s">
        <v>57</v>
      </c>
      <c r="B39" s="27" t="s">
        <v>26</v>
      </c>
      <c r="C39" s="27">
        <v>12</v>
      </c>
      <c r="D39" s="27">
        <v>6</v>
      </c>
      <c r="E39" s="28">
        <v>45455.418726851902</v>
      </c>
      <c r="F39">
        <v>3307.9</v>
      </c>
      <c r="G39" s="29"/>
      <c r="H39" s="29">
        <v>2965.59</v>
      </c>
      <c r="I39" s="29">
        <v>23.6</v>
      </c>
      <c r="J39" s="29">
        <v>22.8</v>
      </c>
      <c r="K39" s="29">
        <v>96.4</v>
      </c>
      <c r="L39" s="29">
        <v>17.2</v>
      </c>
      <c r="M39" s="29">
        <v>351</v>
      </c>
      <c r="N39" s="29">
        <v>1.4</v>
      </c>
      <c r="O39" s="29">
        <v>0.26</v>
      </c>
      <c r="P39" s="29">
        <v>2.65</v>
      </c>
      <c r="Q39" s="29">
        <v>0.22</v>
      </c>
      <c r="R39" s="29">
        <v>0</v>
      </c>
      <c r="S39" s="29">
        <v>1.29</v>
      </c>
      <c r="T39" s="29">
        <v>7.2629999999999999</v>
      </c>
      <c r="U39" s="29">
        <v>131.1</v>
      </c>
      <c r="V39" s="29">
        <v>21.2</v>
      </c>
      <c r="W39" s="29">
        <v>1.92</v>
      </c>
      <c r="X39" s="29">
        <v>150.9</v>
      </c>
      <c r="Y39" s="29">
        <v>57.6</v>
      </c>
      <c r="Z39" s="29">
        <v>115</v>
      </c>
      <c r="AA39" s="29">
        <v>17.2</v>
      </c>
      <c r="AB39" s="25">
        <v>7.3040000000000003</v>
      </c>
      <c r="AC39" s="15">
        <v>300</v>
      </c>
      <c r="AD39" s="30">
        <v>0.47899999999999998</v>
      </c>
      <c r="AE39" s="30">
        <v>7.3</v>
      </c>
      <c r="AF39" s="30">
        <v>34</v>
      </c>
      <c r="AG39" s="30">
        <v>24.77</v>
      </c>
      <c r="AH39" s="30">
        <v>8.68</v>
      </c>
      <c r="AI39" s="30">
        <v>10</v>
      </c>
      <c r="AJ39" s="30"/>
      <c r="AK39" s="30">
        <v>138</v>
      </c>
      <c r="AL39" s="30">
        <v>40</v>
      </c>
      <c r="AM39" s="30">
        <f t="shared" si="29"/>
        <v>31</v>
      </c>
      <c r="AN39" s="30">
        <f t="shared" si="30"/>
        <v>8</v>
      </c>
      <c r="AO39" s="43">
        <v>15</v>
      </c>
      <c r="AP39" s="32">
        <v>1700</v>
      </c>
      <c r="AQ39" s="29">
        <v>34</v>
      </c>
      <c r="AR39" s="29">
        <v>7.2</v>
      </c>
      <c r="AS39" s="29">
        <v>50</v>
      </c>
      <c r="AT39" s="30">
        <v>4.0000000000000002E-4</v>
      </c>
      <c r="AU39" s="15"/>
      <c r="AV39" s="30">
        <v>1.7536108436848299E-2</v>
      </c>
      <c r="AW39" s="40">
        <v>4.6517617677274302E-3</v>
      </c>
      <c r="AX39" s="15">
        <f t="shared" si="4"/>
        <v>1.6648104000000004E-2</v>
      </c>
      <c r="AY39" s="30">
        <f t="shared" si="21"/>
        <v>0.36030128639999998</v>
      </c>
      <c r="AZ39" s="30">
        <f t="shared" si="16"/>
        <v>1825.45</v>
      </c>
      <c r="BA39" s="31">
        <f t="shared" si="6"/>
        <v>7.559779780328138E-2</v>
      </c>
      <c r="BB39" s="31">
        <f t="shared" si="25"/>
        <v>8.1176470588235294E-2</v>
      </c>
      <c r="BC39" s="31">
        <f t="shared" si="26"/>
        <v>0</v>
      </c>
      <c r="BD39" s="31" t="str">
        <f t="shared" si="31"/>
        <v/>
      </c>
      <c r="BE39" s="61">
        <f t="shared" si="27"/>
        <v>2.2230061906975504E-2</v>
      </c>
      <c r="BF39" s="58" t="str">
        <f t="shared" si="17"/>
        <v/>
      </c>
      <c r="BG39" s="31"/>
      <c r="BH39" s="31">
        <f t="shared" si="28"/>
        <v>8.4915585188980369</v>
      </c>
      <c r="BI39" s="46">
        <f t="shared" si="10"/>
        <v>57.740420537598716</v>
      </c>
      <c r="BJ39" s="66">
        <f t="shared" si="11"/>
        <v>2.2230061906975504E-2</v>
      </c>
      <c r="BK39" s="48">
        <f t="shared" si="12"/>
        <v>8.4915585188980369</v>
      </c>
    </row>
    <row r="40" spans="1:63" ht="15" thickBot="1" x14ac:dyDescent="0.35">
      <c r="A40" s="1" t="s">
        <v>58</v>
      </c>
      <c r="B40" s="27" t="s">
        <v>26</v>
      </c>
      <c r="C40" s="27">
        <v>12</v>
      </c>
      <c r="D40" s="27">
        <v>6</v>
      </c>
      <c r="E40" s="28">
        <v>45455.421655092599</v>
      </c>
      <c r="F40">
        <v>3307.9</v>
      </c>
      <c r="G40" s="29"/>
      <c r="H40" s="29">
        <v>3271.2750000000001</v>
      </c>
      <c r="I40" s="29">
        <v>25.1</v>
      </c>
      <c r="J40" s="29">
        <v>24.5</v>
      </c>
      <c r="K40" s="29">
        <v>97.7</v>
      </c>
      <c r="L40" s="29">
        <v>16.7</v>
      </c>
      <c r="M40" s="29">
        <v>343</v>
      </c>
      <c r="N40" s="29">
        <v>1.59</v>
      </c>
      <c r="O40" s="29">
        <v>0.26</v>
      </c>
      <c r="P40" s="29">
        <v>1.36</v>
      </c>
      <c r="Q40" s="29">
        <v>0.23</v>
      </c>
      <c r="R40" s="29">
        <v>0</v>
      </c>
      <c r="S40" s="29">
        <v>0.63</v>
      </c>
      <c r="T40" s="29">
        <v>7.2539999999999996</v>
      </c>
      <c r="U40" s="29">
        <v>135.19999999999999</v>
      </c>
      <c r="V40" s="29">
        <v>21.3</v>
      </c>
      <c r="W40" s="29">
        <v>1.92</v>
      </c>
      <c r="X40" s="29">
        <v>149.4</v>
      </c>
      <c r="Y40" s="29">
        <v>58.3</v>
      </c>
      <c r="Z40" s="29">
        <v>118.5</v>
      </c>
      <c r="AA40" s="29">
        <v>17.3</v>
      </c>
      <c r="AB40" s="25">
        <v>7.2960000000000003</v>
      </c>
      <c r="AC40" s="16">
        <v>303</v>
      </c>
      <c r="AD40" s="17">
        <v>0.50700000000000001</v>
      </c>
      <c r="AE40" s="17">
        <v>7.3</v>
      </c>
      <c r="AF40" s="17">
        <v>34</v>
      </c>
      <c r="AG40" s="17">
        <v>21.77</v>
      </c>
      <c r="AH40" s="17">
        <v>30.46</v>
      </c>
      <c r="AI40" s="17">
        <v>10</v>
      </c>
      <c r="AJ40" s="17"/>
      <c r="AK40" s="17">
        <v>147</v>
      </c>
      <c r="AL40" s="17">
        <v>54</v>
      </c>
      <c r="AM40" s="17">
        <f t="shared" si="29"/>
        <v>36</v>
      </c>
      <c r="AN40" s="17">
        <f t="shared" si="30"/>
        <v>11</v>
      </c>
      <c r="AO40" s="44">
        <v>15</v>
      </c>
      <c r="AP40" s="20">
        <v>1700</v>
      </c>
      <c r="AQ40" s="11">
        <v>34</v>
      </c>
      <c r="AR40" s="11">
        <v>7.2</v>
      </c>
      <c r="AS40" s="11">
        <v>50</v>
      </c>
      <c r="AT40" s="17">
        <v>4.0000000000000002E-4</v>
      </c>
      <c r="AU40" s="16"/>
      <c r="AV40" s="17">
        <v>1.61476013472261E-2</v>
      </c>
      <c r="AW40" s="41">
        <v>1.2435898508473199E-3</v>
      </c>
      <c r="AX40" s="16">
        <f t="shared" si="4"/>
        <v>1.8298854E-2</v>
      </c>
      <c r="AY40" s="17">
        <f t="shared" si="21"/>
        <v>0.430832304</v>
      </c>
      <c r="AZ40" s="17">
        <f t="shared" si="16"/>
        <v>1867.23</v>
      </c>
      <c r="BA40" s="18">
        <f t="shared" si="6"/>
        <v>7.8726241544962328E-2</v>
      </c>
      <c r="BB40" s="18">
        <f t="shared" si="25"/>
        <v>8.6470588235294119E-2</v>
      </c>
      <c r="BC40" s="18">
        <f t="shared" si="26"/>
        <v>0</v>
      </c>
      <c r="BD40" s="18" t="str">
        <f t="shared" si="31"/>
        <v/>
      </c>
      <c r="BE40" s="18">
        <f t="shared" si="27"/>
        <v>2.0938392821931242E-2</v>
      </c>
      <c r="BF40" s="59" t="str">
        <f t="shared" si="17"/>
        <v/>
      </c>
      <c r="BG40" s="18" t="str">
        <f t="shared" si="24"/>
        <v/>
      </c>
      <c r="BH40" s="18">
        <f t="shared" si="28"/>
        <v>2.3220682771976411</v>
      </c>
      <c r="BI40" s="47">
        <f t="shared" si="10"/>
        <v>54.385435901120111</v>
      </c>
      <c r="BJ40" s="67">
        <f t="shared" si="11"/>
        <v>2.0938392821931242E-2</v>
      </c>
      <c r="BK40" s="49">
        <f t="shared" si="12"/>
        <v>2.3220682771976411</v>
      </c>
    </row>
    <row r="41" spans="1:63" x14ac:dyDescent="0.3">
      <c r="A41" s="3" t="s">
        <v>53</v>
      </c>
      <c r="B41" s="4" t="s">
        <v>28</v>
      </c>
      <c r="C41" s="4">
        <v>12</v>
      </c>
      <c r="D41" s="4">
        <v>7</v>
      </c>
      <c r="E41" s="5">
        <v>45456.4049884259</v>
      </c>
      <c r="F41" s="4">
        <v>3888.32</v>
      </c>
      <c r="G41" s="9"/>
      <c r="H41" s="9">
        <v>3347.97</v>
      </c>
      <c r="I41" s="9">
        <v>24</v>
      </c>
      <c r="J41" s="9">
        <v>22.6</v>
      </c>
      <c r="K41" s="9">
        <v>94.4</v>
      </c>
      <c r="L41" s="9">
        <v>16.600000000000001</v>
      </c>
      <c r="M41" s="9">
        <v>365</v>
      </c>
      <c r="N41" s="9">
        <v>1.07</v>
      </c>
      <c r="O41" s="9">
        <v>0.25</v>
      </c>
      <c r="P41" s="9">
        <v>2.82</v>
      </c>
      <c r="Q41" s="9">
        <v>0.26</v>
      </c>
      <c r="R41" s="9">
        <v>0.05</v>
      </c>
      <c r="S41" s="9">
        <v>2.35</v>
      </c>
      <c r="T41" s="9">
        <v>7.2539999999999996</v>
      </c>
      <c r="U41" s="9">
        <v>114.8</v>
      </c>
      <c r="V41" s="9">
        <v>29.2</v>
      </c>
      <c r="W41" s="9">
        <v>2.38</v>
      </c>
      <c r="X41" s="9">
        <v>156.9</v>
      </c>
      <c r="Y41" s="9">
        <v>49.4</v>
      </c>
      <c r="Z41" s="9">
        <v>100.7</v>
      </c>
      <c r="AA41" s="9">
        <v>23.6</v>
      </c>
      <c r="AB41" s="24">
        <v>7.2949999999999999</v>
      </c>
      <c r="AC41" s="12">
        <v>301</v>
      </c>
      <c r="AD41" s="13">
        <v>0.495</v>
      </c>
      <c r="AE41" s="13">
        <v>7.3</v>
      </c>
      <c r="AF41" s="13">
        <v>34</v>
      </c>
      <c r="AG41" s="13">
        <v>31.32</v>
      </c>
      <c r="AH41" s="13">
        <v>48.44</v>
      </c>
      <c r="AI41" s="13">
        <v>6</v>
      </c>
      <c r="AJ41" s="13"/>
      <c r="AK41" s="13">
        <v>124</v>
      </c>
      <c r="AL41" s="13">
        <v>46</v>
      </c>
      <c r="AM41" s="13">
        <f t="shared" ref="AM41:AM45" si="32">AK41-AK36</f>
        <v>24</v>
      </c>
      <c r="AN41" s="13">
        <f t="shared" ref="AN41:AN45" si="33">AL41-AL36</f>
        <v>0</v>
      </c>
      <c r="AO41" s="42">
        <v>15</v>
      </c>
      <c r="AP41" s="19">
        <v>1700</v>
      </c>
      <c r="AQ41" s="9">
        <v>34</v>
      </c>
      <c r="AR41" s="9">
        <v>7.2</v>
      </c>
      <c r="AS41" s="9">
        <v>50</v>
      </c>
      <c r="AT41" s="13">
        <v>4.0000000000000002E-4</v>
      </c>
      <c r="AU41" s="12"/>
      <c r="AV41" s="13"/>
      <c r="AW41" s="39"/>
      <c r="AX41" s="12">
        <f t="shared" si="4"/>
        <v>1.6667590400000001E-2</v>
      </c>
      <c r="AY41" s="13">
        <f t="shared" si="21"/>
        <v>0.39191470079999996</v>
      </c>
      <c r="AZ41" s="13">
        <f t="shared" ref="AZ41:AZ70" si="34">AP41+SUM(AG41:AI41,AK41:AL41)-((AO41+1)*D41)</f>
        <v>1843.76</v>
      </c>
      <c r="BA41" s="14">
        <f t="shared" si="6"/>
        <v>6.7253872521369371E-2</v>
      </c>
      <c r="BB41" s="14">
        <f t="shared" si="25"/>
        <v>7.2941176470588232E-2</v>
      </c>
      <c r="BC41" s="14">
        <f t="shared" si="26"/>
        <v>0</v>
      </c>
      <c r="BD41" s="14" t="str">
        <f t="shared" si="31"/>
        <v/>
      </c>
      <c r="BE41" s="14" t="str">
        <f t="shared" si="27"/>
        <v/>
      </c>
      <c r="BF41" s="57">
        <f t="shared" si="17"/>
        <v>1.6667590400000001E-2</v>
      </c>
      <c r="BG41" s="14">
        <f t="shared" si="24"/>
        <v>0</v>
      </c>
      <c r="BH41" s="14" t="str">
        <f t="shared" si="28"/>
        <v/>
      </c>
      <c r="BI41" s="46">
        <f t="shared" si="10"/>
        <v>43.292442597402605</v>
      </c>
      <c r="BJ41" s="66">
        <f t="shared" si="11"/>
        <v>1.6667590400000001E-2</v>
      </c>
      <c r="BK41" s="48">
        <f t="shared" si="12"/>
        <v>0</v>
      </c>
    </row>
    <row r="42" spans="1:63" x14ac:dyDescent="0.3">
      <c r="A42" s="1" t="s">
        <v>54</v>
      </c>
      <c r="B42" s="27" t="s">
        <v>27</v>
      </c>
      <c r="C42" s="27">
        <v>12</v>
      </c>
      <c r="D42" s="27">
        <v>7</v>
      </c>
      <c r="E42" s="28">
        <v>45456.408564814803</v>
      </c>
      <c r="F42" s="27">
        <v>3888.32</v>
      </c>
      <c r="G42" s="29"/>
      <c r="H42" s="29">
        <v>3384.48</v>
      </c>
      <c r="I42" s="29">
        <v>21.4</v>
      </c>
      <c r="J42" s="29">
        <v>20.5</v>
      </c>
      <c r="K42" s="29">
        <v>96</v>
      </c>
      <c r="L42" s="29">
        <v>18.100000000000001</v>
      </c>
      <c r="M42" s="29">
        <v>402</v>
      </c>
      <c r="N42" s="29">
        <v>1.69</v>
      </c>
      <c r="O42" s="29">
        <v>0.26</v>
      </c>
      <c r="P42" s="29">
        <v>3.4</v>
      </c>
      <c r="Q42" s="29">
        <v>0.43</v>
      </c>
      <c r="R42" s="29">
        <v>0.11</v>
      </c>
      <c r="S42" s="29">
        <v>1.93</v>
      </c>
      <c r="T42" s="29">
        <v>7.2320000000000002</v>
      </c>
      <c r="U42" s="29">
        <v>156.6</v>
      </c>
      <c r="V42" s="29">
        <v>21.3</v>
      </c>
      <c r="W42" s="29">
        <v>1.6</v>
      </c>
      <c r="X42" s="29">
        <v>165.4</v>
      </c>
      <c r="Y42" s="29">
        <v>64.099999999999994</v>
      </c>
      <c r="Z42" s="29">
        <v>137.30000000000001</v>
      </c>
      <c r="AA42" s="29">
        <v>17.2</v>
      </c>
      <c r="AB42" s="25">
        <v>7.2729999999999997</v>
      </c>
      <c r="AC42" s="15">
        <v>300</v>
      </c>
      <c r="AD42" s="30">
        <v>0.51600000000000001</v>
      </c>
      <c r="AE42" s="30">
        <v>7.25</v>
      </c>
      <c r="AF42" s="30">
        <v>34</v>
      </c>
      <c r="AG42" s="30">
        <v>33.53</v>
      </c>
      <c r="AH42" s="30">
        <v>6.72</v>
      </c>
      <c r="AI42" s="30">
        <v>5</v>
      </c>
      <c r="AJ42" s="30"/>
      <c r="AK42" s="30">
        <v>187</v>
      </c>
      <c r="AL42" s="30">
        <v>55</v>
      </c>
      <c r="AM42" s="30">
        <f t="shared" si="32"/>
        <v>27</v>
      </c>
      <c r="AN42" s="30">
        <f t="shared" si="33"/>
        <v>0</v>
      </c>
      <c r="AO42" s="43">
        <v>15</v>
      </c>
      <c r="AP42" s="32">
        <v>1700</v>
      </c>
      <c r="AQ42" s="29">
        <v>34</v>
      </c>
      <c r="AR42" s="29">
        <v>7.2</v>
      </c>
      <c r="AS42" s="29">
        <v>50</v>
      </c>
      <c r="AT42" s="30">
        <v>4.0000000000000002E-4</v>
      </c>
      <c r="AU42" s="15"/>
      <c r="AV42" s="30"/>
      <c r="AW42" s="40"/>
      <c r="AX42" s="15">
        <f t="shared" si="4"/>
        <v>1.537705E-2</v>
      </c>
      <c r="AY42" s="30">
        <f t="shared" si="21"/>
        <v>0.36311016000000002</v>
      </c>
      <c r="AZ42" s="30">
        <f t="shared" si="34"/>
        <v>1875.25</v>
      </c>
      <c r="BA42" s="31">
        <f t="shared" si="6"/>
        <v>9.9720037328356215E-2</v>
      </c>
      <c r="BB42" s="31">
        <f t="shared" si="25"/>
        <v>0.11</v>
      </c>
      <c r="BC42" s="31">
        <f t="shared" si="26"/>
        <v>0</v>
      </c>
      <c r="BD42" s="31">
        <f t="shared" si="31"/>
        <v>0</v>
      </c>
      <c r="BE42" s="61" t="str">
        <f t="shared" si="27"/>
        <v/>
      </c>
      <c r="BF42" s="58" t="str">
        <f t="shared" si="17"/>
        <v/>
      </c>
      <c r="BG42" s="31">
        <f t="shared" si="24"/>
        <v>0</v>
      </c>
      <c r="BH42" s="31" t="str">
        <f t="shared" si="28"/>
        <v/>
      </c>
      <c r="BI42" s="46">
        <f t="shared" si="10"/>
        <v>0</v>
      </c>
      <c r="BJ42" s="66">
        <f t="shared" si="11"/>
        <v>0</v>
      </c>
      <c r="BK42" s="48">
        <f t="shared" si="12"/>
        <v>0</v>
      </c>
    </row>
    <row r="43" spans="1:63" x14ac:dyDescent="0.3">
      <c r="A43" s="1" t="s">
        <v>55</v>
      </c>
      <c r="B43" s="27" t="s">
        <v>27</v>
      </c>
      <c r="C43" s="27">
        <v>12</v>
      </c>
      <c r="D43" s="27">
        <v>7</v>
      </c>
      <c r="E43" s="28">
        <v>45456.4118171296</v>
      </c>
      <c r="F43" s="27">
        <v>3888.32</v>
      </c>
      <c r="G43" s="29"/>
      <c r="H43" s="29">
        <v>3525.24</v>
      </c>
      <c r="I43" s="29">
        <v>20.8</v>
      </c>
      <c r="J43" s="29">
        <v>19.7</v>
      </c>
      <c r="K43" s="29">
        <v>94.8</v>
      </c>
      <c r="L43" s="29">
        <v>18</v>
      </c>
      <c r="M43" s="29">
        <v>382</v>
      </c>
      <c r="N43" s="29">
        <v>1.69</v>
      </c>
      <c r="O43" s="29">
        <v>0.26</v>
      </c>
      <c r="P43" s="29">
        <v>3.58</v>
      </c>
      <c r="Q43" s="29">
        <v>0.48</v>
      </c>
      <c r="R43" s="29">
        <v>0.5</v>
      </c>
      <c r="S43" s="29">
        <v>1.71</v>
      </c>
      <c r="T43" s="29">
        <v>7.24</v>
      </c>
      <c r="U43" s="29">
        <v>128.5</v>
      </c>
      <c r="V43" s="29">
        <v>13.6</v>
      </c>
      <c r="W43" s="29">
        <v>1.68</v>
      </c>
      <c r="X43" s="29">
        <v>157.69999999999999</v>
      </c>
      <c r="Y43" s="29">
        <v>53.5</v>
      </c>
      <c r="Z43" s="29">
        <v>112.7</v>
      </c>
      <c r="AA43" s="29">
        <v>11</v>
      </c>
      <c r="AB43" s="25">
        <v>7.2809999999999997</v>
      </c>
      <c r="AC43" s="15">
        <v>300</v>
      </c>
      <c r="AD43" s="30">
        <v>0.48399999999999999</v>
      </c>
      <c r="AE43" s="30">
        <v>7.26</v>
      </c>
      <c r="AF43" s="30">
        <v>34</v>
      </c>
      <c r="AG43" s="30">
        <v>27.27</v>
      </c>
      <c r="AH43" s="30">
        <v>10.57</v>
      </c>
      <c r="AI43" s="30">
        <v>7</v>
      </c>
      <c r="AJ43" s="30"/>
      <c r="AK43" s="30">
        <v>183</v>
      </c>
      <c r="AL43" s="30">
        <v>47</v>
      </c>
      <c r="AM43" s="30">
        <f t="shared" si="32"/>
        <v>31</v>
      </c>
      <c r="AN43" s="30">
        <f t="shared" si="33"/>
        <v>0</v>
      </c>
      <c r="AO43" s="43">
        <v>15</v>
      </c>
      <c r="AP43" s="32">
        <v>1700</v>
      </c>
      <c r="AQ43" s="29">
        <v>34</v>
      </c>
      <c r="AR43" s="29">
        <v>7.2</v>
      </c>
      <c r="AS43" s="29">
        <v>50</v>
      </c>
      <c r="AT43" s="30">
        <v>4.0000000000000002E-4</v>
      </c>
      <c r="AU43" s="15"/>
      <c r="AV43" s="30"/>
      <c r="AW43" s="40"/>
      <c r="AX43" s="15">
        <f t="shared" si="4"/>
        <v>1.46791792E-2</v>
      </c>
      <c r="AY43" s="30">
        <f t="shared" si="21"/>
        <v>0.36010705920000002</v>
      </c>
      <c r="AZ43" s="30">
        <f t="shared" si="34"/>
        <v>1862.8400000000001</v>
      </c>
      <c r="BA43" s="31">
        <f t="shared" si="6"/>
        <v>9.8237100341414182E-2</v>
      </c>
      <c r="BB43" s="31">
        <f t="shared" si="25"/>
        <v>0.10764705882352942</v>
      </c>
      <c r="BC43" s="31">
        <f t="shared" si="26"/>
        <v>0</v>
      </c>
      <c r="BD43" s="31">
        <f t="shared" si="31"/>
        <v>0</v>
      </c>
      <c r="BE43" s="61" t="str">
        <f t="shared" si="27"/>
        <v/>
      </c>
      <c r="BF43" s="58" t="str">
        <f t="shared" si="17"/>
        <v/>
      </c>
      <c r="BG43" s="31">
        <f t="shared" si="24"/>
        <v>0</v>
      </c>
      <c r="BH43" s="31" t="str">
        <f t="shared" si="28"/>
        <v/>
      </c>
      <c r="BI43" s="46">
        <f t="shared" si="10"/>
        <v>0</v>
      </c>
      <c r="BJ43" s="66">
        <f t="shared" si="11"/>
        <v>0</v>
      </c>
      <c r="BK43" s="48">
        <f t="shared" si="12"/>
        <v>0</v>
      </c>
    </row>
    <row r="44" spans="1:63" x14ac:dyDescent="0.3">
      <c r="A44" s="1" t="s">
        <v>57</v>
      </c>
      <c r="B44" s="27" t="s">
        <v>26</v>
      </c>
      <c r="C44" s="27">
        <v>12</v>
      </c>
      <c r="D44" s="27">
        <v>7</v>
      </c>
      <c r="E44" s="28">
        <v>45456.416608796302</v>
      </c>
      <c r="F44" s="27">
        <v>3888.32</v>
      </c>
      <c r="G44" s="29"/>
      <c r="H44" s="29">
        <v>3579.9450000000002</v>
      </c>
      <c r="I44" s="29">
        <v>22.7</v>
      </c>
      <c r="J44" s="29">
        <v>21.8</v>
      </c>
      <c r="K44" s="29">
        <v>96.3</v>
      </c>
      <c r="L44" s="29">
        <v>17.3</v>
      </c>
      <c r="M44" s="29">
        <v>363</v>
      </c>
      <c r="N44" s="29">
        <v>1.53</v>
      </c>
      <c r="O44" s="29">
        <v>0.23</v>
      </c>
      <c r="P44" s="29">
        <v>2.94</v>
      </c>
      <c r="Q44" s="29">
        <v>0.34</v>
      </c>
      <c r="R44" s="29">
        <v>0.03</v>
      </c>
      <c r="S44" s="29">
        <v>1.1299999999999999</v>
      </c>
      <c r="T44" s="29">
        <v>7.2320000000000002</v>
      </c>
      <c r="U44" s="29">
        <v>137.19999999999999</v>
      </c>
      <c r="V44" s="29">
        <v>12.5</v>
      </c>
      <c r="W44" s="29">
        <v>1.68</v>
      </c>
      <c r="X44" s="29">
        <v>151.30000000000001</v>
      </c>
      <c r="Y44" s="29">
        <v>56.1</v>
      </c>
      <c r="Z44" s="29">
        <v>120.4</v>
      </c>
      <c r="AA44" s="29">
        <v>10.1</v>
      </c>
      <c r="AB44" s="25">
        <v>7.2729999999999997</v>
      </c>
      <c r="AC44" s="15">
        <v>300</v>
      </c>
      <c r="AD44" s="30">
        <v>0.48899999999999999</v>
      </c>
      <c r="AE44" s="30">
        <v>7.27</v>
      </c>
      <c r="AF44" s="30">
        <v>34</v>
      </c>
      <c r="AG44" s="30">
        <v>24.77</v>
      </c>
      <c r="AH44" s="30">
        <v>8.94</v>
      </c>
      <c r="AI44" s="30">
        <v>11</v>
      </c>
      <c r="AJ44" s="30"/>
      <c r="AK44" s="30">
        <v>170</v>
      </c>
      <c r="AL44" s="30">
        <v>50</v>
      </c>
      <c r="AM44" s="30">
        <f t="shared" si="32"/>
        <v>32</v>
      </c>
      <c r="AN44" s="30">
        <f t="shared" si="33"/>
        <v>10</v>
      </c>
      <c r="AO44" s="43">
        <v>15</v>
      </c>
      <c r="AP44" s="32">
        <v>1700</v>
      </c>
      <c r="AQ44" s="29">
        <v>34</v>
      </c>
      <c r="AR44" s="29">
        <v>7.2</v>
      </c>
      <c r="AS44" s="29">
        <v>50</v>
      </c>
      <c r="AT44" s="30">
        <v>4.0000000000000002E-4</v>
      </c>
      <c r="AU44" s="15"/>
      <c r="AV44" s="30"/>
      <c r="AW44" s="40"/>
      <c r="AX44" s="15">
        <f t="shared" si="4"/>
        <v>1.6155631200000003E-2</v>
      </c>
      <c r="AY44" s="30">
        <f t="shared" si="21"/>
        <v>0.39955449600000009</v>
      </c>
      <c r="AZ44" s="30">
        <f t="shared" si="34"/>
        <v>1852.71</v>
      </c>
      <c r="BA44" s="31">
        <f t="shared" si="6"/>
        <v>9.1757479583960785E-2</v>
      </c>
      <c r="BB44" s="31">
        <f t="shared" si="25"/>
        <v>0.1</v>
      </c>
      <c r="BC44" s="31">
        <f t="shared" si="26"/>
        <v>0</v>
      </c>
      <c r="BD44" s="31" t="str">
        <f t="shared" si="31"/>
        <v/>
      </c>
      <c r="BE44" s="61">
        <f t="shared" si="27"/>
        <v>0</v>
      </c>
      <c r="BF44" s="58" t="str">
        <f t="shared" si="17"/>
        <v/>
      </c>
      <c r="BG44" s="31">
        <f t="shared" si="24"/>
        <v>0</v>
      </c>
      <c r="BH44" s="31">
        <f t="shared" si="28"/>
        <v>0</v>
      </c>
      <c r="BI44" s="46">
        <f t="shared" si="10"/>
        <v>0</v>
      </c>
      <c r="BJ44" s="66">
        <f t="shared" si="11"/>
        <v>0</v>
      </c>
      <c r="BK44" s="48">
        <f t="shared" si="12"/>
        <v>0</v>
      </c>
    </row>
    <row r="45" spans="1:63" ht="15" thickBot="1" x14ac:dyDescent="0.35">
      <c r="A45" s="6" t="s">
        <v>58</v>
      </c>
      <c r="B45" s="7" t="s">
        <v>26</v>
      </c>
      <c r="C45" s="7">
        <v>12</v>
      </c>
      <c r="D45" s="7">
        <v>7</v>
      </c>
      <c r="E45" s="8">
        <v>45456.431018518502</v>
      </c>
      <c r="F45" s="7">
        <v>3888.32</v>
      </c>
      <c r="G45" s="11"/>
      <c r="H45" s="11">
        <v>3974.04</v>
      </c>
      <c r="I45" s="11">
        <v>23.8</v>
      </c>
      <c r="J45" s="11">
        <v>23.1</v>
      </c>
      <c r="K45" s="11">
        <v>97.3</v>
      </c>
      <c r="L45" s="11">
        <v>16.899999999999999</v>
      </c>
      <c r="M45" s="11">
        <v>332</v>
      </c>
      <c r="N45" s="11">
        <v>1.99</v>
      </c>
      <c r="O45" s="11">
        <v>0.24</v>
      </c>
      <c r="P45" s="11">
        <v>0.19</v>
      </c>
      <c r="Q45" s="11">
        <v>0.32</v>
      </c>
      <c r="R45" s="11">
        <v>0</v>
      </c>
      <c r="S45" s="11">
        <v>0.32</v>
      </c>
      <c r="T45" s="11">
        <v>7.2569999999999997</v>
      </c>
      <c r="U45" s="11">
        <v>137.19999999999999</v>
      </c>
      <c r="V45" s="11">
        <v>15.3</v>
      </c>
      <c r="W45" s="11">
        <v>1.85</v>
      </c>
      <c r="X45" s="11">
        <v>151.19999999999999</v>
      </c>
      <c r="Y45" s="11">
        <v>59.5</v>
      </c>
      <c r="Z45" s="11">
        <v>120.3</v>
      </c>
      <c r="AA45" s="11">
        <v>12.4</v>
      </c>
      <c r="AB45" s="26">
        <v>7.298</v>
      </c>
      <c r="AC45" s="16">
        <v>301</v>
      </c>
      <c r="AD45" s="17">
        <v>0.5</v>
      </c>
      <c r="AE45" s="17">
        <v>7.3</v>
      </c>
      <c r="AF45" s="17">
        <v>34</v>
      </c>
      <c r="AG45" s="17">
        <v>21.77</v>
      </c>
      <c r="AH45" s="17">
        <v>33.89</v>
      </c>
      <c r="AI45" s="17">
        <v>11</v>
      </c>
      <c r="AJ45" s="17"/>
      <c r="AK45" s="17">
        <v>178</v>
      </c>
      <c r="AL45" s="17">
        <v>57</v>
      </c>
      <c r="AM45" s="17">
        <f t="shared" si="32"/>
        <v>31</v>
      </c>
      <c r="AN45" s="17">
        <f t="shared" si="33"/>
        <v>3</v>
      </c>
      <c r="AO45" s="44">
        <v>15</v>
      </c>
      <c r="AP45" s="20">
        <v>1700</v>
      </c>
      <c r="AQ45" s="11">
        <v>34</v>
      </c>
      <c r="AR45" s="11">
        <v>7.2</v>
      </c>
      <c r="AS45" s="11">
        <v>50</v>
      </c>
      <c r="AT45" s="17">
        <v>4.0000000000000002E-4</v>
      </c>
      <c r="AU45" s="16"/>
      <c r="AV45" s="17"/>
      <c r="AW45" s="41"/>
      <c r="AX45" s="16">
        <f t="shared" si="4"/>
        <v>1.74604584E-2</v>
      </c>
      <c r="AY45" s="17">
        <f t="shared" si="21"/>
        <v>0.43917249599999997</v>
      </c>
      <c r="AZ45" s="17">
        <f t="shared" si="34"/>
        <v>1889.6599999999999</v>
      </c>
      <c r="BA45" s="18">
        <f t="shared" si="6"/>
        <v>9.4196839643110403E-2</v>
      </c>
      <c r="BB45" s="18">
        <f t="shared" si="25"/>
        <v>0.10470588235294118</v>
      </c>
      <c r="BC45" s="18">
        <f t="shared" si="26"/>
        <v>0</v>
      </c>
      <c r="BD45" s="18" t="str">
        <f t="shared" si="31"/>
        <v/>
      </c>
      <c r="BE45" s="18">
        <f t="shared" si="27"/>
        <v>0</v>
      </c>
      <c r="BF45" s="59" t="str">
        <f t="shared" si="17"/>
        <v/>
      </c>
      <c r="BG45" s="18" t="str">
        <f t="shared" si="24"/>
        <v/>
      </c>
      <c r="BH45" s="18">
        <f t="shared" si="28"/>
        <v>0</v>
      </c>
      <c r="BI45" s="46">
        <f t="shared" si="10"/>
        <v>0</v>
      </c>
      <c r="BJ45" s="66">
        <f t="shared" si="11"/>
        <v>0</v>
      </c>
      <c r="BK45" s="48">
        <f t="shared" si="12"/>
        <v>0</v>
      </c>
    </row>
    <row r="46" spans="1:63" x14ac:dyDescent="0.3">
      <c r="A46" s="1" t="s">
        <v>53</v>
      </c>
      <c r="B46" s="27" t="s">
        <v>28</v>
      </c>
      <c r="C46" s="27">
        <v>12</v>
      </c>
      <c r="D46" s="27">
        <v>8</v>
      </c>
      <c r="E46" s="28"/>
      <c r="F46">
        <v>4309.7</v>
      </c>
      <c r="G46" s="29"/>
      <c r="H46" s="29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"/>
      <c r="AC46" s="3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2">
        <v>15</v>
      </c>
      <c r="AP46" s="4">
        <v>1700</v>
      </c>
      <c r="AQ46" s="9">
        <v>34</v>
      </c>
      <c r="AR46" s="9">
        <v>7.2</v>
      </c>
      <c r="AS46" s="9">
        <v>50</v>
      </c>
      <c r="AT46" s="13">
        <v>4.0000000000000002E-4</v>
      </c>
      <c r="AU46" s="12"/>
      <c r="AV46" s="13"/>
      <c r="AW46" s="39"/>
      <c r="AX46" s="12">
        <f t="shared" si="4"/>
        <v>0</v>
      </c>
      <c r="AY46" s="13">
        <f t="shared" si="21"/>
        <v>0.40002216960000003</v>
      </c>
      <c r="AZ46" s="13">
        <f t="shared" si="34"/>
        <v>1572</v>
      </c>
      <c r="BA46" s="14" t="e">
        <f t="shared" si="6"/>
        <v>#N/A</v>
      </c>
      <c r="BB46" s="14">
        <f t="shared" si="25"/>
        <v>0</v>
      </c>
      <c r="BC46" s="14">
        <f t="shared" si="26"/>
        <v>0</v>
      </c>
      <c r="BD46" s="14" t="str">
        <f t="shared" si="31"/>
        <v/>
      </c>
      <c r="BE46" s="14" t="str">
        <f t="shared" si="27"/>
        <v/>
      </c>
      <c r="BF46" s="57">
        <f t="shared" si="17"/>
        <v>0</v>
      </c>
      <c r="BG46" s="14">
        <f t="shared" si="24"/>
        <v>11.79</v>
      </c>
      <c r="BH46" s="14" t="str">
        <f t="shared" si="28"/>
        <v/>
      </c>
      <c r="BI46" s="45">
        <f t="shared" si="10"/>
        <v>0</v>
      </c>
      <c r="BJ46" s="65">
        <f t="shared" si="11"/>
        <v>0</v>
      </c>
      <c r="BK46" s="50">
        <f t="shared" si="12"/>
        <v>11.79</v>
      </c>
    </row>
    <row r="47" spans="1:63" x14ac:dyDescent="0.3">
      <c r="A47" s="1" t="s">
        <v>54</v>
      </c>
      <c r="B47" s="27" t="s">
        <v>27</v>
      </c>
      <c r="C47" s="27">
        <v>12</v>
      </c>
      <c r="D47" s="27">
        <v>8</v>
      </c>
      <c r="E47" s="28"/>
      <c r="F47">
        <v>4309.7</v>
      </c>
      <c r="G47" s="29"/>
      <c r="H47" s="29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"/>
      <c r="AC47" s="1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43">
        <v>15</v>
      </c>
      <c r="AP47" s="27">
        <v>1700</v>
      </c>
      <c r="AQ47" s="29">
        <v>34</v>
      </c>
      <c r="AR47" s="29">
        <v>7.2</v>
      </c>
      <c r="AS47" s="29">
        <v>50</v>
      </c>
      <c r="AT47" s="30">
        <v>4.0000000000000002E-4</v>
      </c>
      <c r="AU47" s="15"/>
      <c r="AV47" s="30"/>
      <c r="AW47" s="40"/>
      <c r="AX47" s="15">
        <f t="shared" si="4"/>
        <v>0</v>
      </c>
      <c r="AY47" s="30">
        <f t="shared" si="21"/>
        <v>0.36904919999999997</v>
      </c>
      <c r="AZ47" s="30">
        <f t="shared" si="34"/>
        <v>1572</v>
      </c>
      <c r="BA47" s="31" t="e">
        <f t="shared" si="6"/>
        <v>#N/A</v>
      </c>
      <c r="BB47" s="31">
        <f t="shared" si="25"/>
        <v>0</v>
      </c>
      <c r="BC47" s="31">
        <f t="shared" si="26"/>
        <v>0</v>
      </c>
      <c r="BD47" s="31">
        <f t="shared" si="31"/>
        <v>0</v>
      </c>
      <c r="BE47" s="61" t="str">
        <f t="shared" si="27"/>
        <v/>
      </c>
      <c r="BF47" s="58" t="str">
        <f t="shared" ref="BF47:BF70" si="35">IF(B47="No MPC", AT47*J47*AZ47/1000,"")</f>
        <v/>
      </c>
      <c r="BG47" s="31">
        <f t="shared" si="24"/>
        <v>11.79</v>
      </c>
      <c r="BH47" s="31" t="str">
        <f t="shared" si="28"/>
        <v/>
      </c>
      <c r="BI47" s="46">
        <f t="shared" si="10"/>
        <v>0</v>
      </c>
      <c r="BJ47" s="66">
        <f t="shared" si="11"/>
        <v>0</v>
      </c>
      <c r="BK47" s="48">
        <f t="shared" si="12"/>
        <v>11.79</v>
      </c>
    </row>
    <row r="48" spans="1:63" x14ac:dyDescent="0.3">
      <c r="A48" s="1" t="s">
        <v>55</v>
      </c>
      <c r="B48" s="27" t="s">
        <v>27</v>
      </c>
      <c r="C48" s="27">
        <v>12</v>
      </c>
      <c r="D48" s="27">
        <v>8</v>
      </c>
      <c r="E48" s="28"/>
      <c r="F48">
        <v>4309.7</v>
      </c>
      <c r="G48" s="29"/>
      <c r="H48" s="29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"/>
      <c r="AC48" s="1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43">
        <v>15</v>
      </c>
      <c r="AP48" s="27">
        <v>1700</v>
      </c>
      <c r="AQ48" s="29">
        <v>34</v>
      </c>
      <c r="AR48" s="29">
        <v>7.2</v>
      </c>
      <c r="AS48" s="29">
        <v>50</v>
      </c>
      <c r="AT48" s="30">
        <v>4.0000000000000002E-4</v>
      </c>
      <c r="AU48" s="15"/>
      <c r="AV48" s="30"/>
      <c r="AW48" s="40"/>
      <c r="AX48" s="15">
        <f t="shared" si="4"/>
        <v>0</v>
      </c>
      <c r="AY48" s="30">
        <f t="shared" si="21"/>
        <v>0.35230030079999997</v>
      </c>
      <c r="AZ48" s="30">
        <f t="shared" si="34"/>
        <v>1572</v>
      </c>
      <c r="BA48" s="31" t="e">
        <f t="shared" si="6"/>
        <v>#N/A</v>
      </c>
      <c r="BB48" s="31">
        <f t="shared" si="25"/>
        <v>0</v>
      </c>
      <c r="BC48" s="31">
        <f t="shared" si="26"/>
        <v>0</v>
      </c>
      <c r="BD48" s="31">
        <f t="shared" si="31"/>
        <v>0</v>
      </c>
      <c r="BE48" s="61" t="str">
        <f t="shared" si="27"/>
        <v/>
      </c>
      <c r="BF48" s="58" t="str">
        <f t="shared" si="35"/>
        <v/>
      </c>
      <c r="BG48" s="31">
        <f t="shared" si="24"/>
        <v>11.79</v>
      </c>
      <c r="BH48" s="31" t="str">
        <f t="shared" si="28"/>
        <v/>
      </c>
      <c r="BI48" s="46">
        <f t="shared" si="10"/>
        <v>0</v>
      </c>
      <c r="BJ48" s="66">
        <f t="shared" si="11"/>
        <v>0</v>
      </c>
      <c r="BK48" s="48">
        <f t="shared" si="12"/>
        <v>11.79</v>
      </c>
    </row>
    <row r="49" spans="1:63" x14ac:dyDescent="0.3">
      <c r="A49" s="1" t="s">
        <v>57</v>
      </c>
      <c r="B49" s="27" t="s">
        <v>26</v>
      </c>
      <c r="C49" s="27">
        <v>12</v>
      </c>
      <c r="D49" s="27">
        <v>8</v>
      </c>
      <c r="E49" s="28"/>
      <c r="F49">
        <v>4309.7</v>
      </c>
      <c r="G49" s="29"/>
      <c r="H49" s="29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"/>
      <c r="AC49" s="1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43">
        <v>15</v>
      </c>
      <c r="AP49" s="27">
        <v>1700</v>
      </c>
      <c r="AQ49" s="29">
        <v>34</v>
      </c>
      <c r="AR49" s="29">
        <v>7.2</v>
      </c>
      <c r="AS49" s="29">
        <v>50</v>
      </c>
      <c r="AT49" s="30">
        <v>4.0000000000000002E-4</v>
      </c>
      <c r="AU49" s="15"/>
      <c r="AV49" s="30"/>
      <c r="AW49" s="40"/>
      <c r="AX49" s="15">
        <f t="shared" si="4"/>
        <v>0</v>
      </c>
      <c r="AY49" s="30">
        <f t="shared" si="21"/>
        <v>0.38773514880000004</v>
      </c>
      <c r="AZ49" s="30">
        <f t="shared" si="34"/>
        <v>1572</v>
      </c>
      <c r="BA49" s="31" t="e">
        <f t="shared" si="6"/>
        <v>#N/A</v>
      </c>
      <c r="BB49" s="31">
        <f t="shared" si="25"/>
        <v>0</v>
      </c>
      <c r="BC49" s="31">
        <f t="shared" si="26"/>
        <v>0</v>
      </c>
      <c r="BD49" s="31" t="str">
        <f t="shared" si="31"/>
        <v/>
      </c>
      <c r="BE49" s="61">
        <f t="shared" si="27"/>
        <v>0</v>
      </c>
      <c r="BF49" s="58" t="str">
        <f t="shared" si="35"/>
        <v/>
      </c>
      <c r="BG49" s="31" t="str">
        <f t="shared" si="24"/>
        <v/>
      </c>
      <c r="BH49" s="31">
        <f t="shared" si="28"/>
        <v>0</v>
      </c>
      <c r="BI49" s="46">
        <f t="shared" si="10"/>
        <v>0</v>
      </c>
      <c r="BJ49" s="66">
        <f t="shared" si="11"/>
        <v>0</v>
      </c>
      <c r="BK49" s="48">
        <f t="shared" si="12"/>
        <v>0</v>
      </c>
    </row>
    <row r="50" spans="1:63" ht="15" thickBot="1" x14ac:dyDescent="0.35">
      <c r="A50" s="1" t="s">
        <v>58</v>
      </c>
      <c r="B50" s="27" t="s">
        <v>26</v>
      </c>
      <c r="C50" s="27">
        <v>12</v>
      </c>
      <c r="D50" s="27">
        <v>8</v>
      </c>
      <c r="E50" s="28"/>
      <c r="F50">
        <v>4309.7</v>
      </c>
      <c r="G50" s="29"/>
      <c r="H50" s="29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"/>
      <c r="AC50" s="6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44">
        <v>15</v>
      </c>
      <c r="AP50" s="7">
        <v>1700</v>
      </c>
      <c r="AQ50" s="11">
        <v>34</v>
      </c>
      <c r="AR50" s="11">
        <v>7.2</v>
      </c>
      <c r="AS50" s="11">
        <v>50</v>
      </c>
      <c r="AT50" s="17">
        <v>4.0000000000000002E-4</v>
      </c>
      <c r="AU50" s="16"/>
      <c r="AV50" s="17"/>
      <c r="AW50" s="41"/>
      <c r="AX50" s="16">
        <f t="shared" si="4"/>
        <v>0</v>
      </c>
      <c r="AY50" s="17">
        <f t="shared" si="21"/>
        <v>0.41905100159999997</v>
      </c>
      <c r="AZ50" s="17">
        <f t="shared" si="34"/>
        <v>1572</v>
      </c>
      <c r="BA50" s="18" t="e">
        <f t="shared" si="6"/>
        <v>#N/A</v>
      </c>
      <c r="BB50" s="18">
        <f t="shared" si="25"/>
        <v>0</v>
      </c>
      <c r="BC50" s="18">
        <f t="shared" si="26"/>
        <v>0</v>
      </c>
      <c r="BD50" s="18" t="str">
        <f t="shared" si="31"/>
        <v/>
      </c>
      <c r="BE50" s="18">
        <f t="shared" si="27"/>
        <v>0</v>
      </c>
      <c r="BF50" s="59" t="str">
        <f t="shared" si="35"/>
        <v/>
      </c>
      <c r="BG50" s="18" t="str">
        <f t="shared" si="24"/>
        <v/>
      </c>
      <c r="BH50" s="18">
        <f t="shared" si="28"/>
        <v>0</v>
      </c>
      <c r="BI50" s="47">
        <f t="shared" si="10"/>
        <v>0</v>
      </c>
      <c r="BJ50" s="67">
        <f t="shared" si="11"/>
        <v>0</v>
      </c>
      <c r="BK50" s="49">
        <f t="shared" si="12"/>
        <v>0</v>
      </c>
    </row>
    <row r="51" spans="1:63" x14ac:dyDescent="0.3">
      <c r="A51" s="3" t="s">
        <v>53</v>
      </c>
      <c r="B51" s="4" t="s">
        <v>28</v>
      </c>
      <c r="C51" s="4">
        <v>12</v>
      </c>
      <c r="D51" s="4">
        <v>9</v>
      </c>
      <c r="E51" s="5"/>
      <c r="F51" s="4">
        <v>4805.7299999999996</v>
      </c>
      <c r="G51" s="9"/>
      <c r="H51" s="9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22"/>
      <c r="AC51" s="3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2">
        <v>15</v>
      </c>
      <c r="AP51" s="4">
        <v>1700</v>
      </c>
      <c r="AQ51" s="9">
        <v>34</v>
      </c>
      <c r="AR51" s="9">
        <v>7.2</v>
      </c>
      <c r="AS51" s="9">
        <v>50</v>
      </c>
      <c r="AT51" s="13">
        <v>4.0000000000000002E-4</v>
      </c>
      <c r="AU51" s="12"/>
      <c r="AV51" s="13"/>
      <c r="AW51" s="39"/>
      <c r="AX51" s="12">
        <f t="shared" si="4"/>
        <v>0</v>
      </c>
      <c r="AY51" s="13">
        <f t="shared" si="21"/>
        <v>0</v>
      </c>
      <c r="AZ51" s="13">
        <f t="shared" si="34"/>
        <v>1556</v>
      </c>
      <c r="BA51" s="14" t="e">
        <f t="shared" si="6"/>
        <v>#N/A</v>
      </c>
      <c r="BB51" s="14">
        <f t="shared" si="25"/>
        <v>0</v>
      </c>
      <c r="BC51" s="14">
        <f t="shared" si="26"/>
        <v>0</v>
      </c>
      <c r="BD51" s="14" t="str">
        <f t="shared" si="31"/>
        <v/>
      </c>
      <c r="BE51" s="14" t="str">
        <f t="shared" si="27"/>
        <v/>
      </c>
      <c r="BF51" s="57">
        <f t="shared" si="35"/>
        <v>0</v>
      </c>
      <c r="BG51" s="14">
        <f t="shared" si="24"/>
        <v>11.67</v>
      </c>
      <c r="BH51" s="14" t="str">
        <f t="shared" si="28"/>
        <v/>
      </c>
      <c r="BI51" s="46">
        <f t="shared" si="10"/>
        <v>0</v>
      </c>
      <c r="BJ51" s="66">
        <f t="shared" si="11"/>
        <v>0</v>
      </c>
      <c r="BK51" s="48">
        <f t="shared" si="12"/>
        <v>11.67</v>
      </c>
    </row>
    <row r="52" spans="1:63" x14ac:dyDescent="0.3">
      <c r="A52" s="1" t="s">
        <v>54</v>
      </c>
      <c r="B52" s="27" t="s">
        <v>27</v>
      </c>
      <c r="C52" s="27">
        <v>12</v>
      </c>
      <c r="D52" s="27">
        <v>9</v>
      </c>
      <c r="E52" s="28"/>
      <c r="F52" s="27">
        <v>4805.7299999999996</v>
      </c>
      <c r="G52" s="29"/>
      <c r="H52" s="29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"/>
      <c r="AC52" s="1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43">
        <v>15</v>
      </c>
      <c r="AP52" s="27">
        <v>1700</v>
      </c>
      <c r="AQ52" s="29">
        <v>34</v>
      </c>
      <c r="AR52" s="29">
        <v>7.2</v>
      </c>
      <c r="AS52" s="29">
        <v>50</v>
      </c>
      <c r="AT52" s="30">
        <v>4.0000000000000002E-4</v>
      </c>
      <c r="AU52" s="15"/>
      <c r="AV52" s="30"/>
      <c r="AW52" s="40"/>
      <c r="AX52" s="15">
        <f t="shared" si="4"/>
        <v>0</v>
      </c>
      <c r="AY52" s="30">
        <f t="shared" si="21"/>
        <v>0</v>
      </c>
      <c r="AZ52" s="30">
        <f t="shared" si="34"/>
        <v>1556</v>
      </c>
      <c r="BA52" s="31" t="e">
        <f t="shared" si="6"/>
        <v>#N/A</v>
      </c>
      <c r="BB52" s="31">
        <f t="shared" si="25"/>
        <v>0</v>
      </c>
      <c r="BC52" s="31">
        <f t="shared" si="26"/>
        <v>0</v>
      </c>
      <c r="BD52" s="31">
        <f t="shared" si="31"/>
        <v>0</v>
      </c>
      <c r="BE52" s="61" t="str">
        <f t="shared" si="27"/>
        <v/>
      </c>
      <c r="BF52" s="58" t="str">
        <f t="shared" si="35"/>
        <v/>
      </c>
      <c r="BG52" s="31">
        <f t="shared" si="24"/>
        <v>11.67</v>
      </c>
      <c r="BH52" s="31" t="str">
        <f t="shared" si="28"/>
        <v/>
      </c>
      <c r="BI52" s="46">
        <f t="shared" si="10"/>
        <v>0</v>
      </c>
      <c r="BJ52" s="66">
        <f t="shared" si="11"/>
        <v>0</v>
      </c>
      <c r="BK52" s="48">
        <f t="shared" si="12"/>
        <v>11.67</v>
      </c>
    </row>
    <row r="53" spans="1:63" x14ac:dyDescent="0.3">
      <c r="A53" s="1" t="s">
        <v>55</v>
      </c>
      <c r="B53" s="27" t="s">
        <v>27</v>
      </c>
      <c r="C53" s="27">
        <v>12</v>
      </c>
      <c r="D53" s="27">
        <v>9</v>
      </c>
      <c r="E53" s="28"/>
      <c r="F53" s="27">
        <v>4805.7299999999996</v>
      </c>
      <c r="G53" s="29"/>
      <c r="H53" s="29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"/>
      <c r="AC53" s="1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43">
        <v>15</v>
      </c>
      <c r="AP53" s="27">
        <v>1700</v>
      </c>
      <c r="AQ53" s="29">
        <v>34</v>
      </c>
      <c r="AR53" s="29">
        <v>7.2</v>
      </c>
      <c r="AS53" s="29">
        <v>50</v>
      </c>
      <c r="AT53" s="30">
        <v>4.0000000000000002E-4</v>
      </c>
      <c r="AU53" s="15"/>
      <c r="AV53" s="30"/>
      <c r="AW53" s="40"/>
      <c r="AX53" s="15">
        <f t="shared" si="4"/>
        <v>0</v>
      </c>
      <c r="AY53" s="30">
        <f t="shared" si="21"/>
        <v>0</v>
      </c>
      <c r="AZ53" s="30">
        <f t="shared" si="34"/>
        <v>1556</v>
      </c>
      <c r="BA53" s="31" t="e">
        <f t="shared" si="6"/>
        <v>#N/A</v>
      </c>
      <c r="BB53" s="31">
        <f t="shared" si="25"/>
        <v>0</v>
      </c>
      <c r="BC53" s="31">
        <f t="shared" si="26"/>
        <v>0</v>
      </c>
      <c r="BD53" s="31">
        <f t="shared" si="31"/>
        <v>0</v>
      </c>
      <c r="BE53" s="61" t="str">
        <f t="shared" si="27"/>
        <v/>
      </c>
      <c r="BF53" s="58" t="str">
        <f t="shared" si="35"/>
        <v/>
      </c>
      <c r="BG53" s="31">
        <f t="shared" si="24"/>
        <v>11.67</v>
      </c>
      <c r="BH53" s="31" t="str">
        <f t="shared" si="28"/>
        <v/>
      </c>
      <c r="BI53" s="46">
        <f t="shared" si="10"/>
        <v>0</v>
      </c>
      <c r="BJ53" s="66">
        <f t="shared" si="11"/>
        <v>0</v>
      </c>
      <c r="BK53" s="48">
        <f t="shared" si="12"/>
        <v>11.67</v>
      </c>
    </row>
    <row r="54" spans="1:63" x14ac:dyDescent="0.3">
      <c r="A54" s="1" t="s">
        <v>57</v>
      </c>
      <c r="B54" s="27" t="s">
        <v>26</v>
      </c>
      <c r="C54" s="27">
        <v>12</v>
      </c>
      <c r="D54" s="27">
        <v>9</v>
      </c>
      <c r="E54" s="28"/>
      <c r="F54" s="27">
        <v>4805.7299999999996</v>
      </c>
      <c r="G54" s="29"/>
      <c r="H54" s="29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"/>
      <c r="AC54" s="1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43">
        <v>15</v>
      </c>
      <c r="AP54" s="27">
        <v>1700</v>
      </c>
      <c r="AQ54" s="29">
        <v>34</v>
      </c>
      <c r="AR54" s="29">
        <v>7.2</v>
      </c>
      <c r="AS54" s="29">
        <v>50</v>
      </c>
      <c r="AT54" s="30">
        <v>4.0000000000000002E-4</v>
      </c>
      <c r="AU54" s="15"/>
      <c r="AV54" s="30"/>
      <c r="AW54" s="40"/>
      <c r="AX54" s="15">
        <f t="shared" si="4"/>
        <v>0</v>
      </c>
      <c r="AY54" s="30">
        <f t="shared" si="21"/>
        <v>0</v>
      </c>
      <c r="AZ54" s="30">
        <f t="shared" si="34"/>
        <v>1556</v>
      </c>
      <c r="BA54" s="31" t="e">
        <f t="shared" si="6"/>
        <v>#N/A</v>
      </c>
      <c r="BB54" s="31">
        <f t="shared" si="25"/>
        <v>0</v>
      </c>
      <c r="BC54" s="31">
        <f t="shared" si="26"/>
        <v>0</v>
      </c>
      <c r="BD54" s="31" t="str">
        <f t="shared" si="31"/>
        <v/>
      </c>
      <c r="BE54" s="61">
        <f t="shared" si="27"/>
        <v>0</v>
      </c>
      <c r="BF54" s="58" t="str">
        <f t="shared" si="35"/>
        <v/>
      </c>
      <c r="BG54" s="31" t="str">
        <f t="shared" si="24"/>
        <v/>
      </c>
      <c r="BH54" s="31">
        <f t="shared" si="28"/>
        <v>0</v>
      </c>
      <c r="BI54" s="46">
        <f t="shared" si="10"/>
        <v>0</v>
      </c>
      <c r="BJ54" s="66">
        <f t="shared" si="11"/>
        <v>0</v>
      </c>
      <c r="BK54" s="48">
        <f t="shared" si="12"/>
        <v>0</v>
      </c>
    </row>
    <row r="55" spans="1:63" ht="15" thickBot="1" x14ac:dyDescent="0.35">
      <c r="A55" s="6" t="s">
        <v>58</v>
      </c>
      <c r="B55" s="7" t="s">
        <v>26</v>
      </c>
      <c r="C55" s="7">
        <v>12</v>
      </c>
      <c r="D55" s="7">
        <v>9</v>
      </c>
      <c r="E55" s="8"/>
      <c r="F55" s="7">
        <v>4805.7299999999996</v>
      </c>
      <c r="G55" s="11"/>
      <c r="H55" s="11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23"/>
      <c r="AC55" s="6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44">
        <v>15</v>
      </c>
      <c r="AP55" s="7">
        <v>1700</v>
      </c>
      <c r="AQ55" s="11">
        <v>34</v>
      </c>
      <c r="AR55" s="11">
        <v>7.2</v>
      </c>
      <c r="AS55" s="11">
        <v>50</v>
      </c>
      <c r="AT55" s="17">
        <v>4.0000000000000002E-4</v>
      </c>
      <c r="AU55" s="16"/>
      <c r="AV55" s="17"/>
      <c r="AW55" s="41"/>
      <c r="AX55" s="16">
        <f t="shared" si="4"/>
        <v>0</v>
      </c>
      <c r="AY55" s="17">
        <f t="shared" si="21"/>
        <v>0</v>
      </c>
      <c r="AZ55" s="17">
        <f t="shared" si="34"/>
        <v>1556</v>
      </c>
      <c r="BA55" s="18" t="e">
        <f t="shared" si="6"/>
        <v>#N/A</v>
      </c>
      <c r="BB55" s="18">
        <f t="shared" si="25"/>
        <v>0</v>
      </c>
      <c r="BC55" s="18">
        <f t="shared" si="26"/>
        <v>0</v>
      </c>
      <c r="BD55" s="18" t="str">
        <f t="shared" si="31"/>
        <v/>
      </c>
      <c r="BE55" s="18">
        <f t="shared" si="27"/>
        <v>0</v>
      </c>
      <c r="BF55" s="59" t="str">
        <f t="shared" si="35"/>
        <v/>
      </c>
      <c r="BG55" s="18" t="str">
        <f t="shared" si="24"/>
        <v/>
      </c>
      <c r="BH55" s="18">
        <f t="shared" si="28"/>
        <v>0</v>
      </c>
      <c r="BI55" s="46">
        <f t="shared" si="10"/>
        <v>0</v>
      </c>
      <c r="BJ55" s="66">
        <f t="shared" si="11"/>
        <v>0</v>
      </c>
      <c r="BK55" s="48">
        <f t="shared" si="12"/>
        <v>0</v>
      </c>
    </row>
    <row r="56" spans="1:63" x14ac:dyDescent="0.3">
      <c r="A56" s="1" t="s">
        <v>53</v>
      </c>
      <c r="B56" s="27" t="s">
        <v>28</v>
      </c>
      <c r="C56" s="27">
        <v>12</v>
      </c>
      <c r="D56" s="27">
        <v>10</v>
      </c>
      <c r="E56" s="28"/>
      <c r="F56">
        <v>5302.42</v>
      </c>
      <c r="G56" s="29"/>
      <c r="H56" s="29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"/>
      <c r="AC56" s="3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2">
        <v>15</v>
      </c>
      <c r="AP56" s="4">
        <v>1700</v>
      </c>
      <c r="AQ56" s="9">
        <v>34</v>
      </c>
      <c r="AR56" s="9">
        <v>7.2</v>
      </c>
      <c r="AS56" s="9">
        <v>50</v>
      </c>
      <c r="AT56" s="13">
        <v>4.0000000000000002E-4</v>
      </c>
      <c r="AU56" s="12"/>
      <c r="AV56" s="13"/>
      <c r="AW56" s="39"/>
      <c r="AX56" s="12">
        <f t="shared" si="4"/>
        <v>0</v>
      </c>
      <c r="AY56" s="13">
        <f t="shared" si="21"/>
        <v>0</v>
      </c>
      <c r="AZ56" s="13">
        <f t="shared" si="34"/>
        <v>1540</v>
      </c>
      <c r="BA56" s="14" t="e">
        <f t="shared" si="6"/>
        <v>#N/A</v>
      </c>
      <c r="BB56" s="14">
        <f t="shared" si="25"/>
        <v>0</v>
      </c>
      <c r="BC56" s="14">
        <f t="shared" si="26"/>
        <v>0</v>
      </c>
      <c r="BD56" s="14" t="str">
        <f t="shared" si="31"/>
        <v/>
      </c>
      <c r="BE56" s="14" t="str">
        <f t="shared" si="27"/>
        <v/>
      </c>
      <c r="BF56" s="57">
        <f t="shared" si="35"/>
        <v>0</v>
      </c>
      <c r="BG56" s="14">
        <f t="shared" si="24"/>
        <v>11.55</v>
      </c>
      <c r="BH56" s="14" t="str">
        <f t="shared" si="28"/>
        <v/>
      </c>
      <c r="BI56" s="45">
        <f t="shared" si="10"/>
        <v>0</v>
      </c>
      <c r="BJ56" s="65">
        <f t="shared" si="11"/>
        <v>0</v>
      </c>
      <c r="BK56" s="50">
        <f t="shared" si="12"/>
        <v>11.55</v>
      </c>
    </row>
    <row r="57" spans="1:63" x14ac:dyDescent="0.3">
      <c r="A57" s="1" t="s">
        <v>54</v>
      </c>
      <c r="B57" s="27" t="s">
        <v>27</v>
      </c>
      <c r="C57" s="27">
        <v>12</v>
      </c>
      <c r="D57" s="27">
        <v>10</v>
      </c>
      <c r="E57" s="28"/>
      <c r="F57">
        <v>5302.42</v>
      </c>
      <c r="G57" s="29"/>
      <c r="H57" s="29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"/>
      <c r="AC57" s="1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43">
        <v>15</v>
      </c>
      <c r="AP57" s="27">
        <v>1700</v>
      </c>
      <c r="AQ57" s="29">
        <v>34</v>
      </c>
      <c r="AR57" s="29">
        <v>7.2</v>
      </c>
      <c r="AS57" s="29">
        <v>50</v>
      </c>
      <c r="AT57" s="30">
        <v>4.0000000000000002E-4</v>
      </c>
      <c r="AU57" s="15"/>
      <c r="AV57" s="30"/>
      <c r="AW57" s="40"/>
      <c r="AX57" s="15">
        <f t="shared" si="4"/>
        <v>0</v>
      </c>
      <c r="AY57" s="30">
        <f t="shared" si="21"/>
        <v>0</v>
      </c>
      <c r="AZ57" s="30">
        <f t="shared" si="34"/>
        <v>1540</v>
      </c>
      <c r="BA57" s="31" t="e">
        <f t="shared" si="6"/>
        <v>#N/A</v>
      </c>
      <c r="BB57" s="31">
        <f t="shared" si="25"/>
        <v>0</v>
      </c>
      <c r="BC57" s="31">
        <f t="shared" si="26"/>
        <v>0</v>
      </c>
      <c r="BD57" s="31">
        <f t="shared" si="31"/>
        <v>0</v>
      </c>
      <c r="BE57" s="61" t="str">
        <f t="shared" si="27"/>
        <v/>
      </c>
      <c r="BF57" s="58" t="str">
        <f t="shared" si="35"/>
        <v/>
      </c>
      <c r="BG57" s="31">
        <f t="shared" si="24"/>
        <v>11.55</v>
      </c>
      <c r="BH57" s="31" t="str">
        <f t="shared" si="28"/>
        <v/>
      </c>
      <c r="BI57" s="46">
        <f t="shared" si="10"/>
        <v>0</v>
      </c>
      <c r="BJ57" s="66">
        <f t="shared" si="11"/>
        <v>0</v>
      </c>
      <c r="BK57" s="48">
        <f t="shared" si="12"/>
        <v>11.55</v>
      </c>
    </row>
    <row r="58" spans="1:63" x14ac:dyDescent="0.3">
      <c r="A58" s="1" t="s">
        <v>55</v>
      </c>
      <c r="B58" s="27" t="s">
        <v>27</v>
      </c>
      <c r="C58" s="27">
        <v>12</v>
      </c>
      <c r="D58" s="27">
        <v>10</v>
      </c>
      <c r="E58" s="28"/>
      <c r="F58">
        <v>5302.42</v>
      </c>
      <c r="G58" s="29"/>
      <c r="H58" s="29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"/>
      <c r="AC58" s="1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43">
        <v>15</v>
      </c>
      <c r="AP58" s="27">
        <v>1700</v>
      </c>
      <c r="AQ58" s="29">
        <v>34</v>
      </c>
      <c r="AR58" s="29">
        <v>7.2</v>
      </c>
      <c r="AS58" s="29">
        <v>50</v>
      </c>
      <c r="AT58" s="30">
        <v>4.0000000000000002E-4</v>
      </c>
      <c r="AU58" s="15"/>
      <c r="AV58" s="30"/>
      <c r="AW58" s="40"/>
      <c r="AX58" s="15">
        <f t="shared" si="4"/>
        <v>0</v>
      </c>
      <c r="AY58" s="30">
        <f t="shared" si="21"/>
        <v>0</v>
      </c>
      <c r="AZ58" s="30">
        <f t="shared" si="34"/>
        <v>1540</v>
      </c>
      <c r="BA58" s="31" t="e">
        <f t="shared" si="6"/>
        <v>#N/A</v>
      </c>
      <c r="BB58" s="31">
        <f t="shared" si="25"/>
        <v>0</v>
      </c>
      <c r="BC58" s="31">
        <f t="shared" si="26"/>
        <v>0</v>
      </c>
      <c r="BD58" s="31">
        <f t="shared" si="31"/>
        <v>0</v>
      </c>
      <c r="BE58" s="61" t="str">
        <f t="shared" si="27"/>
        <v/>
      </c>
      <c r="BF58" s="58" t="str">
        <f t="shared" si="35"/>
        <v/>
      </c>
      <c r="BG58" s="31">
        <f t="shared" si="24"/>
        <v>11.55</v>
      </c>
      <c r="BH58" s="31" t="str">
        <f t="shared" si="28"/>
        <v/>
      </c>
      <c r="BI58" s="46">
        <f t="shared" si="10"/>
        <v>0</v>
      </c>
      <c r="BJ58" s="66">
        <f t="shared" si="11"/>
        <v>0</v>
      </c>
      <c r="BK58" s="48">
        <f t="shared" si="12"/>
        <v>11.55</v>
      </c>
    </row>
    <row r="59" spans="1:63" x14ac:dyDescent="0.3">
      <c r="A59" s="1" t="s">
        <v>57</v>
      </c>
      <c r="B59" s="27" t="s">
        <v>26</v>
      </c>
      <c r="C59" s="27">
        <v>12</v>
      </c>
      <c r="D59" s="27">
        <v>10</v>
      </c>
      <c r="E59" s="28"/>
      <c r="F59">
        <v>5302.42</v>
      </c>
      <c r="G59" s="29"/>
      <c r="H59" s="29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"/>
      <c r="AC59" s="1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43">
        <v>15</v>
      </c>
      <c r="AP59" s="27">
        <v>1700</v>
      </c>
      <c r="AQ59" s="29">
        <v>34</v>
      </c>
      <c r="AR59" s="29">
        <v>7.2</v>
      </c>
      <c r="AS59" s="29">
        <v>50</v>
      </c>
      <c r="AT59" s="30">
        <v>4.0000000000000002E-4</v>
      </c>
      <c r="AU59" s="15"/>
      <c r="AV59" s="30"/>
      <c r="AW59" s="40"/>
      <c r="AX59" s="15">
        <f t="shared" si="4"/>
        <v>0</v>
      </c>
      <c r="AY59" s="30">
        <f t="shared" si="21"/>
        <v>0</v>
      </c>
      <c r="AZ59" s="30">
        <f t="shared" si="34"/>
        <v>1540</v>
      </c>
      <c r="BA59" s="31" t="e">
        <f t="shared" si="6"/>
        <v>#N/A</v>
      </c>
      <c r="BB59" s="31">
        <f t="shared" ref="BB59:BB70" si="36">AK59/AP59</f>
        <v>0</v>
      </c>
      <c r="BC59" s="31">
        <f t="shared" ref="BC59:BC70" si="37">AJ59*24</f>
        <v>0</v>
      </c>
      <c r="BD59" s="31" t="str">
        <f t="shared" si="31"/>
        <v/>
      </c>
      <c r="BE59" s="61">
        <f t="shared" si="27"/>
        <v>0</v>
      </c>
      <c r="BF59" s="58" t="str">
        <f t="shared" si="35"/>
        <v/>
      </c>
      <c r="BG59" s="31" t="str">
        <f t="shared" si="24"/>
        <v/>
      </c>
      <c r="BH59" s="31">
        <f t="shared" si="28"/>
        <v>0</v>
      </c>
      <c r="BI59" s="46">
        <f t="shared" si="10"/>
        <v>0</v>
      </c>
      <c r="BJ59" s="66">
        <f t="shared" si="11"/>
        <v>0</v>
      </c>
      <c r="BK59" s="48">
        <f t="shared" si="12"/>
        <v>0</v>
      </c>
    </row>
    <row r="60" spans="1:63" ht="15" thickBot="1" x14ac:dyDescent="0.35">
      <c r="A60" s="1" t="s">
        <v>58</v>
      </c>
      <c r="B60" s="27" t="s">
        <v>26</v>
      </c>
      <c r="C60" s="27">
        <v>12</v>
      </c>
      <c r="D60" s="27">
        <v>10</v>
      </c>
      <c r="E60" s="28"/>
      <c r="F60">
        <v>5302.42</v>
      </c>
      <c r="G60" s="29"/>
      <c r="H60" s="29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"/>
      <c r="AC60" s="6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44">
        <v>15</v>
      </c>
      <c r="AP60" s="7">
        <v>1700</v>
      </c>
      <c r="AQ60" s="11">
        <v>34</v>
      </c>
      <c r="AR60" s="11">
        <v>7.2</v>
      </c>
      <c r="AS60" s="11">
        <v>50</v>
      </c>
      <c r="AT60" s="17">
        <v>4.0000000000000002E-4</v>
      </c>
      <c r="AU60" s="16"/>
      <c r="AV60" s="17"/>
      <c r="AW60" s="41"/>
      <c r="AX60" s="16">
        <f t="shared" ref="AX60:AX70" si="38">AT60*J60*AZ60/1000</f>
        <v>0</v>
      </c>
      <c r="AY60" s="17">
        <f t="shared" si="21"/>
        <v>0</v>
      </c>
      <c r="AZ60" s="17">
        <f t="shared" si="34"/>
        <v>1540</v>
      </c>
      <c r="BA60" s="18" t="e">
        <f t="shared" ref="BA60:BA70" si="39">IF(ISBLANK(AK60),NA(),IFERROR(AK60/AZ60,0))</f>
        <v>#N/A</v>
      </c>
      <c r="BB60" s="18">
        <f t="shared" si="36"/>
        <v>0</v>
      </c>
      <c r="BC60" s="18">
        <f t="shared" si="37"/>
        <v>0</v>
      </c>
      <c r="BD60" s="18" t="str">
        <f t="shared" si="31"/>
        <v/>
      </c>
      <c r="BE60" s="18">
        <f t="shared" si="27"/>
        <v>0</v>
      </c>
      <c r="BF60" s="59" t="str">
        <f t="shared" si="35"/>
        <v/>
      </c>
      <c r="BG60" s="18" t="str">
        <f t="shared" si="24"/>
        <v/>
      </c>
      <c r="BH60" s="18">
        <f t="shared" si="28"/>
        <v>0</v>
      </c>
      <c r="BI60" s="47">
        <f t="shared" ref="BI60:BI70" si="40">IF(BD60&lt;&gt;"",BD60/0.000385,IF(BE60&lt;&gt;"",BE60/0.000385,BF60/0.000385))</f>
        <v>0</v>
      </c>
      <c r="BJ60" s="67">
        <f t="shared" ref="BJ60:BJ65" si="41">IF(BD60&lt;&gt;"",BD60,IF(BE60&lt;&gt;"",BE60,BF60))</f>
        <v>0</v>
      </c>
      <c r="BK60" s="49">
        <f t="shared" ref="BK60:BK70" si="42">IF(BG60&lt;&gt;"",BG60,BH60)</f>
        <v>0</v>
      </c>
    </row>
    <row r="61" spans="1:63" x14ac:dyDescent="0.3">
      <c r="A61" s="3" t="s">
        <v>53</v>
      </c>
      <c r="B61" s="4" t="s">
        <v>28</v>
      </c>
      <c r="C61" s="4">
        <v>12</v>
      </c>
      <c r="D61" s="4">
        <v>11</v>
      </c>
      <c r="E61" s="5"/>
      <c r="F61" s="4">
        <v>5791.69</v>
      </c>
      <c r="G61" s="9"/>
      <c r="H61" s="9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22"/>
      <c r="AC61" s="3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2">
        <v>15</v>
      </c>
      <c r="AP61" s="4">
        <v>1700</v>
      </c>
      <c r="AQ61" s="9">
        <v>34</v>
      </c>
      <c r="AR61" s="9">
        <v>7.2</v>
      </c>
      <c r="AS61" s="9">
        <v>50</v>
      </c>
      <c r="AT61" s="13">
        <v>4.0000000000000002E-4</v>
      </c>
      <c r="AU61" s="12"/>
      <c r="AV61" s="13"/>
      <c r="AW61" s="39"/>
      <c r="AX61" s="12">
        <f t="shared" si="38"/>
        <v>0</v>
      </c>
      <c r="AY61" s="13">
        <f t="shared" si="21"/>
        <v>0</v>
      </c>
      <c r="AZ61" s="13">
        <f t="shared" si="34"/>
        <v>1524</v>
      </c>
      <c r="BA61" s="14" t="e">
        <f t="shared" si="39"/>
        <v>#N/A</v>
      </c>
      <c r="BB61" s="14">
        <f t="shared" si="36"/>
        <v>0</v>
      </c>
      <c r="BC61" s="14">
        <f t="shared" si="37"/>
        <v>0</v>
      </c>
      <c r="BD61" s="14" t="str">
        <f t="shared" si="31"/>
        <v/>
      </c>
      <c r="BE61" s="14" t="str">
        <f t="shared" si="27"/>
        <v/>
      </c>
      <c r="BF61" s="57">
        <f t="shared" si="35"/>
        <v>0</v>
      </c>
      <c r="BG61" s="14">
        <f t="shared" si="24"/>
        <v>11.43</v>
      </c>
      <c r="BH61" s="14" t="str">
        <f t="shared" si="28"/>
        <v/>
      </c>
      <c r="BI61" s="46">
        <f t="shared" si="40"/>
        <v>0</v>
      </c>
      <c r="BJ61" s="66">
        <f t="shared" si="41"/>
        <v>0</v>
      </c>
      <c r="BK61" s="48">
        <f t="shared" si="42"/>
        <v>11.43</v>
      </c>
    </row>
    <row r="62" spans="1:63" x14ac:dyDescent="0.3">
      <c r="A62" s="1" t="s">
        <v>54</v>
      </c>
      <c r="B62" s="27" t="s">
        <v>27</v>
      </c>
      <c r="C62" s="27">
        <v>12</v>
      </c>
      <c r="D62" s="27">
        <v>11</v>
      </c>
      <c r="E62" s="28"/>
      <c r="F62" s="27">
        <v>5791.69</v>
      </c>
      <c r="G62" s="29"/>
      <c r="H62" s="29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"/>
      <c r="AC62" s="1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43">
        <v>15</v>
      </c>
      <c r="AP62" s="27">
        <v>1700</v>
      </c>
      <c r="AQ62" s="29">
        <v>34</v>
      </c>
      <c r="AR62" s="29">
        <v>7.2</v>
      </c>
      <c r="AS62" s="29">
        <v>50</v>
      </c>
      <c r="AT62" s="30">
        <v>4.0000000000000002E-4</v>
      </c>
      <c r="AU62" s="15"/>
      <c r="AV62" s="30"/>
      <c r="AW62" s="40"/>
      <c r="AX62" s="15">
        <f t="shared" si="38"/>
        <v>0</v>
      </c>
      <c r="AY62" s="30">
        <f t="shared" si="21"/>
        <v>0</v>
      </c>
      <c r="AZ62" s="30">
        <f t="shared" si="34"/>
        <v>1524</v>
      </c>
      <c r="BA62" s="31" t="e">
        <f t="shared" si="39"/>
        <v>#N/A</v>
      </c>
      <c r="BB62" s="31">
        <f t="shared" si="36"/>
        <v>0</v>
      </c>
      <c r="BC62" s="31">
        <f t="shared" si="37"/>
        <v>0</v>
      </c>
      <c r="BD62" s="31">
        <f t="shared" si="31"/>
        <v>0</v>
      </c>
      <c r="BE62" s="61" t="str">
        <f t="shared" si="27"/>
        <v/>
      </c>
      <c r="BF62" s="58" t="str">
        <f t="shared" si="35"/>
        <v/>
      </c>
      <c r="BG62" s="31">
        <f t="shared" si="24"/>
        <v>11.43</v>
      </c>
      <c r="BH62" s="31" t="str">
        <f t="shared" si="28"/>
        <v/>
      </c>
      <c r="BI62" s="46">
        <f t="shared" si="40"/>
        <v>0</v>
      </c>
      <c r="BJ62" s="66">
        <f t="shared" si="41"/>
        <v>0</v>
      </c>
      <c r="BK62" s="48">
        <f t="shared" si="42"/>
        <v>11.43</v>
      </c>
    </row>
    <row r="63" spans="1:63" x14ac:dyDescent="0.3">
      <c r="A63" s="1" t="s">
        <v>55</v>
      </c>
      <c r="B63" s="27" t="s">
        <v>27</v>
      </c>
      <c r="C63" s="27">
        <v>12</v>
      </c>
      <c r="D63" s="27">
        <v>11</v>
      </c>
      <c r="E63" s="28"/>
      <c r="F63" s="27">
        <v>5791.69</v>
      </c>
      <c r="G63" s="29"/>
      <c r="H63" s="29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"/>
      <c r="AC63" s="1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43">
        <v>15</v>
      </c>
      <c r="AP63" s="27">
        <v>1700</v>
      </c>
      <c r="AQ63" s="29">
        <v>34</v>
      </c>
      <c r="AR63" s="29">
        <v>7.2</v>
      </c>
      <c r="AS63" s="29">
        <v>50</v>
      </c>
      <c r="AT63" s="30">
        <v>4.0000000000000002E-4</v>
      </c>
      <c r="AU63" s="15"/>
      <c r="AV63" s="30"/>
      <c r="AW63" s="40"/>
      <c r="AX63" s="15">
        <f t="shared" si="38"/>
        <v>0</v>
      </c>
      <c r="AY63" s="30">
        <f t="shared" si="21"/>
        <v>0</v>
      </c>
      <c r="AZ63" s="30">
        <f t="shared" si="34"/>
        <v>1524</v>
      </c>
      <c r="BA63" s="31" t="e">
        <f t="shared" si="39"/>
        <v>#N/A</v>
      </c>
      <c r="BB63" s="31">
        <f t="shared" si="36"/>
        <v>0</v>
      </c>
      <c r="BC63" s="31">
        <f t="shared" si="37"/>
        <v>0</v>
      </c>
      <c r="BD63" s="31">
        <f t="shared" si="31"/>
        <v>0</v>
      </c>
      <c r="BE63" s="61" t="str">
        <f t="shared" si="27"/>
        <v/>
      </c>
      <c r="BF63" s="58" t="str">
        <f t="shared" si="35"/>
        <v/>
      </c>
      <c r="BG63" s="31">
        <f t="shared" si="24"/>
        <v>11.43</v>
      </c>
      <c r="BH63" s="31" t="str">
        <f t="shared" si="28"/>
        <v/>
      </c>
      <c r="BI63" s="46">
        <f t="shared" si="40"/>
        <v>0</v>
      </c>
      <c r="BJ63" s="66">
        <f t="shared" si="41"/>
        <v>0</v>
      </c>
      <c r="BK63" s="48">
        <f t="shared" si="42"/>
        <v>11.43</v>
      </c>
    </row>
    <row r="64" spans="1:63" x14ac:dyDescent="0.3">
      <c r="A64" s="1" t="s">
        <v>57</v>
      </c>
      <c r="B64" s="27" t="s">
        <v>26</v>
      </c>
      <c r="C64" s="27">
        <v>12</v>
      </c>
      <c r="D64" s="27">
        <v>11</v>
      </c>
      <c r="E64" s="28"/>
      <c r="F64" s="27">
        <v>5791.69</v>
      </c>
      <c r="G64" s="29"/>
      <c r="H64" s="29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"/>
      <c r="AC64" s="1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43">
        <v>15</v>
      </c>
      <c r="AP64" s="27">
        <v>1700</v>
      </c>
      <c r="AQ64" s="29">
        <v>34</v>
      </c>
      <c r="AR64" s="29">
        <v>7.2</v>
      </c>
      <c r="AS64" s="29">
        <v>50</v>
      </c>
      <c r="AT64" s="30">
        <v>4.0000000000000002E-4</v>
      </c>
      <c r="AU64" s="15"/>
      <c r="AV64" s="30"/>
      <c r="AW64" s="40"/>
      <c r="AX64" s="15">
        <f t="shared" si="38"/>
        <v>0</v>
      </c>
      <c r="AY64" s="30">
        <f t="shared" si="21"/>
        <v>0</v>
      </c>
      <c r="AZ64" s="30">
        <f t="shared" si="34"/>
        <v>1524</v>
      </c>
      <c r="BA64" s="31" t="e">
        <f t="shared" si="39"/>
        <v>#N/A</v>
      </c>
      <c r="BB64" s="31">
        <f t="shared" si="36"/>
        <v>0</v>
      </c>
      <c r="BC64" s="31">
        <f t="shared" si="37"/>
        <v>0</v>
      </c>
      <c r="BD64" s="31" t="str">
        <f t="shared" si="31"/>
        <v/>
      </c>
      <c r="BE64" s="61">
        <f t="shared" si="27"/>
        <v>0</v>
      </c>
      <c r="BF64" s="58" t="str">
        <f t="shared" si="35"/>
        <v/>
      </c>
      <c r="BG64" s="31" t="str">
        <f t="shared" si="24"/>
        <v/>
      </c>
      <c r="BH64" s="31">
        <f t="shared" si="28"/>
        <v>0</v>
      </c>
      <c r="BI64" s="46">
        <f t="shared" si="40"/>
        <v>0</v>
      </c>
      <c r="BJ64" s="66">
        <f t="shared" si="41"/>
        <v>0</v>
      </c>
      <c r="BK64" s="48">
        <f t="shared" si="42"/>
        <v>0</v>
      </c>
    </row>
    <row r="65" spans="1:63" ht="15" thickBot="1" x14ac:dyDescent="0.35">
      <c r="A65" s="6" t="s">
        <v>58</v>
      </c>
      <c r="B65" s="7" t="s">
        <v>26</v>
      </c>
      <c r="C65" s="7">
        <v>12</v>
      </c>
      <c r="D65" s="7">
        <v>11</v>
      </c>
      <c r="E65" s="8"/>
      <c r="F65" s="7">
        <v>5791.69</v>
      </c>
      <c r="G65" s="11"/>
      <c r="H65" s="11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23"/>
      <c r="AC65" s="6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44">
        <v>15</v>
      </c>
      <c r="AP65" s="7">
        <v>1700</v>
      </c>
      <c r="AQ65" s="11">
        <v>34</v>
      </c>
      <c r="AR65" s="11">
        <v>7.2</v>
      </c>
      <c r="AS65" s="11">
        <v>50</v>
      </c>
      <c r="AT65" s="17">
        <v>4.0000000000000002E-4</v>
      </c>
      <c r="AU65" s="16"/>
      <c r="AV65" s="17"/>
      <c r="AW65" s="41"/>
      <c r="AX65" s="16">
        <f t="shared" si="38"/>
        <v>0</v>
      </c>
      <c r="AY65" s="17">
        <f t="shared" si="21"/>
        <v>0</v>
      </c>
      <c r="AZ65" s="17">
        <f t="shared" si="34"/>
        <v>1524</v>
      </c>
      <c r="BA65" s="18" t="e">
        <f t="shared" si="39"/>
        <v>#N/A</v>
      </c>
      <c r="BB65" s="18">
        <f t="shared" si="36"/>
        <v>0</v>
      </c>
      <c r="BC65" s="18">
        <f t="shared" si="37"/>
        <v>0</v>
      </c>
      <c r="BD65" s="18" t="str">
        <f t="shared" si="31"/>
        <v/>
      </c>
      <c r="BE65" s="18">
        <f t="shared" si="27"/>
        <v>0</v>
      </c>
      <c r="BF65" s="59" t="str">
        <f t="shared" si="35"/>
        <v/>
      </c>
      <c r="BG65" s="18" t="str">
        <f t="shared" si="24"/>
        <v/>
      </c>
      <c r="BH65" s="18">
        <f t="shared" si="28"/>
        <v>0</v>
      </c>
      <c r="BI65" s="46">
        <f t="shared" si="40"/>
        <v>0</v>
      </c>
      <c r="BJ65" s="66">
        <f t="shared" si="41"/>
        <v>0</v>
      </c>
      <c r="BK65" s="48">
        <f t="shared" si="42"/>
        <v>0</v>
      </c>
    </row>
    <row r="66" spans="1:63" x14ac:dyDescent="0.3">
      <c r="A66" s="3" t="s">
        <v>53</v>
      </c>
      <c r="B66" s="4" t="s">
        <v>28</v>
      </c>
      <c r="C66" s="4">
        <v>12</v>
      </c>
      <c r="D66" s="4">
        <v>12</v>
      </c>
      <c r="E66" s="5"/>
      <c r="F66" s="4">
        <v>6120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22"/>
      <c r="AC66" s="3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2">
        <v>15</v>
      </c>
      <c r="AP66" s="4">
        <v>1700</v>
      </c>
      <c r="AQ66" s="9">
        <v>34</v>
      </c>
      <c r="AR66" s="9">
        <v>7.2</v>
      </c>
      <c r="AS66" s="9">
        <v>50</v>
      </c>
      <c r="AT66" s="13">
        <v>4.0000000000000002E-4</v>
      </c>
      <c r="AU66" s="12"/>
      <c r="AV66" s="4"/>
      <c r="AW66" s="22"/>
      <c r="AX66" s="12">
        <f t="shared" si="38"/>
        <v>0</v>
      </c>
      <c r="AY66" s="13">
        <f t="shared" si="21"/>
        <v>0</v>
      </c>
      <c r="AZ66" s="13">
        <f t="shared" si="34"/>
        <v>1508</v>
      </c>
      <c r="BA66" s="14" t="e">
        <f t="shared" si="39"/>
        <v>#N/A</v>
      </c>
      <c r="BB66" s="14">
        <f t="shared" si="36"/>
        <v>0</v>
      </c>
      <c r="BC66" s="14">
        <f t="shared" si="37"/>
        <v>0</v>
      </c>
      <c r="BD66" s="14" t="str">
        <f t="shared" si="31"/>
        <v/>
      </c>
      <c r="BE66" s="14" t="str">
        <f t="shared" si="27"/>
        <v/>
      </c>
      <c r="BF66" s="57">
        <f t="shared" si="35"/>
        <v>0</v>
      </c>
      <c r="BG66" s="14">
        <f t="shared" si="24"/>
        <v>11.31</v>
      </c>
      <c r="BH66" s="14" t="str">
        <f t="shared" si="28"/>
        <v/>
      </c>
      <c r="BI66" s="45">
        <f t="shared" si="40"/>
        <v>0</v>
      </c>
      <c r="BJ66" s="62"/>
      <c r="BK66" s="50">
        <f t="shared" si="42"/>
        <v>11.31</v>
      </c>
    </row>
    <row r="67" spans="1:63" x14ac:dyDescent="0.3">
      <c r="A67" s="1" t="s">
        <v>54</v>
      </c>
      <c r="B67" s="27" t="s">
        <v>27</v>
      </c>
      <c r="C67" s="27">
        <v>12</v>
      </c>
      <c r="D67" s="27">
        <v>12</v>
      </c>
      <c r="E67" s="28"/>
      <c r="F67" s="27">
        <v>6120</v>
      </c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"/>
      <c r="AC67" s="1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43">
        <v>15</v>
      </c>
      <c r="AP67" s="27">
        <v>1700</v>
      </c>
      <c r="AQ67" s="29">
        <v>34</v>
      </c>
      <c r="AR67" s="29">
        <v>7.2</v>
      </c>
      <c r="AS67" s="29">
        <v>50</v>
      </c>
      <c r="AT67" s="30">
        <v>4.0000000000000002E-4</v>
      </c>
      <c r="AU67" s="15"/>
      <c r="AV67" s="27"/>
      <c r="AW67" s="2"/>
      <c r="AX67" s="15">
        <f t="shared" si="38"/>
        <v>0</v>
      </c>
      <c r="AY67" s="30">
        <f t="shared" si="21"/>
        <v>0</v>
      </c>
      <c r="AZ67" s="30">
        <f t="shared" si="34"/>
        <v>1508</v>
      </c>
      <c r="BA67" s="31" t="e">
        <f t="shared" si="39"/>
        <v>#N/A</v>
      </c>
      <c r="BB67" s="31">
        <f t="shared" si="36"/>
        <v>0</v>
      </c>
      <c r="BC67" s="31">
        <f t="shared" si="37"/>
        <v>0</v>
      </c>
      <c r="BD67" s="31">
        <f t="shared" si="31"/>
        <v>0</v>
      </c>
      <c r="BE67" s="61" t="str">
        <f t="shared" si="27"/>
        <v/>
      </c>
      <c r="BF67" s="58" t="str">
        <f t="shared" si="35"/>
        <v/>
      </c>
      <c r="BG67" s="31">
        <f t="shared" si="24"/>
        <v>11.31</v>
      </c>
      <c r="BH67" s="31" t="str">
        <f t="shared" si="28"/>
        <v/>
      </c>
      <c r="BI67" s="46">
        <f t="shared" si="40"/>
        <v>0</v>
      </c>
      <c r="BJ67" s="63"/>
      <c r="BK67" s="48">
        <f t="shared" si="42"/>
        <v>11.31</v>
      </c>
    </row>
    <row r="68" spans="1:63" x14ac:dyDescent="0.3">
      <c r="A68" s="1" t="s">
        <v>55</v>
      </c>
      <c r="B68" s="27" t="s">
        <v>27</v>
      </c>
      <c r="C68" s="27">
        <v>12</v>
      </c>
      <c r="D68" s="27">
        <v>12</v>
      </c>
      <c r="E68" s="28"/>
      <c r="F68" s="27">
        <v>6120</v>
      </c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"/>
      <c r="AC68" s="1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43">
        <v>15</v>
      </c>
      <c r="AP68" s="27">
        <v>1700</v>
      </c>
      <c r="AQ68" s="29">
        <v>34</v>
      </c>
      <c r="AR68" s="29">
        <v>7.2</v>
      </c>
      <c r="AS68" s="29">
        <v>50</v>
      </c>
      <c r="AT68" s="30">
        <v>4.0000000000000002E-4</v>
      </c>
      <c r="AU68" s="15"/>
      <c r="AV68" s="30"/>
      <c r="AW68" s="40"/>
      <c r="AX68" s="15">
        <f t="shared" si="38"/>
        <v>0</v>
      </c>
      <c r="AY68" s="30">
        <f t="shared" si="21"/>
        <v>0</v>
      </c>
      <c r="AZ68" s="30">
        <f t="shared" si="34"/>
        <v>1508</v>
      </c>
      <c r="BA68" s="31" t="e">
        <f t="shared" si="39"/>
        <v>#N/A</v>
      </c>
      <c r="BB68" s="31">
        <f t="shared" si="36"/>
        <v>0</v>
      </c>
      <c r="BC68" s="31">
        <f t="shared" si="37"/>
        <v>0</v>
      </c>
      <c r="BD68" s="31">
        <f t="shared" si="31"/>
        <v>0</v>
      </c>
      <c r="BE68" s="61" t="str">
        <f t="shared" si="27"/>
        <v/>
      </c>
      <c r="BF68" s="58" t="str">
        <f t="shared" si="35"/>
        <v/>
      </c>
      <c r="BG68" s="31">
        <f t="shared" si="24"/>
        <v>11.31</v>
      </c>
      <c r="BH68" s="31" t="str">
        <f t="shared" si="28"/>
        <v/>
      </c>
      <c r="BI68" s="46">
        <f t="shared" si="40"/>
        <v>0</v>
      </c>
      <c r="BJ68" s="63"/>
      <c r="BK68" s="48">
        <f t="shared" si="42"/>
        <v>11.31</v>
      </c>
    </row>
    <row r="69" spans="1:63" x14ac:dyDescent="0.3">
      <c r="A69" s="1" t="s">
        <v>57</v>
      </c>
      <c r="B69" s="27" t="s">
        <v>26</v>
      </c>
      <c r="C69" s="27">
        <v>12</v>
      </c>
      <c r="D69" s="27">
        <v>12</v>
      </c>
      <c r="E69" s="28"/>
      <c r="F69" s="27">
        <v>6120</v>
      </c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"/>
      <c r="AC69" s="1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43">
        <v>15</v>
      </c>
      <c r="AP69" s="27">
        <v>1700</v>
      </c>
      <c r="AQ69" s="29">
        <v>34</v>
      </c>
      <c r="AR69" s="29">
        <v>7.2</v>
      </c>
      <c r="AS69" s="29">
        <v>50</v>
      </c>
      <c r="AT69" s="30">
        <v>4.0000000000000002E-4</v>
      </c>
      <c r="AU69" s="15"/>
      <c r="AV69" s="30"/>
      <c r="AW69" s="40"/>
      <c r="AX69" s="15">
        <f t="shared" si="38"/>
        <v>0</v>
      </c>
      <c r="AY69" s="30">
        <f t="shared" si="21"/>
        <v>0</v>
      </c>
      <c r="AZ69" s="30">
        <f t="shared" si="34"/>
        <v>1508</v>
      </c>
      <c r="BA69" s="31" t="e">
        <f t="shared" si="39"/>
        <v>#N/A</v>
      </c>
      <c r="BB69" s="31">
        <f t="shared" si="36"/>
        <v>0</v>
      </c>
      <c r="BC69" s="31">
        <f t="shared" si="37"/>
        <v>0</v>
      </c>
      <c r="BD69" s="31" t="str">
        <f t="shared" si="31"/>
        <v/>
      </c>
      <c r="BE69" s="61">
        <f t="shared" si="27"/>
        <v>0</v>
      </c>
      <c r="BF69" s="58" t="str">
        <f t="shared" si="35"/>
        <v/>
      </c>
      <c r="BG69" s="31" t="str">
        <f t="shared" si="24"/>
        <v/>
      </c>
      <c r="BH69" s="31">
        <f t="shared" si="28"/>
        <v>0</v>
      </c>
      <c r="BI69" s="46">
        <f t="shared" si="40"/>
        <v>0</v>
      </c>
      <c r="BJ69" s="63"/>
      <c r="BK69" s="48">
        <f t="shared" si="42"/>
        <v>0</v>
      </c>
    </row>
    <row r="70" spans="1:63" ht="15" thickBot="1" x14ac:dyDescent="0.35">
      <c r="A70" s="6" t="s">
        <v>58</v>
      </c>
      <c r="B70" s="7" t="s">
        <v>26</v>
      </c>
      <c r="C70" s="7">
        <v>12</v>
      </c>
      <c r="D70" s="7">
        <v>12</v>
      </c>
      <c r="E70" s="8"/>
      <c r="F70" s="7">
        <v>6120</v>
      </c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23"/>
      <c r="AC70" s="6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44">
        <v>15</v>
      </c>
      <c r="AP70" s="7">
        <v>1700</v>
      </c>
      <c r="AQ70" s="11">
        <v>34</v>
      </c>
      <c r="AR70" s="11">
        <v>7.2</v>
      </c>
      <c r="AS70" s="11">
        <v>50</v>
      </c>
      <c r="AT70" s="17">
        <v>4.0000000000000002E-4</v>
      </c>
      <c r="AU70" s="16"/>
      <c r="AV70" s="17"/>
      <c r="AW70" s="41"/>
      <c r="AX70" s="16">
        <f t="shared" si="38"/>
        <v>0</v>
      </c>
      <c r="AY70" s="17">
        <f t="shared" si="21"/>
        <v>0</v>
      </c>
      <c r="AZ70" s="17">
        <f t="shared" si="34"/>
        <v>1508</v>
      </c>
      <c r="BA70" s="18" t="e">
        <f t="shared" si="39"/>
        <v>#N/A</v>
      </c>
      <c r="BB70" s="18">
        <f t="shared" si="36"/>
        <v>0</v>
      </c>
      <c r="BC70" s="18">
        <f t="shared" si="37"/>
        <v>0</v>
      </c>
      <c r="BD70" s="18" t="str">
        <f t="shared" si="31"/>
        <v/>
      </c>
      <c r="BE70" s="18">
        <f t="shared" si="27"/>
        <v>0</v>
      </c>
      <c r="BF70" s="59" t="str">
        <f t="shared" si="35"/>
        <v/>
      </c>
      <c r="BG70" s="18" t="str">
        <f t="shared" si="24"/>
        <v/>
      </c>
      <c r="BH70" s="18">
        <f t="shared" si="28"/>
        <v>0</v>
      </c>
      <c r="BI70" s="47">
        <f t="shared" si="40"/>
        <v>0</v>
      </c>
      <c r="BJ70" s="64"/>
      <c r="BK70" s="49">
        <f t="shared" si="42"/>
        <v>0</v>
      </c>
    </row>
  </sheetData>
  <autoFilter ref="A2:BH304" xr:uid="{00000000-0001-0000-0000-000000000000}"/>
  <mergeCells count="7">
    <mergeCell ref="A1:E1"/>
    <mergeCell ref="F1:AB1"/>
    <mergeCell ref="BI1:BK1"/>
    <mergeCell ref="AX1:BH1"/>
    <mergeCell ref="AP1:AT1"/>
    <mergeCell ref="AU1:AW1"/>
    <mergeCell ref="AC1:AO1"/>
  </mergeCells>
  <phoneticPr fontId="18" type="noConversion"/>
  <conditionalFormatting sqref="AU3:AU70">
    <cfRule type="expression" dxfId="2" priority="1">
      <formula>IF($B3 = "Python", TRUE, FALSE)</formula>
    </cfRule>
  </conditionalFormatting>
  <conditionalFormatting sqref="AX3:BC70">
    <cfRule type="notContainsBlanks" dxfId="1" priority="11">
      <formula>LEN(TRIM(AX3))&gt;0</formula>
    </cfRule>
  </conditionalFormatting>
  <conditionalFormatting sqref="AV3:AW70">
    <cfRule type="expression" dxfId="0" priority="8">
      <formula>IF($B3 = "Julia", TRUE, FALSE)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1E7D6-1405-4AC8-A599-0CE4601ECD6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5172DAFC2BB6479729CB287362C7E3" ma:contentTypeVersion="13" ma:contentTypeDescription="Create a new document." ma:contentTypeScope="" ma:versionID="0fc11b0946794a47057850b4f6c92dd7">
  <xsd:schema xmlns:xsd="http://www.w3.org/2001/XMLSchema" xmlns:xs="http://www.w3.org/2001/XMLSchema" xmlns:p="http://schemas.microsoft.com/office/2006/metadata/properties" xmlns:ns2="34d8c884-fe7e-4d4f-a833-b92a2823f74b" xmlns:ns3="a198008e-c7f6-4ed0-9865-26ace3c97b59" targetNamespace="http://schemas.microsoft.com/office/2006/metadata/properties" ma:root="true" ma:fieldsID="fb90ec7fe59ed1d44226abab88cd233b" ns2:_="" ns3:_="">
    <xsd:import namespace="34d8c884-fe7e-4d4f-a833-b92a2823f74b"/>
    <xsd:import namespace="a198008e-c7f6-4ed0-9865-26ace3c97b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d8c884-fe7e-4d4f-a833-b92a2823f7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c451d461-d530-465a-81eb-73ef42a83d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98008e-c7f6-4ed0-9865-26ace3c97b5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4cd41ce-512c-4471-a627-8bf77c2cc8fd}" ma:internalName="TaxCatchAll" ma:showField="CatchAllData" ma:web="a198008e-c7f6-4ed0-9865-26ace3c97b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198008e-c7f6-4ed0-9865-26ace3c97b59" xsi:nil="true"/>
    <lcf76f155ced4ddcb4097134ff3c332f xmlns="34d8c884-fe7e-4d4f-a833-b92a2823f74b">
      <Terms xmlns="http://schemas.microsoft.com/office/infopath/2007/PartnerControls"/>
    </lcf76f155ced4ddcb4097134ff3c332f>
    <SharedWithUsers xmlns="a198008e-c7f6-4ed0-9865-26ace3c97b59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F43DC28-AE43-4EFF-8739-4E0C557B41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d8c884-fe7e-4d4f-a833-b92a2823f74b"/>
    <ds:schemaRef ds:uri="a198008e-c7f6-4ed0-9865-26ace3c97b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FA2C79D-5C43-4F8C-8CB2-6CBFC45915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736866-79EE-4C47-B374-7C3565856A36}">
  <ds:schemaRefs>
    <ds:schemaRef ds:uri="http://schemas.microsoft.com/office/infopath/2007/PartnerControls"/>
    <ds:schemaRef ds:uri="http://schemas.microsoft.com/office/2006/documentManagement/types"/>
    <ds:schemaRef ds:uri="http://purl.org/dc/terms/"/>
    <ds:schemaRef ds:uri="34d8c884-fe7e-4d4f-a833-b92a2823f74b"/>
    <ds:schemaRef ds:uri="http://purl.org/dc/dcmitype/"/>
    <ds:schemaRef ds:uri="http://purl.org/dc/elements/1.1/"/>
    <ds:schemaRef ds:uri="http://schemas.microsoft.com/office/2006/metadata/properties"/>
    <ds:schemaRef ds:uri="a198008e-c7f6-4ed0-9865-26ace3c97b59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MasterDataTable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Zach Hatzenbeller</dc:creator>
  <cp:keywords/>
  <dc:description/>
  <cp:lastModifiedBy>Zach Hatzenbeller</cp:lastModifiedBy>
  <cp:revision/>
  <dcterms:created xsi:type="dcterms:W3CDTF">2024-02-21T20:31:27Z</dcterms:created>
  <dcterms:modified xsi:type="dcterms:W3CDTF">2024-06-13T15:22:21Z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0x010100B75172DAFC2BB6479729CB287362C7E3</vt:lpwstr>
  </property>
  <property fmtid="{D5CDD505-2E9C-101B-9397-08002B2CF9AE}" pid="3" name="MediaServiceImageTags">
    <vt:lpwstr/>
  </property>
  <property fmtid="{D5CDD505-2E9C-101B-9397-08002B2CF9AE}" pid="4" name="MSIP_Label_bea66b2b-af80-48b6-873b-d341d3035cfa_Enabled">
    <vt:lpwstr>true</vt:lpwstr>
  </property>
  <property fmtid="{D5CDD505-2E9C-101B-9397-08002B2CF9AE}" pid="5" name="MSIP_Label_bea66b2b-af80-48b6-873b-d341d3035cfa_SetDate">
    <vt:lpwstr>2024-02-29T22:36:18Z</vt:lpwstr>
  </property>
  <property fmtid="{D5CDD505-2E9C-101B-9397-08002B2CF9AE}" pid="6" name="MSIP_Label_bea66b2b-af80-48b6-873b-d341d3035cfa_Method">
    <vt:lpwstr>Standard</vt:lpwstr>
  </property>
  <property fmtid="{D5CDD505-2E9C-101B-9397-08002B2CF9AE}" pid="7" name="MSIP_Label_bea66b2b-af80-48b6-873b-d341d3035cfa_Name">
    <vt:lpwstr>Proprietary</vt:lpwstr>
  </property>
  <property fmtid="{D5CDD505-2E9C-101B-9397-08002B2CF9AE}" pid="8" name="MSIP_Label_bea66b2b-af80-48b6-873b-d341d3035cfa_SiteId">
    <vt:lpwstr>63982aff-fb6c-4c22-973b-70e4acfb63e6</vt:lpwstr>
  </property>
  <property fmtid="{D5CDD505-2E9C-101B-9397-08002B2CF9AE}" pid="9" name="MSIP_Label_bea66b2b-af80-48b6-873b-d341d3035cfa_ActionId">
    <vt:lpwstr>91d85dac-42e1-4dc2-93ee-7512b7f20543</vt:lpwstr>
  </property>
  <property fmtid="{D5CDD505-2E9C-101B-9397-08002B2CF9AE}" pid="10" name="MSIP_Label_bea66b2b-af80-48b6-873b-d341d3035cfa_ContentBits">
    <vt:lpwstr>0</vt:lpwstr>
  </property>
</Properties>
</file>