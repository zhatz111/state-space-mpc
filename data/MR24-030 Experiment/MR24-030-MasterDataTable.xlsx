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l604392\Git\state-space-model\data\MR24-030 Experiment\"/>
    </mc:Choice>
  </mc:AlternateContent>
  <xr:revisionPtr revIDLastSave="0" documentId="13_ncr:1_{6F700969-C51A-48FD-B5C9-61B26A69556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sterDataTable" sheetId="1" r:id="rId1"/>
  </sheets>
  <definedNames>
    <definedName name="_xlnm._FilterDatabase" localSheetId="0" hidden="1">MasterDataTable!$A$2:$BF$314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80" i="1" l="1"/>
  <c r="AP79" i="1"/>
  <c r="AP78" i="1"/>
  <c r="AP77" i="1"/>
  <c r="AP75" i="1"/>
  <c r="AP74" i="1"/>
  <c r="AP73" i="1"/>
  <c r="AP72" i="1"/>
  <c r="AP71" i="1"/>
  <c r="AP69" i="1"/>
  <c r="AP68" i="1"/>
  <c r="AP67" i="1"/>
  <c r="AP66" i="1"/>
  <c r="AP65" i="1"/>
  <c r="AP63" i="1"/>
  <c r="AP62" i="1"/>
  <c r="AP61" i="1"/>
  <c r="AP60" i="1"/>
  <c r="AP59" i="1"/>
  <c r="AP57" i="1"/>
  <c r="AP56" i="1"/>
  <c r="AP55" i="1"/>
  <c r="AP54" i="1"/>
  <c r="AP53" i="1"/>
  <c r="AP51" i="1"/>
  <c r="AP50" i="1"/>
  <c r="AP49" i="1"/>
  <c r="AP48" i="1"/>
  <c r="AP47" i="1"/>
  <c r="AP45" i="1"/>
  <c r="AP44" i="1"/>
  <c r="AP43" i="1"/>
  <c r="AP42" i="1"/>
  <c r="AP41" i="1"/>
  <c r="AP39" i="1"/>
  <c r="AP38" i="1"/>
  <c r="AP37" i="1"/>
  <c r="AP36" i="1"/>
  <c r="AP35" i="1"/>
  <c r="AP33" i="1"/>
  <c r="AP32" i="1"/>
  <c r="AP31" i="1"/>
  <c r="AP30" i="1"/>
  <c r="AP29" i="1"/>
  <c r="AP27" i="1"/>
  <c r="AP26" i="1"/>
  <c r="AP25" i="1"/>
  <c r="AP24" i="1"/>
  <c r="AP23" i="1"/>
  <c r="AP21" i="1"/>
  <c r="AP20" i="1"/>
  <c r="AP19" i="1"/>
  <c r="AP18" i="1"/>
  <c r="AP17" i="1"/>
  <c r="AP15" i="1"/>
  <c r="AP14" i="1"/>
  <c r="AP13" i="1"/>
  <c r="AP12" i="1"/>
  <c r="AP11" i="1"/>
  <c r="AP9" i="1"/>
  <c r="AP8" i="1"/>
  <c r="AP7" i="1"/>
  <c r="AP6" i="1"/>
  <c r="AP5" i="1"/>
  <c r="AP3" i="1"/>
  <c r="AO3" i="1" l="1"/>
  <c r="AY3" i="1" s="1"/>
  <c r="AZ9" i="1" s="1"/>
  <c r="BD4" i="1"/>
  <c r="BE4" i="1"/>
  <c r="BE5" i="1"/>
  <c r="BE6" i="1"/>
  <c r="BE9" i="1"/>
  <c r="BE10" i="1"/>
  <c r="BE11" i="1"/>
  <c r="BE12" i="1"/>
  <c r="BE15" i="1"/>
  <c r="BE16" i="1"/>
  <c r="BE17" i="1"/>
  <c r="BE18" i="1"/>
  <c r="BE21" i="1"/>
  <c r="BE22" i="1"/>
  <c r="BE23" i="1"/>
  <c r="BE24" i="1"/>
  <c r="BE27" i="1"/>
  <c r="BE28" i="1"/>
  <c r="BE29" i="1"/>
  <c r="BE30" i="1"/>
  <c r="BE33" i="1"/>
  <c r="BE34" i="1"/>
  <c r="BE35" i="1"/>
  <c r="BE36" i="1"/>
  <c r="BE39" i="1"/>
  <c r="BE40" i="1"/>
  <c r="BE41" i="1"/>
  <c r="BE42" i="1"/>
  <c r="BE45" i="1"/>
  <c r="BE46" i="1"/>
  <c r="BE47" i="1"/>
  <c r="BE48" i="1"/>
  <c r="BE51" i="1"/>
  <c r="BE52" i="1"/>
  <c r="BE53" i="1"/>
  <c r="BE54" i="1"/>
  <c r="BE57" i="1"/>
  <c r="BE58" i="1"/>
  <c r="BE59" i="1"/>
  <c r="BE60" i="1"/>
  <c r="BE63" i="1"/>
  <c r="BE64" i="1"/>
  <c r="BE65" i="1"/>
  <c r="BE66" i="1"/>
  <c r="BE69" i="1"/>
  <c r="BE70" i="1"/>
  <c r="BE71" i="1"/>
  <c r="BE72" i="1"/>
  <c r="BE75" i="1"/>
  <c r="BE76" i="1"/>
  <c r="BE77" i="1"/>
  <c r="BE78" i="1"/>
  <c r="BD5" i="1"/>
  <c r="BD6" i="1"/>
  <c r="BD7" i="1"/>
  <c r="BD8" i="1"/>
  <c r="BD9" i="1"/>
  <c r="BD10" i="1"/>
  <c r="BD11" i="1"/>
  <c r="BD12" i="1"/>
  <c r="BD13" i="1"/>
  <c r="BD14" i="1"/>
  <c r="BD15" i="1"/>
  <c r="BD16" i="1"/>
  <c r="BD17" i="1"/>
  <c r="BD18" i="1"/>
  <c r="BD19" i="1"/>
  <c r="BD20" i="1"/>
  <c r="BD21" i="1"/>
  <c r="BD22" i="1"/>
  <c r="BD23" i="1"/>
  <c r="BD24" i="1"/>
  <c r="BD25" i="1"/>
  <c r="BD26" i="1"/>
  <c r="BD27" i="1"/>
  <c r="BD28" i="1"/>
  <c r="BD29" i="1"/>
  <c r="BD30" i="1"/>
  <c r="BD31" i="1"/>
  <c r="BD32" i="1"/>
  <c r="BD33" i="1"/>
  <c r="BD34" i="1"/>
  <c r="BD35" i="1"/>
  <c r="BD36" i="1"/>
  <c r="BD37" i="1"/>
  <c r="BD38" i="1"/>
  <c r="BD39" i="1"/>
  <c r="BD40" i="1"/>
  <c r="BD41" i="1"/>
  <c r="BD42" i="1"/>
  <c r="BD43" i="1"/>
  <c r="BD44" i="1"/>
  <c r="BD45" i="1"/>
  <c r="BD46" i="1"/>
  <c r="BD47" i="1"/>
  <c r="BD48" i="1"/>
  <c r="BD49" i="1"/>
  <c r="BD50" i="1"/>
  <c r="BD51" i="1"/>
  <c r="BD52" i="1"/>
  <c r="BD53" i="1"/>
  <c r="BD54" i="1"/>
  <c r="BD55" i="1"/>
  <c r="BD56" i="1"/>
  <c r="BD57" i="1"/>
  <c r="BD58" i="1"/>
  <c r="BD59" i="1"/>
  <c r="BD60" i="1"/>
  <c r="BD61" i="1"/>
  <c r="BD62" i="1"/>
  <c r="BD63" i="1"/>
  <c r="BD64" i="1"/>
  <c r="BD65" i="1"/>
  <c r="BD66" i="1"/>
  <c r="BD67" i="1"/>
  <c r="BD68" i="1"/>
  <c r="BD69" i="1"/>
  <c r="BD70" i="1"/>
  <c r="BD71" i="1"/>
  <c r="BD72" i="1"/>
  <c r="BD73" i="1"/>
  <c r="BD74" i="1"/>
  <c r="BD75" i="1"/>
  <c r="BD76" i="1"/>
  <c r="BD77" i="1"/>
  <c r="BD78" i="1"/>
  <c r="BD79" i="1"/>
  <c r="BD80" i="1"/>
  <c r="BE3" i="1"/>
  <c r="BD3" i="1"/>
  <c r="BF4" i="1"/>
  <c r="BF5" i="1"/>
  <c r="BF6" i="1"/>
  <c r="BF9" i="1"/>
  <c r="BF10" i="1"/>
  <c r="BF11" i="1"/>
  <c r="BF12" i="1"/>
  <c r="BF15" i="1"/>
  <c r="BF16" i="1"/>
  <c r="BF17" i="1"/>
  <c r="BF18" i="1"/>
  <c r="BF21" i="1"/>
  <c r="BF22" i="1"/>
  <c r="BF23" i="1"/>
  <c r="BF24" i="1"/>
  <c r="BF27" i="1"/>
  <c r="BF28" i="1"/>
  <c r="BF29" i="1"/>
  <c r="BF30" i="1"/>
  <c r="BF33" i="1"/>
  <c r="BF34" i="1"/>
  <c r="BF35" i="1"/>
  <c r="BF36" i="1"/>
  <c r="BF39" i="1"/>
  <c r="BF40" i="1"/>
  <c r="BF41" i="1"/>
  <c r="BF42" i="1"/>
  <c r="BF45" i="1"/>
  <c r="BF46" i="1"/>
  <c r="BF47" i="1"/>
  <c r="BF48" i="1"/>
  <c r="BF51" i="1"/>
  <c r="BF52" i="1"/>
  <c r="BF53" i="1"/>
  <c r="BF54" i="1"/>
  <c r="BF57" i="1"/>
  <c r="BF58" i="1"/>
  <c r="BF59" i="1"/>
  <c r="BF60" i="1"/>
  <c r="BF63" i="1"/>
  <c r="BF64" i="1"/>
  <c r="BF65" i="1"/>
  <c r="BF66" i="1"/>
  <c r="BF69" i="1"/>
  <c r="BF70" i="1"/>
  <c r="BF71" i="1"/>
  <c r="BF72" i="1"/>
  <c r="BF75" i="1"/>
  <c r="BF76" i="1"/>
  <c r="BF77" i="1"/>
  <c r="BF78" i="1"/>
  <c r="BF3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3" i="1"/>
  <c r="AO4" i="1"/>
  <c r="AO5" i="1"/>
  <c r="AO6" i="1"/>
  <c r="AO7" i="1"/>
  <c r="AO8" i="1"/>
  <c r="AO9" i="1" l="1"/>
  <c r="AO15" i="1" s="1"/>
  <c r="AO21" i="1" s="1"/>
  <c r="AO27" i="1" s="1"/>
  <c r="AO33" i="1" s="1"/>
  <c r="AO39" i="1" s="1"/>
  <c r="AR39" i="1" s="1"/>
  <c r="BF7" i="1"/>
  <c r="AR3" i="1"/>
  <c r="BE8" i="1"/>
  <c r="BE7" i="1"/>
  <c r="BF8" i="1"/>
  <c r="AR8" i="1"/>
  <c r="AR7" i="1"/>
  <c r="AR6" i="1"/>
  <c r="AR5" i="1"/>
  <c r="AR4" i="1"/>
  <c r="AR21" i="1" l="1"/>
  <c r="AO45" i="1"/>
  <c r="AO51" i="1" s="1"/>
  <c r="AR9" i="1"/>
  <c r="AR33" i="1"/>
  <c r="AR15" i="1"/>
  <c r="AR27" i="1"/>
  <c r="AO57" i="1" l="1"/>
  <c r="AO63" i="1" s="1"/>
  <c r="AO69" i="1" s="1"/>
  <c r="AO75" i="1" s="1"/>
  <c r="AR75" i="1" s="1"/>
  <c r="AO10" i="1"/>
  <c r="AR51" i="1"/>
  <c r="AR45" i="1"/>
  <c r="AR57" i="1" l="1"/>
  <c r="AR69" i="1"/>
  <c r="AR63" i="1"/>
  <c r="AO16" i="1"/>
  <c r="AR10" i="1"/>
  <c r="AO22" i="1" l="1"/>
  <c r="AR16" i="1"/>
  <c r="AO28" i="1" l="1"/>
  <c r="AY28" i="1" s="1"/>
  <c r="AR22" i="1"/>
  <c r="AY4" i="1"/>
  <c r="AY5" i="1"/>
  <c r="AY6" i="1"/>
  <c r="AY7" i="1"/>
  <c r="AY8" i="1"/>
  <c r="AY9" i="1"/>
  <c r="AZ15" i="1" s="1"/>
  <c r="AY10" i="1"/>
  <c r="AZ16" i="1" s="1"/>
  <c r="AY15" i="1"/>
  <c r="AZ21" i="1" s="1"/>
  <c r="AY16" i="1"/>
  <c r="AZ22" i="1" s="1"/>
  <c r="AY21" i="1"/>
  <c r="AZ27" i="1" s="1"/>
  <c r="AY22" i="1"/>
  <c r="AY27" i="1"/>
  <c r="AZ33" i="1" s="1"/>
  <c r="AY33" i="1"/>
  <c r="AZ39" i="1" s="1"/>
  <c r="AY39" i="1"/>
  <c r="AY45" i="1"/>
  <c r="AY51" i="1"/>
  <c r="AY57" i="1"/>
  <c r="AY63" i="1"/>
  <c r="AY69" i="1"/>
  <c r="AY75" i="1"/>
  <c r="AZ10" i="1" l="1"/>
  <c r="AZ28" i="1"/>
  <c r="AZ45" i="1"/>
  <c r="AZ63" i="1"/>
  <c r="AZ57" i="1"/>
  <c r="AZ69" i="1"/>
  <c r="AZ51" i="1"/>
  <c r="AZ75" i="1"/>
  <c r="AZ34" i="1"/>
  <c r="AO34" i="1"/>
  <c r="AR28" i="1"/>
  <c r="AO40" i="1" l="1"/>
  <c r="AO46" i="1" s="1"/>
  <c r="AR34" i="1"/>
  <c r="AY34" i="1"/>
  <c r="AZ40" i="1" s="1"/>
  <c r="AO52" i="1" l="1"/>
  <c r="AO11" i="1" s="1"/>
  <c r="AR46" i="1"/>
  <c r="AY46" i="1"/>
  <c r="AZ52" i="1" s="1"/>
  <c r="AR40" i="1"/>
  <c r="AY40" i="1"/>
  <c r="AZ46" i="1" s="1"/>
  <c r="AY11" i="1" l="1"/>
  <c r="AR11" i="1"/>
  <c r="AO58" i="1"/>
  <c r="AO17" i="1" s="1"/>
  <c r="AR52" i="1"/>
  <c r="AY52" i="1"/>
  <c r="AZ58" i="1" l="1"/>
  <c r="AZ11" i="1"/>
  <c r="AY17" i="1"/>
  <c r="AR17" i="1"/>
  <c r="AY58" i="1"/>
  <c r="AZ64" i="1" s="1"/>
  <c r="AO64" i="1"/>
  <c r="AO23" i="1" s="1"/>
  <c r="AR58" i="1"/>
  <c r="AY23" i="1" l="1"/>
  <c r="AR23" i="1"/>
  <c r="AZ17" i="1"/>
  <c r="AO70" i="1"/>
  <c r="AO29" i="1" s="1"/>
  <c r="AY64" i="1"/>
  <c r="AZ70" i="1" s="1"/>
  <c r="AR64" i="1"/>
  <c r="AR29" i="1" l="1"/>
  <c r="AY29" i="1"/>
  <c r="AZ23" i="1"/>
  <c r="AY70" i="1"/>
  <c r="AR70" i="1"/>
  <c r="AO76" i="1"/>
  <c r="AO35" i="1" s="1"/>
  <c r="AO41" i="1" s="1"/>
  <c r="AO47" i="1" l="1"/>
  <c r="AR41" i="1"/>
  <c r="AY41" i="1"/>
  <c r="AZ47" i="1" s="1"/>
  <c r="AZ12" i="1"/>
  <c r="AZ76" i="1"/>
  <c r="AZ29" i="1"/>
  <c r="AR35" i="1"/>
  <c r="AY35" i="1"/>
  <c r="AZ41" i="1" s="1"/>
  <c r="AY76" i="1"/>
  <c r="AZ35" i="1" s="1"/>
  <c r="AR76" i="1"/>
  <c r="AO53" i="1" l="1"/>
  <c r="AY47" i="1"/>
  <c r="AZ53" i="1" s="1"/>
  <c r="AR47" i="1"/>
  <c r="AO12" i="1" l="1"/>
  <c r="AO59" i="1"/>
  <c r="AR53" i="1"/>
  <c r="AY53" i="1"/>
  <c r="AZ59" i="1" s="1"/>
  <c r="AO18" i="1" l="1"/>
  <c r="AY59" i="1"/>
  <c r="AZ65" i="1" s="1"/>
  <c r="AO65" i="1"/>
  <c r="AR59" i="1"/>
  <c r="AR12" i="1"/>
  <c r="AY12" i="1"/>
  <c r="AZ18" i="1" s="1"/>
  <c r="AZ13" i="1"/>
  <c r="AO24" i="1" l="1"/>
  <c r="AR65" i="1"/>
  <c r="AO71" i="1"/>
  <c r="AY65" i="1"/>
  <c r="AZ71" i="1" s="1"/>
  <c r="AY18" i="1"/>
  <c r="AZ24" i="1" s="1"/>
  <c r="AR18" i="1"/>
  <c r="AO30" i="1" l="1"/>
  <c r="AO77" i="1"/>
  <c r="AR71" i="1"/>
  <c r="AY71" i="1"/>
  <c r="AZ77" i="1" s="1"/>
  <c r="AR24" i="1"/>
  <c r="AY24" i="1"/>
  <c r="AZ30" i="1" s="1"/>
  <c r="AO36" i="1" l="1"/>
  <c r="AR77" i="1"/>
  <c r="AY77" i="1"/>
  <c r="AR30" i="1"/>
  <c r="AY30" i="1"/>
  <c r="AZ14" i="1"/>
  <c r="AZ36" i="1" l="1"/>
  <c r="AO42" i="1"/>
  <c r="AR36" i="1"/>
  <c r="AY36" i="1"/>
  <c r="AZ42" i="1" s="1"/>
  <c r="AO48" i="1" l="1"/>
  <c r="AR42" i="1"/>
  <c r="AY42" i="1"/>
  <c r="AZ48" i="1" s="1"/>
  <c r="AO54" i="1" l="1"/>
  <c r="AR48" i="1"/>
  <c r="AY48" i="1"/>
  <c r="AZ54" i="1" s="1"/>
  <c r="AO13" i="1" l="1"/>
  <c r="AO60" i="1"/>
  <c r="AY54" i="1"/>
  <c r="AZ60" i="1" s="1"/>
  <c r="AR54" i="1"/>
  <c r="AO19" i="1" l="1"/>
  <c r="AR60" i="1"/>
  <c r="AO66" i="1"/>
  <c r="AY60" i="1"/>
  <c r="AZ66" i="1" s="1"/>
  <c r="AY13" i="1"/>
  <c r="AZ19" i="1" s="1"/>
  <c r="AR13" i="1"/>
  <c r="BE13" i="1"/>
  <c r="BF13" i="1"/>
  <c r="AO25" i="1" l="1"/>
  <c r="AO72" i="1"/>
  <c r="AR66" i="1"/>
  <c r="AY66" i="1"/>
  <c r="AZ72" i="1" s="1"/>
  <c r="AY19" i="1"/>
  <c r="AZ25" i="1" s="1"/>
  <c r="AR19" i="1"/>
  <c r="BF19" i="1"/>
  <c r="BE19" i="1"/>
  <c r="AO31" i="1" l="1"/>
  <c r="AR72" i="1"/>
  <c r="AY72" i="1"/>
  <c r="AZ78" i="1" s="1"/>
  <c r="AO78" i="1"/>
  <c r="AY25" i="1"/>
  <c r="AZ31" i="1" s="1"/>
  <c r="AR25" i="1"/>
  <c r="BE25" i="1"/>
  <c r="BF25" i="1"/>
  <c r="AO37" i="1" l="1"/>
  <c r="AY78" i="1"/>
  <c r="AR78" i="1"/>
  <c r="AR31" i="1"/>
  <c r="BF31" i="1"/>
  <c r="BE31" i="1"/>
  <c r="AY31" i="1"/>
  <c r="AZ37" i="1" l="1"/>
  <c r="AO43" i="1"/>
  <c r="AR37" i="1"/>
  <c r="BE37" i="1"/>
  <c r="BF37" i="1"/>
  <c r="AY37" i="1"/>
  <c r="AZ43" i="1" s="1"/>
  <c r="AO49" i="1" l="1"/>
  <c r="AR43" i="1"/>
  <c r="BE43" i="1"/>
  <c r="AY43" i="1"/>
  <c r="AZ49" i="1" s="1"/>
  <c r="BF43" i="1"/>
  <c r="BF49" i="1" l="1"/>
  <c r="AR49" i="1"/>
  <c r="BE49" i="1"/>
  <c r="AO55" i="1"/>
  <c r="AY49" i="1"/>
  <c r="AZ55" i="1" s="1"/>
  <c r="AO14" i="1" l="1"/>
  <c r="BF55" i="1"/>
  <c r="AO61" i="1"/>
  <c r="BE55" i="1"/>
  <c r="AR55" i="1"/>
  <c r="AY55" i="1"/>
  <c r="AZ61" i="1" s="1"/>
  <c r="AO20" i="1" l="1"/>
  <c r="BF61" i="1"/>
  <c r="AY61" i="1"/>
  <c r="AZ67" i="1" s="1"/>
  <c r="AO67" i="1"/>
  <c r="AR61" i="1"/>
  <c r="BE61" i="1"/>
  <c r="BE14" i="1"/>
  <c r="BF14" i="1"/>
  <c r="AR14" i="1"/>
  <c r="AY14" i="1"/>
  <c r="AZ20" i="1" s="1"/>
  <c r="AO26" i="1" l="1"/>
  <c r="BF67" i="1"/>
  <c r="AY67" i="1"/>
  <c r="AZ73" i="1" s="1"/>
  <c r="AR67" i="1"/>
  <c r="BE67" i="1"/>
  <c r="AO73" i="1"/>
  <c r="BE20" i="1"/>
  <c r="BF20" i="1"/>
  <c r="AY20" i="1"/>
  <c r="AZ26" i="1" s="1"/>
  <c r="AR20" i="1"/>
  <c r="AO32" i="1" l="1"/>
  <c r="AY73" i="1"/>
  <c r="AZ79" i="1" s="1"/>
  <c r="BE73" i="1"/>
  <c r="AR73" i="1"/>
  <c r="AO79" i="1"/>
  <c r="BF73" i="1"/>
  <c r="BE26" i="1"/>
  <c r="AR26" i="1"/>
  <c r="AY26" i="1"/>
  <c r="AZ32" i="1" s="1"/>
  <c r="BF26" i="1"/>
  <c r="AO38" i="1" l="1"/>
  <c r="AY79" i="1"/>
  <c r="AR79" i="1"/>
  <c r="BF79" i="1"/>
  <c r="BE79" i="1"/>
  <c r="BE32" i="1"/>
  <c r="BF32" i="1"/>
  <c r="AR32" i="1"/>
  <c r="AY32" i="1"/>
  <c r="AZ38" i="1" l="1"/>
  <c r="AO44" i="1"/>
  <c r="BF38" i="1"/>
  <c r="BE38" i="1"/>
  <c r="AR38" i="1"/>
  <c r="AY38" i="1"/>
  <c r="AZ44" i="1" s="1"/>
  <c r="BF44" i="1" l="1"/>
  <c r="AR44" i="1"/>
  <c r="BE44" i="1"/>
  <c r="AY44" i="1"/>
  <c r="AZ50" i="1" s="1"/>
  <c r="AO50" i="1"/>
  <c r="BE50" i="1" l="1"/>
  <c r="AY50" i="1"/>
  <c r="AZ56" i="1" s="1"/>
  <c r="BF50" i="1"/>
  <c r="AO56" i="1"/>
  <c r="AR50" i="1"/>
  <c r="AY56" i="1" l="1"/>
  <c r="AZ62" i="1" s="1"/>
  <c r="AO62" i="1"/>
  <c r="BF56" i="1"/>
  <c r="BE56" i="1"/>
  <c r="AR56" i="1"/>
  <c r="AO68" i="1" l="1"/>
  <c r="AR62" i="1"/>
  <c r="BE62" i="1"/>
  <c r="BF62" i="1"/>
  <c r="AY62" i="1"/>
  <c r="AZ68" i="1" s="1"/>
  <c r="AO74" i="1" l="1"/>
  <c r="BE68" i="1"/>
  <c r="AY68" i="1"/>
  <c r="AZ74" i="1" s="1"/>
  <c r="BF68" i="1"/>
  <c r="AR68" i="1"/>
  <c r="BF74" i="1" l="1"/>
  <c r="AY74" i="1"/>
  <c r="AZ80" i="1" s="1"/>
  <c r="AR74" i="1"/>
  <c r="AO80" i="1"/>
  <c r="BE74" i="1"/>
  <c r="AR80" i="1" l="1"/>
  <c r="BE80" i="1"/>
  <c r="AY80" i="1"/>
  <c r="BF80" i="1"/>
</calcChain>
</file>

<file path=xl/sharedStrings.xml><?xml version="1.0" encoding="utf-8"?>
<sst xmlns="http://schemas.openxmlformats.org/spreadsheetml/2006/main" count="219" uniqueCount="72">
  <si>
    <t>Batch Data</t>
  </si>
  <si>
    <t>Offline Data</t>
  </si>
  <si>
    <t>Online Data</t>
  </si>
  <si>
    <t>Online Setpoints</t>
  </si>
  <si>
    <t>Next Day MPC Calculation</t>
  </si>
  <si>
    <t>Batch</t>
  </si>
  <si>
    <t>Controller</t>
  </si>
  <si>
    <t>iVCC</t>
  </si>
  <si>
    <t>pH</t>
  </si>
  <si>
    <t>Day</t>
  </si>
  <si>
    <t>Sample Time</t>
  </si>
  <si>
    <t>HPLC Titer</t>
  </si>
  <si>
    <t>IGG</t>
  </si>
  <si>
    <t>VCC</t>
  </si>
  <si>
    <t>Viability</t>
  </si>
  <si>
    <t>Lactate</t>
  </si>
  <si>
    <t>Glucose</t>
  </si>
  <si>
    <t>Volume</t>
  </si>
  <si>
    <t>Sample Volume</t>
  </si>
  <si>
    <t>Cumulative_Normalized_Glucose_Julia</t>
  </si>
  <si>
    <t>Amount of Future Feed</t>
  </si>
  <si>
    <t>Temperature</t>
  </si>
  <si>
    <t>pH_setpoint</t>
  </si>
  <si>
    <t>DO</t>
  </si>
  <si>
    <t>CD96 CSFR Setpoint</t>
  </si>
  <si>
    <t>Initial_Volume</t>
  </si>
  <si>
    <t>Model Feed Input Python</t>
  </si>
  <si>
    <t>Model Feed Input Julia</t>
  </si>
  <si>
    <t>Model Glucose Input Julia</t>
  </si>
  <si>
    <t>Feed Rate (mL/hour) Python</t>
  </si>
  <si>
    <t>Feed Rate (mL/hour) Julia</t>
  </si>
  <si>
    <t>Julia</t>
  </si>
  <si>
    <t>Python</t>
  </si>
  <si>
    <t>No MPC</t>
  </si>
  <si>
    <t xml:space="preserve">TCC  </t>
  </si>
  <si>
    <t xml:space="preserve">Diam </t>
  </si>
  <si>
    <t>Osmolality</t>
  </si>
  <si>
    <t>Ammonium</t>
  </si>
  <si>
    <t>Calcium</t>
  </si>
  <si>
    <t>Glutamine</t>
  </si>
  <si>
    <t>Glutamate</t>
  </si>
  <si>
    <t>CO2</t>
  </si>
  <si>
    <t>pO2</t>
  </si>
  <si>
    <t>Potassium</t>
  </si>
  <si>
    <t>Sodium</t>
  </si>
  <si>
    <t>Bicarbonate</t>
  </si>
  <si>
    <t>pCO2 at Temp</t>
  </si>
  <si>
    <t>pO2 at Temp</t>
  </si>
  <si>
    <t>pH at Temp</t>
  </si>
  <si>
    <t>Agitation Rate (rpm)</t>
  </si>
  <si>
    <t>DO (%)</t>
  </si>
  <si>
    <t>Vessel Temp (*C)</t>
  </si>
  <si>
    <t>Base Pumped (mL)</t>
  </si>
  <si>
    <t>Acid Pumped (mL)</t>
  </si>
  <si>
    <t>Antifoam Amount (mL)</t>
  </si>
  <si>
    <t>Daily Feed Amount (mL)</t>
  </si>
  <si>
    <t>Daily Glucose Amount (mL)</t>
  </si>
  <si>
    <t>Cumulative Feed Amount (mL)</t>
  </si>
  <si>
    <t>Cumulative Glucose Amount (mL)</t>
  </si>
  <si>
    <t>Cumulative_Normalized_Feed_Initial</t>
  </si>
  <si>
    <t>Cumulative_Normalized_Feed_Current</t>
  </si>
  <si>
    <t>MR24-030-801</t>
  </si>
  <si>
    <t>MR24-030-802</t>
  </si>
  <si>
    <t>MR24-030-803</t>
  </si>
  <si>
    <t>MR24-030-804</t>
  </si>
  <si>
    <t>MR24-030-805</t>
  </si>
  <si>
    <t>MR24-030-806</t>
  </si>
  <si>
    <t>Amount of Glucose (mL) Julia</t>
  </si>
  <si>
    <t>Feed Flow Rate based on CSFR (mL/hr)</t>
  </si>
  <si>
    <t>Feed Fed based on CSFR (mL)</t>
  </si>
  <si>
    <t>Online pH</t>
  </si>
  <si>
    <t>Feed Flow Rate (mL/hr)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</si>
</sst>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.5"/>
      <color theme="1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 applyNumberFormat="0" applyFill="0" applyBorder="0" applyAlignment="0" applyProtection="0"/>
  </cellStyleXfs>
  <cellXfs count="63">
    <xf numFmtId="0" fontId="0" fillId="0" borderId="0" xfId="0"/>
    <xf numFmtId="0" fontId="0" fillId="0" borderId="13" xfId="0" applyBorder="1"/>
    <xf numFmtId="0" fontId="0" fillId="0" borderId="14" xfId="0" applyBorder="1"/>
    <xf numFmtId="0" fontId="0" fillId="0" borderId="10" xfId="0" applyBorder="1"/>
    <xf numFmtId="0" fontId="0" fillId="0" borderId="11" xfId="0" applyBorder="1"/>
    <xf numFmtId="22" fontId="0" fillId="0" borderId="11" xfId="0" applyNumberFormat="1" applyBorder="1"/>
    <xf numFmtId="0" fontId="0" fillId="0" borderId="15" xfId="0" applyBorder="1"/>
    <xf numFmtId="0" fontId="0" fillId="0" borderId="16" xfId="0" applyBorder="1"/>
    <xf numFmtId="22" fontId="0" fillId="0" borderId="16" xfId="0" applyNumberFormat="1" applyBorder="1"/>
    <xf numFmtId="2" fontId="0" fillId="0" borderId="10" xfId="0" applyNumberFormat="1" applyBorder="1"/>
    <xf numFmtId="2" fontId="0" fillId="0" borderId="11" xfId="0" applyNumberFormat="1" applyBorder="1"/>
    <xf numFmtId="2" fontId="0" fillId="0" borderId="13" xfId="0" applyNumberFormat="1" applyBorder="1"/>
    <xf numFmtId="2" fontId="21" fillId="0" borderId="0" xfId="42" applyNumberFormat="1" applyFont="1" applyBorder="1"/>
    <xf numFmtId="2" fontId="0" fillId="0" borderId="15" xfId="0" applyNumberFormat="1" applyBorder="1"/>
    <xf numFmtId="2" fontId="0" fillId="0" borderId="16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38" borderId="11" xfId="0" applyNumberFormat="1" applyFill="1" applyBorder="1"/>
    <xf numFmtId="164" fontId="0" fillId="38" borderId="12" xfId="0" applyNumberFormat="1" applyFill="1" applyBorder="1"/>
    <xf numFmtId="164" fontId="0" fillId="33" borderId="12" xfId="0" applyNumberFormat="1" applyFill="1" applyBorder="1"/>
    <xf numFmtId="164" fontId="0" fillId="0" borderId="13" xfId="0" applyNumberFormat="1" applyBorder="1"/>
    <xf numFmtId="164" fontId="0" fillId="38" borderId="14" xfId="0" applyNumberFormat="1" applyFill="1" applyBorder="1"/>
    <xf numFmtId="164" fontId="0" fillId="33" borderId="14" xfId="0" applyNumberFormat="1" applyFill="1" applyBorder="1"/>
    <xf numFmtId="164" fontId="0" fillId="0" borderId="15" xfId="0" applyNumberFormat="1" applyBorder="1"/>
    <xf numFmtId="164" fontId="0" fillId="0" borderId="16" xfId="0" applyNumberFormat="1" applyBorder="1"/>
    <xf numFmtId="164" fontId="0" fillId="38" borderId="16" xfId="0" applyNumberFormat="1" applyFill="1" applyBorder="1"/>
    <xf numFmtId="164" fontId="0" fillId="38" borderId="17" xfId="0" applyNumberFormat="1" applyFill="1" applyBorder="1"/>
    <xf numFmtId="164" fontId="0" fillId="33" borderId="17" xfId="0" applyNumberFormat="1" applyFill="1" applyBorder="1"/>
    <xf numFmtId="1" fontId="0" fillId="0" borderId="11" xfId="0" applyNumberFormat="1" applyBorder="1"/>
    <xf numFmtId="1" fontId="0" fillId="0" borderId="16" xfId="0" applyNumberFormat="1" applyBorder="1"/>
    <xf numFmtId="0" fontId="22" fillId="0" borderId="14" xfId="0" applyFont="1" applyBorder="1" applyAlignment="1">
      <alignment horizontal="center" vertical="center" wrapText="1"/>
    </xf>
    <xf numFmtId="0" fontId="0" fillId="0" borderId="12" xfId="0" applyBorder="1"/>
    <xf numFmtId="0" fontId="0" fillId="0" borderId="17" xfId="0" applyBorder="1"/>
    <xf numFmtId="2" fontId="0" fillId="0" borderId="12" xfId="0" applyNumberFormat="1" applyBorder="1"/>
    <xf numFmtId="2" fontId="0" fillId="0" borderId="14" xfId="0" applyNumberFormat="1" applyBorder="1"/>
    <xf numFmtId="2" fontId="0" fillId="0" borderId="17" xfId="0" applyNumberFormat="1" applyBorder="1"/>
    <xf numFmtId="0" fontId="0" fillId="0" borderId="0" xfId="0" applyBorder="1"/>
    <xf numFmtId="22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164" fontId="0" fillId="38" borderId="0" xfId="0" applyNumberFormat="1" applyFill="1" applyBorder="1"/>
    <xf numFmtId="1" fontId="0" fillId="0" borderId="0" xfId="0" applyNumberFormat="1" applyBorder="1"/>
    <xf numFmtId="0" fontId="22" fillId="0" borderId="0" xfId="0" applyFont="1" applyBorder="1" applyAlignment="1">
      <alignment horizontal="center" vertical="center" wrapText="1"/>
    </xf>
    <xf numFmtId="164" fontId="0" fillId="33" borderId="0" xfId="0" applyNumberFormat="1" applyFill="1" applyBorder="1"/>
    <xf numFmtId="2" fontId="14" fillId="0" borderId="0" xfId="0" applyNumberFormat="1" applyFont="1" applyBorder="1"/>
    <xf numFmtId="0" fontId="0" fillId="0" borderId="0" xfId="0" applyBorder="1" applyAlignment="1">
      <alignment vertical="center" wrapText="1"/>
    </xf>
    <xf numFmtId="0" fontId="0" fillId="0" borderId="0" xfId="0" applyFill="1" applyBorder="1"/>
    <xf numFmtId="164" fontId="0" fillId="33" borderId="11" xfId="0" applyNumberFormat="1" applyFill="1" applyBorder="1"/>
    <xf numFmtId="164" fontId="0" fillId="33" borderId="16" xfId="0" applyNumberFormat="1" applyFill="1" applyBorder="1"/>
    <xf numFmtId="0" fontId="0" fillId="0" borderId="11" xfId="0" applyFill="1" applyBorder="1"/>
    <xf numFmtId="0" fontId="0" fillId="0" borderId="16" xfId="0" applyFill="1" applyBorder="1"/>
    <xf numFmtId="0" fontId="22" fillId="0" borderId="13" xfId="0" applyFont="1" applyBorder="1" applyAlignment="1">
      <alignment horizontal="center" vertical="center" wrapText="1"/>
    </xf>
    <xf numFmtId="0" fontId="19" fillId="33" borderId="0" xfId="0" applyFont="1" applyFill="1" applyBorder="1" applyAlignment="1">
      <alignment horizontal="center"/>
    </xf>
    <xf numFmtId="0" fontId="19" fillId="37" borderId="10" xfId="0" applyFont="1" applyFill="1" applyBorder="1" applyAlignment="1">
      <alignment horizontal="center"/>
    </xf>
    <xf numFmtId="0" fontId="19" fillId="37" borderId="11" xfId="0" applyFont="1" applyFill="1" applyBorder="1" applyAlignment="1">
      <alignment horizontal="center"/>
    </xf>
    <xf numFmtId="0" fontId="19" fillId="37" borderId="12" xfId="0" applyFont="1" applyFill="1" applyBorder="1" applyAlignment="1">
      <alignment horizontal="center"/>
    </xf>
    <xf numFmtId="0" fontId="19" fillId="36" borderId="0" xfId="0" applyFont="1" applyFill="1" applyBorder="1" applyAlignment="1">
      <alignment horizontal="center"/>
    </xf>
    <xf numFmtId="0" fontId="19" fillId="35" borderId="10" xfId="0" applyFont="1" applyFill="1" applyBorder="1" applyAlignment="1">
      <alignment horizontal="center"/>
    </xf>
    <xf numFmtId="0" fontId="19" fillId="35" borderId="11" xfId="0" applyFont="1" applyFill="1" applyBorder="1" applyAlignment="1">
      <alignment horizontal="center"/>
    </xf>
    <xf numFmtId="0" fontId="19" fillId="35" borderId="12" xfId="0" applyFont="1" applyFill="1" applyBorder="1" applyAlignment="1">
      <alignment horizontal="center"/>
    </xf>
    <xf numFmtId="0" fontId="19" fillId="34" borderId="10" xfId="0" applyFont="1" applyFill="1" applyBorder="1" applyAlignment="1">
      <alignment horizontal="center"/>
    </xf>
    <xf numFmtId="0" fontId="19" fillId="34" borderId="11" xfId="0" applyFont="1" applyFill="1" applyBorder="1" applyAlignment="1">
      <alignment horizontal="center"/>
    </xf>
    <xf numFmtId="0" fontId="19" fillId="34" borderId="12" xfId="0" applyFont="1" applyFill="1" applyBorder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F728"/>
  <sheetViews>
    <sheetView tabSelected="1" zoomScaleNormal="100" workbookViewId="0">
      <pane xSplit="5" ySplit="2" topLeftCell="F3" activePane="bottomRight" state="frozen"/>
      <selection pane="topRight" activeCell="H1" sqref="H1"/>
      <selection pane="bottomLeft" activeCell="A3" sqref="A3"/>
      <selection pane="bottomRight" activeCell="D12" sqref="D12"/>
    </sheetView>
  </sheetViews>
  <sheetFormatPr defaultColWidth="14.7109375" defaultRowHeight="15" x14ac:dyDescent="0.25"/>
  <cols>
    <col min="1" max="1" width="14.7109375" style="36"/>
    <col min="2" max="4" width="10.7109375" style="36" customWidth="1"/>
    <col min="5" max="5" width="14.7109375" style="36"/>
    <col min="6" max="49" width="12.7109375" style="36" customWidth="1"/>
    <col min="50" max="52" width="12.7109375" style="39" customWidth="1"/>
    <col min="53" max="58" width="12.7109375" style="36" customWidth="1"/>
    <col min="59" max="16384" width="14.7109375" style="36"/>
  </cols>
  <sheetData>
    <row r="1" spans="1:58" ht="21" x14ac:dyDescent="0.35">
      <c r="A1" s="52" t="s">
        <v>0</v>
      </c>
      <c r="B1" s="52"/>
      <c r="C1" s="52"/>
      <c r="D1" s="52"/>
      <c r="E1" s="52"/>
      <c r="F1" s="60" t="s">
        <v>1</v>
      </c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2"/>
      <c r="AB1" s="57" t="s">
        <v>2</v>
      </c>
      <c r="AC1" s="58"/>
      <c r="AD1" s="58"/>
      <c r="AE1" s="58"/>
      <c r="AF1" s="58"/>
      <c r="AG1" s="58"/>
      <c r="AH1" s="58"/>
      <c r="AI1" s="58"/>
      <c r="AJ1" s="58"/>
      <c r="AK1" s="58"/>
      <c r="AL1" s="58"/>
      <c r="AM1" s="58"/>
      <c r="AN1" s="58"/>
      <c r="AO1" s="58"/>
      <c r="AP1" s="58"/>
      <c r="AQ1" s="58"/>
      <c r="AR1" s="58"/>
      <c r="AS1" s="59"/>
      <c r="AT1" s="56" t="s">
        <v>3</v>
      </c>
      <c r="AU1" s="56"/>
      <c r="AV1" s="56"/>
      <c r="AW1" s="56"/>
      <c r="AX1" s="56"/>
      <c r="AY1" s="56"/>
      <c r="AZ1" s="56"/>
      <c r="BA1" s="53" t="s">
        <v>4</v>
      </c>
      <c r="BB1" s="54"/>
      <c r="BC1" s="54"/>
      <c r="BD1" s="54"/>
      <c r="BE1" s="54"/>
      <c r="BF1" s="55"/>
    </row>
    <row r="2" spans="1:58" s="42" customFormat="1" ht="60.75" thickBot="1" x14ac:dyDescent="0.3">
      <c r="A2" s="42" t="s">
        <v>5</v>
      </c>
      <c r="B2" s="42" t="s">
        <v>6</v>
      </c>
      <c r="C2" s="42" t="s">
        <v>7</v>
      </c>
      <c r="D2" s="42" t="s">
        <v>9</v>
      </c>
      <c r="E2" s="42" t="s">
        <v>10</v>
      </c>
      <c r="F2" s="51" t="s">
        <v>11</v>
      </c>
      <c r="G2" s="42" t="s">
        <v>12</v>
      </c>
      <c r="H2" s="42" t="s">
        <v>34</v>
      </c>
      <c r="I2" s="42" t="s">
        <v>13</v>
      </c>
      <c r="J2" s="42" t="s">
        <v>14</v>
      </c>
      <c r="K2" s="42" t="s">
        <v>35</v>
      </c>
      <c r="L2" s="42" t="s">
        <v>36</v>
      </c>
      <c r="M2" s="42" t="s">
        <v>37</v>
      </c>
      <c r="N2" s="42" t="s">
        <v>38</v>
      </c>
      <c r="O2" s="42" t="s">
        <v>16</v>
      </c>
      <c r="P2" s="42" t="s">
        <v>39</v>
      </c>
      <c r="Q2" s="42" t="s">
        <v>40</v>
      </c>
      <c r="R2" s="42" t="s">
        <v>15</v>
      </c>
      <c r="S2" s="42" t="s">
        <v>8</v>
      </c>
      <c r="T2" s="42" t="s">
        <v>41</v>
      </c>
      <c r="U2" s="42" t="s">
        <v>42</v>
      </c>
      <c r="V2" s="42" t="s">
        <v>43</v>
      </c>
      <c r="W2" s="42" t="s">
        <v>44</v>
      </c>
      <c r="X2" s="42" t="s">
        <v>45</v>
      </c>
      <c r="Y2" s="42" t="s">
        <v>46</v>
      </c>
      <c r="Z2" s="42" t="s">
        <v>47</v>
      </c>
      <c r="AA2" s="30" t="s">
        <v>48</v>
      </c>
      <c r="AB2" s="51" t="s">
        <v>49</v>
      </c>
      <c r="AC2" s="42" t="s">
        <v>50</v>
      </c>
      <c r="AD2" s="42" t="s">
        <v>70</v>
      </c>
      <c r="AE2" s="42" t="s">
        <v>51</v>
      </c>
      <c r="AF2" s="42" t="s">
        <v>52</v>
      </c>
      <c r="AG2" s="42" t="s">
        <v>53</v>
      </c>
      <c r="AH2" s="42" t="s">
        <v>54</v>
      </c>
      <c r="AI2" s="42" t="s">
        <v>71</v>
      </c>
      <c r="AJ2" s="42" t="s">
        <v>57</v>
      </c>
      <c r="AK2" s="42" t="s">
        <v>58</v>
      </c>
      <c r="AL2" s="42" t="s">
        <v>55</v>
      </c>
      <c r="AM2" s="42" t="s">
        <v>56</v>
      </c>
      <c r="AN2" s="42" t="s">
        <v>18</v>
      </c>
      <c r="AO2" s="42" t="s">
        <v>17</v>
      </c>
      <c r="AP2" s="42" t="s">
        <v>60</v>
      </c>
      <c r="AQ2" s="42" t="s">
        <v>59</v>
      </c>
      <c r="AR2" s="42" t="s">
        <v>19</v>
      </c>
      <c r="AS2" s="30" t="s">
        <v>20</v>
      </c>
      <c r="AT2" s="42" t="s">
        <v>25</v>
      </c>
      <c r="AU2" s="42" t="s">
        <v>21</v>
      </c>
      <c r="AV2" s="42" t="s">
        <v>22</v>
      </c>
      <c r="AW2" s="42" t="s">
        <v>23</v>
      </c>
      <c r="AX2" s="42" t="s">
        <v>24</v>
      </c>
      <c r="AY2" s="42" t="s">
        <v>68</v>
      </c>
      <c r="AZ2" s="42" t="s">
        <v>69</v>
      </c>
      <c r="BA2" s="51" t="s">
        <v>26</v>
      </c>
      <c r="BB2" s="42" t="s">
        <v>27</v>
      </c>
      <c r="BC2" s="42" t="s">
        <v>28</v>
      </c>
      <c r="BD2" s="42" t="s">
        <v>29</v>
      </c>
      <c r="BE2" s="42" t="s">
        <v>30</v>
      </c>
      <c r="BF2" s="30" t="s">
        <v>67</v>
      </c>
    </row>
    <row r="3" spans="1:58" x14ac:dyDescent="0.25">
      <c r="A3" s="3" t="s">
        <v>61</v>
      </c>
      <c r="B3" s="4" t="s">
        <v>33</v>
      </c>
      <c r="C3" s="4">
        <v>12</v>
      </c>
      <c r="D3" s="4">
        <v>0</v>
      </c>
      <c r="E3" s="5"/>
      <c r="F3" s="9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33"/>
      <c r="AB3" s="15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28"/>
      <c r="AO3" s="16">
        <f>AT3+SUM(AF3:AH3,AL3:AM3)-AN3</f>
        <v>1700</v>
      </c>
      <c r="AP3" s="17">
        <f>IFERROR(AH3/AN3,0)</f>
        <v>0</v>
      </c>
      <c r="AQ3" s="17">
        <f>AJ3/AT3</f>
        <v>0</v>
      </c>
      <c r="AR3" s="17">
        <f>AK3/AO3</f>
        <v>0</v>
      </c>
      <c r="AS3" s="18">
        <f>AI3*24</f>
        <v>0</v>
      </c>
      <c r="AT3" s="28">
        <v>1700</v>
      </c>
      <c r="AU3" s="10">
        <v>34</v>
      </c>
      <c r="AV3" s="10">
        <v>7.2</v>
      </c>
      <c r="AW3" s="10">
        <v>50</v>
      </c>
      <c r="AX3" s="16">
        <v>2.9999999999999997E-4</v>
      </c>
      <c r="AY3" s="16">
        <f>AX3*H3*AO3*0.06</f>
        <v>0</v>
      </c>
      <c r="AZ3" s="16">
        <v>0</v>
      </c>
      <c r="BA3" s="15"/>
      <c r="BB3" s="16"/>
      <c r="BC3" s="16"/>
      <c r="BD3" s="47" t="str">
        <f>IF(B3="Python",BA3*AT3/24,"")</f>
        <v/>
      </c>
      <c r="BE3" s="47" t="str">
        <f>IF(B3="Julia",BB3*AO3/24,"")</f>
        <v/>
      </c>
      <c r="BF3" s="19" t="str">
        <f>IF(B3="Julia",BC3*AO3,"")</f>
        <v/>
      </c>
    </row>
    <row r="4" spans="1:58" x14ac:dyDescent="0.25">
      <c r="A4" s="1" t="s">
        <v>62</v>
      </c>
      <c r="B4" s="36" t="s">
        <v>32</v>
      </c>
      <c r="C4" s="36">
        <v>12</v>
      </c>
      <c r="D4" s="36">
        <v>0</v>
      </c>
      <c r="E4" s="37"/>
      <c r="F4" s="11"/>
      <c r="G4" s="38">
        <v>158.35</v>
      </c>
      <c r="H4" s="38"/>
      <c r="I4" s="38">
        <v>10.029999999999999</v>
      </c>
      <c r="J4" s="38">
        <v>98.72</v>
      </c>
      <c r="K4" s="38"/>
      <c r="L4" s="38">
        <v>316</v>
      </c>
      <c r="M4" s="38"/>
      <c r="N4" s="38"/>
      <c r="O4" s="38"/>
      <c r="P4" s="38"/>
      <c r="Q4" s="38"/>
      <c r="R4" s="38">
        <v>0.66</v>
      </c>
      <c r="S4" s="38"/>
      <c r="T4" s="38"/>
      <c r="U4" s="38"/>
      <c r="V4" s="38"/>
      <c r="W4" s="38"/>
      <c r="X4" s="38"/>
      <c r="Y4" s="38"/>
      <c r="Z4" s="38"/>
      <c r="AA4" s="34"/>
      <c r="AB4" s="20"/>
      <c r="AC4" s="39"/>
      <c r="AD4" s="39"/>
      <c r="AE4" s="39"/>
      <c r="AF4" s="39"/>
      <c r="AG4" s="39"/>
      <c r="AH4" s="39"/>
      <c r="AI4" s="39"/>
      <c r="AJ4" s="39"/>
      <c r="AK4" s="39"/>
      <c r="AL4" s="39"/>
      <c r="AM4" s="39"/>
      <c r="AN4" s="41"/>
      <c r="AO4" s="39">
        <f>AT4+SUM(AF4:AH4,AL4:AM4)-AN4</f>
        <v>1700</v>
      </c>
      <c r="AP4" s="40">
        <v>0</v>
      </c>
      <c r="AQ4" s="40">
        <f>AJ4/AT4</f>
        <v>0</v>
      </c>
      <c r="AR4" s="40">
        <f>AK4/AO4</f>
        <v>0</v>
      </c>
      <c r="AS4" s="21">
        <f>AI4*24</f>
        <v>0</v>
      </c>
      <c r="AT4" s="41">
        <v>1700</v>
      </c>
      <c r="AU4" s="38">
        <v>34</v>
      </c>
      <c r="AV4" s="38">
        <v>7.2</v>
      </c>
      <c r="AW4" s="38">
        <v>50</v>
      </c>
      <c r="AX4" s="39">
        <v>2.9999999999999997E-4</v>
      </c>
      <c r="AY4" s="39">
        <f>AX4*H4*AO4*0.06</f>
        <v>0</v>
      </c>
      <c r="AZ4" s="39">
        <v>0</v>
      </c>
      <c r="BA4" s="20"/>
      <c r="BB4" s="39"/>
      <c r="BC4" s="39"/>
      <c r="BD4" s="43">
        <f>IF(B4="Python",BA4*AT4/24,"")</f>
        <v>0</v>
      </c>
      <c r="BE4" s="43" t="str">
        <f>IF(B4="Julia",BB4*AO4/24,"")</f>
        <v/>
      </c>
      <c r="BF4" s="22" t="str">
        <f>IF(B4="Julia",BC4*AO4,"")</f>
        <v/>
      </c>
    </row>
    <row r="5" spans="1:58" x14ac:dyDescent="0.25">
      <c r="A5" s="1" t="s">
        <v>63</v>
      </c>
      <c r="B5" s="36" t="s">
        <v>32</v>
      </c>
      <c r="C5" s="36">
        <v>12</v>
      </c>
      <c r="D5" s="36">
        <v>0</v>
      </c>
      <c r="E5" s="37"/>
      <c r="F5" s="11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4"/>
      <c r="AB5" s="20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41"/>
      <c r="AO5" s="39">
        <f>AT5+SUM(AF5:AH5,AL5:AM5)-AN5</f>
        <v>1700</v>
      </c>
      <c r="AP5" s="40">
        <f>IFERROR(AH5/AN5,0)</f>
        <v>0</v>
      </c>
      <c r="AQ5" s="40">
        <f>AJ5/AT5</f>
        <v>0</v>
      </c>
      <c r="AR5" s="40">
        <f>AK5/AO5</f>
        <v>0</v>
      </c>
      <c r="AS5" s="21">
        <f>AI5*24</f>
        <v>0</v>
      </c>
      <c r="AT5" s="41">
        <v>1700</v>
      </c>
      <c r="AU5" s="38">
        <v>34</v>
      </c>
      <c r="AV5" s="38">
        <v>7.2</v>
      </c>
      <c r="AW5" s="38">
        <v>50</v>
      </c>
      <c r="AX5" s="39">
        <v>2.9999999999999997E-4</v>
      </c>
      <c r="AY5" s="39">
        <f>AX5*H5*AO5*0.06</f>
        <v>0</v>
      </c>
      <c r="AZ5" s="39">
        <v>0</v>
      </c>
      <c r="BA5" s="20"/>
      <c r="BB5" s="39"/>
      <c r="BC5" s="39"/>
      <c r="BD5" s="43">
        <f>IF(B5="Python",BA5*AT5/24,"")</f>
        <v>0</v>
      </c>
      <c r="BE5" s="43" t="str">
        <f>IF(B5="Julia",BB5*AO5/24,"")</f>
        <v/>
      </c>
      <c r="BF5" s="22" t="str">
        <f>IF(B5="Julia",BC5*AO5,"")</f>
        <v/>
      </c>
    </row>
    <row r="6" spans="1:58" x14ac:dyDescent="0.25">
      <c r="A6" s="1" t="s">
        <v>64</v>
      </c>
      <c r="B6" s="36" t="s">
        <v>33</v>
      </c>
      <c r="C6" s="36">
        <v>15</v>
      </c>
      <c r="D6" s="36">
        <v>0</v>
      </c>
      <c r="E6" s="37"/>
      <c r="F6" s="11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4"/>
      <c r="AB6" s="20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41"/>
      <c r="AO6" s="39">
        <f>AT6+SUM(AF6:AH6,AL6:AM6)-AN6</f>
        <v>1700</v>
      </c>
      <c r="AP6" s="40">
        <f>IFERROR(AH6/AN6,0)</f>
        <v>0</v>
      </c>
      <c r="AQ6" s="40">
        <f>AJ6/AT6</f>
        <v>0</v>
      </c>
      <c r="AR6" s="40">
        <f>AK6/AO6</f>
        <v>0</v>
      </c>
      <c r="AS6" s="21">
        <f>AI6*24</f>
        <v>0</v>
      </c>
      <c r="AT6" s="41">
        <v>1700</v>
      </c>
      <c r="AU6" s="38">
        <v>34</v>
      </c>
      <c r="AV6" s="38">
        <v>7.2</v>
      </c>
      <c r="AW6" s="38">
        <v>50</v>
      </c>
      <c r="AX6" s="39">
        <v>2.9999999999999997E-4</v>
      </c>
      <c r="AY6" s="39">
        <f>AX6*H6*AO6*0.06</f>
        <v>0</v>
      </c>
      <c r="AZ6" s="39">
        <v>0</v>
      </c>
      <c r="BA6" s="20"/>
      <c r="BB6" s="39"/>
      <c r="BC6" s="39"/>
      <c r="BD6" s="43" t="str">
        <f>IF(B6="Python",BA6*AT6/24,"")</f>
        <v/>
      </c>
      <c r="BE6" s="43" t="str">
        <f>IF(B6="Julia",BB6*AO6/24,"")</f>
        <v/>
      </c>
      <c r="BF6" s="22" t="str">
        <f>IF(B6="Julia",BC6*AO6,"")</f>
        <v/>
      </c>
    </row>
    <row r="7" spans="1:58" x14ac:dyDescent="0.25">
      <c r="A7" s="1" t="s">
        <v>65</v>
      </c>
      <c r="B7" s="36" t="s">
        <v>31</v>
      </c>
      <c r="C7" s="36">
        <v>12</v>
      </c>
      <c r="D7" s="36">
        <v>0</v>
      </c>
      <c r="E7" s="37"/>
      <c r="F7" s="11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4"/>
      <c r="AB7" s="20"/>
      <c r="AC7" s="39"/>
      <c r="AD7" s="39"/>
      <c r="AE7" s="39"/>
      <c r="AF7" s="39"/>
      <c r="AG7" s="39"/>
      <c r="AH7" s="39"/>
      <c r="AI7" s="39"/>
      <c r="AJ7" s="39"/>
      <c r="AK7" s="39"/>
      <c r="AL7" s="39"/>
      <c r="AM7" s="39"/>
      <c r="AN7" s="41"/>
      <c r="AO7" s="39">
        <f>AT7+SUM(AF7:AH7,AL7:AM7)-AN7</f>
        <v>1700</v>
      </c>
      <c r="AP7" s="40">
        <f>IFERROR(AH7/AN7,0)</f>
        <v>0</v>
      </c>
      <c r="AQ7" s="40">
        <f>AJ7/AT7</f>
        <v>0</v>
      </c>
      <c r="AR7" s="40">
        <f>AK7/AO7</f>
        <v>0</v>
      </c>
      <c r="AS7" s="21">
        <f>AI7*24</f>
        <v>0</v>
      </c>
      <c r="AT7" s="41">
        <v>1700</v>
      </c>
      <c r="AU7" s="38">
        <v>34</v>
      </c>
      <c r="AV7" s="38">
        <v>7.2</v>
      </c>
      <c r="AW7" s="38">
        <v>50</v>
      </c>
      <c r="AX7" s="39">
        <v>2.9999999999999997E-4</v>
      </c>
      <c r="AY7" s="39">
        <f>AX7*H7*AO7*0.06</f>
        <v>0</v>
      </c>
      <c r="AZ7" s="39">
        <v>0</v>
      </c>
      <c r="BA7" s="20"/>
      <c r="BB7" s="39"/>
      <c r="BC7" s="39"/>
      <c r="BD7" s="43" t="str">
        <f>IF(B7="Python",BA7*AT7/24,"")</f>
        <v/>
      </c>
      <c r="BE7" s="43">
        <f>IF(B7="Julia",BB7*AO7/24,"")</f>
        <v>0</v>
      </c>
      <c r="BF7" s="22">
        <f>IF(B7="Julia",BC7*AO7,"")</f>
        <v>0</v>
      </c>
    </row>
    <row r="8" spans="1:58" ht="15.75" thickBot="1" x14ac:dyDescent="0.3">
      <c r="A8" s="6" t="s">
        <v>66</v>
      </c>
      <c r="B8" s="7" t="s">
        <v>31</v>
      </c>
      <c r="C8" s="7">
        <v>12</v>
      </c>
      <c r="D8" s="7">
        <v>0</v>
      </c>
      <c r="E8" s="8"/>
      <c r="F8" s="13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35"/>
      <c r="AB8" s="23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9"/>
      <c r="AO8" s="24">
        <f>AT8+SUM(AF8:AH8,AL8:AM8)-AN8</f>
        <v>1700</v>
      </c>
      <c r="AP8" s="25">
        <f>IFERROR(AH8/AN8,0)</f>
        <v>0</v>
      </c>
      <c r="AQ8" s="25">
        <f>AJ8/AT8</f>
        <v>0</v>
      </c>
      <c r="AR8" s="25">
        <f>AK8/AO8</f>
        <v>0</v>
      </c>
      <c r="AS8" s="26">
        <f>AI8*24</f>
        <v>0</v>
      </c>
      <c r="AT8" s="29">
        <v>1700</v>
      </c>
      <c r="AU8" s="14">
        <v>34</v>
      </c>
      <c r="AV8" s="14">
        <v>7.2</v>
      </c>
      <c r="AW8" s="14">
        <v>50</v>
      </c>
      <c r="AX8" s="24">
        <v>2.9999999999999997E-4</v>
      </c>
      <c r="AY8" s="24">
        <f>AX8*H8*AO8*0.06</f>
        <v>0</v>
      </c>
      <c r="AZ8" s="24">
        <v>0</v>
      </c>
      <c r="BA8" s="23"/>
      <c r="BB8" s="24"/>
      <c r="BC8" s="24"/>
      <c r="BD8" s="48" t="str">
        <f>IF(B8="Python",BA8*AT8/24,"")</f>
        <v/>
      </c>
      <c r="BE8" s="48">
        <f>IF(B8="Julia",BB8*AO8/24,"")</f>
        <v>0</v>
      </c>
      <c r="BF8" s="27">
        <f>IF(B8="Julia",BC8*AO8,"")</f>
        <v>0</v>
      </c>
    </row>
    <row r="9" spans="1:58" x14ac:dyDescent="0.25">
      <c r="A9" s="3" t="s">
        <v>61</v>
      </c>
      <c r="B9" s="4" t="s">
        <v>33</v>
      </c>
      <c r="C9" s="4">
        <v>12</v>
      </c>
      <c r="D9" s="49">
        <v>1</v>
      </c>
      <c r="E9" s="5"/>
      <c r="F9" s="9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33"/>
      <c r="AB9" s="15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28"/>
      <c r="AO9" s="16" t="e">
        <f>#REF!+SUM(AF9:AH9,AL9:AM9)-AN9</f>
        <v>#REF!</v>
      </c>
      <c r="AP9" s="17">
        <f>IFERROR(AH9/AN9,0)</f>
        <v>0</v>
      </c>
      <c r="AQ9" s="17">
        <f>AJ9/AT9</f>
        <v>0</v>
      </c>
      <c r="AR9" s="17" t="e">
        <f>AK9/AO9</f>
        <v>#REF!</v>
      </c>
      <c r="AS9" s="18">
        <f>AI9*24</f>
        <v>0</v>
      </c>
      <c r="AT9" s="28">
        <v>1700</v>
      </c>
      <c r="AU9" s="10">
        <v>34</v>
      </c>
      <c r="AV9" s="10">
        <v>7.2</v>
      </c>
      <c r="AW9" s="10">
        <v>50</v>
      </c>
      <c r="AX9" s="16">
        <v>2.9999999999999997E-4</v>
      </c>
      <c r="AY9" s="16" t="e">
        <f>AX9*H9*AO9*0.06</f>
        <v>#REF!</v>
      </c>
      <c r="AZ9" s="16" t="e">
        <f>#REF!*24</f>
        <v>#REF!</v>
      </c>
      <c r="BA9" s="15"/>
      <c r="BB9" s="16"/>
      <c r="BC9" s="16"/>
      <c r="BD9" s="47" t="str">
        <f>IF(B9="Python",BA9*AT9/24,"")</f>
        <v/>
      </c>
      <c r="BE9" s="47" t="str">
        <f>IF(B9="Julia",BB9*AO9/24,"")</f>
        <v/>
      </c>
      <c r="BF9" s="19" t="str">
        <f>IF(B9="Julia",BC9*AO9,"")</f>
        <v/>
      </c>
    </row>
    <row r="10" spans="1:58" x14ac:dyDescent="0.25">
      <c r="A10" s="1" t="s">
        <v>62</v>
      </c>
      <c r="B10" s="36" t="s">
        <v>32</v>
      </c>
      <c r="C10" s="36">
        <v>12</v>
      </c>
      <c r="D10" s="46">
        <v>1</v>
      </c>
      <c r="E10" s="37"/>
      <c r="F10" s="11"/>
      <c r="G10" s="38"/>
      <c r="H10" s="38"/>
      <c r="I10" s="38">
        <v>14.04</v>
      </c>
      <c r="J10" s="38">
        <v>98.21</v>
      </c>
      <c r="K10" s="38"/>
      <c r="L10" s="38">
        <v>320</v>
      </c>
      <c r="M10" s="38"/>
      <c r="N10" s="38"/>
      <c r="O10" s="38"/>
      <c r="P10" s="38"/>
      <c r="Q10" s="38"/>
      <c r="R10" s="38">
        <v>2.2000000000000002</v>
      </c>
      <c r="S10" s="38"/>
      <c r="T10" s="38"/>
      <c r="U10" s="38"/>
      <c r="V10" s="38"/>
      <c r="W10" s="38"/>
      <c r="X10" s="38"/>
      <c r="Y10" s="38"/>
      <c r="Z10" s="38"/>
      <c r="AA10" s="34"/>
      <c r="AB10" s="20"/>
      <c r="AC10" s="39"/>
      <c r="AD10" s="39"/>
      <c r="AE10" s="39"/>
      <c r="AF10" s="39"/>
      <c r="AG10" s="39"/>
      <c r="AH10" s="39"/>
      <c r="AI10" s="39"/>
      <c r="AJ10" s="39"/>
      <c r="AK10" s="39"/>
      <c r="AL10" s="39"/>
      <c r="AM10" s="39"/>
      <c r="AN10" s="41"/>
      <c r="AO10" s="39">
        <f>AO4+SUM(AF10:AH10,AL10:AM10)-AN10</f>
        <v>1700</v>
      </c>
      <c r="AP10" s="40">
        <v>6.9954250000000004E-3</v>
      </c>
      <c r="AQ10" s="40">
        <f>AJ10/AT10</f>
        <v>0</v>
      </c>
      <c r="AR10" s="40">
        <f>AK10/AO10</f>
        <v>0</v>
      </c>
      <c r="AS10" s="21">
        <f>AI10*24</f>
        <v>0</v>
      </c>
      <c r="AT10" s="41">
        <v>1700</v>
      </c>
      <c r="AU10" s="38">
        <v>34</v>
      </c>
      <c r="AV10" s="38">
        <v>7.2</v>
      </c>
      <c r="AW10" s="38">
        <v>50</v>
      </c>
      <c r="AX10" s="39">
        <v>2.9999999999999997E-4</v>
      </c>
      <c r="AY10" s="39">
        <f>AX10*H10*AO10*0.06</f>
        <v>0</v>
      </c>
      <c r="AZ10" s="39">
        <f>AY4*24</f>
        <v>0</v>
      </c>
      <c r="BA10" s="20"/>
      <c r="BB10" s="39"/>
      <c r="BC10" s="39"/>
      <c r="BD10" s="43">
        <f>IF(B10="Python",BA10*AT10/24,"")</f>
        <v>0</v>
      </c>
      <c r="BE10" s="43" t="str">
        <f>IF(B10="Julia",BB10*AO10/24,"")</f>
        <v/>
      </c>
      <c r="BF10" s="22" t="str">
        <f>IF(B10="Julia",BC10*AO10,"")</f>
        <v/>
      </c>
    </row>
    <row r="11" spans="1:58" x14ac:dyDescent="0.25">
      <c r="A11" s="1" t="s">
        <v>63</v>
      </c>
      <c r="B11" s="36" t="s">
        <v>32</v>
      </c>
      <c r="C11" s="36">
        <v>12</v>
      </c>
      <c r="D11" s="46">
        <v>1</v>
      </c>
      <c r="E11" s="37"/>
      <c r="F11" s="11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4"/>
      <c r="AB11" s="20"/>
      <c r="AC11" s="39"/>
      <c r="AD11" s="39"/>
      <c r="AE11" s="39"/>
      <c r="AF11" s="39"/>
      <c r="AG11" s="39"/>
      <c r="AH11" s="39"/>
      <c r="AI11" s="39"/>
      <c r="AJ11" s="39"/>
      <c r="AK11" s="39"/>
      <c r="AL11" s="39"/>
      <c r="AM11" s="39"/>
      <c r="AN11" s="41"/>
      <c r="AO11" s="39">
        <f>AO5+SUM(AF11:AH11,AL11:AM11)-AN11</f>
        <v>1700</v>
      </c>
      <c r="AP11" s="40">
        <f>IFERROR(AH11/AN11,0)</f>
        <v>0</v>
      </c>
      <c r="AQ11" s="40">
        <f>AJ11/AT11</f>
        <v>0</v>
      </c>
      <c r="AR11" s="40">
        <f>AK11/AO11</f>
        <v>0</v>
      </c>
      <c r="AS11" s="21">
        <f>AI11*24</f>
        <v>0</v>
      </c>
      <c r="AT11" s="41">
        <v>1700</v>
      </c>
      <c r="AU11" s="38">
        <v>34</v>
      </c>
      <c r="AV11" s="38">
        <v>7.2</v>
      </c>
      <c r="AW11" s="38">
        <v>50</v>
      </c>
      <c r="AX11" s="39">
        <v>2.9999999999999997E-4</v>
      </c>
      <c r="AY11" s="39">
        <f>AX11*H11*AO11*0.06</f>
        <v>0</v>
      </c>
      <c r="AZ11" s="39">
        <f>AY5*24</f>
        <v>0</v>
      </c>
      <c r="BA11" s="20"/>
      <c r="BB11" s="39"/>
      <c r="BC11" s="39"/>
      <c r="BD11" s="43">
        <f>IF(B11="Python",BA11*AT11/24,"")</f>
        <v>0</v>
      </c>
      <c r="BE11" s="43" t="str">
        <f>IF(B11="Julia",BB11*AO11/24,"")</f>
        <v/>
      </c>
      <c r="BF11" s="22" t="str">
        <f>IF(B11="Julia",BC11*AO11,"")</f>
        <v/>
      </c>
    </row>
    <row r="12" spans="1:58" x14ac:dyDescent="0.25">
      <c r="A12" s="1" t="s">
        <v>64</v>
      </c>
      <c r="B12" s="36" t="s">
        <v>33</v>
      </c>
      <c r="C12" s="36">
        <v>15</v>
      </c>
      <c r="D12" s="46">
        <v>1</v>
      </c>
      <c r="E12" s="37"/>
      <c r="F12" s="11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4"/>
      <c r="AB12" s="20"/>
      <c r="AC12" s="39"/>
      <c r="AD12" s="39"/>
      <c r="AE12" s="39"/>
      <c r="AF12" s="39"/>
      <c r="AG12" s="39"/>
      <c r="AH12" s="39"/>
      <c r="AI12" s="39"/>
      <c r="AJ12" s="39"/>
      <c r="AK12" s="39"/>
      <c r="AL12" s="39"/>
      <c r="AM12" s="39"/>
      <c r="AN12" s="41"/>
      <c r="AO12" s="39">
        <f>AO6+SUM(AF12:AH12,AL12:AM12)-AN12</f>
        <v>1700</v>
      </c>
      <c r="AP12" s="40">
        <f>IFERROR(AH12/AN12,0)</f>
        <v>0</v>
      </c>
      <c r="AQ12" s="40">
        <f>AJ12/AT12</f>
        <v>0</v>
      </c>
      <c r="AR12" s="40">
        <f>AK12/AO12</f>
        <v>0</v>
      </c>
      <c r="AS12" s="21">
        <f>AI12*24</f>
        <v>0</v>
      </c>
      <c r="AT12" s="41">
        <v>1700</v>
      </c>
      <c r="AU12" s="38">
        <v>34</v>
      </c>
      <c r="AV12" s="38">
        <v>7.2</v>
      </c>
      <c r="AW12" s="38">
        <v>50</v>
      </c>
      <c r="AX12" s="39">
        <v>2.9999999999999997E-4</v>
      </c>
      <c r="AY12" s="39">
        <f>AX12*H12*AO12*0.06</f>
        <v>0</v>
      </c>
      <c r="AZ12" s="39">
        <f>AY6*24</f>
        <v>0</v>
      </c>
      <c r="BA12" s="20"/>
      <c r="BB12" s="39"/>
      <c r="BC12" s="39"/>
      <c r="BD12" s="43" t="str">
        <f>IF(B12="Python",BA12*AT12/24,"")</f>
        <v/>
      </c>
      <c r="BE12" s="43" t="str">
        <f>IF(B12="Julia",BB12*AO12/24,"")</f>
        <v/>
      </c>
      <c r="BF12" s="22" t="str">
        <f>IF(B12="Julia",BC12*AO12,"")</f>
        <v/>
      </c>
    </row>
    <row r="13" spans="1:58" x14ac:dyDescent="0.25">
      <c r="A13" s="1" t="s">
        <v>65</v>
      </c>
      <c r="B13" s="36" t="s">
        <v>31</v>
      </c>
      <c r="C13" s="36">
        <v>12</v>
      </c>
      <c r="D13" s="46">
        <v>1</v>
      </c>
      <c r="E13" s="37"/>
      <c r="F13" s="11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4"/>
      <c r="AB13" s="20"/>
      <c r="AC13" s="39"/>
      <c r="AD13" s="39"/>
      <c r="AE13" s="39"/>
      <c r="AF13" s="39"/>
      <c r="AG13" s="39"/>
      <c r="AH13" s="39"/>
      <c r="AI13" s="39"/>
      <c r="AJ13" s="39"/>
      <c r="AK13" s="39"/>
      <c r="AL13" s="39"/>
      <c r="AM13" s="39"/>
      <c r="AN13" s="41"/>
      <c r="AO13" s="39">
        <f>AO7+SUM(AF13:AH13,AL13:AM13)-AN13</f>
        <v>1700</v>
      </c>
      <c r="AP13" s="40">
        <f>IFERROR(AH13/AN13,0)</f>
        <v>0</v>
      </c>
      <c r="AQ13" s="40">
        <f>AJ13/AT13</f>
        <v>0</v>
      </c>
      <c r="AR13" s="40">
        <f>AK13/AO13</f>
        <v>0</v>
      </c>
      <c r="AS13" s="21">
        <f>AI13*24</f>
        <v>0</v>
      </c>
      <c r="AT13" s="41">
        <v>1700</v>
      </c>
      <c r="AU13" s="38">
        <v>34</v>
      </c>
      <c r="AV13" s="38">
        <v>7.2</v>
      </c>
      <c r="AW13" s="38">
        <v>50</v>
      </c>
      <c r="AX13" s="39">
        <v>2.9999999999999997E-4</v>
      </c>
      <c r="AY13" s="39">
        <f>AX13*H13*AO13*0.06</f>
        <v>0</v>
      </c>
      <c r="AZ13" s="39">
        <f>AY7*24</f>
        <v>0</v>
      </c>
      <c r="BA13" s="20"/>
      <c r="BB13" s="39"/>
      <c r="BC13" s="39"/>
      <c r="BD13" s="43" t="str">
        <f>IF(B13="Python",BA13*AT13/24,"")</f>
        <v/>
      </c>
      <c r="BE13" s="43">
        <f>IF(B13="Julia",BB13*AO13/24,"")</f>
        <v>0</v>
      </c>
      <c r="BF13" s="22">
        <f>IF(B13="Julia",BC13*AO13,"")</f>
        <v>0</v>
      </c>
    </row>
    <row r="14" spans="1:58" ht="15.75" thickBot="1" x14ac:dyDescent="0.3">
      <c r="A14" s="6" t="s">
        <v>66</v>
      </c>
      <c r="B14" s="7" t="s">
        <v>31</v>
      </c>
      <c r="C14" s="7">
        <v>12</v>
      </c>
      <c r="D14" s="50">
        <v>1</v>
      </c>
      <c r="E14" s="8"/>
      <c r="F14" s="13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35"/>
      <c r="AB14" s="23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9"/>
      <c r="AO14" s="24">
        <f>AO8+SUM(AF14:AH14,AL14:AM14)-AN14</f>
        <v>1700</v>
      </c>
      <c r="AP14" s="25">
        <f>IFERROR(AH14/AN14,0)</f>
        <v>0</v>
      </c>
      <c r="AQ14" s="25">
        <f>AJ14/AT14</f>
        <v>0</v>
      </c>
      <c r="AR14" s="25">
        <f>AK14/AO14</f>
        <v>0</v>
      </c>
      <c r="AS14" s="26">
        <f>AI14*24</f>
        <v>0</v>
      </c>
      <c r="AT14" s="29">
        <v>1700</v>
      </c>
      <c r="AU14" s="14">
        <v>34</v>
      </c>
      <c r="AV14" s="14">
        <v>7.2</v>
      </c>
      <c r="AW14" s="14">
        <v>50</v>
      </c>
      <c r="AX14" s="24">
        <v>2.9999999999999997E-4</v>
      </c>
      <c r="AY14" s="24">
        <f>AX14*H14*AO14*0.06</f>
        <v>0</v>
      </c>
      <c r="AZ14" s="24">
        <f>AY8*24</f>
        <v>0</v>
      </c>
      <c r="BA14" s="23"/>
      <c r="BB14" s="24"/>
      <c r="BC14" s="24"/>
      <c r="BD14" s="48" t="str">
        <f>IF(B14="Python",BA14*AT14/24,"")</f>
        <v/>
      </c>
      <c r="BE14" s="48">
        <f>IF(B14="Julia",BB14*AO14/24,"")</f>
        <v>0</v>
      </c>
      <c r="BF14" s="27">
        <f>IF(B14="Julia",BC14*AO14,"")</f>
        <v>0</v>
      </c>
    </row>
    <row r="15" spans="1:58" x14ac:dyDescent="0.25">
      <c r="A15" s="3" t="s">
        <v>61</v>
      </c>
      <c r="B15" s="4" t="s">
        <v>33</v>
      </c>
      <c r="C15" s="4">
        <v>12</v>
      </c>
      <c r="D15" s="4">
        <v>2</v>
      </c>
      <c r="E15" s="5"/>
      <c r="F15" s="9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33"/>
      <c r="AB15" s="15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28"/>
      <c r="AO15" s="16" t="e">
        <f>#REF!+SUM(AF15:AH15,AL15:AM15)-AN15</f>
        <v>#REF!</v>
      </c>
      <c r="AP15" s="17">
        <f>IFERROR(AH15/AN15,0)</f>
        <v>0</v>
      </c>
      <c r="AQ15" s="17">
        <f>AJ15/AT15</f>
        <v>0</v>
      </c>
      <c r="AR15" s="17" t="e">
        <f>AK15/AO15</f>
        <v>#REF!</v>
      </c>
      <c r="AS15" s="18">
        <f>AI15*24</f>
        <v>0</v>
      </c>
      <c r="AT15" s="28">
        <v>1700</v>
      </c>
      <c r="AU15" s="10">
        <v>34</v>
      </c>
      <c r="AV15" s="10">
        <v>7.2</v>
      </c>
      <c r="AW15" s="10">
        <v>50</v>
      </c>
      <c r="AX15" s="16">
        <v>2.9999999999999997E-4</v>
      </c>
      <c r="AY15" s="16" t="e">
        <f>AX15*H15*AO15*0.06</f>
        <v>#REF!</v>
      </c>
      <c r="AZ15" s="16" t="e">
        <f>#REF!*24</f>
        <v>#REF!</v>
      </c>
      <c r="BA15" s="15"/>
      <c r="BB15" s="16"/>
      <c r="BC15" s="16"/>
      <c r="BD15" s="47" t="str">
        <f>IF(B15="Python",BA15*AT15/24,"")</f>
        <v/>
      </c>
      <c r="BE15" s="47" t="str">
        <f>IF(B15="Julia",BB15*AO15/24,"")</f>
        <v/>
      </c>
      <c r="BF15" s="19" t="str">
        <f>IF(B15="Julia",BC15*AO15,"")</f>
        <v/>
      </c>
    </row>
    <row r="16" spans="1:58" x14ac:dyDescent="0.25">
      <c r="A16" s="1" t="s">
        <v>62</v>
      </c>
      <c r="B16" s="36" t="s">
        <v>32</v>
      </c>
      <c r="C16" s="36">
        <v>12</v>
      </c>
      <c r="D16" s="36">
        <v>2</v>
      </c>
      <c r="E16" s="37"/>
      <c r="F16" s="11"/>
      <c r="G16" s="38">
        <v>787.00490000000002</v>
      </c>
      <c r="H16" s="38"/>
      <c r="I16" s="38">
        <v>16.309999999999999</v>
      </c>
      <c r="J16" s="38">
        <v>97.36</v>
      </c>
      <c r="K16" s="38"/>
      <c r="L16" s="38">
        <v>307</v>
      </c>
      <c r="M16" s="38"/>
      <c r="N16" s="38"/>
      <c r="O16" s="38"/>
      <c r="P16" s="38"/>
      <c r="Q16" s="38"/>
      <c r="R16" s="38">
        <v>3.19</v>
      </c>
      <c r="S16" s="38"/>
      <c r="T16" s="38"/>
      <c r="U16" s="38"/>
      <c r="V16" s="38"/>
      <c r="W16" s="38"/>
      <c r="X16" s="38"/>
      <c r="Y16" s="38"/>
      <c r="Z16" s="38"/>
      <c r="AA16" s="34"/>
      <c r="AB16" s="20"/>
      <c r="AC16" s="39"/>
      <c r="AD16" s="39"/>
      <c r="AE16" s="39"/>
      <c r="AF16" s="39"/>
      <c r="AG16" s="39"/>
      <c r="AH16" s="39"/>
      <c r="AI16" s="39"/>
      <c r="AJ16" s="39"/>
      <c r="AK16" s="39"/>
      <c r="AL16" s="39"/>
      <c r="AM16" s="39"/>
      <c r="AN16" s="41"/>
      <c r="AO16" s="39">
        <f>AO10+SUM(AF16:AH16,AL16:AM16)-AN16</f>
        <v>1700</v>
      </c>
      <c r="AP16" s="40">
        <v>1.4194326E-2</v>
      </c>
      <c r="AQ16" s="40">
        <f>AJ16/AT16</f>
        <v>0</v>
      </c>
      <c r="AR16" s="40">
        <f>AK16/AO16</f>
        <v>0</v>
      </c>
      <c r="AS16" s="21">
        <f>AI16*24</f>
        <v>0</v>
      </c>
      <c r="AT16" s="41">
        <v>1700</v>
      </c>
      <c r="AU16" s="38">
        <v>34</v>
      </c>
      <c r="AV16" s="38">
        <v>7.2</v>
      </c>
      <c r="AW16" s="38">
        <v>50</v>
      </c>
      <c r="AX16" s="39">
        <v>2.9999999999999997E-4</v>
      </c>
      <c r="AY16" s="39">
        <f>AX16*H16*AO16*0.06</f>
        <v>0</v>
      </c>
      <c r="AZ16" s="39">
        <f>AY10*24</f>
        <v>0</v>
      </c>
      <c r="BA16" s="20"/>
      <c r="BB16" s="39"/>
      <c r="BC16" s="39"/>
      <c r="BD16" s="43">
        <f>IF(B16="Python",BA16*AT16/24,"")</f>
        <v>0</v>
      </c>
      <c r="BE16" s="43" t="str">
        <f>IF(B16="Julia",BB16*AO16/24,"")</f>
        <v/>
      </c>
      <c r="BF16" s="22" t="str">
        <f>IF(B16="Julia",BC16*AO16,"")</f>
        <v/>
      </c>
    </row>
    <row r="17" spans="1:58" x14ac:dyDescent="0.25">
      <c r="A17" s="1" t="s">
        <v>63</v>
      </c>
      <c r="B17" s="36" t="s">
        <v>32</v>
      </c>
      <c r="C17" s="36">
        <v>12</v>
      </c>
      <c r="D17" s="36">
        <v>2</v>
      </c>
      <c r="E17" s="37"/>
      <c r="F17" s="11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4"/>
      <c r="AB17" s="20"/>
      <c r="AC17" s="39"/>
      <c r="AD17" s="39"/>
      <c r="AE17" s="39"/>
      <c r="AF17" s="39"/>
      <c r="AG17" s="39"/>
      <c r="AH17" s="39"/>
      <c r="AI17" s="39"/>
      <c r="AJ17" s="39"/>
      <c r="AK17" s="39"/>
      <c r="AL17" s="39"/>
      <c r="AM17" s="39"/>
      <c r="AN17" s="41"/>
      <c r="AO17" s="39">
        <f>AO11+SUM(AF17:AH17,AL17:AM17)-AN17</f>
        <v>1700</v>
      </c>
      <c r="AP17" s="40">
        <f>IFERROR(AH17/AN17,0)</f>
        <v>0</v>
      </c>
      <c r="AQ17" s="40">
        <f>AJ17/AT17</f>
        <v>0</v>
      </c>
      <c r="AR17" s="40">
        <f>AK17/AO17</f>
        <v>0</v>
      </c>
      <c r="AS17" s="21">
        <f>AI17*24</f>
        <v>0</v>
      </c>
      <c r="AT17" s="41">
        <v>1700</v>
      </c>
      <c r="AU17" s="38">
        <v>34</v>
      </c>
      <c r="AV17" s="38">
        <v>7.2</v>
      </c>
      <c r="AW17" s="38">
        <v>50</v>
      </c>
      <c r="AX17" s="39">
        <v>2.9999999999999997E-4</v>
      </c>
      <c r="AY17" s="39">
        <f>AX17*H17*AO17*0.06</f>
        <v>0</v>
      </c>
      <c r="AZ17" s="39">
        <f>AY11*24</f>
        <v>0</v>
      </c>
      <c r="BA17" s="20"/>
      <c r="BB17" s="39"/>
      <c r="BC17" s="39"/>
      <c r="BD17" s="43">
        <f>IF(B17="Python",BA17*AT17/24,"")</f>
        <v>0</v>
      </c>
      <c r="BE17" s="43" t="str">
        <f>IF(B17="Julia",BB17*AO17/24,"")</f>
        <v/>
      </c>
      <c r="BF17" s="22" t="str">
        <f>IF(B17="Julia",BC17*AO17,"")</f>
        <v/>
      </c>
    </row>
    <row r="18" spans="1:58" x14ac:dyDescent="0.25">
      <c r="A18" s="1" t="s">
        <v>64</v>
      </c>
      <c r="B18" s="36" t="s">
        <v>33</v>
      </c>
      <c r="C18" s="36">
        <v>15</v>
      </c>
      <c r="D18" s="36">
        <v>2</v>
      </c>
      <c r="E18" s="37"/>
      <c r="F18" s="11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4"/>
      <c r="AB18" s="20"/>
      <c r="AC18" s="39"/>
      <c r="AD18" s="39"/>
      <c r="AE18" s="39"/>
      <c r="AF18" s="39"/>
      <c r="AG18" s="39"/>
      <c r="AH18" s="39"/>
      <c r="AI18" s="39"/>
      <c r="AJ18" s="39"/>
      <c r="AK18" s="39"/>
      <c r="AL18" s="39"/>
      <c r="AM18" s="39"/>
      <c r="AN18" s="41"/>
      <c r="AO18" s="39">
        <f>AO12+SUM(AF18:AH18,AL18:AM18)-AN18</f>
        <v>1700</v>
      </c>
      <c r="AP18" s="40">
        <f>IFERROR(AH18/AN18,0)</f>
        <v>0</v>
      </c>
      <c r="AQ18" s="40">
        <f>AJ18/AT18</f>
        <v>0</v>
      </c>
      <c r="AR18" s="40">
        <f>AK18/AO18</f>
        <v>0</v>
      </c>
      <c r="AS18" s="21">
        <f>AI18*24</f>
        <v>0</v>
      </c>
      <c r="AT18" s="41">
        <v>1700</v>
      </c>
      <c r="AU18" s="38">
        <v>34</v>
      </c>
      <c r="AV18" s="38">
        <v>7.2</v>
      </c>
      <c r="AW18" s="38">
        <v>50</v>
      </c>
      <c r="AX18" s="39">
        <v>2.9999999999999997E-4</v>
      </c>
      <c r="AY18" s="39">
        <f>AX18*H18*AO18*0.06</f>
        <v>0</v>
      </c>
      <c r="AZ18" s="39">
        <f>AY12*24</f>
        <v>0</v>
      </c>
      <c r="BA18" s="20"/>
      <c r="BB18" s="39"/>
      <c r="BC18" s="39"/>
      <c r="BD18" s="43" t="str">
        <f>IF(B18="Python",BA18*AT18/24,"")</f>
        <v/>
      </c>
      <c r="BE18" s="43" t="str">
        <f>IF(B18="Julia",BB18*AO18/24,"")</f>
        <v/>
      </c>
      <c r="BF18" s="22" t="str">
        <f>IF(B18="Julia",BC18*AO18,"")</f>
        <v/>
      </c>
    </row>
    <row r="19" spans="1:58" x14ac:dyDescent="0.25">
      <c r="A19" s="1" t="s">
        <v>65</v>
      </c>
      <c r="B19" s="36" t="s">
        <v>31</v>
      </c>
      <c r="C19" s="36">
        <v>12</v>
      </c>
      <c r="D19" s="36">
        <v>2</v>
      </c>
      <c r="E19" s="37"/>
      <c r="F19" s="11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4"/>
      <c r="AB19" s="20"/>
      <c r="AC19" s="39"/>
      <c r="AD19" s="39"/>
      <c r="AE19" s="39"/>
      <c r="AF19" s="39"/>
      <c r="AG19" s="39"/>
      <c r="AH19" s="39"/>
      <c r="AI19" s="39"/>
      <c r="AJ19" s="39"/>
      <c r="AK19" s="39"/>
      <c r="AL19" s="39"/>
      <c r="AM19" s="39"/>
      <c r="AN19" s="41"/>
      <c r="AO19" s="39">
        <f>AO13+SUM(AF19:AH19,AL19:AM19)-AN19</f>
        <v>1700</v>
      </c>
      <c r="AP19" s="40">
        <f>IFERROR(AH19/AN19,0)</f>
        <v>0</v>
      </c>
      <c r="AQ19" s="40">
        <f>AJ19/AT19</f>
        <v>0</v>
      </c>
      <c r="AR19" s="40">
        <f>AK19/AO19</f>
        <v>0</v>
      </c>
      <c r="AS19" s="21">
        <f>AI19*24</f>
        <v>0</v>
      </c>
      <c r="AT19" s="41">
        <v>1700</v>
      </c>
      <c r="AU19" s="38">
        <v>34</v>
      </c>
      <c r="AV19" s="38">
        <v>7.2</v>
      </c>
      <c r="AW19" s="38">
        <v>50</v>
      </c>
      <c r="AX19" s="39">
        <v>2.9999999999999997E-4</v>
      </c>
      <c r="AY19" s="39">
        <f>AX19*H19*AO19*0.06</f>
        <v>0</v>
      </c>
      <c r="AZ19" s="39">
        <f>AY13*24</f>
        <v>0</v>
      </c>
      <c r="BA19" s="20"/>
      <c r="BB19" s="39"/>
      <c r="BC19" s="39"/>
      <c r="BD19" s="43" t="str">
        <f>IF(B19="Python",BA19*AT19/24,"")</f>
        <v/>
      </c>
      <c r="BE19" s="43">
        <f>IF(B19="Julia",BB19*AO19/24,"")</f>
        <v>0</v>
      </c>
      <c r="BF19" s="22">
        <f>IF(B19="Julia",BC19*AO19,"")</f>
        <v>0</v>
      </c>
    </row>
    <row r="20" spans="1:58" ht="15.75" thickBot="1" x14ac:dyDescent="0.3">
      <c r="A20" s="6" t="s">
        <v>66</v>
      </c>
      <c r="B20" s="7" t="s">
        <v>31</v>
      </c>
      <c r="C20" s="7">
        <v>12</v>
      </c>
      <c r="D20" s="7">
        <v>2</v>
      </c>
      <c r="E20" s="8"/>
      <c r="F20" s="13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35"/>
      <c r="AB20" s="23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9"/>
      <c r="AO20" s="24">
        <f>AO14+SUM(AF20:AH20,AL20:AM20)-AN20</f>
        <v>1700</v>
      </c>
      <c r="AP20" s="25">
        <f>IFERROR(AH20/AN20,0)</f>
        <v>0</v>
      </c>
      <c r="AQ20" s="25">
        <f>AJ20/AT20</f>
        <v>0</v>
      </c>
      <c r="AR20" s="25">
        <f>AK20/AO20</f>
        <v>0</v>
      </c>
      <c r="AS20" s="26">
        <f>AI20*24</f>
        <v>0</v>
      </c>
      <c r="AT20" s="29">
        <v>1700</v>
      </c>
      <c r="AU20" s="14">
        <v>34</v>
      </c>
      <c r="AV20" s="14">
        <v>7.2</v>
      </c>
      <c r="AW20" s="14">
        <v>50</v>
      </c>
      <c r="AX20" s="24">
        <v>2.9999999999999997E-4</v>
      </c>
      <c r="AY20" s="24">
        <f>AX20*H20*AO20*0.06</f>
        <v>0</v>
      </c>
      <c r="AZ20" s="24">
        <f>AY14*24</f>
        <v>0</v>
      </c>
      <c r="BA20" s="23"/>
      <c r="BB20" s="24"/>
      <c r="BC20" s="24"/>
      <c r="BD20" s="48" t="str">
        <f>IF(B20="Python",BA20*AT20/24,"")</f>
        <v/>
      </c>
      <c r="BE20" s="48">
        <f>IF(B20="Julia",BB20*AO20/24,"")</f>
        <v>0</v>
      </c>
      <c r="BF20" s="27">
        <f>IF(B20="Julia",BC20*AO20,"")</f>
        <v>0</v>
      </c>
    </row>
    <row r="21" spans="1:58" x14ac:dyDescent="0.25">
      <c r="A21" s="3" t="s">
        <v>61</v>
      </c>
      <c r="B21" s="4" t="s">
        <v>33</v>
      </c>
      <c r="C21" s="4">
        <v>12</v>
      </c>
      <c r="D21" s="4">
        <v>3</v>
      </c>
      <c r="E21" s="5"/>
      <c r="F21" s="9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33"/>
      <c r="AB21" s="15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28"/>
      <c r="AO21" s="16" t="e">
        <f>#REF!+SUM(AF21:AH21,AL21:AM21)-AN21</f>
        <v>#REF!</v>
      </c>
      <c r="AP21" s="17">
        <f>IFERROR(AH21/AN21,0)</f>
        <v>0</v>
      </c>
      <c r="AQ21" s="17">
        <f>AJ21/AT21</f>
        <v>0</v>
      </c>
      <c r="AR21" s="17" t="e">
        <f>AK21/AO21</f>
        <v>#REF!</v>
      </c>
      <c r="AS21" s="18">
        <f>AI21*24</f>
        <v>0</v>
      </c>
      <c r="AT21" s="28">
        <v>1700</v>
      </c>
      <c r="AU21" s="10">
        <v>34</v>
      </c>
      <c r="AV21" s="10">
        <v>7.2</v>
      </c>
      <c r="AW21" s="10">
        <v>50</v>
      </c>
      <c r="AX21" s="16">
        <v>2.9999999999999997E-4</v>
      </c>
      <c r="AY21" s="16" t="e">
        <f>AX21*H21*AO21*0.06</f>
        <v>#REF!</v>
      </c>
      <c r="AZ21" s="16" t="e">
        <f>#REF!*24</f>
        <v>#REF!</v>
      </c>
      <c r="BA21" s="15"/>
      <c r="BB21" s="16"/>
      <c r="BC21" s="16"/>
      <c r="BD21" s="47" t="str">
        <f>IF(B21="Python",BA21*AT21/24,"")</f>
        <v/>
      </c>
      <c r="BE21" s="47" t="str">
        <f>IF(B21="Julia",BB21*AO21/24,"")</f>
        <v/>
      </c>
      <c r="BF21" s="19" t="str">
        <f>IF(B21="Julia",BC21*AO21,"")</f>
        <v/>
      </c>
    </row>
    <row r="22" spans="1:58" x14ac:dyDescent="0.25">
      <c r="A22" s="1" t="s">
        <v>62</v>
      </c>
      <c r="B22" s="36" t="s">
        <v>32</v>
      </c>
      <c r="C22" s="36">
        <v>12</v>
      </c>
      <c r="D22" s="36">
        <v>3</v>
      </c>
      <c r="E22" s="37"/>
      <c r="F22" s="11"/>
      <c r="G22" s="38">
        <v>1305.461</v>
      </c>
      <c r="H22" s="38"/>
      <c r="I22" s="38">
        <v>18.3</v>
      </c>
      <c r="J22" s="38">
        <v>96.97</v>
      </c>
      <c r="K22" s="38"/>
      <c r="L22" s="38">
        <v>299</v>
      </c>
      <c r="M22" s="38"/>
      <c r="N22" s="38"/>
      <c r="O22" s="38"/>
      <c r="P22" s="38"/>
      <c r="Q22" s="38"/>
      <c r="R22" s="38">
        <v>3.12</v>
      </c>
      <c r="S22" s="38"/>
      <c r="T22" s="38"/>
      <c r="U22" s="38"/>
      <c r="V22" s="38"/>
      <c r="W22" s="38"/>
      <c r="X22" s="38"/>
      <c r="Y22" s="38"/>
      <c r="Z22" s="38"/>
      <c r="AA22" s="34"/>
      <c r="AB22" s="20"/>
      <c r="AC22" s="39"/>
      <c r="AD22" s="39"/>
      <c r="AE22" s="39"/>
      <c r="AF22" s="39"/>
      <c r="AG22" s="39"/>
      <c r="AH22" s="39"/>
      <c r="AI22" s="39"/>
      <c r="AJ22" s="39"/>
      <c r="AK22" s="39"/>
      <c r="AL22" s="39"/>
      <c r="AM22" s="39"/>
      <c r="AN22" s="41"/>
      <c r="AO22" s="39">
        <f>AO16+SUM(AF22:AH22,AL22:AM22)-AN22</f>
        <v>1700</v>
      </c>
      <c r="AP22" s="40">
        <v>2.1876392000000001E-2</v>
      </c>
      <c r="AQ22" s="40">
        <f>AJ22/AT22</f>
        <v>0</v>
      </c>
      <c r="AR22" s="40">
        <f>AK22/AO22</f>
        <v>0</v>
      </c>
      <c r="AS22" s="21">
        <f>AI22*24</f>
        <v>0</v>
      </c>
      <c r="AT22" s="41">
        <v>1700</v>
      </c>
      <c r="AU22" s="38">
        <v>34</v>
      </c>
      <c r="AV22" s="38">
        <v>7.2</v>
      </c>
      <c r="AW22" s="38">
        <v>50</v>
      </c>
      <c r="AX22" s="39">
        <v>2.9999999999999997E-4</v>
      </c>
      <c r="AY22" s="39">
        <f>AX22*H22*AO22*0.06</f>
        <v>0</v>
      </c>
      <c r="AZ22" s="39">
        <f>AY16*24</f>
        <v>0</v>
      </c>
      <c r="BA22" s="20"/>
      <c r="BB22" s="39"/>
      <c r="BC22" s="39"/>
      <c r="BD22" s="43">
        <f>IF(B22="Python",BA22*AT22/24,"")</f>
        <v>0</v>
      </c>
      <c r="BE22" s="43" t="str">
        <f>IF(B22="Julia",BB22*AO22/24,"")</f>
        <v/>
      </c>
      <c r="BF22" s="22" t="str">
        <f>IF(B22="Julia",BC22*AO22,"")</f>
        <v/>
      </c>
    </row>
    <row r="23" spans="1:58" x14ac:dyDescent="0.25">
      <c r="A23" s="1" t="s">
        <v>63</v>
      </c>
      <c r="B23" s="36" t="s">
        <v>32</v>
      </c>
      <c r="C23" s="36">
        <v>12</v>
      </c>
      <c r="D23" s="36">
        <v>3</v>
      </c>
      <c r="E23" s="37"/>
      <c r="F23" s="11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4"/>
      <c r="AB23" s="20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41"/>
      <c r="AO23" s="39">
        <f>AO17+SUM(AF23:AH23,AL23:AM23)-AN23</f>
        <v>1700</v>
      </c>
      <c r="AP23" s="40">
        <f>IFERROR(AH23/AN23,0)</f>
        <v>0</v>
      </c>
      <c r="AQ23" s="40">
        <f>AJ23/AT23</f>
        <v>0</v>
      </c>
      <c r="AR23" s="40">
        <f>AK23/AO23</f>
        <v>0</v>
      </c>
      <c r="AS23" s="21">
        <f>AI23*24</f>
        <v>0</v>
      </c>
      <c r="AT23" s="41">
        <v>1700</v>
      </c>
      <c r="AU23" s="38">
        <v>34</v>
      </c>
      <c r="AV23" s="38">
        <v>7.2</v>
      </c>
      <c r="AW23" s="38">
        <v>50</v>
      </c>
      <c r="AX23" s="39">
        <v>2.9999999999999997E-4</v>
      </c>
      <c r="AY23" s="39">
        <f>AX23*H23*AO23*0.06</f>
        <v>0</v>
      </c>
      <c r="AZ23" s="39">
        <f>AY17*24</f>
        <v>0</v>
      </c>
      <c r="BA23" s="20"/>
      <c r="BB23" s="39"/>
      <c r="BC23" s="39"/>
      <c r="BD23" s="43">
        <f>IF(B23="Python",BA23*AT23/24,"")</f>
        <v>0</v>
      </c>
      <c r="BE23" s="43" t="str">
        <f>IF(B23="Julia",BB23*AO23/24,"")</f>
        <v/>
      </c>
      <c r="BF23" s="22" t="str">
        <f>IF(B23="Julia",BC23*AO23,"")</f>
        <v/>
      </c>
    </row>
    <row r="24" spans="1:58" x14ac:dyDescent="0.25">
      <c r="A24" s="1" t="s">
        <v>64</v>
      </c>
      <c r="B24" s="36" t="s">
        <v>33</v>
      </c>
      <c r="C24" s="36">
        <v>15</v>
      </c>
      <c r="D24" s="36">
        <v>3</v>
      </c>
      <c r="E24" s="37"/>
      <c r="F24" s="11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4"/>
      <c r="AB24" s="20"/>
      <c r="AC24" s="39"/>
      <c r="AD24" s="39"/>
      <c r="AE24" s="39"/>
      <c r="AF24" s="39"/>
      <c r="AG24" s="39"/>
      <c r="AH24" s="39"/>
      <c r="AI24" s="39"/>
      <c r="AJ24" s="39"/>
      <c r="AK24" s="39"/>
      <c r="AL24" s="39"/>
      <c r="AM24" s="39"/>
      <c r="AN24" s="41"/>
      <c r="AO24" s="39">
        <f>AO18+SUM(AF24:AH24,AL24:AM24)-AN24</f>
        <v>1700</v>
      </c>
      <c r="AP24" s="40">
        <f>IFERROR(AH24/AN24,0)</f>
        <v>0</v>
      </c>
      <c r="AQ24" s="40">
        <f>AJ24/AT24</f>
        <v>0</v>
      </c>
      <c r="AR24" s="40">
        <f>AK24/AO24</f>
        <v>0</v>
      </c>
      <c r="AS24" s="21">
        <f>AI24*24</f>
        <v>0</v>
      </c>
      <c r="AT24" s="41">
        <v>1700</v>
      </c>
      <c r="AU24" s="38">
        <v>34</v>
      </c>
      <c r="AV24" s="38">
        <v>7.2</v>
      </c>
      <c r="AW24" s="38">
        <v>50</v>
      </c>
      <c r="AX24" s="39">
        <v>2.9999999999999997E-4</v>
      </c>
      <c r="AY24" s="39">
        <f>AX24*H24*AO24*0.06</f>
        <v>0</v>
      </c>
      <c r="AZ24" s="39">
        <f>AY18*24</f>
        <v>0</v>
      </c>
      <c r="BA24" s="20"/>
      <c r="BB24" s="39"/>
      <c r="BC24" s="39"/>
      <c r="BD24" s="43" t="str">
        <f>IF(B24="Python",BA24*AT24/24,"")</f>
        <v/>
      </c>
      <c r="BE24" s="43" t="str">
        <f>IF(B24="Julia",BB24*AO24/24,"")</f>
        <v/>
      </c>
      <c r="BF24" s="22" t="str">
        <f>IF(B24="Julia",BC24*AO24,"")</f>
        <v/>
      </c>
    </row>
    <row r="25" spans="1:58" x14ac:dyDescent="0.25">
      <c r="A25" s="1" t="s">
        <v>65</v>
      </c>
      <c r="B25" s="36" t="s">
        <v>31</v>
      </c>
      <c r="C25" s="36">
        <v>12</v>
      </c>
      <c r="D25" s="36">
        <v>3</v>
      </c>
      <c r="E25" s="37"/>
      <c r="F25" s="11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4"/>
      <c r="AB25" s="20"/>
      <c r="AC25" s="39"/>
      <c r="AD25" s="39"/>
      <c r="AE25" s="39"/>
      <c r="AF25" s="39"/>
      <c r="AG25" s="39"/>
      <c r="AH25" s="39"/>
      <c r="AI25" s="39"/>
      <c r="AJ25" s="39"/>
      <c r="AK25" s="39"/>
      <c r="AL25" s="39"/>
      <c r="AM25" s="39"/>
      <c r="AN25" s="41"/>
      <c r="AO25" s="39">
        <f>AO19+SUM(AF25:AH25,AL25:AM25)-AN25</f>
        <v>1700</v>
      </c>
      <c r="AP25" s="40">
        <f>IFERROR(AH25/AN25,0)</f>
        <v>0</v>
      </c>
      <c r="AQ25" s="40">
        <f>AJ25/AT25</f>
        <v>0</v>
      </c>
      <c r="AR25" s="40">
        <f>AK25/AO25</f>
        <v>0</v>
      </c>
      <c r="AS25" s="21">
        <f>AI25*24</f>
        <v>0</v>
      </c>
      <c r="AT25" s="41">
        <v>1700</v>
      </c>
      <c r="AU25" s="38">
        <v>34</v>
      </c>
      <c r="AV25" s="38">
        <v>7.2</v>
      </c>
      <c r="AW25" s="38">
        <v>50</v>
      </c>
      <c r="AX25" s="39">
        <v>2.9999999999999997E-4</v>
      </c>
      <c r="AY25" s="39">
        <f>AX25*H25*AO25*0.06</f>
        <v>0</v>
      </c>
      <c r="AZ25" s="39">
        <f>AY19*24</f>
        <v>0</v>
      </c>
      <c r="BA25" s="20"/>
      <c r="BB25" s="39"/>
      <c r="BC25" s="39"/>
      <c r="BD25" s="43" t="str">
        <f>IF(B25="Python",BA25*AT25/24,"")</f>
        <v/>
      </c>
      <c r="BE25" s="43">
        <f>IF(B25="Julia",BB25*AO25/24,"")</f>
        <v>0</v>
      </c>
      <c r="BF25" s="22">
        <f>IF(B25="Julia",BC25*AO25,"")</f>
        <v>0</v>
      </c>
    </row>
    <row r="26" spans="1:58" ht="15.75" thickBot="1" x14ac:dyDescent="0.3">
      <c r="A26" s="6" t="s">
        <v>66</v>
      </c>
      <c r="B26" s="7" t="s">
        <v>31</v>
      </c>
      <c r="C26" s="7">
        <v>12</v>
      </c>
      <c r="D26" s="7">
        <v>3</v>
      </c>
      <c r="E26" s="8"/>
      <c r="F26" s="13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35"/>
      <c r="AB26" s="23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9"/>
      <c r="AO26" s="24">
        <f>AO20+SUM(AF26:AH26,AL26:AM26)-AN26</f>
        <v>1700</v>
      </c>
      <c r="AP26" s="25">
        <f>IFERROR(AH26/AN26,0)</f>
        <v>0</v>
      </c>
      <c r="AQ26" s="25">
        <f>AJ26/AT26</f>
        <v>0</v>
      </c>
      <c r="AR26" s="25">
        <f>AK26/AO26</f>
        <v>0</v>
      </c>
      <c r="AS26" s="26">
        <f>AI26*24</f>
        <v>0</v>
      </c>
      <c r="AT26" s="29">
        <v>1700</v>
      </c>
      <c r="AU26" s="14">
        <v>34</v>
      </c>
      <c r="AV26" s="14">
        <v>7.2</v>
      </c>
      <c r="AW26" s="14">
        <v>50</v>
      </c>
      <c r="AX26" s="24">
        <v>2.9999999999999997E-4</v>
      </c>
      <c r="AY26" s="24">
        <f>AX26*H26*AO26*0.06</f>
        <v>0</v>
      </c>
      <c r="AZ26" s="24">
        <f>AY20*24</f>
        <v>0</v>
      </c>
      <c r="BA26" s="23"/>
      <c r="BB26" s="24"/>
      <c r="BC26" s="24"/>
      <c r="BD26" s="48" t="str">
        <f>IF(B26="Python",BA26*AT26/24,"")</f>
        <v/>
      </c>
      <c r="BE26" s="48">
        <f>IF(B26="Julia",BB26*AO26/24,"")</f>
        <v>0</v>
      </c>
      <c r="BF26" s="27">
        <f>IF(B26="Julia",BC26*AO26,"")</f>
        <v>0</v>
      </c>
    </row>
    <row r="27" spans="1:58" x14ac:dyDescent="0.25">
      <c r="A27" s="3" t="s">
        <v>61</v>
      </c>
      <c r="B27" s="4" t="s">
        <v>33</v>
      </c>
      <c r="C27" s="4">
        <v>12</v>
      </c>
      <c r="D27" s="4">
        <v>4</v>
      </c>
      <c r="E27" s="5"/>
      <c r="F27" s="9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33"/>
      <c r="AB27" s="15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28"/>
      <c r="AO27" s="16" t="e">
        <f>AO21+SUM(AF27:AH27,AL27:AM27)-AN27</f>
        <v>#REF!</v>
      </c>
      <c r="AP27" s="17">
        <f>IFERROR(AH27/AN27,0)</f>
        <v>0</v>
      </c>
      <c r="AQ27" s="17">
        <f>AJ27/AT27</f>
        <v>0</v>
      </c>
      <c r="AR27" s="17" t="e">
        <f>AK27/AO27</f>
        <v>#REF!</v>
      </c>
      <c r="AS27" s="18">
        <f>AI27*24</f>
        <v>0</v>
      </c>
      <c r="AT27" s="28">
        <v>1700</v>
      </c>
      <c r="AU27" s="10">
        <v>34</v>
      </c>
      <c r="AV27" s="10">
        <v>7.2</v>
      </c>
      <c r="AW27" s="10">
        <v>50</v>
      </c>
      <c r="AX27" s="16">
        <v>2.9999999999999997E-4</v>
      </c>
      <c r="AY27" s="16" t="e">
        <f>AX27*H27*AO27*0.06</f>
        <v>#REF!</v>
      </c>
      <c r="AZ27" s="16" t="e">
        <f>AY21*24</f>
        <v>#REF!</v>
      </c>
      <c r="BA27" s="15"/>
      <c r="BB27" s="16"/>
      <c r="BC27" s="16"/>
      <c r="BD27" s="47" t="str">
        <f>IF(B27="Python",BA27*AT27/24,"")</f>
        <v/>
      </c>
      <c r="BE27" s="47" t="str">
        <f>IF(B27="Julia",BB27*AO27/24,"")</f>
        <v/>
      </c>
      <c r="BF27" s="19" t="str">
        <f>IF(B27="Julia",BC27*AO27,"")</f>
        <v/>
      </c>
    </row>
    <row r="28" spans="1:58" x14ac:dyDescent="0.25">
      <c r="A28" s="1" t="s">
        <v>62</v>
      </c>
      <c r="B28" s="36" t="s">
        <v>32</v>
      </c>
      <c r="C28" s="36">
        <v>12</v>
      </c>
      <c r="D28" s="36">
        <v>4</v>
      </c>
      <c r="E28" s="37"/>
      <c r="F28" s="11"/>
      <c r="G28" s="38">
        <v>1858.6949999999999</v>
      </c>
      <c r="H28" s="38"/>
      <c r="I28" s="38">
        <v>19.690000000000001</v>
      </c>
      <c r="J28" s="38">
        <v>94.94</v>
      </c>
      <c r="K28" s="38"/>
      <c r="L28" s="38">
        <v>316</v>
      </c>
      <c r="M28" s="38"/>
      <c r="N28" s="38"/>
      <c r="O28" s="38"/>
      <c r="P28" s="38"/>
      <c r="Q28" s="38"/>
      <c r="R28" s="38">
        <v>2.77</v>
      </c>
      <c r="S28" s="38"/>
      <c r="T28" s="38"/>
      <c r="U28" s="38"/>
      <c r="V28" s="38"/>
      <c r="W28" s="44"/>
      <c r="X28" s="44"/>
      <c r="Y28" s="38"/>
      <c r="Z28" s="38"/>
      <c r="AA28" s="34"/>
      <c r="AB28" s="20"/>
      <c r="AC28" s="39"/>
      <c r="AD28" s="39"/>
      <c r="AE28" s="39"/>
      <c r="AF28" s="39"/>
      <c r="AG28" s="39"/>
      <c r="AH28" s="39"/>
      <c r="AI28" s="39"/>
      <c r="AJ28" s="39"/>
      <c r="AK28" s="39"/>
      <c r="AL28" s="39"/>
      <c r="AM28" s="39"/>
      <c r="AN28" s="41"/>
      <c r="AO28" s="39">
        <f>AO22+SUM(AF28:AH28,AL28:AM28)-AN28</f>
        <v>1700</v>
      </c>
      <c r="AP28" s="40">
        <v>3.0398772000000001E-2</v>
      </c>
      <c r="AQ28" s="40">
        <f>AJ28/AT28</f>
        <v>0</v>
      </c>
      <c r="AR28" s="40">
        <f>AK28/AO28</f>
        <v>0</v>
      </c>
      <c r="AS28" s="21">
        <f>AI28*24</f>
        <v>0</v>
      </c>
      <c r="AT28" s="41">
        <v>1700</v>
      </c>
      <c r="AU28" s="38">
        <v>34</v>
      </c>
      <c r="AV28" s="38">
        <v>7.2</v>
      </c>
      <c r="AW28" s="38">
        <v>50</v>
      </c>
      <c r="AX28" s="39">
        <v>2.9999999999999997E-4</v>
      </c>
      <c r="AY28" s="39">
        <f>AX28*H28*AO28*0.06</f>
        <v>0</v>
      </c>
      <c r="AZ28" s="39">
        <f>AY22*24</f>
        <v>0</v>
      </c>
      <c r="BA28" s="20"/>
      <c r="BB28" s="39"/>
      <c r="BC28" s="39"/>
      <c r="BD28" s="43">
        <f>IF(B28="Python",BA28*AT28/24,"")</f>
        <v>0</v>
      </c>
      <c r="BE28" s="43" t="str">
        <f>IF(B28="Julia",BB28*AO28/24,"")</f>
        <v/>
      </c>
      <c r="BF28" s="22" t="str">
        <f>IF(B28="Julia",BC28*AO28,"")</f>
        <v/>
      </c>
    </row>
    <row r="29" spans="1:58" x14ac:dyDescent="0.25">
      <c r="A29" s="1" t="s">
        <v>63</v>
      </c>
      <c r="B29" s="36" t="s">
        <v>32</v>
      </c>
      <c r="C29" s="36">
        <v>12</v>
      </c>
      <c r="D29" s="36">
        <v>4</v>
      </c>
      <c r="E29" s="37"/>
      <c r="F29" s="11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4"/>
      <c r="AB29" s="20"/>
      <c r="AC29" s="39"/>
      <c r="AD29" s="39"/>
      <c r="AE29" s="39"/>
      <c r="AF29" s="39"/>
      <c r="AG29" s="39"/>
      <c r="AH29" s="39"/>
      <c r="AI29" s="39"/>
      <c r="AJ29" s="39"/>
      <c r="AK29" s="39"/>
      <c r="AL29" s="39"/>
      <c r="AM29" s="39"/>
      <c r="AN29" s="41"/>
      <c r="AO29" s="39">
        <f>AO23+SUM(AF29:AH29,AL29:AM29)-AN29</f>
        <v>1700</v>
      </c>
      <c r="AP29" s="40">
        <f>IFERROR(AH29/AN29,0)</f>
        <v>0</v>
      </c>
      <c r="AQ29" s="40">
        <f>AJ29/AT29</f>
        <v>0</v>
      </c>
      <c r="AR29" s="40">
        <f>AK29/AO29</f>
        <v>0</v>
      </c>
      <c r="AS29" s="21">
        <f>AI29*24</f>
        <v>0</v>
      </c>
      <c r="AT29" s="41">
        <v>1700</v>
      </c>
      <c r="AU29" s="38">
        <v>34</v>
      </c>
      <c r="AV29" s="38">
        <v>7.2</v>
      </c>
      <c r="AW29" s="38">
        <v>50</v>
      </c>
      <c r="AX29" s="39">
        <v>2.9999999999999997E-4</v>
      </c>
      <c r="AY29" s="39">
        <f>AX29*H29*AO29*0.06</f>
        <v>0</v>
      </c>
      <c r="AZ29" s="39">
        <f>AY23*24</f>
        <v>0</v>
      </c>
      <c r="BA29" s="20"/>
      <c r="BB29" s="39"/>
      <c r="BC29" s="39"/>
      <c r="BD29" s="43">
        <f>IF(B29="Python",BA29*AT29/24,"")</f>
        <v>0</v>
      </c>
      <c r="BE29" s="43" t="str">
        <f>IF(B29="Julia",BB29*AO29/24,"")</f>
        <v/>
      </c>
      <c r="BF29" s="22" t="str">
        <f>IF(B29="Julia",BC29*AO29,"")</f>
        <v/>
      </c>
    </row>
    <row r="30" spans="1:58" x14ac:dyDescent="0.25">
      <c r="A30" s="1" t="s">
        <v>64</v>
      </c>
      <c r="B30" s="36" t="s">
        <v>33</v>
      </c>
      <c r="C30" s="36">
        <v>15</v>
      </c>
      <c r="D30" s="36">
        <v>4</v>
      </c>
      <c r="E30" s="37"/>
      <c r="F30" s="11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4"/>
      <c r="AB30" s="20"/>
      <c r="AC30" s="39"/>
      <c r="AD30" s="39"/>
      <c r="AE30" s="39"/>
      <c r="AF30" s="39"/>
      <c r="AG30" s="39"/>
      <c r="AH30" s="39"/>
      <c r="AI30" s="39"/>
      <c r="AJ30" s="39"/>
      <c r="AK30" s="39"/>
      <c r="AL30" s="39"/>
      <c r="AM30" s="39"/>
      <c r="AN30" s="41"/>
      <c r="AO30" s="39">
        <f>AO24+SUM(AF30:AH30,AL30:AM30)-AN30</f>
        <v>1700</v>
      </c>
      <c r="AP30" s="40">
        <f>IFERROR(AH30/AN30,0)</f>
        <v>0</v>
      </c>
      <c r="AQ30" s="40">
        <f>AJ30/AT30</f>
        <v>0</v>
      </c>
      <c r="AR30" s="40">
        <f>AK30/AO30</f>
        <v>0</v>
      </c>
      <c r="AS30" s="21">
        <f>AI30*24</f>
        <v>0</v>
      </c>
      <c r="AT30" s="41">
        <v>1700</v>
      </c>
      <c r="AU30" s="38">
        <v>34</v>
      </c>
      <c r="AV30" s="38">
        <v>7.2</v>
      </c>
      <c r="AW30" s="38">
        <v>50</v>
      </c>
      <c r="AX30" s="39">
        <v>2.9999999999999997E-4</v>
      </c>
      <c r="AY30" s="39">
        <f>AX30*H30*AO30*0.06</f>
        <v>0</v>
      </c>
      <c r="AZ30" s="39">
        <f>AY24*24</f>
        <v>0</v>
      </c>
      <c r="BA30" s="20"/>
      <c r="BB30" s="39"/>
      <c r="BC30" s="39"/>
      <c r="BD30" s="43" t="str">
        <f>IF(B30="Python",BA30*AT30/24,"")</f>
        <v/>
      </c>
      <c r="BE30" s="43" t="str">
        <f>IF(B30="Julia",BB30*AO30/24,"")</f>
        <v/>
      </c>
      <c r="BF30" s="22" t="str">
        <f>IF(B30="Julia",BC30*AO30,"")</f>
        <v/>
      </c>
    </row>
    <row r="31" spans="1:58" x14ac:dyDescent="0.25">
      <c r="A31" s="1" t="s">
        <v>65</v>
      </c>
      <c r="B31" s="36" t="s">
        <v>31</v>
      </c>
      <c r="C31" s="36">
        <v>12</v>
      </c>
      <c r="D31" s="36">
        <v>4</v>
      </c>
      <c r="E31" s="37"/>
      <c r="F31" s="11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4"/>
      <c r="AB31" s="20"/>
      <c r="AC31" s="39"/>
      <c r="AD31" s="39"/>
      <c r="AE31" s="39"/>
      <c r="AF31" s="39"/>
      <c r="AG31" s="39"/>
      <c r="AH31" s="39"/>
      <c r="AI31" s="39"/>
      <c r="AJ31" s="39"/>
      <c r="AK31" s="39"/>
      <c r="AL31" s="39"/>
      <c r="AM31" s="39"/>
      <c r="AN31" s="41"/>
      <c r="AO31" s="39">
        <f>AO25+SUM(AF31:AH31,AL31:AM31)-AN31</f>
        <v>1700</v>
      </c>
      <c r="AP31" s="40">
        <f>IFERROR(AH31/AN31,0)</f>
        <v>0</v>
      </c>
      <c r="AQ31" s="40">
        <f>AJ31/AT31</f>
        <v>0</v>
      </c>
      <c r="AR31" s="40">
        <f>AK31/AO31</f>
        <v>0</v>
      </c>
      <c r="AS31" s="21">
        <f>AI31*24</f>
        <v>0</v>
      </c>
      <c r="AT31" s="41">
        <v>1700</v>
      </c>
      <c r="AU31" s="38">
        <v>34</v>
      </c>
      <c r="AV31" s="38">
        <v>7.2</v>
      </c>
      <c r="AW31" s="38">
        <v>50</v>
      </c>
      <c r="AX31" s="39">
        <v>2.9999999999999997E-4</v>
      </c>
      <c r="AY31" s="39">
        <f>AX31*H31*AO31*0.06</f>
        <v>0</v>
      </c>
      <c r="AZ31" s="39">
        <f>AY25*24</f>
        <v>0</v>
      </c>
      <c r="BA31" s="20"/>
      <c r="BB31" s="39"/>
      <c r="BC31" s="39"/>
      <c r="BD31" s="43" t="str">
        <f>IF(B31="Python",BA31*AT31/24,"")</f>
        <v/>
      </c>
      <c r="BE31" s="43">
        <f>IF(B31="Julia",BB31*AO31/24,"")</f>
        <v>0</v>
      </c>
      <c r="BF31" s="22">
        <f>IF(B31="Julia",BC31*AO31,"")</f>
        <v>0</v>
      </c>
    </row>
    <row r="32" spans="1:58" ht="15.75" thickBot="1" x14ac:dyDescent="0.3">
      <c r="A32" s="6" t="s">
        <v>66</v>
      </c>
      <c r="B32" s="7" t="s">
        <v>31</v>
      </c>
      <c r="C32" s="7">
        <v>12</v>
      </c>
      <c r="D32" s="7">
        <v>4</v>
      </c>
      <c r="E32" s="8"/>
      <c r="F32" s="13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35"/>
      <c r="AB32" s="23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9"/>
      <c r="AO32" s="24">
        <f>AO26+SUM(AF32:AH32,AL32:AM32)-AN32</f>
        <v>1700</v>
      </c>
      <c r="AP32" s="25">
        <f>IFERROR(AH32/AN32,0)</f>
        <v>0</v>
      </c>
      <c r="AQ32" s="25">
        <f>AJ32/AT32</f>
        <v>0</v>
      </c>
      <c r="AR32" s="25">
        <f>AK32/AO32</f>
        <v>0</v>
      </c>
      <c r="AS32" s="26">
        <f>AI32*24</f>
        <v>0</v>
      </c>
      <c r="AT32" s="29">
        <v>1700</v>
      </c>
      <c r="AU32" s="14">
        <v>34</v>
      </c>
      <c r="AV32" s="14">
        <v>7.2</v>
      </c>
      <c r="AW32" s="14">
        <v>50</v>
      </c>
      <c r="AX32" s="24">
        <v>2.9999999999999997E-4</v>
      </c>
      <c r="AY32" s="24">
        <f>AX32*H32*AO32*0.06</f>
        <v>0</v>
      </c>
      <c r="AZ32" s="24">
        <f>AY26*24</f>
        <v>0</v>
      </c>
      <c r="BA32" s="23"/>
      <c r="BB32" s="24"/>
      <c r="BC32" s="24"/>
      <c r="BD32" s="48" t="str">
        <f>IF(B32="Python",BA32*AT32/24,"")</f>
        <v/>
      </c>
      <c r="BE32" s="48">
        <f>IF(B32="Julia",BB32*AO32/24,"")</f>
        <v>0</v>
      </c>
      <c r="BF32" s="27">
        <f>IF(B32="Julia",BC32*AO32,"")</f>
        <v>0</v>
      </c>
    </row>
    <row r="33" spans="1:58" x14ac:dyDescent="0.25">
      <c r="A33" s="3" t="s">
        <v>61</v>
      </c>
      <c r="B33" s="4" t="s">
        <v>33</v>
      </c>
      <c r="C33" s="4">
        <v>12</v>
      </c>
      <c r="D33" s="4">
        <v>5</v>
      </c>
      <c r="E33" s="5"/>
      <c r="F33" s="9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33"/>
      <c r="AB33" s="15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28"/>
      <c r="AO33" s="16" t="e">
        <f>AO27+SUM(AF33:AH33,AL33:AM33)-AN33</f>
        <v>#REF!</v>
      </c>
      <c r="AP33" s="17">
        <f>IFERROR(AH33/AN33,0)</f>
        <v>0</v>
      </c>
      <c r="AQ33" s="17">
        <f>AJ33/AT33</f>
        <v>0</v>
      </c>
      <c r="AR33" s="17" t="e">
        <f>AK33/AO33</f>
        <v>#REF!</v>
      </c>
      <c r="AS33" s="18">
        <f>AI33*24</f>
        <v>0</v>
      </c>
      <c r="AT33" s="28">
        <v>1700</v>
      </c>
      <c r="AU33" s="10">
        <v>34</v>
      </c>
      <c r="AV33" s="10">
        <v>7.2</v>
      </c>
      <c r="AW33" s="10">
        <v>50</v>
      </c>
      <c r="AX33" s="16">
        <v>4.0000000000000002E-4</v>
      </c>
      <c r="AY33" s="16" t="e">
        <f>AX33*H33*AO33*0.06</f>
        <v>#REF!</v>
      </c>
      <c r="AZ33" s="16" t="e">
        <f>AY27*24</f>
        <v>#REF!</v>
      </c>
      <c r="BA33" s="15"/>
      <c r="BB33" s="16"/>
      <c r="BC33" s="16"/>
      <c r="BD33" s="47" t="str">
        <f>IF(B33="Python",BA33*AT33/24,"")</f>
        <v/>
      </c>
      <c r="BE33" s="47" t="str">
        <f>IF(B33="Julia",BB33*AO33/24,"")</f>
        <v/>
      </c>
      <c r="BF33" s="19" t="str">
        <f>IF(B33="Julia",BC33*AO33,"")</f>
        <v/>
      </c>
    </row>
    <row r="34" spans="1:58" x14ac:dyDescent="0.25">
      <c r="A34" s="1" t="s">
        <v>62</v>
      </c>
      <c r="B34" s="36" t="s">
        <v>32</v>
      </c>
      <c r="C34" s="36">
        <v>12</v>
      </c>
      <c r="D34" s="36">
        <v>5</v>
      </c>
      <c r="E34" s="37"/>
      <c r="F34" s="11"/>
      <c r="G34" s="38"/>
      <c r="H34" s="38"/>
      <c r="I34" s="38">
        <v>20.74</v>
      </c>
      <c r="J34" s="38">
        <v>94.46</v>
      </c>
      <c r="K34" s="38"/>
      <c r="L34" s="38">
        <v>331</v>
      </c>
      <c r="M34" s="38"/>
      <c r="N34" s="38"/>
      <c r="O34" s="38"/>
      <c r="P34" s="38"/>
      <c r="Q34" s="38"/>
      <c r="R34" s="38">
        <v>2.46</v>
      </c>
      <c r="S34" s="38"/>
      <c r="T34" s="38"/>
      <c r="U34" s="38"/>
      <c r="V34" s="38"/>
      <c r="W34" s="38"/>
      <c r="X34" s="38"/>
      <c r="Y34" s="38"/>
      <c r="Z34" s="38"/>
      <c r="AA34" s="34"/>
      <c r="AB34" s="20"/>
      <c r="AC34" s="39"/>
      <c r="AD34" s="39"/>
      <c r="AE34" s="39"/>
      <c r="AF34" s="39"/>
      <c r="AG34" s="39"/>
      <c r="AH34" s="39"/>
      <c r="AI34" s="39"/>
      <c r="AJ34" s="39"/>
      <c r="AK34" s="39"/>
      <c r="AL34" s="39"/>
      <c r="AM34" s="39"/>
      <c r="AN34" s="41"/>
      <c r="AO34" s="39">
        <f>AO28+SUM(AF34:AH34,AL34:AM34)-AN34</f>
        <v>1700</v>
      </c>
      <c r="AP34" s="40">
        <v>3.9988454999999999E-2</v>
      </c>
      <c r="AQ34" s="40">
        <f>AJ34/AT34</f>
        <v>0</v>
      </c>
      <c r="AR34" s="40">
        <f>AK34/AO34</f>
        <v>0</v>
      </c>
      <c r="AS34" s="21">
        <f>AI34*24</f>
        <v>0</v>
      </c>
      <c r="AT34" s="41">
        <v>1700</v>
      </c>
      <c r="AU34" s="38">
        <v>34</v>
      </c>
      <c r="AV34" s="38">
        <v>7.2</v>
      </c>
      <c r="AW34" s="38">
        <v>50</v>
      </c>
      <c r="AX34" s="39">
        <v>4.0000000000000002E-4</v>
      </c>
      <c r="AY34" s="39">
        <f>AX34*H34*AO34*0.06</f>
        <v>0</v>
      </c>
      <c r="AZ34" s="39">
        <f>AY28*24</f>
        <v>0</v>
      </c>
      <c r="BA34" s="20"/>
      <c r="BB34" s="39"/>
      <c r="BC34" s="39"/>
      <c r="BD34" s="43">
        <f>IF(B34="Python",BA34*AT34/24,"")</f>
        <v>0</v>
      </c>
      <c r="BE34" s="43" t="str">
        <f>IF(B34="Julia",BB34*AO34/24,"")</f>
        <v/>
      </c>
      <c r="BF34" s="22" t="str">
        <f>IF(B34="Julia",BC34*AO34,"")</f>
        <v/>
      </c>
    </row>
    <row r="35" spans="1:58" x14ac:dyDescent="0.25">
      <c r="A35" s="1" t="s">
        <v>63</v>
      </c>
      <c r="B35" s="36" t="s">
        <v>32</v>
      </c>
      <c r="C35" s="36">
        <v>12</v>
      </c>
      <c r="D35" s="36">
        <v>5</v>
      </c>
      <c r="E35" s="37"/>
      <c r="F35" s="11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4"/>
      <c r="AB35" s="20"/>
      <c r="AC35" s="39"/>
      <c r="AD35" s="39"/>
      <c r="AE35" s="39"/>
      <c r="AF35" s="39"/>
      <c r="AG35" s="39"/>
      <c r="AH35" s="39"/>
      <c r="AI35" s="39"/>
      <c r="AJ35" s="39"/>
      <c r="AK35" s="39"/>
      <c r="AL35" s="39"/>
      <c r="AM35" s="39"/>
      <c r="AN35" s="41"/>
      <c r="AO35" s="39">
        <f>AO29+SUM(AF35:AH35,AL35:AM35)-AN35</f>
        <v>1700</v>
      </c>
      <c r="AP35" s="40">
        <f>IFERROR(AH35/AN35,0)</f>
        <v>0</v>
      </c>
      <c r="AQ35" s="40">
        <f>AJ35/AT35</f>
        <v>0</v>
      </c>
      <c r="AR35" s="40">
        <f>AK35/AO35</f>
        <v>0</v>
      </c>
      <c r="AS35" s="21">
        <f>AI35*24</f>
        <v>0</v>
      </c>
      <c r="AT35" s="41">
        <v>1700</v>
      </c>
      <c r="AU35" s="38">
        <v>34</v>
      </c>
      <c r="AV35" s="38">
        <v>7.2</v>
      </c>
      <c r="AW35" s="38">
        <v>50</v>
      </c>
      <c r="AX35" s="39">
        <v>4.0000000000000002E-4</v>
      </c>
      <c r="AY35" s="39">
        <f>AX35*H35*AO35*0.06</f>
        <v>0</v>
      </c>
      <c r="AZ35" s="39">
        <f>AY29*24</f>
        <v>0</v>
      </c>
      <c r="BA35" s="20"/>
      <c r="BB35" s="39"/>
      <c r="BC35" s="39"/>
      <c r="BD35" s="43">
        <f>IF(B35="Python",BA35*AT35/24,"")</f>
        <v>0</v>
      </c>
      <c r="BE35" s="43" t="str">
        <f>IF(B35="Julia",BB35*AO35/24,"")</f>
        <v/>
      </c>
      <c r="BF35" s="22" t="str">
        <f>IF(B35="Julia",BC35*AO35,"")</f>
        <v/>
      </c>
    </row>
    <row r="36" spans="1:58" x14ac:dyDescent="0.25">
      <c r="A36" s="1" t="s">
        <v>64</v>
      </c>
      <c r="B36" s="36" t="s">
        <v>33</v>
      </c>
      <c r="C36" s="36">
        <v>15</v>
      </c>
      <c r="D36" s="36">
        <v>5</v>
      </c>
      <c r="E36" s="37"/>
      <c r="F36" s="11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4"/>
      <c r="AB36" s="20"/>
      <c r="AC36" s="39"/>
      <c r="AD36" s="39"/>
      <c r="AE36" s="39"/>
      <c r="AF36" s="39"/>
      <c r="AG36" s="39"/>
      <c r="AH36" s="39"/>
      <c r="AI36" s="39"/>
      <c r="AJ36" s="39"/>
      <c r="AK36" s="39"/>
      <c r="AL36" s="39"/>
      <c r="AM36" s="39"/>
      <c r="AN36" s="41"/>
      <c r="AO36" s="39">
        <f>AO30+SUM(AF36:AH36,AL36:AM36)-AN36</f>
        <v>1700</v>
      </c>
      <c r="AP36" s="40">
        <f>IFERROR(AH36/AN36,0)</f>
        <v>0</v>
      </c>
      <c r="AQ36" s="40">
        <f>AJ36/AT36</f>
        <v>0</v>
      </c>
      <c r="AR36" s="40">
        <f>AK36/AO36</f>
        <v>0</v>
      </c>
      <c r="AS36" s="21">
        <f>AI36*24</f>
        <v>0</v>
      </c>
      <c r="AT36" s="41">
        <v>1700</v>
      </c>
      <c r="AU36" s="38">
        <v>34</v>
      </c>
      <c r="AV36" s="38">
        <v>7.2</v>
      </c>
      <c r="AW36" s="38">
        <v>50</v>
      </c>
      <c r="AX36" s="39">
        <v>4.0000000000000002E-4</v>
      </c>
      <c r="AY36" s="39">
        <f>AX36*H36*AO36*0.06</f>
        <v>0</v>
      </c>
      <c r="AZ36" s="39">
        <f>AY30*24</f>
        <v>0</v>
      </c>
      <c r="BA36" s="20"/>
      <c r="BB36" s="39"/>
      <c r="BC36" s="39"/>
      <c r="BD36" s="43" t="str">
        <f>IF(B36="Python",BA36*AT36/24,"")</f>
        <v/>
      </c>
      <c r="BE36" s="43" t="str">
        <f>IF(B36="Julia",BB36*AO36/24,"")</f>
        <v/>
      </c>
      <c r="BF36" s="22" t="str">
        <f>IF(B36="Julia",BC36*AO36,"")</f>
        <v/>
      </c>
    </row>
    <row r="37" spans="1:58" x14ac:dyDescent="0.25">
      <c r="A37" s="1" t="s">
        <v>65</v>
      </c>
      <c r="B37" s="36" t="s">
        <v>31</v>
      </c>
      <c r="C37" s="36">
        <v>12</v>
      </c>
      <c r="D37" s="36">
        <v>5</v>
      </c>
      <c r="E37" s="37"/>
      <c r="F37" s="11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4"/>
      <c r="AB37" s="20"/>
      <c r="AC37" s="39"/>
      <c r="AD37" s="39"/>
      <c r="AE37" s="39"/>
      <c r="AF37" s="39"/>
      <c r="AG37" s="39"/>
      <c r="AH37" s="39"/>
      <c r="AI37" s="39"/>
      <c r="AJ37" s="39"/>
      <c r="AK37" s="39"/>
      <c r="AL37" s="39"/>
      <c r="AM37" s="39"/>
      <c r="AN37" s="41"/>
      <c r="AO37" s="39">
        <f>AO31+SUM(AF37:AH37,AL37:AM37)-AN37</f>
        <v>1700</v>
      </c>
      <c r="AP37" s="40">
        <f>IFERROR(AH37/AN37,0)</f>
        <v>0</v>
      </c>
      <c r="AQ37" s="40">
        <f>AJ37/AT37</f>
        <v>0</v>
      </c>
      <c r="AR37" s="40">
        <f>AK37/AO37</f>
        <v>0</v>
      </c>
      <c r="AS37" s="21">
        <f>AI37*24</f>
        <v>0</v>
      </c>
      <c r="AT37" s="41">
        <v>1700</v>
      </c>
      <c r="AU37" s="38">
        <v>34</v>
      </c>
      <c r="AV37" s="38">
        <v>7.2</v>
      </c>
      <c r="AW37" s="38">
        <v>50</v>
      </c>
      <c r="AX37" s="39">
        <v>4.0000000000000002E-4</v>
      </c>
      <c r="AY37" s="39">
        <f>AX37*H37*AO37*0.06</f>
        <v>0</v>
      </c>
      <c r="AZ37" s="39">
        <f>AY31*24</f>
        <v>0</v>
      </c>
      <c r="BA37" s="20"/>
      <c r="BB37" s="39"/>
      <c r="BC37" s="39"/>
      <c r="BD37" s="43" t="str">
        <f>IF(B37="Python",BA37*AT37/24,"")</f>
        <v/>
      </c>
      <c r="BE37" s="43">
        <f>IF(B37="Julia",BB37*AO37/24,"")</f>
        <v>0</v>
      </c>
      <c r="BF37" s="22">
        <f>IF(B37="Julia",BC37*AO37,"")</f>
        <v>0</v>
      </c>
    </row>
    <row r="38" spans="1:58" ht="15.75" thickBot="1" x14ac:dyDescent="0.3">
      <c r="A38" s="6" t="s">
        <v>66</v>
      </c>
      <c r="B38" s="7" t="s">
        <v>31</v>
      </c>
      <c r="C38" s="7">
        <v>12</v>
      </c>
      <c r="D38" s="7">
        <v>5</v>
      </c>
      <c r="E38" s="8"/>
      <c r="F38" s="13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35"/>
      <c r="AB38" s="23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9"/>
      <c r="AO38" s="24">
        <f>AO32+SUM(AF38:AH38,AL38:AM38)-AN38</f>
        <v>1700</v>
      </c>
      <c r="AP38" s="25">
        <f>IFERROR(AH38/AN38,0)</f>
        <v>0</v>
      </c>
      <c r="AQ38" s="25">
        <f>AJ38/AT38</f>
        <v>0</v>
      </c>
      <c r="AR38" s="25">
        <f>AK38/AO38</f>
        <v>0</v>
      </c>
      <c r="AS38" s="26">
        <f>AI38*24</f>
        <v>0</v>
      </c>
      <c r="AT38" s="29">
        <v>1700</v>
      </c>
      <c r="AU38" s="14">
        <v>34</v>
      </c>
      <c r="AV38" s="14">
        <v>7.2</v>
      </c>
      <c r="AW38" s="14">
        <v>50</v>
      </c>
      <c r="AX38" s="24">
        <v>4.0000000000000002E-4</v>
      </c>
      <c r="AY38" s="24">
        <f>AX38*H38*AO38*0.06</f>
        <v>0</v>
      </c>
      <c r="AZ38" s="24">
        <f>AY32*24</f>
        <v>0</v>
      </c>
      <c r="BA38" s="23"/>
      <c r="BB38" s="24"/>
      <c r="BC38" s="24"/>
      <c r="BD38" s="48" t="str">
        <f>IF(B38="Python",BA38*AT38/24,"")</f>
        <v/>
      </c>
      <c r="BE38" s="48">
        <f>IF(B38="Julia",BB38*AO38/24,"")</f>
        <v>0</v>
      </c>
      <c r="BF38" s="27">
        <f>IF(B38="Julia",BC38*AO38,"")</f>
        <v>0</v>
      </c>
    </row>
    <row r="39" spans="1:58" x14ac:dyDescent="0.25">
      <c r="A39" s="3" t="s">
        <v>61</v>
      </c>
      <c r="B39" s="4" t="s">
        <v>33</v>
      </c>
      <c r="C39" s="4">
        <v>12</v>
      </c>
      <c r="D39" s="4">
        <v>6</v>
      </c>
      <c r="E39" s="5"/>
      <c r="F39" s="9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33"/>
      <c r="AB39" s="15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28"/>
      <c r="AO39" s="16" t="e">
        <f>AO33+SUM(AF39:AH39,AL39:AM39)-AN39</f>
        <v>#REF!</v>
      </c>
      <c r="AP39" s="17">
        <f>IFERROR(AH39/AN39,0)</f>
        <v>0</v>
      </c>
      <c r="AQ39" s="17">
        <f>AJ39/AT39</f>
        <v>0</v>
      </c>
      <c r="AR39" s="17" t="e">
        <f>AK39/AO39</f>
        <v>#REF!</v>
      </c>
      <c r="AS39" s="18">
        <f>AI39*24</f>
        <v>0</v>
      </c>
      <c r="AT39" s="28">
        <v>1700</v>
      </c>
      <c r="AU39" s="10">
        <v>34</v>
      </c>
      <c r="AV39" s="10">
        <v>7.2</v>
      </c>
      <c r="AW39" s="10">
        <v>50</v>
      </c>
      <c r="AX39" s="16">
        <v>4.0000000000000002E-4</v>
      </c>
      <c r="AY39" s="16" t="e">
        <f>AX39*H39*AO39*0.06</f>
        <v>#REF!</v>
      </c>
      <c r="AZ39" s="16" t="e">
        <f>AY33*24</f>
        <v>#REF!</v>
      </c>
      <c r="BA39" s="15"/>
      <c r="BB39" s="16"/>
      <c r="BC39" s="16"/>
      <c r="BD39" s="47" t="str">
        <f>IF(B39="Python",BA39*AT39/24,"")</f>
        <v/>
      </c>
      <c r="BE39" s="47" t="str">
        <f>IF(B39="Julia",BB39*AO39/24,"")</f>
        <v/>
      </c>
      <c r="BF39" s="19" t="str">
        <f>IF(B39="Julia",BC39*AO39,"")</f>
        <v/>
      </c>
    </row>
    <row r="40" spans="1:58" x14ac:dyDescent="0.25">
      <c r="A40" s="1" t="s">
        <v>62</v>
      </c>
      <c r="B40" s="36" t="s">
        <v>32</v>
      </c>
      <c r="C40" s="36">
        <v>12</v>
      </c>
      <c r="D40" s="36">
        <v>6</v>
      </c>
      <c r="E40" s="37"/>
      <c r="F40" s="11"/>
      <c r="G40" s="38">
        <v>3281.2950000000001</v>
      </c>
      <c r="H40" s="38"/>
      <c r="I40" s="38">
        <v>20.8</v>
      </c>
      <c r="J40" s="38">
        <v>92.87</v>
      </c>
      <c r="K40" s="38"/>
      <c r="L40" s="38">
        <v>339</v>
      </c>
      <c r="M40" s="38"/>
      <c r="N40" s="38"/>
      <c r="O40" s="38"/>
      <c r="P40" s="38"/>
      <c r="Q40" s="38"/>
      <c r="R40" s="38">
        <v>2.2000000000000002</v>
      </c>
      <c r="S40" s="38"/>
      <c r="T40" s="38"/>
      <c r="U40" s="38"/>
      <c r="V40" s="38"/>
      <c r="W40" s="38"/>
      <c r="X40" s="12"/>
      <c r="Y40" s="38"/>
      <c r="Z40" s="38"/>
      <c r="AA40" s="34"/>
      <c r="AB40" s="20"/>
      <c r="AC40" s="39"/>
      <c r="AD40" s="39"/>
      <c r="AE40" s="39"/>
      <c r="AF40" s="39"/>
      <c r="AG40" s="39"/>
      <c r="AH40" s="39"/>
      <c r="AI40" s="39"/>
      <c r="AJ40" s="39"/>
      <c r="AK40" s="39"/>
      <c r="AL40" s="39"/>
      <c r="AM40" s="39"/>
      <c r="AN40" s="41"/>
      <c r="AO40" s="39">
        <f>AO34+SUM(AF40:AH40,AL40:AM40)-AN40</f>
        <v>1700</v>
      </c>
      <c r="AP40" s="40">
        <v>5.0608198E-2</v>
      </c>
      <c r="AQ40" s="40">
        <f>AJ40/AT40</f>
        <v>0</v>
      </c>
      <c r="AR40" s="40">
        <f>AK40/AO40</f>
        <v>0</v>
      </c>
      <c r="AS40" s="21">
        <f>AI40*24</f>
        <v>0</v>
      </c>
      <c r="AT40" s="41">
        <v>1700</v>
      </c>
      <c r="AU40" s="38">
        <v>34</v>
      </c>
      <c r="AV40" s="38">
        <v>7.2</v>
      </c>
      <c r="AW40" s="38">
        <v>50</v>
      </c>
      <c r="AX40" s="39">
        <v>4.0000000000000002E-4</v>
      </c>
      <c r="AY40" s="39">
        <f>AX40*H40*AO40*0.06</f>
        <v>0</v>
      </c>
      <c r="AZ40" s="39">
        <f>AY34*24</f>
        <v>0</v>
      </c>
      <c r="BA40" s="20"/>
      <c r="BB40" s="39"/>
      <c r="BC40" s="39"/>
      <c r="BD40" s="43">
        <f>IF(B40="Python",BA40*AT40/24,"")</f>
        <v>0</v>
      </c>
      <c r="BE40" s="43" t="str">
        <f>IF(B40="Julia",BB40*AO40/24,"")</f>
        <v/>
      </c>
      <c r="BF40" s="22" t="str">
        <f>IF(B40="Julia",BC40*AO40,"")</f>
        <v/>
      </c>
    </row>
    <row r="41" spans="1:58" x14ac:dyDescent="0.25">
      <c r="A41" s="1" t="s">
        <v>63</v>
      </c>
      <c r="B41" s="36" t="s">
        <v>32</v>
      </c>
      <c r="C41" s="36">
        <v>12</v>
      </c>
      <c r="D41" s="36">
        <v>6</v>
      </c>
      <c r="E41" s="37"/>
      <c r="F41" s="11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4"/>
      <c r="AB41" s="20"/>
      <c r="AC41" s="39"/>
      <c r="AD41" s="39"/>
      <c r="AE41" s="39"/>
      <c r="AF41" s="39"/>
      <c r="AG41" s="39"/>
      <c r="AH41" s="39"/>
      <c r="AI41" s="39"/>
      <c r="AJ41" s="39"/>
      <c r="AK41" s="39"/>
      <c r="AL41" s="39"/>
      <c r="AM41" s="39"/>
      <c r="AN41" s="41"/>
      <c r="AO41" s="39">
        <f>AO35+SUM(AF41:AH41,AL41:AM41)-AN41</f>
        <v>1700</v>
      </c>
      <c r="AP41" s="40">
        <f>IFERROR(AH41/AN41,0)</f>
        <v>0</v>
      </c>
      <c r="AQ41" s="40">
        <f>AJ41/AT41</f>
        <v>0</v>
      </c>
      <c r="AR41" s="40">
        <f>AK41/AO41</f>
        <v>0</v>
      </c>
      <c r="AS41" s="21">
        <f>AI41*24</f>
        <v>0</v>
      </c>
      <c r="AT41" s="41">
        <v>1700</v>
      </c>
      <c r="AU41" s="38">
        <v>34</v>
      </c>
      <c r="AV41" s="38">
        <v>7.2</v>
      </c>
      <c r="AW41" s="38">
        <v>50</v>
      </c>
      <c r="AX41" s="39">
        <v>4.0000000000000002E-4</v>
      </c>
      <c r="AY41" s="39">
        <f>AX41*H41*AO41*0.06</f>
        <v>0</v>
      </c>
      <c r="AZ41" s="39">
        <f>AY35*24</f>
        <v>0</v>
      </c>
      <c r="BA41" s="20"/>
      <c r="BB41" s="39"/>
      <c r="BC41" s="39"/>
      <c r="BD41" s="43">
        <f>IF(B41="Python",BA41*AT41/24,"")</f>
        <v>0</v>
      </c>
      <c r="BE41" s="43" t="str">
        <f>IF(B41="Julia",BB41*AO41/24,"")</f>
        <v/>
      </c>
      <c r="BF41" s="22" t="str">
        <f>IF(B41="Julia",BC41*AO41,"")</f>
        <v/>
      </c>
    </row>
    <row r="42" spans="1:58" x14ac:dyDescent="0.25">
      <c r="A42" s="1" t="s">
        <v>64</v>
      </c>
      <c r="B42" s="36" t="s">
        <v>33</v>
      </c>
      <c r="C42" s="36">
        <v>15</v>
      </c>
      <c r="D42" s="36">
        <v>6</v>
      </c>
      <c r="E42" s="37"/>
      <c r="F42" s="11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4"/>
      <c r="AB42" s="20"/>
      <c r="AC42" s="39"/>
      <c r="AD42" s="39"/>
      <c r="AE42" s="39"/>
      <c r="AF42" s="39"/>
      <c r="AG42" s="39"/>
      <c r="AH42" s="39"/>
      <c r="AI42" s="39"/>
      <c r="AJ42" s="39"/>
      <c r="AK42" s="39"/>
      <c r="AL42" s="39"/>
      <c r="AM42" s="39"/>
      <c r="AN42" s="41"/>
      <c r="AO42" s="39">
        <f>AO36+SUM(AF42:AH42,AL42:AM42)-AN42</f>
        <v>1700</v>
      </c>
      <c r="AP42" s="40">
        <f>IFERROR(AH42/AN42,0)</f>
        <v>0</v>
      </c>
      <c r="AQ42" s="40">
        <f>AJ42/AT42</f>
        <v>0</v>
      </c>
      <c r="AR42" s="40">
        <f>AK42/AO42</f>
        <v>0</v>
      </c>
      <c r="AS42" s="21">
        <f>AI42*24</f>
        <v>0</v>
      </c>
      <c r="AT42" s="41">
        <v>1700</v>
      </c>
      <c r="AU42" s="38">
        <v>34</v>
      </c>
      <c r="AV42" s="38">
        <v>7.2</v>
      </c>
      <c r="AW42" s="38">
        <v>50</v>
      </c>
      <c r="AX42" s="39">
        <v>4.0000000000000002E-4</v>
      </c>
      <c r="AY42" s="39">
        <f>AX42*H42*AO42*0.06</f>
        <v>0</v>
      </c>
      <c r="AZ42" s="39">
        <f>AY36*24</f>
        <v>0</v>
      </c>
      <c r="BA42" s="20"/>
      <c r="BB42" s="39"/>
      <c r="BC42" s="39"/>
      <c r="BD42" s="43" t="str">
        <f>IF(B42="Python",BA42*AT42/24,"")</f>
        <v/>
      </c>
      <c r="BE42" s="43" t="str">
        <f>IF(B42="Julia",BB42*AO42/24,"")</f>
        <v/>
      </c>
      <c r="BF42" s="22" t="str">
        <f>IF(B42="Julia",BC42*AO42,"")</f>
        <v/>
      </c>
    </row>
    <row r="43" spans="1:58" x14ac:dyDescent="0.25">
      <c r="A43" s="1" t="s">
        <v>65</v>
      </c>
      <c r="B43" s="36" t="s">
        <v>31</v>
      </c>
      <c r="C43" s="36">
        <v>12</v>
      </c>
      <c r="D43" s="36">
        <v>6</v>
      </c>
      <c r="E43" s="37"/>
      <c r="F43" s="11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4"/>
      <c r="AB43" s="20"/>
      <c r="AC43" s="39"/>
      <c r="AD43" s="39"/>
      <c r="AE43" s="39"/>
      <c r="AF43" s="39"/>
      <c r="AG43" s="39"/>
      <c r="AH43" s="39"/>
      <c r="AI43" s="39"/>
      <c r="AJ43" s="39"/>
      <c r="AK43" s="39"/>
      <c r="AL43" s="39"/>
      <c r="AM43" s="39"/>
      <c r="AN43" s="41"/>
      <c r="AO43" s="39">
        <f>AO37+SUM(AF43:AH43,AL43:AM43)-AN43</f>
        <v>1700</v>
      </c>
      <c r="AP43" s="40">
        <f>IFERROR(AH43/AN43,0)</f>
        <v>0</v>
      </c>
      <c r="AQ43" s="40">
        <f>AJ43/AT43</f>
        <v>0</v>
      </c>
      <c r="AR43" s="40">
        <f>AK43/AO43</f>
        <v>0</v>
      </c>
      <c r="AS43" s="21">
        <f>AI43*24</f>
        <v>0</v>
      </c>
      <c r="AT43" s="41">
        <v>1700</v>
      </c>
      <c r="AU43" s="38">
        <v>34</v>
      </c>
      <c r="AV43" s="38">
        <v>7.2</v>
      </c>
      <c r="AW43" s="38">
        <v>50</v>
      </c>
      <c r="AX43" s="39">
        <v>4.0000000000000002E-4</v>
      </c>
      <c r="AY43" s="39">
        <f>AX43*H43*AO43*0.06</f>
        <v>0</v>
      </c>
      <c r="AZ43" s="39">
        <f>AY37*24</f>
        <v>0</v>
      </c>
      <c r="BA43" s="20"/>
      <c r="BB43" s="39"/>
      <c r="BC43" s="39"/>
      <c r="BD43" s="43" t="str">
        <f>IF(B43="Python",BA43*AT43/24,"")</f>
        <v/>
      </c>
      <c r="BE43" s="43">
        <f>IF(B43="Julia",BB43*AO43/24,"")</f>
        <v>0</v>
      </c>
      <c r="BF43" s="22">
        <f>IF(B43="Julia",BC43*AO43,"")</f>
        <v>0</v>
      </c>
    </row>
    <row r="44" spans="1:58" ht="15.75" thickBot="1" x14ac:dyDescent="0.3">
      <c r="A44" s="6" t="s">
        <v>66</v>
      </c>
      <c r="B44" s="7" t="s">
        <v>31</v>
      </c>
      <c r="C44" s="7">
        <v>12</v>
      </c>
      <c r="D44" s="7">
        <v>6</v>
      </c>
      <c r="E44" s="8"/>
      <c r="F44" s="13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35"/>
      <c r="AB44" s="23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9"/>
      <c r="AO44" s="24">
        <f>AO38+SUM(AF44:AH44,AL44:AM44)-AN44</f>
        <v>1700</v>
      </c>
      <c r="AP44" s="25">
        <f>IFERROR(AH44/AN44,0)</f>
        <v>0</v>
      </c>
      <c r="AQ44" s="25">
        <f>AJ44/AT44</f>
        <v>0</v>
      </c>
      <c r="AR44" s="25">
        <f>AK44/AO44</f>
        <v>0</v>
      </c>
      <c r="AS44" s="26">
        <f>AI44*24</f>
        <v>0</v>
      </c>
      <c r="AT44" s="29">
        <v>1700</v>
      </c>
      <c r="AU44" s="14">
        <v>34</v>
      </c>
      <c r="AV44" s="14">
        <v>7.2</v>
      </c>
      <c r="AW44" s="14">
        <v>50</v>
      </c>
      <c r="AX44" s="24">
        <v>4.0000000000000002E-4</v>
      </c>
      <c r="AY44" s="24">
        <f>AX44*H44*AO44*0.06</f>
        <v>0</v>
      </c>
      <c r="AZ44" s="24">
        <f>AY38*24</f>
        <v>0</v>
      </c>
      <c r="BA44" s="23"/>
      <c r="BB44" s="24"/>
      <c r="BC44" s="24"/>
      <c r="BD44" s="48" t="str">
        <f>IF(B44="Python",BA44*AT44/24,"")</f>
        <v/>
      </c>
      <c r="BE44" s="48">
        <f>IF(B44="Julia",BB44*AO44/24,"")</f>
        <v>0</v>
      </c>
      <c r="BF44" s="27">
        <f>IF(B44="Julia",BC44*AO44,"")</f>
        <v>0</v>
      </c>
    </row>
    <row r="45" spans="1:58" x14ac:dyDescent="0.25">
      <c r="A45" s="3" t="s">
        <v>61</v>
      </c>
      <c r="B45" s="4" t="s">
        <v>33</v>
      </c>
      <c r="C45" s="4">
        <v>12</v>
      </c>
      <c r="D45" s="4">
        <v>7</v>
      </c>
      <c r="E45" s="5"/>
      <c r="F45" s="9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33"/>
      <c r="AB45" s="15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28"/>
      <c r="AO45" s="16" t="e">
        <f>AO39+SUM(AF45:AH45,AL45:AM45)-AN45</f>
        <v>#REF!</v>
      </c>
      <c r="AP45" s="17">
        <f>IFERROR(AH45/AN45,0)</f>
        <v>0</v>
      </c>
      <c r="AQ45" s="17">
        <f>AJ45/AT45</f>
        <v>0</v>
      </c>
      <c r="AR45" s="17" t="e">
        <f>AK45/AO45</f>
        <v>#REF!</v>
      </c>
      <c r="AS45" s="18">
        <f>AI45*24</f>
        <v>0</v>
      </c>
      <c r="AT45" s="28">
        <v>1700</v>
      </c>
      <c r="AU45" s="10">
        <v>34</v>
      </c>
      <c r="AV45" s="10">
        <v>7.2</v>
      </c>
      <c r="AW45" s="10">
        <v>50</v>
      </c>
      <c r="AX45" s="16">
        <v>4.0000000000000002E-4</v>
      </c>
      <c r="AY45" s="16" t="e">
        <f>AX45*H45*AO45*0.06</f>
        <v>#REF!</v>
      </c>
      <c r="AZ45" s="16" t="e">
        <f>AY39*24</f>
        <v>#REF!</v>
      </c>
      <c r="BA45" s="15"/>
      <c r="BB45" s="16"/>
      <c r="BC45" s="16"/>
      <c r="BD45" s="47" t="str">
        <f>IF(B45="Python",BA45*AT45/24,"")</f>
        <v/>
      </c>
      <c r="BE45" s="47" t="str">
        <f>IF(B45="Julia",BB45*AO45/24,"")</f>
        <v/>
      </c>
      <c r="BF45" s="19" t="str">
        <f>IF(B45="Julia",BC45*AO45,"")</f>
        <v/>
      </c>
    </row>
    <row r="46" spans="1:58" x14ac:dyDescent="0.25">
      <c r="A46" s="1" t="s">
        <v>62</v>
      </c>
      <c r="B46" s="36" t="s">
        <v>32</v>
      </c>
      <c r="C46" s="36">
        <v>12</v>
      </c>
      <c r="D46" s="36">
        <v>7</v>
      </c>
      <c r="E46" s="37"/>
      <c r="F46" s="11"/>
      <c r="G46" s="38"/>
      <c r="H46" s="38"/>
      <c r="I46" s="38">
        <v>19.93</v>
      </c>
      <c r="J46" s="38">
        <v>90.32</v>
      </c>
      <c r="K46" s="38"/>
      <c r="L46" s="38">
        <v>336</v>
      </c>
      <c r="M46" s="38"/>
      <c r="N46" s="38"/>
      <c r="O46" s="38"/>
      <c r="P46" s="38"/>
      <c r="Q46" s="38"/>
      <c r="R46" s="38">
        <v>1.75</v>
      </c>
      <c r="S46" s="38"/>
      <c r="T46" s="38"/>
      <c r="U46" s="38"/>
      <c r="V46" s="38"/>
      <c r="W46" s="38"/>
      <c r="X46" s="38"/>
      <c r="Y46" s="38"/>
      <c r="Z46" s="38"/>
      <c r="AA46" s="34"/>
      <c r="AB46" s="20"/>
      <c r="AC46" s="39"/>
      <c r="AD46" s="39"/>
      <c r="AE46" s="39"/>
      <c r="AF46" s="39"/>
      <c r="AG46" s="39"/>
      <c r="AH46" s="39"/>
      <c r="AI46" s="39"/>
      <c r="AJ46" s="39"/>
      <c r="AK46" s="39"/>
      <c r="AL46" s="39"/>
      <c r="AM46" s="39"/>
      <c r="AN46" s="41"/>
      <c r="AO46" s="39">
        <f>AO40+SUM(AF46:AH46,AL46:AM46)-AN46</f>
        <v>1700</v>
      </c>
      <c r="AP46" s="40">
        <v>6.1926441999999998E-2</v>
      </c>
      <c r="AQ46" s="40">
        <f>AJ46/AT46</f>
        <v>0</v>
      </c>
      <c r="AR46" s="40">
        <f>AK46/AO46</f>
        <v>0</v>
      </c>
      <c r="AS46" s="21">
        <f>AI46*24</f>
        <v>0</v>
      </c>
      <c r="AT46" s="41">
        <v>1700</v>
      </c>
      <c r="AU46" s="38">
        <v>34</v>
      </c>
      <c r="AV46" s="38">
        <v>7.2</v>
      </c>
      <c r="AW46" s="38">
        <v>50</v>
      </c>
      <c r="AX46" s="39">
        <v>4.0000000000000002E-4</v>
      </c>
      <c r="AY46" s="39">
        <f>AX46*H46*AO46*0.06</f>
        <v>0</v>
      </c>
      <c r="AZ46" s="39">
        <f>AY40*24</f>
        <v>0</v>
      </c>
      <c r="BA46" s="20"/>
      <c r="BB46" s="39"/>
      <c r="BC46" s="39"/>
      <c r="BD46" s="43">
        <f>IF(B46="Python",BA46*AT46/24,"")</f>
        <v>0</v>
      </c>
      <c r="BE46" s="43" t="str">
        <f>IF(B46="Julia",BB46*AO46/24,"")</f>
        <v/>
      </c>
      <c r="BF46" s="22" t="str">
        <f>IF(B46="Julia",BC46*AO46,"")</f>
        <v/>
      </c>
    </row>
    <row r="47" spans="1:58" x14ac:dyDescent="0.25">
      <c r="A47" s="1" t="s">
        <v>63</v>
      </c>
      <c r="B47" s="36" t="s">
        <v>32</v>
      </c>
      <c r="C47" s="36">
        <v>12</v>
      </c>
      <c r="D47" s="36">
        <v>7</v>
      </c>
      <c r="E47" s="37"/>
      <c r="F47" s="11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4"/>
      <c r="AB47" s="20"/>
      <c r="AC47" s="39"/>
      <c r="AD47" s="39"/>
      <c r="AE47" s="39"/>
      <c r="AF47" s="39"/>
      <c r="AG47" s="39"/>
      <c r="AH47" s="39"/>
      <c r="AI47" s="39"/>
      <c r="AJ47" s="39"/>
      <c r="AK47" s="39"/>
      <c r="AL47" s="39"/>
      <c r="AM47" s="39"/>
      <c r="AN47" s="41"/>
      <c r="AO47" s="39">
        <f>AO41+SUM(AF47:AH47,AL47:AM47)-AN47</f>
        <v>1700</v>
      </c>
      <c r="AP47" s="40">
        <f>IFERROR(AH47/AN47,0)</f>
        <v>0</v>
      </c>
      <c r="AQ47" s="40">
        <f>AJ47/AT47</f>
        <v>0</v>
      </c>
      <c r="AR47" s="40">
        <f>AK47/AO47</f>
        <v>0</v>
      </c>
      <c r="AS47" s="21">
        <f>AI47*24</f>
        <v>0</v>
      </c>
      <c r="AT47" s="41">
        <v>1700</v>
      </c>
      <c r="AU47" s="38">
        <v>34</v>
      </c>
      <c r="AV47" s="38">
        <v>7.2</v>
      </c>
      <c r="AW47" s="38">
        <v>50</v>
      </c>
      <c r="AX47" s="39">
        <v>4.0000000000000002E-4</v>
      </c>
      <c r="AY47" s="39">
        <f>AX47*H47*AO47*0.06</f>
        <v>0</v>
      </c>
      <c r="AZ47" s="39">
        <f>AY41*24</f>
        <v>0</v>
      </c>
      <c r="BA47" s="20"/>
      <c r="BB47" s="39"/>
      <c r="BC47" s="39"/>
      <c r="BD47" s="43">
        <f>IF(B47="Python",BA47*AT47/24,"")</f>
        <v>0</v>
      </c>
      <c r="BE47" s="43" t="str">
        <f>IF(B47="Julia",BB47*AO47/24,"")</f>
        <v/>
      </c>
      <c r="BF47" s="22" t="str">
        <f>IF(B47="Julia",BC47*AO47,"")</f>
        <v/>
      </c>
    </row>
    <row r="48" spans="1:58" x14ac:dyDescent="0.25">
      <c r="A48" s="1" t="s">
        <v>64</v>
      </c>
      <c r="B48" s="36" t="s">
        <v>33</v>
      </c>
      <c r="C48" s="36">
        <v>15</v>
      </c>
      <c r="D48" s="36">
        <v>7</v>
      </c>
      <c r="E48" s="37"/>
      <c r="F48" s="11"/>
      <c r="G48" s="38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4"/>
      <c r="AB48" s="20"/>
      <c r="AC48" s="39"/>
      <c r="AD48" s="39"/>
      <c r="AE48" s="39"/>
      <c r="AF48" s="39"/>
      <c r="AG48" s="39"/>
      <c r="AH48" s="39"/>
      <c r="AI48" s="39"/>
      <c r="AJ48" s="39"/>
      <c r="AK48" s="39"/>
      <c r="AL48" s="39"/>
      <c r="AM48" s="39"/>
      <c r="AN48" s="41"/>
      <c r="AO48" s="39">
        <f>AO42+SUM(AF48:AH48,AL48:AM48)-AN48</f>
        <v>1700</v>
      </c>
      <c r="AP48" s="40">
        <f>IFERROR(AH48/AN48,0)</f>
        <v>0</v>
      </c>
      <c r="AQ48" s="40">
        <f>AJ48/AT48</f>
        <v>0</v>
      </c>
      <c r="AR48" s="40">
        <f>AK48/AO48</f>
        <v>0</v>
      </c>
      <c r="AS48" s="21">
        <f>AI48*24</f>
        <v>0</v>
      </c>
      <c r="AT48" s="41">
        <v>1700</v>
      </c>
      <c r="AU48" s="38">
        <v>34</v>
      </c>
      <c r="AV48" s="38">
        <v>7.2</v>
      </c>
      <c r="AW48" s="38">
        <v>50</v>
      </c>
      <c r="AX48" s="39">
        <v>4.0000000000000002E-4</v>
      </c>
      <c r="AY48" s="39">
        <f>AX48*H48*AO48*0.06</f>
        <v>0</v>
      </c>
      <c r="AZ48" s="39">
        <f>AY42*24</f>
        <v>0</v>
      </c>
      <c r="BA48" s="20"/>
      <c r="BB48" s="39"/>
      <c r="BC48" s="39"/>
      <c r="BD48" s="43" t="str">
        <f>IF(B48="Python",BA48*AT48/24,"")</f>
        <v/>
      </c>
      <c r="BE48" s="43" t="str">
        <f>IF(B48="Julia",BB48*AO48/24,"")</f>
        <v/>
      </c>
      <c r="BF48" s="22" t="str">
        <f>IF(B48="Julia",BC48*AO48,"")</f>
        <v/>
      </c>
    </row>
    <row r="49" spans="1:58" x14ac:dyDescent="0.25">
      <c r="A49" s="1" t="s">
        <v>65</v>
      </c>
      <c r="B49" s="36" t="s">
        <v>31</v>
      </c>
      <c r="C49" s="36">
        <v>12</v>
      </c>
      <c r="D49" s="36">
        <v>7</v>
      </c>
      <c r="E49" s="37"/>
      <c r="F49" s="11"/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4"/>
      <c r="AB49" s="20"/>
      <c r="AC49" s="39"/>
      <c r="AD49" s="39"/>
      <c r="AE49" s="39"/>
      <c r="AF49" s="39"/>
      <c r="AG49" s="39"/>
      <c r="AH49" s="39"/>
      <c r="AI49" s="39"/>
      <c r="AJ49" s="39"/>
      <c r="AK49" s="39"/>
      <c r="AL49" s="39"/>
      <c r="AM49" s="39"/>
      <c r="AN49" s="41"/>
      <c r="AO49" s="39">
        <f>AO43+SUM(AF49:AH49,AL49:AM49)-AN49</f>
        <v>1700</v>
      </c>
      <c r="AP49" s="40">
        <f>IFERROR(AH49/AN49,0)</f>
        <v>0</v>
      </c>
      <c r="AQ49" s="40">
        <f>AJ49/AT49</f>
        <v>0</v>
      </c>
      <c r="AR49" s="40">
        <f>AK49/AO49</f>
        <v>0</v>
      </c>
      <c r="AS49" s="21">
        <f>AI49*24</f>
        <v>0</v>
      </c>
      <c r="AT49" s="41">
        <v>1700</v>
      </c>
      <c r="AU49" s="38">
        <v>34</v>
      </c>
      <c r="AV49" s="38">
        <v>7.2</v>
      </c>
      <c r="AW49" s="38">
        <v>50</v>
      </c>
      <c r="AX49" s="39">
        <v>4.0000000000000002E-4</v>
      </c>
      <c r="AY49" s="39">
        <f>AX49*H49*AO49*0.06</f>
        <v>0</v>
      </c>
      <c r="AZ49" s="39">
        <f>AY43*24</f>
        <v>0</v>
      </c>
      <c r="BA49" s="20"/>
      <c r="BB49" s="39"/>
      <c r="BC49" s="39"/>
      <c r="BD49" s="43" t="str">
        <f>IF(B49="Python",BA49*AT49/24,"")</f>
        <v/>
      </c>
      <c r="BE49" s="43">
        <f>IF(B49="Julia",BB49*AO49/24,"")</f>
        <v>0</v>
      </c>
      <c r="BF49" s="22">
        <f>IF(B49="Julia",BC49*AO49,"")</f>
        <v>0</v>
      </c>
    </row>
    <row r="50" spans="1:58" ht="15.75" thickBot="1" x14ac:dyDescent="0.3">
      <c r="A50" s="6" t="s">
        <v>66</v>
      </c>
      <c r="B50" s="7" t="s">
        <v>31</v>
      </c>
      <c r="C50" s="7">
        <v>12</v>
      </c>
      <c r="D50" s="7">
        <v>7</v>
      </c>
      <c r="E50" s="8"/>
      <c r="F50" s="13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35"/>
      <c r="AB50" s="23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9"/>
      <c r="AO50" s="24">
        <f>AO44+SUM(AF50:AH50,AL50:AM50)-AN50</f>
        <v>1700</v>
      </c>
      <c r="AP50" s="25">
        <f>IFERROR(AH50/AN50,0)</f>
        <v>0</v>
      </c>
      <c r="AQ50" s="25">
        <f>AJ50/AT50</f>
        <v>0</v>
      </c>
      <c r="AR50" s="25">
        <f>AK50/AO50</f>
        <v>0</v>
      </c>
      <c r="AS50" s="26">
        <f>AI50*24</f>
        <v>0</v>
      </c>
      <c r="AT50" s="29">
        <v>1700</v>
      </c>
      <c r="AU50" s="14">
        <v>34</v>
      </c>
      <c r="AV50" s="14">
        <v>7.2</v>
      </c>
      <c r="AW50" s="14">
        <v>50</v>
      </c>
      <c r="AX50" s="24">
        <v>4.0000000000000002E-4</v>
      </c>
      <c r="AY50" s="24">
        <f>AX50*H50*AO50*0.06</f>
        <v>0</v>
      </c>
      <c r="AZ50" s="24">
        <f>AY44*24</f>
        <v>0</v>
      </c>
      <c r="BA50" s="23"/>
      <c r="BB50" s="24"/>
      <c r="BC50" s="24"/>
      <c r="BD50" s="48" t="str">
        <f>IF(B50="Python",BA50*AT50/24,"")</f>
        <v/>
      </c>
      <c r="BE50" s="48">
        <f>IF(B50="Julia",BB50*AO50/24,"")</f>
        <v>0</v>
      </c>
      <c r="BF50" s="27">
        <f>IF(B50="Julia",BC50*AO50,"")</f>
        <v>0</v>
      </c>
    </row>
    <row r="51" spans="1:58" x14ac:dyDescent="0.25">
      <c r="A51" s="3" t="s">
        <v>61</v>
      </c>
      <c r="B51" s="4" t="s">
        <v>33</v>
      </c>
      <c r="C51" s="4">
        <v>12</v>
      </c>
      <c r="D51" s="4">
        <v>8</v>
      </c>
      <c r="E51" s="5"/>
      <c r="F51" s="9"/>
      <c r="G51" s="10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31"/>
      <c r="AB51" s="3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28"/>
      <c r="AO51" s="16" t="e">
        <f>AO45+SUM(AF51:AH51,AL51:AM51)-AN51</f>
        <v>#REF!</v>
      </c>
      <c r="AP51" s="17">
        <f>IFERROR(AH51/AN51,0)</f>
        <v>0</v>
      </c>
      <c r="AQ51" s="17">
        <f>AJ51/AT51</f>
        <v>0</v>
      </c>
      <c r="AR51" s="17" t="e">
        <f>AK51/AO51</f>
        <v>#REF!</v>
      </c>
      <c r="AS51" s="18">
        <f>AI51*24</f>
        <v>0</v>
      </c>
      <c r="AT51" s="4">
        <v>1700</v>
      </c>
      <c r="AU51" s="4">
        <v>34</v>
      </c>
      <c r="AV51" s="4">
        <v>7.2</v>
      </c>
      <c r="AW51" s="4">
        <v>50</v>
      </c>
      <c r="AX51" s="16">
        <v>4.0000000000000002E-4</v>
      </c>
      <c r="AY51" s="16" t="e">
        <f>AX51*H51*AO51*0.06</f>
        <v>#REF!</v>
      </c>
      <c r="AZ51" s="16" t="e">
        <f>AY45*24</f>
        <v>#REF!</v>
      </c>
      <c r="BA51" s="15"/>
      <c r="BB51" s="16"/>
      <c r="BC51" s="16"/>
      <c r="BD51" s="47" t="str">
        <f>IF(B51="Python",BA51*AT51/24,"")</f>
        <v/>
      </c>
      <c r="BE51" s="47" t="str">
        <f>IF(B51="Julia",BB51*AO51/24,"")</f>
        <v/>
      </c>
      <c r="BF51" s="19" t="str">
        <f>IF(B51="Julia",BC51*AO51,"")</f>
        <v/>
      </c>
    </row>
    <row r="52" spans="1:58" x14ac:dyDescent="0.25">
      <c r="A52" s="1" t="s">
        <v>62</v>
      </c>
      <c r="B52" s="36" t="s">
        <v>32</v>
      </c>
      <c r="C52" s="36">
        <v>12</v>
      </c>
      <c r="D52" s="36">
        <v>8</v>
      </c>
      <c r="E52" s="37"/>
      <c r="F52" s="11"/>
      <c r="G52" s="38">
        <v>4467.8999999999996</v>
      </c>
      <c r="I52" s="36">
        <v>18.71</v>
      </c>
      <c r="J52" s="36">
        <v>86.96</v>
      </c>
      <c r="R52" s="36">
        <v>1.4</v>
      </c>
      <c r="AA52" s="2"/>
      <c r="AB52" s="1"/>
      <c r="AN52" s="41"/>
      <c r="AO52" s="39">
        <f>AO46+SUM(AF52:AH52,AL52:AM52)-AN52</f>
        <v>1700</v>
      </c>
      <c r="AP52" s="40">
        <v>7.3361027999999995E-2</v>
      </c>
      <c r="AQ52" s="40">
        <f>AJ52/AT52</f>
        <v>0</v>
      </c>
      <c r="AR52" s="40">
        <f>AK52/AO52</f>
        <v>0</v>
      </c>
      <c r="AS52" s="21">
        <f>AI52*24</f>
        <v>0</v>
      </c>
      <c r="AT52" s="36">
        <v>1700</v>
      </c>
      <c r="AU52" s="36">
        <v>34</v>
      </c>
      <c r="AV52" s="36">
        <v>7.2</v>
      </c>
      <c r="AW52" s="36">
        <v>50</v>
      </c>
      <c r="AX52" s="39">
        <v>4.0000000000000002E-4</v>
      </c>
      <c r="AY52" s="39">
        <f>AX52*H52*AO52*0.06</f>
        <v>0</v>
      </c>
      <c r="AZ52" s="39">
        <f>AY46*24</f>
        <v>0</v>
      </c>
      <c r="BA52" s="20"/>
      <c r="BB52" s="39"/>
      <c r="BC52" s="39"/>
      <c r="BD52" s="43">
        <f>IF(B52="Python",BA52*AT52/24,"")</f>
        <v>0</v>
      </c>
      <c r="BE52" s="43" t="str">
        <f>IF(B52="Julia",BB52*AO52/24,"")</f>
        <v/>
      </c>
      <c r="BF52" s="22" t="str">
        <f>IF(B52="Julia",BC52*AO52,"")</f>
        <v/>
      </c>
    </row>
    <row r="53" spans="1:58" x14ac:dyDescent="0.25">
      <c r="A53" s="1" t="s">
        <v>63</v>
      </c>
      <c r="B53" s="36" t="s">
        <v>32</v>
      </c>
      <c r="C53" s="36">
        <v>12</v>
      </c>
      <c r="D53" s="36">
        <v>8</v>
      </c>
      <c r="E53" s="37"/>
      <c r="F53" s="11"/>
      <c r="G53" s="38"/>
      <c r="AA53" s="2"/>
      <c r="AB53" s="1"/>
      <c r="AN53" s="41"/>
      <c r="AO53" s="39">
        <f>AO47+SUM(AF53:AH53,AL53:AM53)-AN53</f>
        <v>1700</v>
      </c>
      <c r="AP53" s="40">
        <f>IFERROR(AH53/AN53,0)</f>
        <v>0</v>
      </c>
      <c r="AQ53" s="40">
        <f>AJ53/AT53</f>
        <v>0</v>
      </c>
      <c r="AR53" s="40">
        <f>AK53/AO53</f>
        <v>0</v>
      </c>
      <c r="AS53" s="21">
        <f>AI53*24</f>
        <v>0</v>
      </c>
      <c r="AT53" s="36">
        <v>1700</v>
      </c>
      <c r="AU53" s="36">
        <v>34</v>
      </c>
      <c r="AV53" s="36">
        <v>7.2</v>
      </c>
      <c r="AW53" s="36">
        <v>50</v>
      </c>
      <c r="AX53" s="39">
        <v>4.0000000000000002E-4</v>
      </c>
      <c r="AY53" s="39">
        <f>AX53*H53*AO53*0.06</f>
        <v>0</v>
      </c>
      <c r="AZ53" s="39">
        <f>AY47*24</f>
        <v>0</v>
      </c>
      <c r="BA53" s="20"/>
      <c r="BB53" s="39"/>
      <c r="BC53" s="39"/>
      <c r="BD53" s="43">
        <f>IF(B53="Python",BA53*AT53/24,"")</f>
        <v>0</v>
      </c>
      <c r="BE53" s="43" t="str">
        <f>IF(B53="Julia",BB53*AO53/24,"")</f>
        <v/>
      </c>
      <c r="BF53" s="22" t="str">
        <f>IF(B53="Julia",BC53*AO53,"")</f>
        <v/>
      </c>
    </row>
    <row r="54" spans="1:58" x14ac:dyDescent="0.25">
      <c r="A54" s="1" t="s">
        <v>64</v>
      </c>
      <c r="B54" s="36" t="s">
        <v>33</v>
      </c>
      <c r="C54" s="36">
        <v>15</v>
      </c>
      <c r="D54" s="36">
        <v>8</v>
      </c>
      <c r="E54" s="37"/>
      <c r="F54" s="11"/>
      <c r="G54" s="38"/>
      <c r="AA54" s="2"/>
      <c r="AB54" s="1"/>
      <c r="AN54" s="41"/>
      <c r="AO54" s="39">
        <f>AO48+SUM(AF54:AH54,AL54:AM54)-AN54</f>
        <v>1700</v>
      </c>
      <c r="AP54" s="40">
        <f>IFERROR(AH54/AN54,0)</f>
        <v>0</v>
      </c>
      <c r="AQ54" s="40">
        <f>AJ54/AT54</f>
        <v>0</v>
      </c>
      <c r="AR54" s="40">
        <f>AK54/AO54</f>
        <v>0</v>
      </c>
      <c r="AS54" s="21">
        <f>AI54*24</f>
        <v>0</v>
      </c>
      <c r="AT54" s="36">
        <v>1700</v>
      </c>
      <c r="AU54" s="36">
        <v>34</v>
      </c>
      <c r="AV54" s="36">
        <v>7.2</v>
      </c>
      <c r="AW54" s="36">
        <v>50</v>
      </c>
      <c r="AX54" s="39">
        <v>4.0000000000000002E-4</v>
      </c>
      <c r="AY54" s="39">
        <f>AX54*H54*AO54*0.06</f>
        <v>0</v>
      </c>
      <c r="AZ54" s="39">
        <f>AY48*24</f>
        <v>0</v>
      </c>
      <c r="BA54" s="20"/>
      <c r="BB54" s="39"/>
      <c r="BC54" s="39"/>
      <c r="BD54" s="43" t="str">
        <f>IF(B54="Python",BA54*AT54/24,"")</f>
        <v/>
      </c>
      <c r="BE54" s="43" t="str">
        <f>IF(B54="Julia",BB54*AO54/24,"")</f>
        <v/>
      </c>
      <c r="BF54" s="22" t="str">
        <f>IF(B54="Julia",BC54*AO54,"")</f>
        <v/>
      </c>
    </row>
    <row r="55" spans="1:58" x14ac:dyDescent="0.25">
      <c r="A55" s="1" t="s">
        <v>65</v>
      </c>
      <c r="B55" s="36" t="s">
        <v>31</v>
      </c>
      <c r="C55" s="36">
        <v>12</v>
      </c>
      <c r="D55" s="36">
        <v>8</v>
      </c>
      <c r="E55" s="37"/>
      <c r="F55" s="11"/>
      <c r="G55" s="38"/>
      <c r="AA55" s="2"/>
      <c r="AB55" s="1"/>
      <c r="AN55" s="41"/>
      <c r="AO55" s="39">
        <f>AO49+SUM(AF55:AH55,AL55:AM55)-AN55</f>
        <v>1700</v>
      </c>
      <c r="AP55" s="40">
        <f>IFERROR(AH55/AN55,0)</f>
        <v>0</v>
      </c>
      <c r="AQ55" s="40">
        <f>AJ55/AT55</f>
        <v>0</v>
      </c>
      <c r="AR55" s="40">
        <f>AK55/AO55</f>
        <v>0</v>
      </c>
      <c r="AS55" s="21">
        <f>AI55*24</f>
        <v>0</v>
      </c>
      <c r="AT55" s="36">
        <v>1700</v>
      </c>
      <c r="AU55" s="36">
        <v>34</v>
      </c>
      <c r="AV55" s="36">
        <v>7.2</v>
      </c>
      <c r="AW55" s="36">
        <v>50</v>
      </c>
      <c r="AX55" s="39">
        <v>4.0000000000000002E-4</v>
      </c>
      <c r="AY55" s="39">
        <f>AX55*H55*AO55*0.06</f>
        <v>0</v>
      </c>
      <c r="AZ55" s="39">
        <f>AY49*24</f>
        <v>0</v>
      </c>
      <c r="BA55" s="20"/>
      <c r="BB55" s="39"/>
      <c r="BC55" s="39"/>
      <c r="BD55" s="43" t="str">
        <f>IF(B55="Python",BA55*AT55/24,"")</f>
        <v/>
      </c>
      <c r="BE55" s="43">
        <f>IF(B55="Julia",BB55*AO55/24,"")</f>
        <v>0</v>
      </c>
      <c r="BF55" s="22">
        <f>IF(B55="Julia",BC55*AO55,"")</f>
        <v>0</v>
      </c>
    </row>
    <row r="56" spans="1:58" ht="15.75" thickBot="1" x14ac:dyDescent="0.3">
      <c r="A56" s="6" t="s">
        <v>66</v>
      </c>
      <c r="B56" s="7" t="s">
        <v>31</v>
      </c>
      <c r="C56" s="7">
        <v>12</v>
      </c>
      <c r="D56" s="7">
        <v>8</v>
      </c>
      <c r="E56" s="8"/>
      <c r="F56" s="13"/>
      <c r="G56" s="14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32"/>
      <c r="AB56" s="6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29"/>
      <c r="AO56" s="24">
        <f>AO50+SUM(AF56:AH56,AL56:AM56)-AN56</f>
        <v>1700</v>
      </c>
      <c r="AP56" s="25">
        <f>IFERROR(AH56/AN56,0)</f>
        <v>0</v>
      </c>
      <c r="AQ56" s="25">
        <f>AJ56/AT56</f>
        <v>0</v>
      </c>
      <c r="AR56" s="25">
        <f>AK56/AO56</f>
        <v>0</v>
      </c>
      <c r="AS56" s="26">
        <f>AI56*24</f>
        <v>0</v>
      </c>
      <c r="AT56" s="7">
        <v>1700</v>
      </c>
      <c r="AU56" s="7">
        <v>34</v>
      </c>
      <c r="AV56" s="7">
        <v>7.2</v>
      </c>
      <c r="AW56" s="7">
        <v>50</v>
      </c>
      <c r="AX56" s="24">
        <v>4.0000000000000002E-4</v>
      </c>
      <c r="AY56" s="24">
        <f>AX56*H56*AO56*0.06</f>
        <v>0</v>
      </c>
      <c r="AZ56" s="24">
        <f>AY50*24</f>
        <v>0</v>
      </c>
      <c r="BA56" s="23"/>
      <c r="BB56" s="24"/>
      <c r="BC56" s="24"/>
      <c r="BD56" s="48" t="str">
        <f>IF(B56="Python",BA56*AT56/24,"")</f>
        <v/>
      </c>
      <c r="BE56" s="48">
        <f>IF(B56="Julia",BB56*AO56/24,"")</f>
        <v>0</v>
      </c>
      <c r="BF56" s="27">
        <f>IF(B56="Julia",BC56*AO56,"")</f>
        <v>0</v>
      </c>
    </row>
    <row r="57" spans="1:58" x14ac:dyDescent="0.25">
      <c r="A57" s="3" t="s">
        <v>61</v>
      </c>
      <c r="B57" s="4" t="s">
        <v>33</v>
      </c>
      <c r="C57" s="4">
        <v>12</v>
      </c>
      <c r="D57" s="4">
        <v>9</v>
      </c>
      <c r="E57" s="5"/>
      <c r="F57" s="9"/>
      <c r="G57" s="10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31"/>
      <c r="AB57" s="3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28"/>
      <c r="AO57" s="16" t="e">
        <f>AO51+SUM(AF57:AH57,AL57:AM57)-AN57</f>
        <v>#REF!</v>
      </c>
      <c r="AP57" s="17">
        <f>IFERROR(AH57/AN57,0)</f>
        <v>0</v>
      </c>
      <c r="AQ57" s="17">
        <f>AJ57/AT57</f>
        <v>0</v>
      </c>
      <c r="AR57" s="17" t="e">
        <f>AK57/AO57</f>
        <v>#REF!</v>
      </c>
      <c r="AS57" s="18">
        <f>AI57*24</f>
        <v>0</v>
      </c>
      <c r="AT57" s="4">
        <v>1700</v>
      </c>
      <c r="AU57" s="4">
        <v>34</v>
      </c>
      <c r="AV57" s="4">
        <v>7.2</v>
      </c>
      <c r="AW57" s="4">
        <v>50</v>
      </c>
      <c r="AX57" s="16">
        <v>4.0000000000000002E-4</v>
      </c>
      <c r="AY57" s="16" t="e">
        <f>AX57*H57*AO57*0.06</f>
        <v>#REF!</v>
      </c>
      <c r="AZ57" s="16" t="e">
        <f>AY51*24</f>
        <v>#REF!</v>
      </c>
      <c r="BA57" s="15"/>
      <c r="BB57" s="16"/>
      <c r="BC57" s="16"/>
      <c r="BD57" s="47" t="str">
        <f>IF(B57="Python",BA57*AT57/24,"")</f>
        <v/>
      </c>
      <c r="BE57" s="47" t="str">
        <f>IF(B57="Julia",BB57*AO57/24,"")</f>
        <v/>
      </c>
      <c r="BF57" s="19" t="str">
        <f>IF(B57="Julia",BC57*AO57,"")</f>
        <v/>
      </c>
    </row>
    <row r="58" spans="1:58" x14ac:dyDescent="0.25">
      <c r="A58" s="1" t="s">
        <v>62</v>
      </c>
      <c r="B58" s="36" t="s">
        <v>32</v>
      </c>
      <c r="C58" s="36">
        <v>12</v>
      </c>
      <c r="D58" s="36">
        <v>9</v>
      </c>
      <c r="E58" s="37"/>
      <c r="F58" s="11"/>
      <c r="G58" s="38"/>
      <c r="AA58" s="2"/>
      <c r="AB58" s="1"/>
      <c r="AN58" s="41"/>
      <c r="AO58" s="39">
        <f>AO52+SUM(AF58:AH58,AL58:AM58)-AN58</f>
        <v>1700</v>
      </c>
      <c r="AP58" s="40">
        <v>8.4173724000000005E-2</v>
      </c>
      <c r="AQ58" s="40">
        <f>AJ58/AT58</f>
        <v>0</v>
      </c>
      <c r="AR58" s="40">
        <f>AK58/AO58</f>
        <v>0</v>
      </c>
      <c r="AS58" s="21">
        <f>AI58*24</f>
        <v>0</v>
      </c>
      <c r="AT58" s="36">
        <v>1700</v>
      </c>
      <c r="AU58" s="36">
        <v>34</v>
      </c>
      <c r="AV58" s="36">
        <v>7.2</v>
      </c>
      <c r="AW58" s="36">
        <v>50</v>
      </c>
      <c r="AX58" s="39">
        <v>4.0000000000000002E-4</v>
      </c>
      <c r="AY58" s="39">
        <f>AX58*H58*AO58*0.06</f>
        <v>0</v>
      </c>
      <c r="AZ58" s="39">
        <f>AY52*24</f>
        <v>0</v>
      </c>
      <c r="BA58" s="20"/>
      <c r="BB58" s="39"/>
      <c r="BC58" s="39"/>
      <c r="BD58" s="43">
        <f>IF(B58="Python",BA58*AT58/24,"")</f>
        <v>0</v>
      </c>
      <c r="BE58" s="43" t="str">
        <f>IF(B58="Julia",BB58*AO58/24,"")</f>
        <v/>
      </c>
      <c r="BF58" s="22" t="str">
        <f>IF(B58="Julia",BC58*AO58,"")</f>
        <v/>
      </c>
    </row>
    <row r="59" spans="1:58" x14ac:dyDescent="0.25">
      <c r="A59" s="1" t="s">
        <v>63</v>
      </c>
      <c r="B59" s="36" t="s">
        <v>32</v>
      </c>
      <c r="C59" s="36">
        <v>12</v>
      </c>
      <c r="D59" s="36">
        <v>9</v>
      </c>
      <c r="E59" s="37"/>
      <c r="F59" s="11"/>
      <c r="G59" s="38"/>
      <c r="AA59" s="2"/>
      <c r="AB59" s="1"/>
      <c r="AN59" s="41"/>
      <c r="AO59" s="39">
        <f>AO53+SUM(AF59:AH59,AL59:AM59)-AN59</f>
        <v>1700</v>
      </c>
      <c r="AP59" s="40">
        <f>IFERROR(AH59/AN59,0)</f>
        <v>0</v>
      </c>
      <c r="AQ59" s="40">
        <f>AJ59/AT59</f>
        <v>0</v>
      </c>
      <c r="AR59" s="40">
        <f>AK59/AO59</f>
        <v>0</v>
      </c>
      <c r="AS59" s="21">
        <f>AI59*24</f>
        <v>0</v>
      </c>
      <c r="AT59" s="36">
        <v>1700</v>
      </c>
      <c r="AU59" s="36">
        <v>34</v>
      </c>
      <c r="AV59" s="36">
        <v>7.2</v>
      </c>
      <c r="AW59" s="36">
        <v>50</v>
      </c>
      <c r="AX59" s="39">
        <v>4.0000000000000002E-4</v>
      </c>
      <c r="AY59" s="39">
        <f>AX59*H59*AO59*0.06</f>
        <v>0</v>
      </c>
      <c r="AZ59" s="39">
        <f>AY53*24</f>
        <v>0</v>
      </c>
      <c r="BA59" s="20"/>
      <c r="BB59" s="39"/>
      <c r="BC59" s="39"/>
      <c r="BD59" s="43">
        <f>IF(B59="Python",BA59*AT59/24,"")</f>
        <v>0</v>
      </c>
      <c r="BE59" s="43" t="str">
        <f>IF(B59="Julia",BB59*AO59/24,"")</f>
        <v/>
      </c>
      <c r="BF59" s="22" t="str">
        <f>IF(B59="Julia",BC59*AO59,"")</f>
        <v/>
      </c>
    </row>
    <row r="60" spans="1:58" x14ac:dyDescent="0.25">
      <c r="A60" s="1" t="s">
        <v>64</v>
      </c>
      <c r="B60" s="36" t="s">
        <v>33</v>
      </c>
      <c r="C60" s="36">
        <v>15</v>
      </c>
      <c r="D60" s="36">
        <v>9</v>
      </c>
      <c r="E60" s="37"/>
      <c r="F60" s="11"/>
      <c r="G60" s="38"/>
      <c r="AA60" s="2"/>
      <c r="AB60" s="1"/>
      <c r="AN60" s="41"/>
      <c r="AO60" s="39">
        <f>AO54+SUM(AF60:AH60,AL60:AM60)-AN60</f>
        <v>1700</v>
      </c>
      <c r="AP60" s="40">
        <f>IFERROR(AH60/AN60,0)</f>
        <v>0</v>
      </c>
      <c r="AQ60" s="40">
        <f>AJ60/AT60</f>
        <v>0</v>
      </c>
      <c r="AR60" s="40">
        <f>AK60/AO60</f>
        <v>0</v>
      </c>
      <c r="AS60" s="21">
        <f>AI60*24</f>
        <v>0</v>
      </c>
      <c r="AT60" s="36">
        <v>1700</v>
      </c>
      <c r="AU60" s="36">
        <v>34</v>
      </c>
      <c r="AV60" s="36">
        <v>7.2</v>
      </c>
      <c r="AW60" s="36">
        <v>50</v>
      </c>
      <c r="AX60" s="39">
        <v>4.0000000000000002E-4</v>
      </c>
      <c r="AY60" s="39">
        <f>AX60*H60*AO60*0.06</f>
        <v>0</v>
      </c>
      <c r="AZ60" s="39">
        <f>AY54*24</f>
        <v>0</v>
      </c>
      <c r="BA60" s="20"/>
      <c r="BB60" s="39"/>
      <c r="BC60" s="39"/>
      <c r="BD60" s="43" t="str">
        <f>IF(B60="Python",BA60*AT60/24,"")</f>
        <v/>
      </c>
      <c r="BE60" s="43" t="str">
        <f>IF(B60="Julia",BB60*AO60/24,"")</f>
        <v/>
      </c>
      <c r="BF60" s="22" t="str">
        <f>IF(B60="Julia",BC60*AO60,"")</f>
        <v/>
      </c>
    </row>
    <row r="61" spans="1:58" x14ac:dyDescent="0.25">
      <c r="A61" s="1" t="s">
        <v>65</v>
      </c>
      <c r="B61" s="36" t="s">
        <v>31</v>
      </c>
      <c r="C61" s="36">
        <v>12</v>
      </c>
      <c r="D61" s="36">
        <v>9</v>
      </c>
      <c r="E61" s="37"/>
      <c r="F61" s="11"/>
      <c r="G61" s="38"/>
      <c r="AA61" s="2"/>
      <c r="AB61" s="1"/>
      <c r="AN61" s="41"/>
      <c r="AO61" s="39">
        <f>AO55+SUM(AF61:AH61,AL61:AM61)-AN61</f>
        <v>1700</v>
      </c>
      <c r="AP61" s="40">
        <f>IFERROR(AH61/AN61,0)</f>
        <v>0</v>
      </c>
      <c r="AQ61" s="40">
        <f>AJ61/AT61</f>
        <v>0</v>
      </c>
      <c r="AR61" s="40">
        <f>AK61/AO61</f>
        <v>0</v>
      </c>
      <c r="AS61" s="21">
        <f>AI61*24</f>
        <v>0</v>
      </c>
      <c r="AT61" s="36">
        <v>1700</v>
      </c>
      <c r="AU61" s="36">
        <v>34</v>
      </c>
      <c r="AV61" s="36">
        <v>7.2</v>
      </c>
      <c r="AW61" s="36">
        <v>50</v>
      </c>
      <c r="AX61" s="39">
        <v>4.0000000000000002E-4</v>
      </c>
      <c r="AY61" s="39">
        <f>AX61*H61*AO61*0.06</f>
        <v>0</v>
      </c>
      <c r="AZ61" s="39">
        <f>AY55*24</f>
        <v>0</v>
      </c>
      <c r="BA61" s="20"/>
      <c r="BB61" s="39"/>
      <c r="BC61" s="39"/>
      <c r="BD61" s="43" t="str">
        <f>IF(B61="Python",BA61*AT61/24,"")</f>
        <v/>
      </c>
      <c r="BE61" s="43">
        <f>IF(B61="Julia",BB61*AO61/24,"")</f>
        <v>0</v>
      </c>
      <c r="BF61" s="22">
        <f>IF(B61="Julia",BC61*AO61,"")</f>
        <v>0</v>
      </c>
    </row>
    <row r="62" spans="1:58" ht="15.75" thickBot="1" x14ac:dyDescent="0.3">
      <c r="A62" s="6" t="s">
        <v>66</v>
      </c>
      <c r="B62" s="7" t="s">
        <v>31</v>
      </c>
      <c r="C62" s="7">
        <v>12</v>
      </c>
      <c r="D62" s="7">
        <v>9</v>
      </c>
      <c r="E62" s="8"/>
      <c r="F62" s="13"/>
      <c r="G62" s="14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32"/>
      <c r="AB62" s="6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29"/>
      <c r="AO62" s="24">
        <f>AO56+SUM(AF62:AH62,AL62:AM62)-AN62</f>
        <v>1700</v>
      </c>
      <c r="AP62" s="25">
        <f>IFERROR(AH62/AN62,0)</f>
        <v>0</v>
      </c>
      <c r="AQ62" s="25">
        <f>AJ62/AT62</f>
        <v>0</v>
      </c>
      <c r="AR62" s="25">
        <f>AK62/AO62</f>
        <v>0</v>
      </c>
      <c r="AS62" s="26">
        <f>AI62*24</f>
        <v>0</v>
      </c>
      <c r="AT62" s="7">
        <v>1700</v>
      </c>
      <c r="AU62" s="7">
        <v>34</v>
      </c>
      <c r="AV62" s="7">
        <v>7.2</v>
      </c>
      <c r="AW62" s="7">
        <v>50</v>
      </c>
      <c r="AX62" s="24">
        <v>4.0000000000000002E-4</v>
      </c>
      <c r="AY62" s="24">
        <f>AX62*H62*AO62*0.06</f>
        <v>0</v>
      </c>
      <c r="AZ62" s="24">
        <f>AY56*24</f>
        <v>0</v>
      </c>
      <c r="BA62" s="23"/>
      <c r="BB62" s="24"/>
      <c r="BC62" s="24"/>
      <c r="BD62" s="48" t="str">
        <f>IF(B62="Python",BA62*AT62/24,"")</f>
        <v/>
      </c>
      <c r="BE62" s="48">
        <f>IF(B62="Julia",BB62*AO62/24,"")</f>
        <v>0</v>
      </c>
      <c r="BF62" s="27">
        <f>IF(B62="Julia",BC62*AO62,"")</f>
        <v>0</v>
      </c>
    </row>
    <row r="63" spans="1:58" x14ac:dyDescent="0.25">
      <c r="A63" s="3" t="s">
        <v>61</v>
      </c>
      <c r="B63" s="4" t="s">
        <v>33</v>
      </c>
      <c r="C63" s="4">
        <v>12</v>
      </c>
      <c r="D63" s="4">
        <v>10</v>
      </c>
      <c r="E63" s="5"/>
      <c r="F63" s="9"/>
      <c r="G63" s="10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31"/>
      <c r="AB63" s="3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28"/>
      <c r="AO63" s="16" t="e">
        <f>AO57+SUM(AF63:AH63,AL63:AM63)-AN63</f>
        <v>#REF!</v>
      </c>
      <c r="AP63" s="17">
        <f>IFERROR(AH63/AN63,0)</f>
        <v>0</v>
      </c>
      <c r="AQ63" s="17">
        <f>AJ63/AT63</f>
        <v>0</v>
      </c>
      <c r="AR63" s="17" t="e">
        <f>AK63/AO63</f>
        <v>#REF!</v>
      </c>
      <c r="AS63" s="18">
        <f>AI63*24</f>
        <v>0</v>
      </c>
      <c r="AT63" s="4">
        <v>1700</v>
      </c>
      <c r="AU63" s="4">
        <v>34</v>
      </c>
      <c r="AV63" s="4">
        <v>7.2</v>
      </c>
      <c r="AW63" s="4">
        <v>50</v>
      </c>
      <c r="AX63" s="16">
        <v>4.0000000000000002E-4</v>
      </c>
      <c r="AY63" s="16" t="e">
        <f>AX63*H63*AO63*0.06</f>
        <v>#REF!</v>
      </c>
      <c r="AZ63" s="16" t="e">
        <f>AY57*24</f>
        <v>#REF!</v>
      </c>
      <c r="BA63" s="15"/>
      <c r="BB63" s="16"/>
      <c r="BC63" s="16"/>
      <c r="BD63" s="47" t="str">
        <f>IF(B63="Python",BA63*AT63/24,"")</f>
        <v/>
      </c>
      <c r="BE63" s="47" t="str">
        <f>IF(B63="Julia",BB63*AO63/24,"")</f>
        <v/>
      </c>
      <c r="BF63" s="19" t="str">
        <f>IF(B63="Julia",BC63*AO63,"")</f>
        <v/>
      </c>
    </row>
    <row r="64" spans="1:58" x14ac:dyDescent="0.25">
      <c r="A64" s="1" t="s">
        <v>62</v>
      </c>
      <c r="B64" s="36" t="s">
        <v>32</v>
      </c>
      <c r="C64" s="36">
        <v>12</v>
      </c>
      <c r="D64" s="36">
        <v>10</v>
      </c>
      <c r="E64" s="37"/>
      <c r="F64" s="11"/>
      <c r="G64" s="38"/>
      <c r="AA64" s="2"/>
      <c r="AB64" s="1"/>
      <c r="AN64" s="41"/>
      <c r="AO64" s="39">
        <f>AO58+SUM(AF64:AH64,AL64:AM64)-AN64</f>
        <v>1700</v>
      </c>
      <c r="AP64" s="40">
        <v>9.3571808000000006E-2</v>
      </c>
      <c r="AQ64" s="40">
        <f>AJ64/AT64</f>
        <v>0</v>
      </c>
      <c r="AR64" s="40">
        <f>AK64/AO64</f>
        <v>0</v>
      </c>
      <c r="AS64" s="21">
        <f>AI64*24</f>
        <v>0</v>
      </c>
      <c r="AT64" s="36">
        <v>1700</v>
      </c>
      <c r="AU64" s="36">
        <v>34</v>
      </c>
      <c r="AV64" s="36">
        <v>7.2</v>
      </c>
      <c r="AW64" s="36">
        <v>50</v>
      </c>
      <c r="AX64" s="39">
        <v>4.0000000000000002E-4</v>
      </c>
      <c r="AY64" s="39">
        <f>AX64*H64*AO64*0.06</f>
        <v>0</v>
      </c>
      <c r="AZ64" s="39">
        <f>AY58*24</f>
        <v>0</v>
      </c>
      <c r="BA64" s="20"/>
      <c r="BB64" s="39"/>
      <c r="BC64" s="39"/>
      <c r="BD64" s="43">
        <f>IF(B64="Python",BA64*AT64/24,"")</f>
        <v>0</v>
      </c>
      <c r="BE64" s="43" t="str">
        <f>IF(B64="Julia",BB64*AO64/24,"")</f>
        <v/>
      </c>
      <c r="BF64" s="22" t="str">
        <f>IF(B64="Julia",BC64*AO64,"")</f>
        <v/>
      </c>
    </row>
    <row r="65" spans="1:58" x14ac:dyDescent="0.25">
      <c r="A65" s="1" t="s">
        <v>63</v>
      </c>
      <c r="B65" s="36" t="s">
        <v>32</v>
      </c>
      <c r="C65" s="36">
        <v>12</v>
      </c>
      <c r="D65" s="36">
        <v>10</v>
      </c>
      <c r="E65" s="37"/>
      <c r="F65" s="11"/>
      <c r="G65" s="38"/>
      <c r="AA65" s="2"/>
      <c r="AB65" s="1"/>
      <c r="AN65" s="41"/>
      <c r="AO65" s="39">
        <f>AO59+SUM(AF65:AH65,AL65:AM65)-AN65</f>
        <v>1700</v>
      </c>
      <c r="AP65" s="40">
        <f>IFERROR(AH65/AN65,0)</f>
        <v>0</v>
      </c>
      <c r="AQ65" s="40">
        <f>AJ65/AT65</f>
        <v>0</v>
      </c>
      <c r="AR65" s="40">
        <f>AK65/AO65</f>
        <v>0</v>
      </c>
      <c r="AS65" s="21">
        <f>AI65*24</f>
        <v>0</v>
      </c>
      <c r="AT65" s="36">
        <v>1700</v>
      </c>
      <c r="AU65" s="36">
        <v>34</v>
      </c>
      <c r="AV65" s="36">
        <v>7.2</v>
      </c>
      <c r="AW65" s="36">
        <v>50</v>
      </c>
      <c r="AX65" s="39">
        <v>4.0000000000000002E-4</v>
      </c>
      <c r="AY65" s="39">
        <f>AX65*H65*AO65*0.06</f>
        <v>0</v>
      </c>
      <c r="AZ65" s="39">
        <f>AY59*24</f>
        <v>0</v>
      </c>
      <c r="BA65" s="20"/>
      <c r="BB65" s="39"/>
      <c r="BC65" s="39"/>
      <c r="BD65" s="43">
        <f>IF(B65="Python",BA65*AT65/24,"")</f>
        <v>0</v>
      </c>
      <c r="BE65" s="43" t="str">
        <f>IF(B65="Julia",BB65*AO65/24,"")</f>
        <v/>
      </c>
      <c r="BF65" s="22" t="str">
        <f>IF(B65="Julia",BC65*AO65,"")</f>
        <v/>
      </c>
    </row>
    <row r="66" spans="1:58" x14ac:dyDescent="0.25">
      <c r="A66" s="1" t="s">
        <v>64</v>
      </c>
      <c r="B66" s="36" t="s">
        <v>33</v>
      </c>
      <c r="C66" s="36">
        <v>15</v>
      </c>
      <c r="D66" s="36">
        <v>10</v>
      </c>
      <c r="E66" s="37"/>
      <c r="F66" s="11"/>
      <c r="G66" s="38"/>
      <c r="AA66" s="2"/>
      <c r="AB66" s="1"/>
      <c r="AN66" s="41"/>
      <c r="AO66" s="39">
        <f>AO60+SUM(AF66:AH66,AL66:AM66)-AN66</f>
        <v>1700</v>
      </c>
      <c r="AP66" s="40">
        <f>IFERROR(AH66/AN66,0)</f>
        <v>0</v>
      </c>
      <c r="AQ66" s="40">
        <f>AJ66/AT66</f>
        <v>0</v>
      </c>
      <c r="AR66" s="40">
        <f>AK66/AO66</f>
        <v>0</v>
      </c>
      <c r="AS66" s="21">
        <f>AI66*24</f>
        <v>0</v>
      </c>
      <c r="AT66" s="36">
        <v>1700</v>
      </c>
      <c r="AU66" s="36">
        <v>34</v>
      </c>
      <c r="AV66" s="36">
        <v>7.2</v>
      </c>
      <c r="AW66" s="36">
        <v>50</v>
      </c>
      <c r="AX66" s="39">
        <v>4.0000000000000002E-4</v>
      </c>
      <c r="AY66" s="39">
        <f>AX66*H66*AO66*0.06</f>
        <v>0</v>
      </c>
      <c r="AZ66" s="39">
        <f>AY60*24</f>
        <v>0</v>
      </c>
      <c r="BA66" s="20"/>
      <c r="BB66" s="39"/>
      <c r="BC66" s="39"/>
      <c r="BD66" s="43" t="str">
        <f>IF(B66="Python",BA66*AT66/24,"")</f>
        <v/>
      </c>
      <c r="BE66" s="43" t="str">
        <f>IF(B66="Julia",BB66*AO66/24,"")</f>
        <v/>
      </c>
      <c r="BF66" s="22" t="str">
        <f>IF(B66="Julia",BC66*AO66,"")</f>
        <v/>
      </c>
    </row>
    <row r="67" spans="1:58" x14ac:dyDescent="0.25">
      <c r="A67" s="1" t="s">
        <v>65</v>
      </c>
      <c r="B67" s="36" t="s">
        <v>31</v>
      </c>
      <c r="C67" s="36">
        <v>12</v>
      </c>
      <c r="D67" s="36">
        <v>10</v>
      </c>
      <c r="E67" s="37"/>
      <c r="F67" s="11"/>
      <c r="G67" s="38"/>
      <c r="AA67" s="2"/>
      <c r="AB67" s="1"/>
      <c r="AN67" s="41"/>
      <c r="AO67" s="39">
        <f>AO61+SUM(AF67:AH67,AL67:AM67)-AN67</f>
        <v>1700</v>
      </c>
      <c r="AP67" s="40">
        <f>IFERROR(AH67/AN67,0)</f>
        <v>0</v>
      </c>
      <c r="AQ67" s="40">
        <f>AJ67/AT67</f>
        <v>0</v>
      </c>
      <c r="AR67" s="40">
        <f>AK67/AO67</f>
        <v>0</v>
      </c>
      <c r="AS67" s="21">
        <f>AI67*24</f>
        <v>0</v>
      </c>
      <c r="AT67" s="36">
        <v>1700</v>
      </c>
      <c r="AU67" s="36">
        <v>34</v>
      </c>
      <c r="AV67" s="36">
        <v>7.2</v>
      </c>
      <c r="AW67" s="36">
        <v>50</v>
      </c>
      <c r="AX67" s="39">
        <v>4.0000000000000002E-4</v>
      </c>
      <c r="AY67" s="39">
        <f>AX67*H67*AO67*0.06</f>
        <v>0</v>
      </c>
      <c r="AZ67" s="39">
        <f>AY61*24</f>
        <v>0</v>
      </c>
      <c r="BA67" s="20"/>
      <c r="BB67" s="39"/>
      <c r="BC67" s="39"/>
      <c r="BD67" s="43" t="str">
        <f>IF(B67="Python",BA67*AT67/24,"")</f>
        <v/>
      </c>
      <c r="BE67" s="43">
        <f>IF(B67="Julia",BB67*AO67/24,"")</f>
        <v>0</v>
      </c>
      <c r="BF67" s="22">
        <f>IF(B67="Julia",BC67*AO67,"")</f>
        <v>0</v>
      </c>
    </row>
    <row r="68" spans="1:58" ht="15.75" thickBot="1" x14ac:dyDescent="0.3">
      <c r="A68" s="6" t="s">
        <v>66</v>
      </c>
      <c r="B68" s="7" t="s">
        <v>31</v>
      </c>
      <c r="C68" s="7">
        <v>12</v>
      </c>
      <c r="D68" s="7">
        <v>10</v>
      </c>
      <c r="E68" s="8"/>
      <c r="F68" s="13"/>
      <c r="G68" s="14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32"/>
      <c r="AB68" s="6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29"/>
      <c r="AO68" s="24">
        <f>AO62+SUM(AF68:AH68,AL68:AM68)-AN68</f>
        <v>1700</v>
      </c>
      <c r="AP68" s="25">
        <f>IFERROR(AH68/AN68,0)</f>
        <v>0</v>
      </c>
      <c r="AQ68" s="25">
        <f>AJ68/AT68</f>
        <v>0</v>
      </c>
      <c r="AR68" s="25">
        <f>AK68/AO68</f>
        <v>0</v>
      </c>
      <c r="AS68" s="26">
        <f>AI68*24</f>
        <v>0</v>
      </c>
      <c r="AT68" s="7">
        <v>1700</v>
      </c>
      <c r="AU68" s="7">
        <v>34</v>
      </c>
      <c r="AV68" s="7">
        <v>7.2</v>
      </c>
      <c r="AW68" s="7">
        <v>50</v>
      </c>
      <c r="AX68" s="24">
        <v>4.0000000000000002E-4</v>
      </c>
      <c r="AY68" s="24">
        <f>AX68*H68*AO68*0.06</f>
        <v>0</v>
      </c>
      <c r="AZ68" s="24">
        <f>AY62*24</f>
        <v>0</v>
      </c>
      <c r="BA68" s="23"/>
      <c r="BB68" s="24"/>
      <c r="BC68" s="24"/>
      <c r="BD68" s="48" t="str">
        <f>IF(B68="Python",BA68*AT68/24,"")</f>
        <v/>
      </c>
      <c r="BE68" s="48">
        <f>IF(B68="Julia",BB68*AO68/24,"")</f>
        <v>0</v>
      </c>
      <c r="BF68" s="27">
        <f>IF(B68="Julia",BC68*AO68,"")</f>
        <v>0</v>
      </c>
    </row>
    <row r="69" spans="1:58" x14ac:dyDescent="0.25">
      <c r="A69" s="3" t="s">
        <v>61</v>
      </c>
      <c r="B69" s="4" t="s">
        <v>33</v>
      </c>
      <c r="C69" s="4">
        <v>12</v>
      </c>
      <c r="D69" s="4">
        <v>11</v>
      </c>
      <c r="E69" s="5"/>
      <c r="F69" s="9"/>
      <c r="G69" s="10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31"/>
      <c r="AB69" s="3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28"/>
      <c r="AO69" s="16" t="e">
        <f>AO63+SUM(AF69:AH69,AL69:AM69)-AN69</f>
        <v>#REF!</v>
      </c>
      <c r="AP69" s="17">
        <f>IFERROR(AH69/AN69,0)</f>
        <v>0</v>
      </c>
      <c r="AQ69" s="17">
        <f>AJ69/AT69</f>
        <v>0</v>
      </c>
      <c r="AR69" s="17" t="e">
        <f>AK69/AO69</f>
        <v>#REF!</v>
      </c>
      <c r="AS69" s="18">
        <f>AI69*24</f>
        <v>0</v>
      </c>
      <c r="AT69" s="4">
        <v>1700</v>
      </c>
      <c r="AU69" s="4">
        <v>34</v>
      </c>
      <c r="AV69" s="4">
        <v>7.2</v>
      </c>
      <c r="AW69" s="4">
        <v>50</v>
      </c>
      <c r="AX69" s="16">
        <v>4.0000000000000002E-4</v>
      </c>
      <c r="AY69" s="16" t="e">
        <f>AX69*H69*AO69*0.06</f>
        <v>#REF!</v>
      </c>
      <c r="AZ69" s="16" t="e">
        <f>AY63*24</f>
        <v>#REF!</v>
      </c>
      <c r="BA69" s="15"/>
      <c r="BB69" s="16"/>
      <c r="BC69" s="16"/>
      <c r="BD69" s="47" t="str">
        <f>IF(B69="Python",BA69*AT69/24,"")</f>
        <v/>
      </c>
      <c r="BE69" s="47" t="str">
        <f>IF(B69="Julia",BB69*AO69/24,"")</f>
        <v/>
      </c>
      <c r="BF69" s="19" t="str">
        <f>IF(B69="Julia",BC69*AO69,"")</f>
        <v/>
      </c>
    </row>
    <row r="70" spans="1:58" x14ac:dyDescent="0.25">
      <c r="A70" s="1" t="s">
        <v>62</v>
      </c>
      <c r="B70" s="36" t="s">
        <v>32</v>
      </c>
      <c r="C70" s="36">
        <v>12</v>
      </c>
      <c r="D70" s="36">
        <v>11</v>
      </c>
      <c r="E70" s="37"/>
      <c r="F70" s="11"/>
      <c r="G70" s="38"/>
      <c r="AA70" s="2"/>
      <c r="AB70" s="1"/>
      <c r="AN70" s="41"/>
      <c r="AO70" s="39">
        <f>AO64+SUM(AF70:AH70,AL70:AM70)-AN70</f>
        <v>1700</v>
      </c>
      <c r="AP70" s="40">
        <v>0.100809835</v>
      </c>
      <c r="AQ70" s="40">
        <f>AJ70/AT70</f>
        <v>0</v>
      </c>
      <c r="AR70" s="40">
        <f>AK70/AO70</f>
        <v>0</v>
      </c>
      <c r="AS70" s="21">
        <f>AI70*24</f>
        <v>0</v>
      </c>
      <c r="AT70" s="36">
        <v>1700</v>
      </c>
      <c r="AU70" s="36">
        <v>34</v>
      </c>
      <c r="AV70" s="36">
        <v>7.2</v>
      </c>
      <c r="AW70" s="36">
        <v>50</v>
      </c>
      <c r="AX70" s="39">
        <v>4.0000000000000002E-4</v>
      </c>
      <c r="AY70" s="39">
        <f>AX70*H70*AO70*0.06</f>
        <v>0</v>
      </c>
      <c r="AZ70" s="39">
        <f>AY64*24</f>
        <v>0</v>
      </c>
      <c r="BA70" s="20"/>
      <c r="BB70" s="39"/>
      <c r="BC70" s="39"/>
      <c r="BD70" s="43">
        <f>IF(B70="Python",BA70*AT70/24,"")</f>
        <v>0</v>
      </c>
      <c r="BE70" s="43" t="str">
        <f>IF(B70="Julia",BB70*AO70/24,"")</f>
        <v/>
      </c>
      <c r="BF70" s="22" t="str">
        <f>IF(B70="Julia",BC70*AO70,"")</f>
        <v/>
      </c>
    </row>
    <row r="71" spans="1:58" x14ac:dyDescent="0.25">
      <c r="A71" s="1" t="s">
        <v>63</v>
      </c>
      <c r="B71" s="36" t="s">
        <v>32</v>
      </c>
      <c r="C71" s="36">
        <v>12</v>
      </c>
      <c r="D71" s="36">
        <v>11</v>
      </c>
      <c r="E71" s="37"/>
      <c r="F71" s="11"/>
      <c r="G71" s="38"/>
      <c r="AA71" s="2"/>
      <c r="AB71" s="1"/>
      <c r="AN71" s="41"/>
      <c r="AO71" s="39">
        <f>AO65+SUM(AF71:AH71,AL71:AM71)-AN71</f>
        <v>1700</v>
      </c>
      <c r="AP71" s="40">
        <f>IFERROR(AH71/AN71,0)</f>
        <v>0</v>
      </c>
      <c r="AQ71" s="40">
        <f>AJ71/AT71</f>
        <v>0</v>
      </c>
      <c r="AR71" s="40">
        <f>AK71/AO71</f>
        <v>0</v>
      </c>
      <c r="AS71" s="21">
        <f>AI71*24</f>
        <v>0</v>
      </c>
      <c r="AT71" s="36">
        <v>1700</v>
      </c>
      <c r="AU71" s="36">
        <v>34</v>
      </c>
      <c r="AV71" s="36">
        <v>7.2</v>
      </c>
      <c r="AW71" s="36">
        <v>50</v>
      </c>
      <c r="AX71" s="39">
        <v>4.0000000000000002E-4</v>
      </c>
      <c r="AY71" s="39">
        <f>AX71*H71*AO71*0.06</f>
        <v>0</v>
      </c>
      <c r="AZ71" s="39">
        <f>AY65*24</f>
        <v>0</v>
      </c>
      <c r="BA71" s="20"/>
      <c r="BB71" s="39"/>
      <c r="BC71" s="39"/>
      <c r="BD71" s="43">
        <f>IF(B71="Python",BA71*AT71/24,"")</f>
        <v>0</v>
      </c>
      <c r="BE71" s="43" t="str">
        <f>IF(B71="Julia",BB71*AO71/24,"")</f>
        <v/>
      </c>
      <c r="BF71" s="22" t="str">
        <f>IF(B71="Julia",BC71*AO71,"")</f>
        <v/>
      </c>
    </row>
    <row r="72" spans="1:58" x14ac:dyDescent="0.25">
      <c r="A72" s="1" t="s">
        <v>64</v>
      </c>
      <c r="B72" s="36" t="s">
        <v>33</v>
      </c>
      <c r="C72" s="36">
        <v>15</v>
      </c>
      <c r="D72" s="36">
        <v>11</v>
      </c>
      <c r="E72" s="37"/>
      <c r="F72" s="11"/>
      <c r="G72" s="38"/>
      <c r="AA72" s="2"/>
      <c r="AB72" s="1"/>
      <c r="AN72" s="41"/>
      <c r="AO72" s="39">
        <f>AO66+SUM(AF72:AH72,AL72:AM72)-AN72</f>
        <v>1700</v>
      </c>
      <c r="AP72" s="40">
        <f>IFERROR(AH72/AN72,0)</f>
        <v>0</v>
      </c>
      <c r="AQ72" s="40">
        <f>AJ72/AT72</f>
        <v>0</v>
      </c>
      <c r="AR72" s="40">
        <f>AK72/AO72</f>
        <v>0</v>
      </c>
      <c r="AS72" s="21">
        <f>AI72*24</f>
        <v>0</v>
      </c>
      <c r="AT72" s="36">
        <v>1700</v>
      </c>
      <c r="AU72" s="36">
        <v>34</v>
      </c>
      <c r="AV72" s="36">
        <v>7.2</v>
      </c>
      <c r="AW72" s="36">
        <v>50</v>
      </c>
      <c r="AX72" s="39">
        <v>4.0000000000000002E-4</v>
      </c>
      <c r="AY72" s="39">
        <f>AX72*H72*AO72*0.06</f>
        <v>0</v>
      </c>
      <c r="AZ72" s="39">
        <f>AY66*24</f>
        <v>0</v>
      </c>
      <c r="BA72" s="20"/>
      <c r="BB72" s="39"/>
      <c r="BC72" s="39"/>
      <c r="BD72" s="43" t="str">
        <f>IF(B72="Python",BA72*AT72/24,"")</f>
        <v/>
      </c>
      <c r="BE72" s="43" t="str">
        <f>IF(B72="Julia",BB72*AO72/24,"")</f>
        <v/>
      </c>
      <c r="BF72" s="22" t="str">
        <f>IF(B72="Julia",BC72*AO72,"")</f>
        <v/>
      </c>
    </row>
    <row r="73" spans="1:58" x14ac:dyDescent="0.25">
      <c r="A73" s="1" t="s">
        <v>65</v>
      </c>
      <c r="B73" s="36" t="s">
        <v>31</v>
      </c>
      <c r="C73" s="36">
        <v>12</v>
      </c>
      <c r="D73" s="36">
        <v>11</v>
      </c>
      <c r="E73" s="37"/>
      <c r="F73" s="11"/>
      <c r="G73" s="38"/>
      <c r="AA73" s="2"/>
      <c r="AB73" s="1"/>
      <c r="AN73" s="41"/>
      <c r="AO73" s="39">
        <f>AO67+SUM(AF73:AH73,AL73:AM73)-AN73</f>
        <v>1700</v>
      </c>
      <c r="AP73" s="40">
        <f>IFERROR(AH73/AN73,0)</f>
        <v>0</v>
      </c>
      <c r="AQ73" s="40">
        <f>AJ73/AT73</f>
        <v>0</v>
      </c>
      <c r="AR73" s="40">
        <f>AK73/AO73</f>
        <v>0</v>
      </c>
      <c r="AS73" s="21">
        <f>AI73*24</f>
        <v>0</v>
      </c>
      <c r="AT73" s="36">
        <v>1700</v>
      </c>
      <c r="AU73" s="36">
        <v>34</v>
      </c>
      <c r="AV73" s="36">
        <v>7.2</v>
      </c>
      <c r="AW73" s="36">
        <v>50</v>
      </c>
      <c r="AX73" s="39">
        <v>4.0000000000000002E-4</v>
      </c>
      <c r="AY73" s="39">
        <f>AX73*H73*AO73*0.06</f>
        <v>0</v>
      </c>
      <c r="AZ73" s="39">
        <f>AY67*24</f>
        <v>0</v>
      </c>
      <c r="BA73" s="20"/>
      <c r="BB73" s="39"/>
      <c r="BC73" s="39"/>
      <c r="BD73" s="43" t="str">
        <f>IF(B73="Python",BA73*AT73/24,"")</f>
        <v/>
      </c>
      <c r="BE73" s="43">
        <f>IF(B73="Julia",BB73*AO73/24,"")</f>
        <v>0</v>
      </c>
      <c r="BF73" s="22">
        <f>IF(B73="Julia",BC73*AO73,"")</f>
        <v>0</v>
      </c>
    </row>
    <row r="74" spans="1:58" ht="15.75" thickBot="1" x14ac:dyDescent="0.3">
      <c r="A74" s="6" t="s">
        <v>66</v>
      </c>
      <c r="B74" s="7" t="s">
        <v>31</v>
      </c>
      <c r="C74" s="7">
        <v>12</v>
      </c>
      <c r="D74" s="7">
        <v>11</v>
      </c>
      <c r="E74" s="8"/>
      <c r="F74" s="13"/>
      <c r="G74" s="14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32"/>
      <c r="AB74" s="6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29"/>
      <c r="AO74" s="24">
        <f>AO68+SUM(AF74:AH74,AL74:AM74)-AN74</f>
        <v>1700</v>
      </c>
      <c r="AP74" s="25">
        <f>IFERROR(AH74/AN74,0)</f>
        <v>0</v>
      </c>
      <c r="AQ74" s="25">
        <f>AJ74/AT74</f>
        <v>0</v>
      </c>
      <c r="AR74" s="25">
        <f>AK74/AO74</f>
        <v>0</v>
      </c>
      <c r="AS74" s="26">
        <f>AI74*24</f>
        <v>0</v>
      </c>
      <c r="AT74" s="7">
        <v>1700</v>
      </c>
      <c r="AU74" s="7">
        <v>34</v>
      </c>
      <c r="AV74" s="7">
        <v>7.2</v>
      </c>
      <c r="AW74" s="7">
        <v>50</v>
      </c>
      <c r="AX74" s="24">
        <v>4.0000000000000002E-4</v>
      </c>
      <c r="AY74" s="24">
        <f>AX74*H74*AO74*0.06</f>
        <v>0</v>
      </c>
      <c r="AZ74" s="24">
        <f>AY68*24</f>
        <v>0</v>
      </c>
      <c r="BA74" s="23"/>
      <c r="BB74" s="24"/>
      <c r="BC74" s="24"/>
      <c r="BD74" s="48" t="str">
        <f>IF(B74="Python",BA74*AT74/24,"")</f>
        <v/>
      </c>
      <c r="BE74" s="48">
        <f>IF(B74="Julia",BB74*AO74/24,"")</f>
        <v>0</v>
      </c>
      <c r="BF74" s="27">
        <f>IF(B74="Julia",BC74*AO74,"")</f>
        <v>0</v>
      </c>
    </row>
    <row r="75" spans="1:58" x14ac:dyDescent="0.25">
      <c r="A75" s="3" t="s">
        <v>61</v>
      </c>
      <c r="B75" s="4" t="s">
        <v>33</v>
      </c>
      <c r="C75" s="4">
        <v>12</v>
      </c>
      <c r="D75" s="4">
        <v>12</v>
      </c>
      <c r="E75" s="5"/>
      <c r="F75" s="3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31"/>
      <c r="AB75" s="3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28"/>
      <c r="AO75" s="16" t="e">
        <f>AO69+SUM(AF75:AH75,AL75:AM75)-AN75</f>
        <v>#REF!</v>
      </c>
      <c r="AP75" s="17">
        <f>IFERROR(AH75/AN75,0)</f>
        <v>0</v>
      </c>
      <c r="AQ75" s="17">
        <f>AJ75/AT75</f>
        <v>0</v>
      </c>
      <c r="AR75" s="17" t="e">
        <f>AK75/AO75</f>
        <v>#REF!</v>
      </c>
      <c r="AS75" s="18">
        <f>AI75*24</f>
        <v>0</v>
      </c>
      <c r="AT75" s="4">
        <v>1700</v>
      </c>
      <c r="AU75" s="4">
        <v>34</v>
      </c>
      <c r="AV75" s="4">
        <v>7.2</v>
      </c>
      <c r="AW75" s="4">
        <v>50</v>
      </c>
      <c r="AX75" s="16">
        <v>4.0000000000000002E-4</v>
      </c>
      <c r="AY75" s="16" t="e">
        <f>AX75*H75*AO75*0.06</f>
        <v>#REF!</v>
      </c>
      <c r="AZ75" s="16" t="e">
        <f>AY69*24</f>
        <v>#REF!</v>
      </c>
      <c r="BA75" s="15"/>
      <c r="BB75" s="4"/>
      <c r="BC75" s="4"/>
      <c r="BD75" s="47" t="str">
        <f>IF(B75="Python",BA75*AT75/24,"")</f>
        <v/>
      </c>
      <c r="BE75" s="47" t="str">
        <f>IF(B75="Julia",BB75*AO75/24,"")</f>
        <v/>
      </c>
      <c r="BF75" s="19" t="str">
        <f>IF(B75="Julia",BC75*AO75,"")</f>
        <v/>
      </c>
    </row>
    <row r="76" spans="1:58" x14ac:dyDescent="0.25">
      <c r="A76" s="1" t="s">
        <v>62</v>
      </c>
      <c r="B76" s="36" t="s">
        <v>32</v>
      </c>
      <c r="C76" s="36">
        <v>12</v>
      </c>
      <c r="D76" s="36">
        <v>12</v>
      </c>
      <c r="E76" s="37"/>
      <c r="F76" s="1"/>
      <c r="AA76" s="2"/>
      <c r="AB76" s="1"/>
      <c r="AN76" s="41"/>
      <c r="AO76" s="39">
        <f>AO70+SUM(AF76:AH76,AL76:AM76)-AN76</f>
        <v>1700</v>
      </c>
      <c r="AP76" s="40">
        <v>0.105309835</v>
      </c>
      <c r="AQ76" s="40">
        <f>AJ76/AT76</f>
        <v>0</v>
      </c>
      <c r="AR76" s="40">
        <f>AK76/AO76</f>
        <v>0</v>
      </c>
      <c r="AS76" s="21">
        <f>AI76*24</f>
        <v>0</v>
      </c>
      <c r="AT76" s="36">
        <v>1700</v>
      </c>
      <c r="AU76" s="36">
        <v>34</v>
      </c>
      <c r="AV76" s="36">
        <v>7.2</v>
      </c>
      <c r="AW76" s="36">
        <v>50</v>
      </c>
      <c r="AX76" s="39">
        <v>4.0000000000000002E-4</v>
      </c>
      <c r="AY76" s="39">
        <f>AX76*H76*AO76*0.06</f>
        <v>0</v>
      </c>
      <c r="AZ76" s="39">
        <f>AY70*24</f>
        <v>0</v>
      </c>
      <c r="BA76" s="20"/>
      <c r="BD76" s="43">
        <f>IF(B76="Python",BA76*AT76/24,"")</f>
        <v>0</v>
      </c>
      <c r="BE76" s="43" t="str">
        <f>IF(B76="Julia",BB76*AO76/24,"")</f>
        <v/>
      </c>
      <c r="BF76" s="22" t="str">
        <f>IF(B76="Julia",BC76*AO76,"")</f>
        <v/>
      </c>
    </row>
    <row r="77" spans="1:58" x14ac:dyDescent="0.25">
      <c r="A77" s="1" t="s">
        <v>63</v>
      </c>
      <c r="B77" s="36" t="s">
        <v>32</v>
      </c>
      <c r="C77" s="36">
        <v>12</v>
      </c>
      <c r="D77" s="36">
        <v>12</v>
      </c>
      <c r="E77" s="37"/>
      <c r="F77" s="1"/>
      <c r="AA77" s="2"/>
      <c r="AB77" s="1"/>
      <c r="AN77" s="41"/>
      <c r="AO77" s="39">
        <f>AO71+SUM(AF77:AH77,AL77:AM77)-AN77</f>
        <v>1700</v>
      </c>
      <c r="AP77" s="40">
        <f>IFERROR(AH77/AN77,0)</f>
        <v>0</v>
      </c>
      <c r="AQ77" s="40">
        <f>AJ77/AT77</f>
        <v>0</v>
      </c>
      <c r="AR77" s="40">
        <f>AK77/AO77</f>
        <v>0</v>
      </c>
      <c r="AS77" s="21">
        <f>AI77*24</f>
        <v>0</v>
      </c>
      <c r="AT77" s="36">
        <v>1700</v>
      </c>
      <c r="AU77" s="36">
        <v>34</v>
      </c>
      <c r="AV77" s="36">
        <v>7.2</v>
      </c>
      <c r="AW77" s="36">
        <v>50</v>
      </c>
      <c r="AX77" s="39">
        <v>4.0000000000000002E-4</v>
      </c>
      <c r="AY77" s="39">
        <f>AX77*H77*AO77*0.06</f>
        <v>0</v>
      </c>
      <c r="AZ77" s="39">
        <f>AY71*24</f>
        <v>0</v>
      </c>
      <c r="BA77" s="20"/>
      <c r="BB77" s="39"/>
      <c r="BC77" s="39"/>
      <c r="BD77" s="43">
        <f>IF(B77="Python",BA77*AT77/24,"")</f>
        <v>0</v>
      </c>
      <c r="BE77" s="43" t="str">
        <f>IF(B77="Julia",BB77*AO77/24,"")</f>
        <v/>
      </c>
      <c r="BF77" s="22" t="str">
        <f>IF(B77="Julia",BC77*AO77,"")</f>
        <v/>
      </c>
    </row>
    <row r="78" spans="1:58" x14ac:dyDescent="0.25">
      <c r="A78" s="1" t="s">
        <v>64</v>
      </c>
      <c r="B78" s="36" t="s">
        <v>33</v>
      </c>
      <c r="C78" s="36">
        <v>15</v>
      </c>
      <c r="D78" s="36">
        <v>12</v>
      </c>
      <c r="E78" s="37"/>
      <c r="F78" s="1"/>
      <c r="AA78" s="2"/>
      <c r="AB78" s="1"/>
      <c r="AN78" s="41"/>
      <c r="AO78" s="39">
        <f>AO72+SUM(AF78:AH78,AL78:AM78)-AN78</f>
        <v>1700</v>
      </c>
      <c r="AP78" s="40">
        <f>IFERROR(AH78/AN78,0)</f>
        <v>0</v>
      </c>
      <c r="AQ78" s="40">
        <f>AJ78/AT78</f>
        <v>0</v>
      </c>
      <c r="AR78" s="40">
        <f>AK78/AO78</f>
        <v>0</v>
      </c>
      <c r="AS78" s="21">
        <f>AI78*24</f>
        <v>0</v>
      </c>
      <c r="AT78" s="36">
        <v>1700</v>
      </c>
      <c r="AU78" s="36">
        <v>34</v>
      </c>
      <c r="AV78" s="36">
        <v>7.2</v>
      </c>
      <c r="AW78" s="36">
        <v>50</v>
      </c>
      <c r="AX78" s="39">
        <v>4.0000000000000002E-4</v>
      </c>
      <c r="AY78" s="39">
        <f>AX78*H78*AO78*0.06</f>
        <v>0</v>
      </c>
      <c r="AZ78" s="39">
        <f>AY72*24</f>
        <v>0</v>
      </c>
      <c r="BA78" s="20"/>
      <c r="BB78" s="39"/>
      <c r="BC78" s="39"/>
      <c r="BD78" s="43" t="str">
        <f>IF(B78="Python",BA78*AT78/24,"")</f>
        <v/>
      </c>
      <c r="BE78" s="43" t="str">
        <f>IF(B78="Julia",BB78*AO78/24,"")</f>
        <v/>
      </c>
      <c r="BF78" s="22" t="str">
        <f>IF(B78="Julia",BC78*AO78,"")</f>
        <v/>
      </c>
    </row>
    <row r="79" spans="1:58" x14ac:dyDescent="0.25">
      <c r="A79" s="1" t="s">
        <v>65</v>
      </c>
      <c r="B79" s="36" t="s">
        <v>31</v>
      </c>
      <c r="C79" s="36">
        <v>12</v>
      </c>
      <c r="D79" s="36">
        <v>12</v>
      </c>
      <c r="E79" s="37"/>
      <c r="F79" s="1"/>
      <c r="AA79" s="2"/>
      <c r="AB79" s="1"/>
      <c r="AN79" s="41"/>
      <c r="AO79" s="39">
        <f>AO73+SUM(AF79:AH79,AL79:AM79)-AN79</f>
        <v>1700</v>
      </c>
      <c r="AP79" s="40">
        <f>IFERROR(AH79/AN79,0)</f>
        <v>0</v>
      </c>
      <c r="AQ79" s="40">
        <f>AJ79/AT79</f>
        <v>0</v>
      </c>
      <c r="AR79" s="40">
        <f>AK79/AO79</f>
        <v>0</v>
      </c>
      <c r="AS79" s="21">
        <f>AI79*24</f>
        <v>0</v>
      </c>
      <c r="AT79" s="36">
        <v>1700</v>
      </c>
      <c r="AU79" s="36">
        <v>34</v>
      </c>
      <c r="AV79" s="36">
        <v>7.2</v>
      </c>
      <c r="AW79" s="36">
        <v>50</v>
      </c>
      <c r="AX79" s="39">
        <v>4.0000000000000002E-4</v>
      </c>
      <c r="AY79" s="39">
        <f>AX79*H79*AO79*0.06</f>
        <v>0</v>
      </c>
      <c r="AZ79" s="39">
        <f>AY73*24</f>
        <v>0</v>
      </c>
      <c r="BA79" s="20"/>
      <c r="BB79" s="39"/>
      <c r="BC79" s="39"/>
      <c r="BD79" s="43" t="str">
        <f>IF(B79="Python",BA79*AT79/24,"")</f>
        <v/>
      </c>
      <c r="BE79" s="43">
        <f>IF(B79="Julia",BB79*AO79/24,"")</f>
        <v>0</v>
      </c>
      <c r="BF79" s="22">
        <f>IF(B79="Julia",BC79*AO79,"")</f>
        <v>0</v>
      </c>
    </row>
    <row r="80" spans="1:58" ht="15.75" thickBot="1" x14ac:dyDescent="0.3">
      <c r="A80" s="6" t="s">
        <v>66</v>
      </c>
      <c r="B80" s="7" t="s">
        <v>31</v>
      </c>
      <c r="C80" s="7">
        <v>12</v>
      </c>
      <c r="D80" s="7">
        <v>12</v>
      </c>
      <c r="E80" s="8"/>
      <c r="F80" s="6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32"/>
      <c r="AB80" s="6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29"/>
      <c r="AO80" s="24">
        <f>AO74+SUM(AF80:AH80,AL80:AM80)-AN80</f>
        <v>1700</v>
      </c>
      <c r="AP80" s="25">
        <f>IFERROR(AH80/AN80,0)</f>
        <v>0</v>
      </c>
      <c r="AQ80" s="25">
        <f>AJ80/AT80</f>
        <v>0</v>
      </c>
      <c r="AR80" s="25">
        <f>AK80/AO80</f>
        <v>0</v>
      </c>
      <c r="AS80" s="26">
        <f>AI80*24</f>
        <v>0</v>
      </c>
      <c r="AT80" s="7">
        <v>1700</v>
      </c>
      <c r="AU80" s="7">
        <v>34</v>
      </c>
      <c r="AV80" s="7">
        <v>7.2</v>
      </c>
      <c r="AW80" s="7">
        <v>50</v>
      </c>
      <c r="AX80" s="24">
        <v>4.0000000000000002E-4</v>
      </c>
      <c r="AY80" s="24">
        <f>AX80*H80*AO80*0.06</f>
        <v>0</v>
      </c>
      <c r="AZ80" s="24">
        <f>AY74*24</f>
        <v>0</v>
      </c>
      <c r="BA80" s="23"/>
      <c r="BB80" s="24"/>
      <c r="BC80" s="24"/>
      <c r="BD80" s="48" t="str">
        <f>IF(B80="Python",BA80*AT80/24,"")</f>
        <v/>
      </c>
      <c r="BE80" s="48">
        <f>IF(B80="Julia",BB80*AO80/24,"")</f>
        <v>0</v>
      </c>
      <c r="BF80" s="27">
        <f>IF(B80="Julia",BC80*AO80,"")</f>
        <v>0</v>
      </c>
    </row>
    <row r="81" spans="1:4" customFormat="1" x14ac:dyDescent="0.25">
      <c r="A81" s="36"/>
      <c r="B81" s="36"/>
      <c r="C81" s="36"/>
      <c r="D81" s="36"/>
    </row>
    <row r="82" spans="1:4" customFormat="1" x14ac:dyDescent="0.25">
      <c r="A82" s="36"/>
      <c r="B82" s="36"/>
      <c r="C82" s="36"/>
      <c r="D82" s="36"/>
    </row>
    <row r="83" spans="1:4" customFormat="1" x14ac:dyDescent="0.25">
      <c r="A83" s="36"/>
      <c r="B83" s="36"/>
      <c r="C83" s="36"/>
      <c r="D83" s="36"/>
    </row>
    <row r="84" spans="1:4" customFormat="1" x14ac:dyDescent="0.25">
      <c r="A84" s="36"/>
      <c r="B84" s="36"/>
      <c r="C84" s="36"/>
      <c r="D84" s="36"/>
    </row>
    <row r="85" spans="1:4" customFormat="1" x14ac:dyDescent="0.25">
      <c r="A85" s="36"/>
      <c r="B85" s="36"/>
      <c r="C85" s="36"/>
      <c r="D85" s="36"/>
    </row>
    <row r="86" spans="1:4" customFormat="1" x14ac:dyDescent="0.25">
      <c r="A86" s="36"/>
      <c r="B86" s="36"/>
      <c r="C86" s="36"/>
      <c r="D86" s="36"/>
    </row>
    <row r="87" spans="1:4" customFormat="1" x14ac:dyDescent="0.25">
      <c r="A87" s="36"/>
      <c r="B87" s="36"/>
      <c r="C87" s="36"/>
      <c r="D87" s="36"/>
    </row>
    <row r="88" spans="1:4" customFormat="1" x14ac:dyDescent="0.25">
      <c r="A88" s="36"/>
      <c r="B88" s="36"/>
      <c r="C88" s="36"/>
      <c r="D88" s="36"/>
    </row>
    <row r="89" spans="1:4" customFormat="1" x14ac:dyDescent="0.25">
      <c r="A89" s="36"/>
      <c r="B89" s="36"/>
      <c r="C89" s="36"/>
      <c r="D89" s="36"/>
    </row>
    <row r="90" spans="1:4" customFormat="1" x14ac:dyDescent="0.25">
      <c r="A90" s="36"/>
      <c r="B90" s="36"/>
      <c r="C90" s="36"/>
      <c r="D90" s="36"/>
    </row>
    <row r="91" spans="1:4" customFormat="1" x14ac:dyDescent="0.25">
      <c r="A91" s="36"/>
      <c r="B91" s="36"/>
      <c r="C91" s="36"/>
      <c r="D91" s="36"/>
    </row>
    <row r="92" spans="1:4" customFormat="1" x14ac:dyDescent="0.25">
      <c r="A92" s="36"/>
      <c r="B92" s="36"/>
      <c r="C92" s="36"/>
      <c r="D92" s="36"/>
    </row>
    <row r="93" spans="1:4" customFormat="1" x14ac:dyDescent="0.25">
      <c r="A93" s="36"/>
      <c r="B93" s="36"/>
      <c r="C93" s="36"/>
      <c r="D93" s="36"/>
    </row>
    <row r="94" spans="1:4" customFormat="1" x14ac:dyDescent="0.25">
      <c r="A94" s="36"/>
      <c r="B94" s="36"/>
      <c r="C94" s="36"/>
      <c r="D94" s="36"/>
    </row>
    <row r="95" spans="1:4" customFormat="1" x14ac:dyDescent="0.25">
      <c r="A95" s="36"/>
      <c r="B95" s="36"/>
      <c r="C95" s="36"/>
      <c r="D95" s="36"/>
    </row>
    <row r="96" spans="1:4" customFormat="1" x14ac:dyDescent="0.25">
      <c r="A96" s="36"/>
      <c r="B96" s="36"/>
      <c r="C96" s="36"/>
      <c r="D96" s="36"/>
    </row>
    <row r="97" spans="1:4" customFormat="1" x14ac:dyDescent="0.25">
      <c r="A97" s="36"/>
      <c r="B97" s="36"/>
      <c r="C97" s="36"/>
      <c r="D97" s="36"/>
    </row>
    <row r="98" spans="1:4" customFormat="1" x14ac:dyDescent="0.25">
      <c r="A98" s="36"/>
      <c r="B98" s="36"/>
      <c r="C98" s="36"/>
      <c r="D98" s="36"/>
    </row>
    <row r="99" spans="1:4" customFormat="1" x14ac:dyDescent="0.25">
      <c r="A99" s="36"/>
      <c r="B99" s="36"/>
      <c r="C99" s="36"/>
      <c r="D99" s="36"/>
    </row>
    <row r="100" spans="1:4" customFormat="1" x14ac:dyDescent="0.25">
      <c r="A100" s="36"/>
      <c r="B100" s="36"/>
      <c r="C100" s="36"/>
      <c r="D100" s="36"/>
    </row>
    <row r="101" spans="1:4" customFormat="1" x14ac:dyDescent="0.25">
      <c r="A101" s="36"/>
      <c r="B101" s="36"/>
      <c r="C101" s="36"/>
      <c r="D101" s="36"/>
    </row>
    <row r="102" spans="1:4" customFormat="1" x14ac:dyDescent="0.25">
      <c r="A102" s="36"/>
      <c r="B102" s="36"/>
      <c r="C102" s="36"/>
      <c r="D102" s="36"/>
    </row>
    <row r="103" spans="1:4" customFormat="1" x14ac:dyDescent="0.25">
      <c r="A103" s="36"/>
      <c r="B103" s="36"/>
      <c r="C103" s="36"/>
      <c r="D103" s="36"/>
    </row>
    <row r="104" spans="1:4" customFormat="1" x14ac:dyDescent="0.25">
      <c r="A104" s="36"/>
      <c r="B104" s="36"/>
      <c r="C104" s="36"/>
      <c r="D104" s="36"/>
    </row>
    <row r="105" spans="1:4" customFormat="1" x14ac:dyDescent="0.25">
      <c r="A105" s="36"/>
      <c r="B105" s="36"/>
      <c r="C105" s="36"/>
      <c r="D105" s="36"/>
    </row>
    <row r="106" spans="1:4" customFormat="1" x14ac:dyDescent="0.25">
      <c r="A106" s="36"/>
      <c r="B106" s="36"/>
      <c r="C106" s="36"/>
      <c r="D106" s="36"/>
    </row>
    <row r="107" spans="1:4" customFormat="1" x14ac:dyDescent="0.25">
      <c r="A107" s="36"/>
      <c r="B107" s="36"/>
      <c r="C107" s="36"/>
      <c r="D107" s="36"/>
    </row>
    <row r="108" spans="1:4" customFormat="1" x14ac:dyDescent="0.25">
      <c r="A108" s="36"/>
      <c r="B108" s="36"/>
      <c r="C108" s="36"/>
      <c r="D108" s="36"/>
    </row>
    <row r="109" spans="1:4" customFormat="1" x14ac:dyDescent="0.25">
      <c r="A109" s="36"/>
      <c r="B109" s="36"/>
      <c r="C109" s="36"/>
      <c r="D109" s="36"/>
    </row>
    <row r="110" spans="1:4" customFormat="1" x14ac:dyDescent="0.25">
      <c r="A110" s="36"/>
      <c r="B110" s="36"/>
      <c r="C110" s="36"/>
      <c r="D110" s="36"/>
    </row>
    <row r="111" spans="1:4" customFormat="1" x14ac:dyDescent="0.25">
      <c r="A111" s="36"/>
      <c r="B111" s="36"/>
      <c r="C111" s="36"/>
      <c r="D111" s="36"/>
    </row>
    <row r="112" spans="1:4" customFormat="1" x14ac:dyDescent="0.25">
      <c r="A112" s="36"/>
      <c r="B112" s="36"/>
      <c r="C112" s="36"/>
      <c r="D112" s="36"/>
    </row>
    <row r="113" spans="1:4" customFormat="1" x14ac:dyDescent="0.25">
      <c r="A113" s="36"/>
      <c r="B113" s="36"/>
      <c r="C113" s="36"/>
      <c r="D113" s="36"/>
    </row>
    <row r="114" spans="1:4" customFormat="1" x14ac:dyDescent="0.25">
      <c r="A114" s="36"/>
      <c r="B114" s="36"/>
      <c r="C114" s="36"/>
      <c r="D114" s="36"/>
    </row>
    <row r="115" spans="1:4" customFormat="1" x14ac:dyDescent="0.25">
      <c r="A115" s="36"/>
      <c r="B115" s="36"/>
      <c r="C115" s="36"/>
      <c r="D115" s="36"/>
    </row>
    <row r="116" spans="1:4" customFormat="1" x14ac:dyDescent="0.25">
      <c r="A116" s="36"/>
      <c r="B116" s="36"/>
      <c r="C116" s="36"/>
      <c r="D116" s="36"/>
    </row>
    <row r="117" spans="1:4" customFormat="1" x14ac:dyDescent="0.25">
      <c r="A117" s="36"/>
      <c r="B117" s="36"/>
      <c r="C117" s="36"/>
      <c r="D117" s="36"/>
    </row>
    <row r="118" spans="1:4" customFormat="1" x14ac:dyDescent="0.25">
      <c r="A118" s="36"/>
      <c r="B118" s="36"/>
      <c r="C118" s="36"/>
      <c r="D118" s="36"/>
    </row>
    <row r="119" spans="1:4" customFormat="1" x14ac:dyDescent="0.25">
      <c r="A119" s="36"/>
      <c r="B119" s="36"/>
      <c r="C119" s="36"/>
      <c r="D119" s="36"/>
    </row>
    <row r="120" spans="1:4" customFormat="1" x14ac:dyDescent="0.25">
      <c r="A120" s="36"/>
      <c r="B120" s="36"/>
      <c r="C120" s="36"/>
      <c r="D120" s="36"/>
    </row>
    <row r="121" spans="1:4" customFormat="1" x14ac:dyDescent="0.25">
      <c r="A121" s="36"/>
      <c r="B121" s="36"/>
      <c r="C121" s="36"/>
      <c r="D121" s="36"/>
    </row>
    <row r="122" spans="1:4" customFormat="1" x14ac:dyDescent="0.25">
      <c r="A122" s="36"/>
      <c r="B122" s="36"/>
      <c r="C122" s="36"/>
      <c r="D122" s="36"/>
    </row>
    <row r="123" spans="1:4" customFormat="1" x14ac:dyDescent="0.25">
      <c r="A123" s="36"/>
      <c r="B123" s="36"/>
      <c r="C123" s="36"/>
      <c r="D123" s="36"/>
    </row>
    <row r="124" spans="1:4" customFormat="1" x14ac:dyDescent="0.25">
      <c r="A124" s="36"/>
      <c r="B124" s="36"/>
      <c r="C124" s="36"/>
      <c r="D124" s="36"/>
    </row>
    <row r="125" spans="1:4" customFormat="1" x14ac:dyDescent="0.25">
      <c r="A125" s="36"/>
      <c r="B125" s="36"/>
      <c r="C125" s="36"/>
      <c r="D125" s="36"/>
    </row>
    <row r="126" spans="1:4" customFormat="1" x14ac:dyDescent="0.25">
      <c r="A126" s="36"/>
      <c r="B126" s="36"/>
      <c r="C126" s="36"/>
      <c r="D126" s="36"/>
    </row>
    <row r="127" spans="1:4" customFormat="1" x14ac:dyDescent="0.25">
      <c r="A127" s="36"/>
      <c r="B127" s="36"/>
      <c r="C127" s="36"/>
      <c r="D127" s="36"/>
    </row>
    <row r="128" spans="1:4" customFormat="1" x14ac:dyDescent="0.25">
      <c r="A128" s="36"/>
      <c r="B128" s="36"/>
      <c r="C128" s="36"/>
      <c r="D128" s="36"/>
    </row>
    <row r="129" spans="1:4" customFormat="1" x14ac:dyDescent="0.25">
      <c r="A129" s="36"/>
      <c r="B129" s="36"/>
      <c r="C129" s="36"/>
      <c r="D129" s="36"/>
    </row>
    <row r="130" spans="1:4" customFormat="1" x14ac:dyDescent="0.25">
      <c r="A130" s="36"/>
      <c r="B130" s="36"/>
      <c r="C130" s="36"/>
      <c r="D130" s="36"/>
    </row>
    <row r="131" spans="1:4" customFormat="1" x14ac:dyDescent="0.25">
      <c r="A131" s="36"/>
      <c r="B131" s="36"/>
      <c r="C131" s="36"/>
      <c r="D131" s="36"/>
    </row>
    <row r="132" spans="1:4" customFormat="1" x14ac:dyDescent="0.25">
      <c r="A132" s="36"/>
      <c r="B132" s="36"/>
      <c r="C132" s="36"/>
      <c r="D132" s="36"/>
    </row>
    <row r="133" spans="1:4" customFormat="1" x14ac:dyDescent="0.25">
      <c r="A133" s="36"/>
      <c r="B133" s="36"/>
      <c r="C133" s="36"/>
      <c r="D133" s="36"/>
    </row>
    <row r="134" spans="1:4" customFormat="1" x14ac:dyDescent="0.25">
      <c r="A134" s="36"/>
      <c r="B134" s="36"/>
      <c r="C134" s="36"/>
      <c r="D134" s="36"/>
    </row>
    <row r="135" spans="1:4" customFormat="1" x14ac:dyDescent="0.25">
      <c r="A135" s="36"/>
      <c r="B135" s="36"/>
      <c r="C135" s="36"/>
      <c r="D135" s="36"/>
    </row>
    <row r="136" spans="1:4" customFormat="1" x14ac:dyDescent="0.25">
      <c r="A136" s="36"/>
      <c r="B136" s="36"/>
      <c r="C136" s="36"/>
      <c r="D136" s="36"/>
    </row>
    <row r="137" spans="1:4" customFormat="1" x14ac:dyDescent="0.25">
      <c r="A137" s="36"/>
      <c r="B137" s="36"/>
      <c r="C137" s="36"/>
      <c r="D137" s="36"/>
    </row>
    <row r="138" spans="1:4" customFormat="1" x14ac:dyDescent="0.25">
      <c r="A138" s="36"/>
      <c r="B138" s="36"/>
      <c r="C138" s="36"/>
      <c r="D138" s="36"/>
    </row>
    <row r="139" spans="1:4" customFormat="1" x14ac:dyDescent="0.25">
      <c r="A139" s="36"/>
      <c r="B139" s="36"/>
      <c r="C139" s="36"/>
      <c r="D139" s="36"/>
    </row>
    <row r="140" spans="1:4" customFormat="1" x14ac:dyDescent="0.25">
      <c r="A140" s="36"/>
      <c r="B140" s="36"/>
      <c r="C140" s="36"/>
      <c r="D140" s="36"/>
    </row>
    <row r="141" spans="1:4" customFormat="1" x14ac:dyDescent="0.25">
      <c r="A141" s="36"/>
      <c r="B141" s="36"/>
      <c r="C141" s="36"/>
      <c r="D141" s="36"/>
    </row>
    <row r="142" spans="1:4" customFormat="1" x14ac:dyDescent="0.25">
      <c r="A142" s="36"/>
      <c r="B142" s="36"/>
      <c r="C142" s="36"/>
      <c r="D142" s="36"/>
    </row>
    <row r="143" spans="1:4" customFormat="1" x14ac:dyDescent="0.25">
      <c r="A143" s="36"/>
      <c r="B143" s="36"/>
      <c r="C143" s="36"/>
      <c r="D143" s="36"/>
    </row>
    <row r="144" spans="1:4" customFormat="1" x14ac:dyDescent="0.25">
      <c r="A144" s="36"/>
      <c r="B144" s="36"/>
      <c r="C144" s="36"/>
      <c r="D144" s="36"/>
    </row>
    <row r="145" spans="1:4" customFormat="1" x14ac:dyDescent="0.25">
      <c r="A145" s="36"/>
      <c r="B145" s="36"/>
      <c r="C145" s="36"/>
      <c r="D145" s="36"/>
    </row>
    <row r="146" spans="1:4" customFormat="1" x14ac:dyDescent="0.25">
      <c r="A146" s="36"/>
      <c r="B146" s="36"/>
      <c r="C146" s="36"/>
      <c r="D146" s="36"/>
    </row>
    <row r="147" spans="1:4" customFormat="1" x14ac:dyDescent="0.25">
      <c r="A147" s="36"/>
      <c r="B147" s="36"/>
      <c r="C147" s="36"/>
      <c r="D147" s="36"/>
    </row>
    <row r="148" spans="1:4" customFormat="1" x14ac:dyDescent="0.25">
      <c r="A148" s="36"/>
      <c r="B148" s="36"/>
      <c r="C148" s="36"/>
      <c r="D148" s="36"/>
    </row>
    <row r="149" spans="1:4" customFormat="1" x14ac:dyDescent="0.25">
      <c r="A149" s="36"/>
      <c r="B149" s="36"/>
      <c r="C149" s="36"/>
      <c r="D149" s="36"/>
    </row>
    <row r="150" spans="1:4" customFormat="1" x14ac:dyDescent="0.25">
      <c r="A150" s="36"/>
      <c r="B150" s="36"/>
      <c r="C150" s="36"/>
      <c r="D150" s="36"/>
    </row>
    <row r="151" spans="1:4" customFormat="1" x14ac:dyDescent="0.25">
      <c r="A151" s="36"/>
      <c r="B151" s="36"/>
      <c r="C151" s="36"/>
      <c r="D151" s="36"/>
    </row>
    <row r="152" spans="1:4" customFormat="1" x14ac:dyDescent="0.25">
      <c r="A152" s="36"/>
      <c r="B152" s="36"/>
      <c r="C152" s="36"/>
      <c r="D152" s="36"/>
    </row>
    <row r="153" spans="1:4" customFormat="1" x14ac:dyDescent="0.25">
      <c r="A153" s="36"/>
      <c r="B153" s="36"/>
      <c r="C153" s="36"/>
      <c r="D153" s="36"/>
    </row>
    <row r="154" spans="1:4" customFormat="1" x14ac:dyDescent="0.25">
      <c r="A154" s="36"/>
      <c r="B154" s="36"/>
      <c r="C154" s="36"/>
      <c r="D154" s="36"/>
    </row>
    <row r="155" spans="1:4" customFormat="1" x14ac:dyDescent="0.25">
      <c r="A155" s="36"/>
      <c r="B155" s="36"/>
      <c r="C155" s="36"/>
      <c r="D155" s="36"/>
    </row>
    <row r="156" spans="1:4" customFormat="1" x14ac:dyDescent="0.25">
      <c r="A156" s="36"/>
      <c r="B156" s="36"/>
      <c r="C156" s="36"/>
      <c r="D156" s="36"/>
    </row>
    <row r="157" spans="1:4" customFormat="1" x14ac:dyDescent="0.25">
      <c r="A157" s="36"/>
      <c r="B157" s="36"/>
      <c r="C157" s="36"/>
      <c r="D157" s="36"/>
    </row>
    <row r="158" spans="1:4" customFormat="1" x14ac:dyDescent="0.25">
      <c r="A158" s="36"/>
      <c r="B158" s="36"/>
      <c r="C158" s="36"/>
      <c r="D158" s="36"/>
    </row>
    <row r="159" spans="1:4" customFormat="1" x14ac:dyDescent="0.25">
      <c r="A159" s="36"/>
      <c r="B159" s="36"/>
      <c r="C159" s="36"/>
      <c r="D159" s="36"/>
    </row>
    <row r="160" spans="1:4" customFormat="1" x14ac:dyDescent="0.25">
      <c r="A160" s="36"/>
      <c r="B160" s="36"/>
      <c r="C160" s="36"/>
      <c r="D160" s="36"/>
    </row>
    <row r="161" spans="1:4" customFormat="1" x14ac:dyDescent="0.25">
      <c r="A161" s="36"/>
      <c r="B161" s="36"/>
      <c r="C161" s="36"/>
      <c r="D161" s="36"/>
    </row>
    <row r="162" spans="1:4" customFormat="1" x14ac:dyDescent="0.25">
      <c r="A162" s="36"/>
      <c r="B162" s="36"/>
      <c r="C162" s="36"/>
      <c r="D162" s="36"/>
    </row>
    <row r="163" spans="1:4" customFormat="1" x14ac:dyDescent="0.25">
      <c r="A163" s="36"/>
      <c r="B163" s="36"/>
      <c r="C163" s="36"/>
      <c r="D163" s="36"/>
    </row>
    <row r="164" spans="1:4" customFormat="1" x14ac:dyDescent="0.25">
      <c r="A164" s="36"/>
      <c r="B164" s="36"/>
      <c r="C164" s="36"/>
      <c r="D164" s="36"/>
    </row>
    <row r="165" spans="1:4" customFormat="1" x14ac:dyDescent="0.25">
      <c r="A165" s="36"/>
      <c r="B165" s="36"/>
      <c r="C165" s="36"/>
      <c r="D165" s="36"/>
    </row>
    <row r="166" spans="1:4" customFormat="1" x14ac:dyDescent="0.25">
      <c r="A166" s="36"/>
      <c r="B166" s="36"/>
      <c r="C166" s="36"/>
      <c r="D166" s="36"/>
    </row>
    <row r="167" spans="1:4" customFormat="1" x14ac:dyDescent="0.25">
      <c r="A167" s="36"/>
      <c r="B167" s="36"/>
      <c r="C167" s="36"/>
      <c r="D167" s="36"/>
    </row>
    <row r="168" spans="1:4" customFormat="1" x14ac:dyDescent="0.25">
      <c r="A168" s="36"/>
      <c r="B168" s="36"/>
      <c r="C168" s="36"/>
      <c r="D168" s="36"/>
    </row>
    <row r="169" spans="1:4" customFormat="1" x14ac:dyDescent="0.25">
      <c r="A169" s="36"/>
      <c r="B169" s="36"/>
      <c r="C169" s="36"/>
      <c r="D169" s="36"/>
    </row>
    <row r="170" spans="1:4" customFormat="1" x14ac:dyDescent="0.25">
      <c r="A170" s="36"/>
      <c r="B170" s="36"/>
      <c r="C170" s="36"/>
      <c r="D170" s="36"/>
    </row>
    <row r="171" spans="1:4" customFormat="1" x14ac:dyDescent="0.25">
      <c r="A171" s="36"/>
      <c r="B171" s="36"/>
      <c r="C171" s="36"/>
      <c r="D171" s="36"/>
    </row>
    <row r="172" spans="1:4" customFormat="1" x14ac:dyDescent="0.25">
      <c r="A172" s="36"/>
      <c r="B172" s="36"/>
      <c r="C172" s="36"/>
      <c r="D172" s="36"/>
    </row>
    <row r="173" spans="1:4" customFormat="1" x14ac:dyDescent="0.25">
      <c r="A173" s="36"/>
      <c r="B173" s="36"/>
      <c r="C173" s="36"/>
      <c r="D173" s="36"/>
    </row>
    <row r="174" spans="1:4" customFormat="1" x14ac:dyDescent="0.25">
      <c r="A174" s="36"/>
      <c r="B174" s="36"/>
      <c r="C174" s="36"/>
      <c r="D174" s="36"/>
    </row>
    <row r="175" spans="1:4" customFormat="1" x14ac:dyDescent="0.25">
      <c r="A175" s="36"/>
      <c r="B175" s="36"/>
      <c r="C175" s="36"/>
      <c r="D175" s="36"/>
    </row>
    <row r="176" spans="1:4" customFormat="1" x14ac:dyDescent="0.25">
      <c r="A176" s="36"/>
      <c r="B176" s="36"/>
      <c r="C176" s="36"/>
      <c r="D176" s="36"/>
    </row>
    <row r="177" spans="1:4" customFormat="1" x14ac:dyDescent="0.25">
      <c r="A177" s="36"/>
      <c r="B177" s="36"/>
      <c r="C177" s="36"/>
      <c r="D177" s="36"/>
    </row>
    <row r="178" spans="1:4" customFormat="1" x14ac:dyDescent="0.25">
      <c r="A178" s="36"/>
      <c r="B178" s="36"/>
      <c r="C178" s="36"/>
      <c r="D178" s="36"/>
    </row>
    <row r="179" spans="1:4" customFormat="1" x14ac:dyDescent="0.25">
      <c r="A179" s="36"/>
      <c r="B179" s="36"/>
      <c r="C179" s="36"/>
      <c r="D179" s="36"/>
    </row>
    <row r="180" spans="1:4" customFormat="1" x14ac:dyDescent="0.25">
      <c r="A180" s="36"/>
      <c r="B180" s="36"/>
      <c r="C180" s="36"/>
      <c r="D180" s="36"/>
    </row>
    <row r="181" spans="1:4" customFormat="1" x14ac:dyDescent="0.25">
      <c r="A181" s="36"/>
      <c r="B181" s="36"/>
      <c r="C181" s="36"/>
      <c r="D181" s="36"/>
    </row>
    <row r="182" spans="1:4" customFormat="1" x14ac:dyDescent="0.25">
      <c r="A182" s="36"/>
      <c r="B182" s="36"/>
      <c r="C182" s="36"/>
      <c r="D182" s="36"/>
    </row>
    <row r="183" spans="1:4" customFormat="1" x14ac:dyDescent="0.25">
      <c r="A183" s="36"/>
      <c r="B183" s="36"/>
      <c r="C183" s="36"/>
      <c r="D183" s="36"/>
    </row>
    <row r="184" spans="1:4" customFormat="1" x14ac:dyDescent="0.25">
      <c r="A184" s="36"/>
      <c r="B184" s="36"/>
      <c r="C184" s="36"/>
      <c r="D184" s="36"/>
    </row>
    <row r="185" spans="1:4" customFormat="1" x14ac:dyDescent="0.25">
      <c r="A185" s="36"/>
      <c r="B185" s="36"/>
      <c r="C185" s="36"/>
      <c r="D185" s="36"/>
    </row>
    <row r="186" spans="1:4" customFormat="1" x14ac:dyDescent="0.25">
      <c r="A186" s="36"/>
      <c r="B186" s="36"/>
      <c r="C186" s="36"/>
      <c r="D186" s="36"/>
    </row>
    <row r="187" spans="1:4" customFormat="1" x14ac:dyDescent="0.25">
      <c r="A187" s="36"/>
      <c r="B187" s="36"/>
      <c r="C187" s="36"/>
      <c r="D187" s="36"/>
    </row>
    <row r="188" spans="1:4" customFormat="1" x14ac:dyDescent="0.25">
      <c r="A188" s="36"/>
      <c r="B188" s="36"/>
      <c r="C188" s="36"/>
      <c r="D188" s="36"/>
    </row>
    <row r="189" spans="1:4" customFormat="1" x14ac:dyDescent="0.25">
      <c r="A189" s="36"/>
      <c r="B189" s="36"/>
      <c r="C189" s="36"/>
      <c r="D189" s="36"/>
    </row>
    <row r="190" spans="1:4" customFormat="1" x14ac:dyDescent="0.25">
      <c r="A190" s="36"/>
      <c r="B190" s="36"/>
      <c r="C190" s="36"/>
      <c r="D190" s="36"/>
    </row>
    <row r="191" spans="1:4" customFormat="1" x14ac:dyDescent="0.25">
      <c r="A191" s="36"/>
      <c r="B191" s="36"/>
      <c r="C191" s="36"/>
      <c r="D191" s="36"/>
    </row>
    <row r="192" spans="1:4" customFormat="1" x14ac:dyDescent="0.25">
      <c r="A192" s="36"/>
      <c r="B192" s="36"/>
      <c r="C192" s="36"/>
      <c r="D192" s="36"/>
    </row>
    <row r="193" spans="1:4" customFormat="1" x14ac:dyDescent="0.25">
      <c r="A193" s="36"/>
      <c r="B193" s="36"/>
      <c r="C193" s="36"/>
      <c r="D193" s="36"/>
    </row>
    <row r="194" spans="1:4" customFormat="1" x14ac:dyDescent="0.25">
      <c r="A194" s="36"/>
      <c r="B194" s="36"/>
      <c r="C194" s="36"/>
      <c r="D194" s="36"/>
    </row>
    <row r="195" spans="1:4" customFormat="1" x14ac:dyDescent="0.25">
      <c r="A195" s="36"/>
      <c r="B195" s="36"/>
      <c r="C195" s="36"/>
      <c r="D195" s="36"/>
    </row>
    <row r="196" spans="1:4" customFormat="1" x14ac:dyDescent="0.25">
      <c r="A196" s="36"/>
      <c r="B196" s="36"/>
      <c r="C196" s="36"/>
      <c r="D196" s="36"/>
    </row>
    <row r="197" spans="1:4" customFormat="1" x14ac:dyDescent="0.25">
      <c r="A197" s="36"/>
      <c r="B197" s="36"/>
      <c r="C197" s="36"/>
      <c r="D197" s="36"/>
    </row>
    <row r="198" spans="1:4" customFormat="1" x14ac:dyDescent="0.25">
      <c r="A198" s="36"/>
      <c r="B198" s="36"/>
      <c r="C198" s="36"/>
      <c r="D198" s="36"/>
    </row>
    <row r="199" spans="1:4" customFormat="1" x14ac:dyDescent="0.25">
      <c r="A199" s="36"/>
      <c r="B199" s="36"/>
      <c r="C199" s="36"/>
      <c r="D199" s="36"/>
    </row>
    <row r="200" spans="1:4" customFormat="1" x14ac:dyDescent="0.25">
      <c r="A200" s="36"/>
      <c r="B200" s="36"/>
      <c r="C200" s="36"/>
      <c r="D200" s="36"/>
    </row>
    <row r="201" spans="1:4" customFormat="1" x14ac:dyDescent="0.25">
      <c r="A201" s="36"/>
      <c r="B201" s="36"/>
      <c r="C201" s="36"/>
      <c r="D201" s="36"/>
    </row>
    <row r="202" spans="1:4" customFormat="1" x14ac:dyDescent="0.25">
      <c r="A202" s="36"/>
      <c r="B202" s="36"/>
      <c r="C202" s="36"/>
      <c r="D202" s="36"/>
    </row>
    <row r="203" spans="1:4" customFormat="1" x14ac:dyDescent="0.25">
      <c r="A203" s="36"/>
      <c r="B203" s="36"/>
      <c r="C203" s="36"/>
      <c r="D203" s="36"/>
    </row>
    <row r="204" spans="1:4" customFormat="1" x14ac:dyDescent="0.25">
      <c r="A204" s="36"/>
      <c r="B204" s="36"/>
      <c r="C204" s="36"/>
      <c r="D204" s="36"/>
    </row>
    <row r="205" spans="1:4" customFormat="1" x14ac:dyDescent="0.25">
      <c r="A205" s="36"/>
      <c r="B205" s="36"/>
      <c r="C205" s="36"/>
      <c r="D205" s="36"/>
    </row>
    <row r="206" spans="1:4" customFormat="1" x14ac:dyDescent="0.25">
      <c r="A206" s="36"/>
      <c r="B206" s="36"/>
      <c r="C206" s="36"/>
      <c r="D206" s="36"/>
    </row>
    <row r="207" spans="1:4" customFormat="1" x14ac:dyDescent="0.25">
      <c r="A207" s="36"/>
      <c r="B207" s="36"/>
      <c r="C207" s="36"/>
      <c r="D207" s="36"/>
    </row>
    <row r="208" spans="1:4" customFormat="1" x14ac:dyDescent="0.25">
      <c r="A208" s="36"/>
      <c r="B208" s="36"/>
      <c r="C208" s="36"/>
      <c r="D208" s="36"/>
    </row>
    <row r="209" spans="1:4" customFormat="1" x14ac:dyDescent="0.25">
      <c r="A209" s="36"/>
      <c r="B209" s="36"/>
      <c r="C209" s="36"/>
      <c r="D209" s="36"/>
    </row>
    <row r="210" spans="1:4" customFormat="1" x14ac:dyDescent="0.25">
      <c r="A210" s="36"/>
      <c r="B210" s="36"/>
      <c r="C210" s="36"/>
      <c r="D210" s="36"/>
    </row>
    <row r="211" spans="1:4" customFormat="1" x14ac:dyDescent="0.25">
      <c r="A211" s="36"/>
      <c r="B211" s="36"/>
      <c r="C211" s="36"/>
      <c r="D211" s="36"/>
    </row>
    <row r="212" spans="1:4" customFormat="1" x14ac:dyDescent="0.25">
      <c r="A212" s="36"/>
      <c r="B212" s="36"/>
      <c r="C212" s="36"/>
      <c r="D212" s="36"/>
    </row>
    <row r="213" spans="1:4" customFormat="1" x14ac:dyDescent="0.25">
      <c r="A213" s="36"/>
      <c r="B213" s="36"/>
      <c r="C213" s="36"/>
      <c r="D213" s="36"/>
    </row>
    <row r="214" spans="1:4" customFormat="1" x14ac:dyDescent="0.25">
      <c r="A214" s="36"/>
      <c r="B214" s="36"/>
      <c r="C214" s="36"/>
      <c r="D214" s="36"/>
    </row>
    <row r="215" spans="1:4" customFormat="1" x14ac:dyDescent="0.25">
      <c r="A215" s="36"/>
      <c r="B215" s="36"/>
      <c r="C215" s="36"/>
      <c r="D215" s="36"/>
    </row>
    <row r="216" spans="1:4" customFormat="1" x14ac:dyDescent="0.25">
      <c r="A216" s="36"/>
      <c r="B216" s="36"/>
      <c r="C216" s="36"/>
      <c r="D216" s="36"/>
    </row>
    <row r="217" spans="1:4" customFormat="1" x14ac:dyDescent="0.25">
      <c r="A217" s="36"/>
      <c r="B217" s="36"/>
      <c r="C217" s="36"/>
      <c r="D217" s="36"/>
    </row>
    <row r="218" spans="1:4" customFormat="1" x14ac:dyDescent="0.25">
      <c r="A218" s="36"/>
      <c r="B218" s="36"/>
      <c r="C218" s="36"/>
      <c r="D218" s="36"/>
    </row>
    <row r="219" spans="1:4" customFormat="1" x14ac:dyDescent="0.25">
      <c r="A219" s="36"/>
      <c r="B219" s="36"/>
      <c r="C219" s="36"/>
      <c r="D219" s="36"/>
    </row>
    <row r="220" spans="1:4" customFormat="1" x14ac:dyDescent="0.25">
      <c r="A220" s="36"/>
      <c r="B220" s="36"/>
      <c r="C220" s="36"/>
      <c r="D220" s="36"/>
    </row>
    <row r="221" spans="1:4" customFormat="1" x14ac:dyDescent="0.25">
      <c r="A221" s="36"/>
      <c r="B221" s="36"/>
      <c r="C221" s="36"/>
      <c r="D221" s="36"/>
    </row>
    <row r="222" spans="1:4" customFormat="1" x14ac:dyDescent="0.25">
      <c r="A222" s="36"/>
      <c r="B222" s="36"/>
      <c r="C222" s="36"/>
      <c r="D222" s="36"/>
    </row>
    <row r="223" spans="1:4" customFormat="1" x14ac:dyDescent="0.25">
      <c r="A223" s="36"/>
      <c r="B223" s="36"/>
      <c r="C223" s="36"/>
      <c r="D223" s="36"/>
    </row>
    <row r="224" spans="1:4" customFormat="1" x14ac:dyDescent="0.25">
      <c r="A224" s="36"/>
      <c r="B224" s="36"/>
      <c r="C224" s="36"/>
      <c r="D224" s="36"/>
    </row>
    <row r="225" spans="1:4" customFormat="1" x14ac:dyDescent="0.25">
      <c r="A225" s="36"/>
      <c r="B225" s="36"/>
      <c r="C225" s="36"/>
      <c r="D225" s="36"/>
    </row>
    <row r="226" spans="1:4" customFormat="1" x14ac:dyDescent="0.25">
      <c r="A226" s="36"/>
      <c r="B226" s="36"/>
      <c r="C226" s="36"/>
      <c r="D226" s="36"/>
    </row>
    <row r="227" spans="1:4" customFormat="1" x14ac:dyDescent="0.25">
      <c r="A227" s="36"/>
      <c r="B227" s="36"/>
      <c r="C227" s="36"/>
      <c r="D227" s="36"/>
    </row>
    <row r="228" spans="1:4" customFormat="1" x14ac:dyDescent="0.25">
      <c r="A228" s="36"/>
      <c r="B228" s="36"/>
      <c r="C228" s="36"/>
      <c r="D228" s="36"/>
    </row>
    <row r="229" spans="1:4" customFormat="1" x14ac:dyDescent="0.25">
      <c r="A229" s="36"/>
      <c r="B229" s="36"/>
      <c r="C229" s="36"/>
      <c r="D229" s="36"/>
    </row>
    <row r="230" spans="1:4" customFormat="1" x14ac:dyDescent="0.25">
      <c r="A230" s="36"/>
      <c r="B230" s="36"/>
      <c r="C230" s="36"/>
      <c r="D230" s="36"/>
    </row>
    <row r="231" spans="1:4" customFormat="1" x14ac:dyDescent="0.25">
      <c r="A231" s="36"/>
      <c r="B231" s="36"/>
      <c r="C231" s="36"/>
      <c r="D231" s="36"/>
    </row>
    <row r="232" spans="1:4" customFormat="1" x14ac:dyDescent="0.25">
      <c r="A232" s="36"/>
      <c r="B232" s="36"/>
      <c r="C232" s="36"/>
      <c r="D232" s="36"/>
    </row>
    <row r="233" spans="1:4" customFormat="1" x14ac:dyDescent="0.25">
      <c r="A233" s="36"/>
      <c r="B233" s="36"/>
      <c r="C233" s="36"/>
      <c r="D233" s="36"/>
    </row>
    <row r="234" spans="1:4" customFormat="1" x14ac:dyDescent="0.25">
      <c r="A234" s="36"/>
      <c r="B234" s="36"/>
      <c r="C234" s="36"/>
      <c r="D234" s="36"/>
    </row>
    <row r="235" spans="1:4" customFormat="1" x14ac:dyDescent="0.25">
      <c r="A235" s="36"/>
      <c r="B235" s="36"/>
      <c r="C235" s="36"/>
      <c r="D235" s="36"/>
    </row>
    <row r="236" spans="1:4" customFormat="1" x14ac:dyDescent="0.25">
      <c r="A236" s="36"/>
      <c r="B236" s="36"/>
      <c r="C236" s="36"/>
      <c r="D236" s="36"/>
    </row>
    <row r="237" spans="1:4" customFormat="1" x14ac:dyDescent="0.25">
      <c r="A237" s="36"/>
      <c r="B237" s="36"/>
      <c r="C237" s="36"/>
      <c r="D237" s="36"/>
    </row>
    <row r="238" spans="1:4" customFormat="1" x14ac:dyDescent="0.25">
      <c r="A238" s="36"/>
      <c r="B238" s="36"/>
      <c r="C238" s="36"/>
      <c r="D238" s="36"/>
    </row>
    <row r="239" spans="1:4" customFormat="1" x14ac:dyDescent="0.25">
      <c r="A239" s="36"/>
      <c r="B239" s="36"/>
      <c r="C239" s="36"/>
      <c r="D239" s="36"/>
    </row>
    <row r="240" spans="1:4" customFormat="1" x14ac:dyDescent="0.25">
      <c r="A240" s="36"/>
      <c r="B240" s="36"/>
      <c r="C240" s="36"/>
      <c r="D240" s="36"/>
    </row>
    <row r="241" spans="1:4" customFormat="1" x14ac:dyDescent="0.25">
      <c r="A241" s="36"/>
      <c r="B241" s="36"/>
      <c r="C241" s="36"/>
      <c r="D241" s="36"/>
    </row>
    <row r="242" spans="1:4" customFormat="1" x14ac:dyDescent="0.25">
      <c r="A242" s="36"/>
      <c r="B242" s="36"/>
      <c r="C242" s="36"/>
      <c r="D242" s="36"/>
    </row>
    <row r="243" spans="1:4" customFormat="1" x14ac:dyDescent="0.25">
      <c r="A243" s="36"/>
      <c r="B243" s="36"/>
      <c r="C243" s="36"/>
      <c r="D243" s="36"/>
    </row>
    <row r="244" spans="1:4" customFormat="1" x14ac:dyDescent="0.25">
      <c r="A244" s="36"/>
      <c r="B244" s="36"/>
      <c r="C244" s="36"/>
      <c r="D244" s="36"/>
    </row>
    <row r="245" spans="1:4" customFormat="1" x14ac:dyDescent="0.25">
      <c r="A245" s="36"/>
      <c r="B245" s="36"/>
      <c r="C245" s="36"/>
      <c r="D245" s="36"/>
    </row>
    <row r="246" spans="1:4" customFormat="1" x14ac:dyDescent="0.25">
      <c r="A246" s="36"/>
      <c r="B246" s="36"/>
      <c r="C246" s="36"/>
      <c r="D246" s="36"/>
    </row>
    <row r="247" spans="1:4" customFormat="1" x14ac:dyDescent="0.25">
      <c r="A247" s="36"/>
      <c r="B247" s="36"/>
      <c r="C247" s="36"/>
      <c r="D247" s="36"/>
    </row>
    <row r="248" spans="1:4" customFormat="1" x14ac:dyDescent="0.25">
      <c r="A248" s="36"/>
      <c r="B248" s="36"/>
      <c r="C248" s="36"/>
      <c r="D248" s="36"/>
    </row>
    <row r="249" spans="1:4" customFormat="1" x14ac:dyDescent="0.25">
      <c r="A249" s="36"/>
      <c r="B249" s="36"/>
      <c r="C249" s="36"/>
      <c r="D249" s="36"/>
    </row>
    <row r="250" spans="1:4" customFormat="1" x14ac:dyDescent="0.25">
      <c r="A250" s="36"/>
      <c r="B250" s="36"/>
      <c r="C250" s="36"/>
      <c r="D250" s="36"/>
    </row>
    <row r="251" spans="1:4" customFormat="1" x14ac:dyDescent="0.25">
      <c r="A251" s="36"/>
      <c r="B251" s="36"/>
      <c r="C251" s="36"/>
      <c r="D251" s="36"/>
    </row>
    <row r="252" spans="1:4" customFormat="1" x14ac:dyDescent="0.25">
      <c r="A252" s="36"/>
      <c r="B252" s="36"/>
      <c r="C252" s="36"/>
      <c r="D252" s="36"/>
    </row>
    <row r="253" spans="1:4" customFormat="1" x14ac:dyDescent="0.25">
      <c r="A253" s="36"/>
      <c r="B253" s="36"/>
      <c r="C253" s="36"/>
      <c r="D253" s="36"/>
    </row>
    <row r="254" spans="1:4" customFormat="1" x14ac:dyDescent="0.25">
      <c r="A254" s="36"/>
      <c r="B254" s="36"/>
      <c r="C254" s="36"/>
      <c r="D254" s="36"/>
    </row>
    <row r="255" spans="1:4" customFormat="1" x14ac:dyDescent="0.25">
      <c r="A255" s="36"/>
      <c r="B255" s="36"/>
      <c r="C255" s="36"/>
      <c r="D255" s="36"/>
    </row>
    <row r="256" spans="1:4" customFormat="1" x14ac:dyDescent="0.25">
      <c r="A256" s="36"/>
      <c r="B256" s="36"/>
      <c r="C256" s="36"/>
      <c r="D256" s="36"/>
    </row>
    <row r="257" spans="1:4" customFormat="1" x14ac:dyDescent="0.25">
      <c r="A257" s="36"/>
      <c r="B257" s="36"/>
      <c r="C257" s="36"/>
      <c r="D257" s="36"/>
    </row>
    <row r="258" spans="1:4" customFormat="1" x14ac:dyDescent="0.25">
      <c r="A258" s="36"/>
      <c r="B258" s="36"/>
      <c r="C258" s="36"/>
      <c r="D258" s="36"/>
    </row>
    <row r="259" spans="1:4" customFormat="1" x14ac:dyDescent="0.25">
      <c r="A259" s="36"/>
      <c r="B259" s="36"/>
      <c r="C259" s="36"/>
      <c r="D259" s="36"/>
    </row>
    <row r="260" spans="1:4" customFormat="1" x14ac:dyDescent="0.25">
      <c r="A260" s="36"/>
      <c r="B260" s="36"/>
      <c r="C260" s="36"/>
      <c r="D260" s="36"/>
    </row>
    <row r="261" spans="1:4" customFormat="1" x14ac:dyDescent="0.25">
      <c r="A261" s="36"/>
      <c r="B261" s="36"/>
      <c r="C261" s="36"/>
      <c r="D261" s="36"/>
    </row>
    <row r="262" spans="1:4" customFormat="1" x14ac:dyDescent="0.25">
      <c r="A262" s="36"/>
      <c r="B262" s="36"/>
      <c r="C262" s="36"/>
      <c r="D262" s="36"/>
    </row>
    <row r="263" spans="1:4" customFormat="1" x14ac:dyDescent="0.25">
      <c r="A263" s="36"/>
      <c r="B263" s="36"/>
      <c r="C263" s="36"/>
      <c r="D263" s="36"/>
    </row>
    <row r="264" spans="1:4" customFormat="1" x14ac:dyDescent="0.25">
      <c r="A264" s="36"/>
      <c r="B264" s="36"/>
      <c r="C264" s="36"/>
      <c r="D264" s="36"/>
    </row>
    <row r="265" spans="1:4" customFormat="1" x14ac:dyDescent="0.25">
      <c r="A265" s="36"/>
      <c r="B265" s="36"/>
      <c r="C265" s="36"/>
      <c r="D265" s="36"/>
    </row>
    <row r="266" spans="1:4" customFormat="1" x14ac:dyDescent="0.25">
      <c r="A266" s="36"/>
      <c r="B266" s="36"/>
      <c r="C266" s="36"/>
      <c r="D266" s="36"/>
    </row>
    <row r="267" spans="1:4" customFormat="1" x14ac:dyDescent="0.25">
      <c r="A267" s="36"/>
      <c r="B267" s="36"/>
      <c r="C267" s="36"/>
      <c r="D267" s="36"/>
    </row>
    <row r="268" spans="1:4" customFormat="1" x14ac:dyDescent="0.25">
      <c r="A268" s="36"/>
      <c r="B268" s="36"/>
      <c r="C268" s="36"/>
      <c r="D268" s="36"/>
    </row>
    <row r="269" spans="1:4" customFormat="1" x14ac:dyDescent="0.25">
      <c r="A269" s="36"/>
      <c r="B269" s="36"/>
      <c r="C269" s="36"/>
      <c r="D269" s="36"/>
    </row>
    <row r="270" spans="1:4" customFormat="1" x14ac:dyDescent="0.25">
      <c r="A270" s="36"/>
      <c r="B270" s="36"/>
      <c r="C270" s="36"/>
      <c r="D270" s="36"/>
    </row>
    <row r="271" spans="1:4" customFormat="1" x14ac:dyDescent="0.25">
      <c r="A271" s="36"/>
      <c r="B271" s="36"/>
      <c r="C271" s="36"/>
      <c r="D271" s="36"/>
    </row>
    <row r="272" spans="1:4" customFormat="1" x14ac:dyDescent="0.25">
      <c r="A272" s="36"/>
      <c r="B272" s="36"/>
      <c r="C272" s="36"/>
      <c r="D272" s="36"/>
    </row>
    <row r="273" spans="1:4" customFormat="1" x14ac:dyDescent="0.25">
      <c r="A273" s="36"/>
      <c r="B273" s="36"/>
      <c r="C273" s="36"/>
      <c r="D273" s="36"/>
    </row>
    <row r="274" spans="1:4" customFormat="1" x14ac:dyDescent="0.25">
      <c r="A274" s="36"/>
      <c r="B274" s="36"/>
      <c r="C274" s="36"/>
      <c r="D274" s="36"/>
    </row>
    <row r="275" spans="1:4" customFormat="1" x14ac:dyDescent="0.25">
      <c r="A275" s="36"/>
      <c r="B275" s="36"/>
      <c r="C275" s="36"/>
      <c r="D275" s="36"/>
    </row>
    <row r="276" spans="1:4" customFormat="1" x14ac:dyDescent="0.25">
      <c r="A276" s="36"/>
      <c r="B276" s="36"/>
      <c r="C276" s="36"/>
      <c r="D276" s="36"/>
    </row>
    <row r="277" spans="1:4" customFormat="1" x14ac:dyDescent="0.25">
      <c r="A277" s="36"/>
      <c r="B277" s="36"/>
      <c r="C277" s="36"/>
      <c r="D277" s="36"/>
    </row>
    <row r="278" spans="1:4" customFormat="1" x14ac:dyDescent="0.25">
      <c r="A278" s="36"/>
      <c r="B278" s="36"/>
      <c r="C278" s="36"/>
      <c r="D278" s="36"/>
    </row>
    <row r="279" spans="1:4" customFormat="1" x14ac:dyDescent="0.25">
      <c r="A279" s="36"/>
      <c r="B279" s="36"/>
      <c r="C279" s="36"/>
      <c r="D279" s="36"/>
    </row>
    <row r="280" spans="1:4" customFormat="1" x14ac:dyDescent="0.25">
      <c r="A280" s="36"/>
      <c r="B280" s="36"/>
      <c r="C280" s="36"/>
      <c r="D280" s="36"/>
    </row>
    <row r="281" spans="1:4" customFormat="1" x14ac:dyDescent="0.25">
      <c r="A281" s="36"/>
      <c r="B281" s="36"/>
      <c r="C281" s="36"/>
      <c r="D281" s="36"/>
    </row>
    <row r="282" spans="1:4" customFormat="1" x14ac:dyDescent="0.25">
      <c r="A282" s="36"/>
      <c r="B282" s="36"/>
      <c r="C282" s="36"/>
      <c r="D282" s="36"/>
    </row>
    <row r="283" spans="1:4" customFormat="1" x14ac:dyDescent="0.25">
      <c r="A283" s="36"/>
      <c r="B283" s="36"/>
      <c r="C283" s="36"/>
      <c r="D283" s="36"/>
    </row>
    <row r="284" spans="1:4" customFormat="1" x14ac:dyDescent="0.25">
      <c r="A284" s="36"/>
      <c r="B284" s="36"/>
      <c r="C284" s="36"/>
      <c r="D284" s="36"/>
    </row>
    <row r="285" spans="1:4" customFormat="1" x14ac:dyDescent="0.25">
      <c r="A285" s="36"/>
      <c r="B285" s="36"/>
      <c r="C285" s="36"/>
      <c r="D285" s="36"/>
    </row>
    <row r="286" spans="1:4" customFormat="1" x14ac:dyDescent="0.25">
      <c r="A286" s="36"/>
      <c r="B286" s="36"/>
      <c r="C286" s="36"/>
      <c r="D286" s="36"/>
    </row>
    <row r="287" spans="1:4" customFormat="1" x14ac:dyDescent="0.25">
      <c r="A287" s="36"/>
      <c r="B287" s="36"/>
      <c r="C287" s="36"/>
      <c r="D287" s="36"/>
    </row>
    <row r="288" spans="1:4" customFormat="1" x14ac:dyDescent="0.25">
      <c r="A288" s="36"/>
      <c r="B288" s="36"/>
      <c r="C288" s="36"/>
      <c r="D288" s="36"/>
    </row>
    <row r="289" spans="1:4" customFormat="1" x14ac:dyDescent="0.25">
      <c r="A289" s="36"/>
      <c r="B289" s="36"/>
      <c r="C289" s="36"/>
      <c r="D289" s="36"/>
    </row>
    <row r="290" spans="1:4" customFormat="1" x14ac:dyDescent="0.25">
      <c r="A290" s="36"/>
      <c r="B290" s="36"/>
      <c r="C290" s="36"/>
      <c r="D290" s="36"/>
    </row>
    <row r="291" spans="1:4" customFormat="1" x14ac:dyDescent="0.25">
      <c r="A291" s="36"/>
      <c r="B291" s="36"/>
      <c r="C291" s="36"/>
      <c r="D291" s="36"/>
    </row>
    <row r="292" spans="1:4" customFormat="1" x14ac:dyDescent="0.25">
      <c r="A292" s="36"/>
      <c r="B292" s="36"/>
      <c r="C292" s="36"/>
      <c r="D292" s="36"/>
    </row>
    <row r="293" spans="1:4" customFormat="1" x14ac:dyDescent="0.25">
      <c r="A293" s="36"/>
      <c r="B293" s="36"/>
      <c r="C293" s="36"/>
      <c r="D293" s="36"/>
    </row>
    <row r="294" spans="1:4" customFormat="1" x14ac:dyDescent="0.25">
      <c r="A294" s="36"/>
      <c r="B294" s="36"/>
      <c r="C294" s="36"/>
      <c r="D294" s="36"/>
    </row>
    <row r="295" spans="1:4" customFormat="1" x14ac:dyDescent="0.25">
      <c r="A295" s="36"/>
      <c r="B295" s="36"/>
      <c r="C295" s="36"/>
      <c r="D295" s="36"/>
    </row>
    <row r="296" spans="1:4" customFormat="1" x14ac:dyDescent="0.25">
      <c r="A296" s="36"/>
      <c r="B296" s="36"/>
      <c r="C296" s="36"/>
      <c r="D296" s="36"/>
    </row>
    <row r="297" spans="1:4" customFormat="1" x14ac:dyDescent="0.25">
      <c r="A297" s="36"/>
      <c r="B297" s="36"/>
      <c r="C297" s="36"/>
      <c r="D297" s="36"/>
    </row>
    <row r="298" spans="1:4" customFormat="1" x14ac:dyDescent="0.25">
      <c r="A298" s="36"/>
      <c r="B298" s="36"/>
      <c r="C298" s="36"/>
      <c r="D298" s="36"/>
    </row>
    <row r="299" spans="1:4" customFormat="1" x14ac:dyDescent="0.25">
      <c r="A299" s="36"/>
      <c r="B299" s="36"/>
      <c r="C299" s="36"/>
      <c r="D299" s="36"/>
    </row>
    <row r="300" spans="1:4" customFormat="1" x14ac:dyDescent="0.25">
      <c r="A300" s="36"/>
      <c r="B300" s="36"/>
      <c r="C300" s="36"/>
      <c r="D300" s="36"/>
    </row>
    <row r="301" spans="1:4" customFormat="1" x14ac:dyDescent="0.25">
      <c r="A301" s="36"/>
      <c r="B301" s="36"/>
      <c r="C301" s="36"/>
      <c r="D301" s="36"/>
    </row>
    <row r="302" spans="1:4" customFormat="1" x14ac:dyDescent="0.25">
      <c r="A302" s="36"/>
      <c r="B302" s="36"/>
      <c r="C302" s="36"/>
      <c r="D302" s="36"/>
    </row>
    <row r="303" spans="1:4" customFormat="1" x14ac:dyDescent="0.25">
      <c r="A303" s="36"/>
      <c r="B303" s="36"/>
      <c r="C303" s="36"/>
      <c r="D303" s="36"/>
    </row>
    <row r="304" spans="1:4" customFormat="1" x14ac:dyDescent="0.25">
      <c r="A304" s="36"/>
      <c r="B304" s="36"/>
      <c r="C304" s="36"/>
      <c r="D304" s="36"/>
    </row>
    <row r="305" spans="1:41" customFormat="1" x14ac:dyDescent="0.25">
      <c r="A305" s="36"/>
      <c r="B305" s="36"/>
      <c r="C305" s="36"/>
      <c r="D305" s="36"/>
    </row>
    <row r="306" spans="1:41" customFormat="1" x14ac:dyDescent="0.25">
      <c r="A306" s="36"/>
      <c r="B306" s="36"/>
      <c r="C306" s="36"/>
      <c r="D306" s="36"/>
    </row>
    <row r="307" spans="1:41" customFormat="1" x14ac:dyDescent="0.25">
      <c r="A307" s="36"/>
      <c r="B307" s="36"/>
      <c r="C307" s="36"/>
      <c r="D307" s="36"/>
    </row>
    <row r="308" spans="1:41" customFormat="1" x14ac:dyDescent="0.25">
      <c r="A308" s="36"/>
      <c r="B308" s="36"/>
      <c r="C308" s="36"/>
      <c r="D308" s="36"/>
    </row>
    <row r="309" spans="1:41" customFormat="1" x14ac:dyDescent="0.25">
      <c r="A309" s="36"/>
      <c r="B309" s="36"/>
      <c r="C309" s="36"/>
      <c r="D309" s="36"/>
    </row>
    <row r="310" spans="1:41" customFormat="1" x14ac:dyDescent="0.25">
      <c r="A310" s="36"/>
      <c r="B310" s="36"/>
      <c r="C310" s="36"/>
      <c r="D310" s="36"/>
    </row>
    <row r="311" spans="1:41" customFormat="1" x14ac:dyDescent="0.25">
      <c r="A311" s="36"/>
      <c r="B311" s="36"/>
      <c r="C311" s="36"/>
      <c r="D311" s="36"/>
    </row>
    <row r="312" spans="1:41" customFormat="1" x14ac:dyDescent="0.25">
      <c r="A312" s="36"/>
      <c r="B312" s="36"/>
      <c r="C312" s="36"/>
      <c r="D312" s="36"/>
    </row>
    <row r="313" spans="1:41" customFormat="1" x14ac:dyDescent="0.25">
      <c r="A313" s="36"/>
      <c r="B313" s="36"/>
      <c r="C313" s="36"/>
      <c r="D313" s="36"/>
    </row>
    <row r="314" spans="1:41" customFormat="1" x14ac:dyDescent="0.25">
      <c r="A314" s="36"/>
      <c r="B314" s="36"/>
      <c r="C314" s="36"/>
      <c r="D314" s="36"/>
    </row>
    <row r="315" spans="1:41" x14ac:dyDescent="0.25">
      <c r="E315" s="37"/>
    </row>
    <row r="316" spans="1:41" x14ac:dyDescent="0.25">
      <c r="E316" s="37"/>
    </row>
    <row r="317" spans="1:41" x14ac:dyDescent="0.25">
      <c r="E317" s="37"/>
    </row>
    <row r="318" spans="1:41" x14ac:dyDescent="0.25">
      <c r="E318" s="37"/>
    </row>
    <row r="319" spans="1:41" x14ac:dyDescent="0.25">
      <c r="E319" s="37"/>
      <c r="AN319" s="45"/>
      <c r="AO319" s="45"/>
    </row>
    <row r="320" spans="1:41" x14ac:dyDescent="0.25">
      <c r="E320" s="37"/>
      <c r="AN320" s="45"/>
      <c r="AO320" s="45"/>
    </row>
    <row r="321" spans="5:41" x14ac:dyDescent="0.25">
      <c r="E321" s="37"/>
      <c r="AN321" s="45"/>
      <c r="AO321" s="45"/>
    </row>
    <row r="322" spans="5:41" x14ac:dyDescent="0.25">
      <c r="E322" s="37"/>
      <c r="AN322" s="45"/>
      <c r="AO322" s="45"/>
    </row>
    <row r="323" spans="5:41" x14ac:dyDescent="0.25">
      <c r="E323" s="37"/>
      <c r="AN323" s="45"/>
      <c r="AO323" s="45"/>
    </row>
    <row r="324" spans="5:41" x14ac:dyDescent="0.25">
      <c r="E324" s="37"/>
      <c r="AN324" s="45"/>
      <c r="AO324" s="45"/>
    </row>
    <row r="325" spans="5:41" x14ac:dyDescent="0.25">
      <c r="E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AN325" s="45"/>
      <c r="AO325" s="45"/>
    </row>
    <row r="326" spans="5:41" x14ac:dyDescent="0.25">
      <c r="E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AN326" s="45"/>
      <c r="AO326" s="45"/>
    </row>
    <row r="327" spans="5:41" x14ac:dyDescent="0.25">
      <c r="E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AN327" s="45"/>
      <c r="AO327" s="45"/>
    </row>
    <row r="328" spans="5:41" x14ac:dyDescent="0.25">
      <c r="E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AN328" s="45"/>
      <c r="AO328" s="45"/>
    </row>
    <row r="329" spans="5:41" x14ac:dyDescent="0.25">
      <c r="E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Y329" s="37"/>
      <c r="AN329" s="45"/>
      <c r="AO329" s="45"/>
    </row>
    <row r="330" spans="5:41" x14ac:dyDescent="0.25">
      <c r="E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Y330" s="37"/>
      <c r="AN330" s="45"/>
      <c r="AO330" s="45"/>
    </row>
    <row r="331" spans="5:41" x14ac:dyDescent="0.25">
      <c r="E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Y331" s="37"/>
      <c r="AN331" s="45"/>
      <c r="AO331" s="45"/>
    </row>
    <row r="332" spans="5:41" x14ac:dyDescent="0.25">
      <c r="E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Y332" s="37"/>
      <c r="AN332" s="45"/>
      <c r="AO332" s="45"/>
    </row>
    <row r="333" spans="5:41" x14ac:dyDescent="0.25">
      <c r="E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Y333" s="37"/>
      <c r="AN333" s="45"/>
      <c r="AO333" s="45"/>
    </row>
    <row r="334" spans="5:41" x14ac:dyDescent="0.25">
      <c r="E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Y334" s="37"/>
      <c r="AN334" s="45"/>
      <c r="AO334" s="45"/>
    </row>
    <row r="335" spans="5:41" x14ac:dyDescent="0.25">
      <c r="E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Y335" s="37"/>
      <c r="AN335" s="45"/>
      <c r="AO335" s="45"/>
    </row>
    <row r="336" spans="5:41" x14ac:dyDescent="0.25">
      <c r="E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Y336" s="37"/>
      <c r="AN336" s="45"/>
      <c r="AO336" s="45"/>
    </row>
    <row r="337" spans="5:41" x14ac:dyDescent="0.25">
      <c r="E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AN337" s="45"/>
      <c r="AO337" s="45"/>
    </row>
    <row r="338" spans="5:41" x14ac:dyDescent="0.25">
      <c r="E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AN338" s="45"/>
      <c r="AO338" s="45"/>
    </row>
    <row r="339" spans="5:41" x14ac:dyDescent="0.25">
      <c r="E339" s="37"/>
      <c r="AN339" s="45"/>
      <c r="AO339" s="45"/>
    </row>
    <row r="340" spans="5:41" x14ac:dyDescent="0.25">
      <c r="E340" s="37"/>
      <c r="AN340" s="45"/>
      <c r="AO340" s="45"/>
    </row>
    <row r="341" spans="5:41" x14ac:dyDescent="0.25">
      <c r="E341" s="37"/>
      <c r="AN341" s="45"/>
      <c r="AO341" s="45"/>
    </row>
    <row r="342" spans="5:41" x14ac:dyDescent="0.25">
      <c r="E342" s="37"/>
      <c r="AN342" s="45"/>
      <c r="AO342" s="45"/>
    </row>
    <row r="343" spans="5:41" x14ac:dyDescent="0.25">
      <c r="E343" s="37"/>
      <c r="AN343" s="45"/>
    </row>
    <row r="344" spans="5:41" x14ac:dyDescent="0.25">
      <c r="E344" s="37"/>
    </row>
    <row r="345" spans="5:41" x14ac:dyDescent="0.25">
      <c r="E345" s="37"/>
    </row>
    <row r="346" spans="5:41" x14ac:dyDescent="0.25">
      <c r="E346" s="37"/>
    </row>
    <row r="347" spans="5:41" x14ac:dyDescent="0.25">
      <c r="E347" s="37"/>
    </row>
    <row r="348" spans="5:41" x14ac:dyDescent="0.25">
      <c r="E348" s="37"/>
    </row>
    <row r="349" spans="5:41" x14ac:dyDescent="0.25">
      <c r="E349" s="37"/>
    </row>
    <row r="350" spans="5:41" x14ac:dyDescent="0.25">
      <c r="E350" s="37"/>
    </row>
    <row r="351" spans="5:41" x14ac:dyDescent="0.25">
      <c r="E351" s="37"/>
    </row>
    <row r="352" spans="5:41" x14ac:dyDescent="0.25">
      <c r="E352" s="37"/>
    </row>
    <row r="353" spans="5:5" x14ac:dyDescent="0.25">
      <c r="E353" s="37"/>
    </row>
    <row r="354" spans="5:5" x14ac:dyDescent="0.25">
      <c r="E354" s="37"/>
    </row>
    <row r="355" spans="5:5" x14ac:dyDescent="0.25">
      <c r="E355" s="37"/>
    </row>
    <row r="356" spans="5:5" x14ac:dyDescent="0.25">
      <c r="E356" s="37"/>
    </row>
    <row r="357" spans="5:5" x14ac:dyDescent="0.25">
      <c r="E357" s="37"/>
    </row>
    <row r="358" spans="5:5" x14ac:dyDescent="0.25">
      <c r="E358" s="37"/>
    </row>
    <row r="359" spans="5:5" x14ac:dyDescent="0.25">
      <c r="E359" s="37"/>
    </row>
    <row r="360" spans="5:5" x14ac:dyDescent="0.25">
      <c r="E360" s="37"/>
    </row>
    <row r="361" spans="5:5" x14ac:dyDescent="0.25">
      <c r="E361" s="37"/>
    </row>
    <row r="362" spans="5:5" x14ac:dyDescent="0.25">
      <c r="E362" s="37"/>
    </row>
    <row r="363" spans="5:5" x14ac:dyDescent="0.25">
      <c r="E363" s="37"/>
    </row>
    <row r="364" spans="5:5" x14ac:dyDescent="0.25">
      <c r="E364" s="37"/>
    </row>
    <row r="365" spans="5:5" x14ac:dyDescent="0.25">
      <c r="E365" s="37"/>
    </row>
    <row r="366" spans="5:5" x14ac:dyDescent="0.25">
      <c r="E366" s="37"/>
    </row>
    <row r="367" spans="5:5" x14ac:dyDescent="0.25">
      <c r="E367" s="37"/>
    </row>
    <row r="368" spans="5:5" x14ac:dyDescent="0.25">
      <c r="E368" s="37"/>
    </row>
    <row r="369" spans="5:5" x14ac:dyDescent="0.25">
      <c r="E369" s="37"/>
    </row>
    <row r="370" spans="5:5" x14ac:dyDescent="0.25">
      <c r="E370" s="37"/>
    </row>
    <row r="371" spans="5:5" x14ac:dyDescent="0.25">
      <c r="E371" s="37"/>
    </row>
    <row r="372" spans="5:5" x14ac:dyDescent="0.25">
      <c r="E372" s="37"/>
    </row>
    <row r="373" spans="5:5" x14ac:dyDescent="0.25">
      <c r="E373" s="37"/>
    </row>
    <row r="374" spans="5:5" x14ac:dyDescent="0.25">
      <c r="E374" s="37"/>
    </row>
    <row r="375" spans="5:5" x14ac:dyDescent="0.25">
      <c r="E375" s="37"/>
    </row>
    <row r="376" spans="5:5" x14ac:dyDescent="0.25">
      <c r="E376" s="37"/>
    </row>
    <row r="377" spans="5:5" x14ac:dyDescent="0.25">
      <c r="E377" s="37"/>
    </row>
    <row r="378" spans="5:5" x14ac:dyDescent="0.25">
      <c r="E378" s="37"/>
    </row>
    <row r="379" spans="5:5" x14ac:dyDescent="0.25">
      <c r="E379" s="37"/>
    </row>
    <row r="380" spans="5:5" x14ac:dyDescent="0.25">
      <c r="E380" s="37"/>
    </row>
    <row r="381" spans="5:5" x14ac:dyDescent="0.25">
      <c r="E381" s="37"/>
    </row>
    <row r="382" spans="5:5" x14ac:dyDescent="0.25">
      <c r="E382" s="37"/>
    </row>
    <row r="383" spans="5:5" x14ac:dyDescent="0.25">
      <c r="E383" s="37"/>
    </row>
    <row r="384" spans="5:5" x14ac:dyDescent="0.25">
      <c r="E384" s="37"/>
    </row>
    <row r="385" spans="5:5" x14ac:dyDescent="0.25">
      <c r="E385" s="37"/>
    </row>
    <row r="386" spans="5:5" x14ac:dyDescent="0.25">
      <c r="E386" s="37"/>
    </row>
    <row r="387" spans="5:5" x14ac:dyDescent="0.25">
      <c r="E387" s="37"/>
    </row>
    <row r="388" spans="5:5" x14ac:dyDescent="0.25">
      <c r="E388" s="37"/>
    </row>
    <row r="389" spans="5:5" x14ac:dyDescent="0.25">
      <c r="E389" s="37"/>
    </row>
    <row r="390" spans="5:5" x14ac:dyDescent="0.25">
      <c r="E390" s="37"/>
    </row>
    <row r="391" spans="5:5" x14ac:dyDescent="0.25">
      <c r="E391" s="37"/>
    </row>
    <row r="392" spans="5:5" x14ac:dyDescent="0.25">
      <c r="E392" s="37"/>
    </row>
    <row r="393" spans="5:5" x14ac:dyDescent="0.25">
      <c r="E393" s="37"/>
    </row>
    <row r="394" spans="5:5" x14ac:dyDescent="0.25">
      <c r="E394" s="37"/>
    </row>
    <row r="395" spans="5:5" x14ac:dyDescent="0.25">
      <c r="E395" s="37"/>
    </row>
    <row r="396" spans="5:5" x14ac:dyDescent="0.25">
      <c r="E396" s="37"/>
    </row>
    <row r="397" spans="5:5" x14ac:dyDescent="0.25">
      <c r="E397" s="37"/>
    </row>
    <row r="398" spans="5:5" x14ac:dyDescent="0.25">
      <c r="E398" s="37"/>
    </row>
    <row r="399" spans="5:5" x14ac:dyDescent="0.25">
      <c r="E399" s="37"/>
    </row>
    <row r="400" spans="5:5" x14ac:dyDescent="0.25">
      <c r="E400" s="37"/>
    </row>
    <row r="401" spans="5:5" x14ac:dyDescent="0.25">
      <c r="E401" s="37"/>
    </row>
    <row r="402" spans="5:5" x14ac:dyDescent="0.25">
      <c r="E402" s="37"/>
    </row>
    <row r="403" spans="5:5" x14ac:dyDescent="0.25">
      <c r="E403" s="37"/>
    </row>
    <row r="404" spans="5:5" x14ac:dyDescent="0.25">
      <c r="E404" s="37"/>
    </row>
    <row r="405" spans="5:5" x14ac:dyDescent="0.25">
      <c r="E405" s="37"/>
    </row>
    <row r="406" spans="5:5" x14ac:dyDescent="0.25">
      <c r="E406" s="37"/>
    </row>
    <row r="407" spans="5:5" x14ac:dyDescent="0.25">
      <c r="E407" s="37"/>
    </row>
    <row r="408" spans="5:5" x14ac:dyDescent="0.25">
      <c r="E408" s="37"/>
    </row>
    <row r="409" spans="5:5" x14ac:dyDescent="0.25">
      <c r="E409" s="37"/>
    </row>
    <row r="410" spans="5:5" x14ac:dyDescent="0.25">
      <c r="E410" s="37"/>
    </row>
    <row r="411" spans="5:5" x14ac:dyDescent="0.25">
      <c r="E411" s="37"/>
    </row>
    <row r="412" spans="5:5" x14ac:dyDescent="0.25">
      <c r="E412" s="37"/>
    </row>
    <row r="413" spans="5:5" x14ac:dyDescent="0.25">
      <c r="E413" s="37"/>
    </row>
    <row r="414" spans="5:5" x14ac:dyDescent="0.25">
      <c r="E414" s="37"/>
    </row>
    <row r="415" spans="5:5" x14ac:dyDescent="0.25">
      <c r="E415" s="37"/>
    </row>
    <row r="416" spans="5:5" x14ac:dyDescent="0.25">
      <c r="E416" s="37"/>
    </row>
    <row r="417" spans="5:5" x14ac:dyDescent="0.25">
      <c r="E417" s="37"/>
    </row>
    <row r="418" spans="5:5" x14ac:dyDescent="0.25">
      <c r="E418" s="37"/>
    </row>
    <row r="419" spans="5:5" x14ac:dyDescent="0.25">
      <c r="E419" s="37"/>
    </row>
    <row r="420" spans="5:5" x14ac:dyDescent="0.25">
      <c r="E420" s="37"/>
    </row>
    <row r="421" spans="5:5" x14ac:dyDescent="0.25">
      <c r="E421" s="37"/>
    </row>
    <row r="422" spans="5:5" x14ac:dyDescent="0.25">
      <c r="E422" s="37"/>
    </row>
    <row r="423" spans="5:5" x14ac:dyDescent="0.25">
      <c r="E423" s="37"/>
    </row>
    <row r="424" spans="5:5" x14ac:dyDescent="0.25">
      <c r="E424" s="37"/>
    </row>
    <row r="425" spans="5:5" x14ac:dyDescent="0.25">
      <c r="E425" s="37"/>
    </row>
    <row r="426" spans="5:5" x14ac:dyDescent="0.25">
      <c r="E426" s="37"/>
    </row>
    <row r="427" spans="5:5" x14ac:dyDescent="0.25">
      <c r="E427" s="37"/>
    </row>
    <row r="428" spans="5:5" x14ac:dyDescent="0.25">
      <c r="E428" s="37"/>
    </row>
    <row r="429" spans="5:5" x14ac:dyDescent="0.25">
      <c r="E429" s="37"/>
    </row>
    <row r="430" spans="5:5" x14ac:dyDescent="0.25">
      <c r="E430" s="37"/>
    </row>
    <row r="431" spans="5:5" x14ac:dyDescent="0.25">
      <c r="E431" s="37"/>
    </row>
    <row r="432" spans="5:5" x14ac:dyDescent="0.25">
      <c r="E432" s="37"/>
    </row>
    <row r="433" spans="5:5" x14ac:dyDescent="0.25">
      <c r="E433" s="37"/>
    </row>
    <row r="434" spans="5:5" x14ac:dyDescent="0.25">
      <c r="E434" s="37"/>
    </row>
    <row r="435" spans="5:5" x14ac:dyDescent="0.25">
      <c r="E435" s="37"/>
    </row>
    <row r="436" spans="5:5" x14ac:dyDescent="0.25">
      <c r="E436" s="37"/>
    </row>
    <row r="437" spans="5:5" x14ac:dyDescent="0.25">
      <c r="E437" s="37"/>
    </row>
    <row r="438" spans="5:5" x14ac:dyDescent="0.25">
      <c r="E438" s="37"/>
    </row>
    <row r="439" spans="5:5" x14ac:dyDescent="0.25">
      <c r="E439" s="37"/>
    </row>
    <row r="440" spans="5:5" x14ac:dyDescent="0.25">
      <c r="E440" s="37"/>
    </row>
    <row r="441" spans="5:5" x14ac:dyDescent="0.25">
      <c r="E441" s="37"/>
    </row>
    <row r="442" spans="5:5" x14ac:dyDescent="0.25">
      <c r="E442" s="37"/>
    </row>
    <row r="443" spans="5:5" x14ac:dyDescent="0.25">
      <c r="E443" s="37"/>
    </row>
    <row r="444" spans="5:5" x14ac:dyDescent="0.25">
      <c r="E444" s="37"/>
    </row>
    <row r="445" spans="5:5" x14ac:dyDescent="0.25">
      <c r="E445" s="37"/>
    </row>
    <row r="446" spans="5:5" x14ac:dyDescent="0.25">
      <c r="E446" s="37"/>
    </row>
    <row r="447" spans="5:5" x14ac:dyDescent="0.25">
      <c r="E447" s="37"/>
    </row>
    <row r="448" spans="5:5" x14ac:dyDescent="0.25">
      <c r="E448" s="37"/>
    </row>
    <row r="449" spans="5:5" x14ac:dyDescent="0.25">
      <c r="E449" s="37"/>
    </row>
    <row r="450" spans="5:5" x14ac:dyDescent="0.25">
      <c r="E450" s="37"/>
    </row>
    <row r="451" spans="5:5" x14ac:dyDescent="0.25">
      <c r="E451" s="37"/>
    </row>
    <row r="452" spans="5:5" x14ac:dyDescent="0.25">
      <c r="E452" s="37"/>
    </row>
    <row r="453" spans="5:5" x14ac:dyDescent="0.25">
      <c r="E453" s="37"/>
    </row>
    <row r="454" spans="5:5" x14ac:dyDescent="0.25">
      <c r="E454" s="37"/>
    </row>
    <row r="455" spans="5:5" x14ac:dyDescent="0.25">
      <c r="E455" s="37"/>
    </row>
    <row r="456" spans="5:5" x14ac:dyDescent="0.25">
      <c r="E456" s="37"/>
    </row>
    <row r="457" spans="5:5" x14ac:dyDescent="0.25">
      <c r="E457" s="37"/>
    </row>
    <row r="458" spans="5:5" x14ac:dyDescent="0.25">
      <c r="E458" s="37"/>
    </row>
    <row r="459" spans="5:5" x14ac:dyDescent="0.25">
      <c r="E459" s="37"/>
    </row>
    <row r="460" spans="5:5" x14ac:dyDescent="0.25">
      <c r="E460" s="37"/>
    </row>
    <row r="461" spans="5:5" x14ac:dyDescent="0.25">
      <c r="E461" s="37"/>
    </row>
    <row r="462" spans="5:5" x14ac:dyDescent="0.25">
      <c r="E462" s="37"/>
    </row>
    <row r="463" spans="5:5" x14ac:dyDescent="0.25">
      <c r="E463" s="37"/>
    </row>
    <row r="464" spans="5:5" x14ac:dyDescent="0.25">
      <c r="E464" s="37"/>
    </row>
    <row r="465" spans="5:5" x14ac:dyDescent="0.25">
      <c r="E465" s="37"/>
    </row>
    <row r="466" spans="5:5" x14ac:dyDescent="0.25">
      <c r="E466" s="37"/>
    </row>
    <row r="467" spans="5:5" x14ac:dyDescent="0.25">
      <c r="E467" s="37"/>
    </row>
    <row r="468" spans="5:5" x14ac:dyDescent="0.25">
      <c r="E468" s="37"/>
    </row>
    <row r="469" spans="5:5" x14ac:dyDescent="0.25">
      <c r="E469" s="37"/>
    </row>
    <row r="470" spans="5:5" x14ac:dyDescent="0.25">
      <c r="E470" s="37"/>
    </row>
    <row r="471" spans="5:5" x14ac:dyDescent="0.25">
      <c r="E471" s="37"/>
    </row>
    <row r="472" spans="5:5" x14ac:dyDescent="0.25">
      <c r="E472" s="37"/>
    </row>
    <row r="473" spans="5:5" x14ac:dyDescent="0.25">
      <c r="E473" s="37"/>
    </row>
    <row r="474" spans="5:5" x14ac:dyDescent="0.25">
      <c r="E474" s="37"/>
    </row>
    <row r="475" spans="5:5" x14ac:dyDescent="0.25">
      <c r="E475" s="37"/>
    </row>
    <row r="476" spans="5:5" x14ac:dyDescent="0.25">
      <c r="E476" s="37"/>
    </row>
    <row r="477" spans="5:5" x14ac:dyDescent="0.25">
      <c r="E477" s="37"/>
    </row>
    <row r="478" spans="5:5" x14ac:dyDescent="0.25">
      <c r="E478" s="37"/>
    </row>
    <row r="479" spans="5:5" x14ac:dyDescent="0.25">
      <c r="E479" s="37"/>
    </row>
    <row r="480" spans="5:5" x14ac:dyDescent="0.25">
      <c r="E480" s="37"/>
    </row>
    <row r="481" spans="5:5" x14ac:dyDescent="0.25">
      <c r="E481" s="37"/>
    </row>
    <row r="482" spans="5:5" x14ac:dyDescent="0.25">
      <c r="E482" s="37"/>
    </row>
    <row r="483" spans="5:5" x14ac:dyDescent="0.25">
      <c r="E483" s="37"/>
    </row>
    <row r="484" spans="5:5" x14ac:dyDescent="0.25">
      <c r="E484" s="37"/>
    </row>
    <row r="485" spans="5:5" x14ac:dyDescent="0.25">
      <c r="E485" s="37"/>
    </row>
    <row r="486" spans="5:5" x14ac:dyDescent="0.25">
      <c r="E486" s="37"/>
    </row>
    <row r="487" spans="5:5" x14ac:dyDescent="0.25">
      <c r="E487" s="37"/>
    </row>
    <row r="488" spans="5:5" x14ac:dyDescent="0.25">
      <c r="E488" s="37"/>
    </row>
    <row r="489" spans="5:5" x14ac:dyDescent="0.25">
      <c r="E489" s="37"/>
    </row>
    <row r="490" spans="5:5" x14ac:dyDescent="0.25">
      <c r="E490" s="37"/>
    </row>
    <row r="491" spans="5:5" x14ac:dyDescent="0.25">
      <c r="E491" s="37"/>
    </row>
    <row r="492" spans="5:5" x14ac:dyDescent="0.25">
      <c r="E492" s="37"/>
    </row>
    <row r="493" spans="5:5" x14ac:dyDescent="0.25">
      <c r="E493" s="37"/>
    </row>
    <row r="494" spans="5:5" x14ac:dyDescent="0.25">
      <c r="E494" s="37"/>
    </row>
    <row r="495" spans="5:5" x14ac:dyDescent="0.25">
      <c r="E495" s="37"/>
    </row>
    <row r="496" spans="5:5" x14ac:dyDescent="0.25">
      <c r="E496" s="37"/>
    </row>
    <row r="497" spans="5:5" x14ac:dyDescent="0.25">
      <c r="E497" s="37"/>
    </row>
    <row r="498" spans="5:5" x14ac:dyDescent="0.25">
      <c r="E498" s="37"/>
    </row>
    <row r="499" spans="5:5" x14ac:dyDescent="0.25">
      <c r="E499" s="37"/>
    </row>
    <row r="500" spans="5:5" x14ac:dyDescent="0.25">
      <c r="E500" s="37"/>
    </row>
    <row r="501" spans="5:5" x14ac:dyDescent="0.25">
      <c r="E501" s="37"/>
    </row>
    <row r="502" spans="5:5" x14ac:dyDescent="0.25">
      <c r="E502" s="37"/>
    </row>
    <row r="503" spans="5:5" x14ac:dyDescent="0.25">
      <c r="E503" s="37"/>
    </row>
    <row r="504" spans="5:5" x14ac:dyDescent="0.25">
      <c r="E504" s="37"/>
    </row>
    <row r="505" spans="5:5" x14ac:dyDescent="0.25">
      <c r="E505" s="37"/>
    </row>
    <row r="506" spans="5:5" x14ac:dyDescent="0.25">
      <c r="E506" s="37"/>
    </row>
    <row r="507" spans="5:5" x14ac:dyDescent="0.25">
      <c r="E507" s="37"/>
    </row>
    <row r="508" spans="5:5" x14ac:dyDescent="0.25">
      <c r="E508" s="37"/>
    </row>
    <row r="509" spans="5:5" x14ac:dyDescent="0.25">
      <c r="E509" s="37"/>
    </row>
    <row r="510" spans="5:5" x14ac:dyDescent="0.25">
      <c r="E510" s="37"/>
    </row>
    <row r="511" spans="5:5" x14ac:dyDescent="0.25">
      <c r="E511" s="37"/>
    </row>
    <row r="512" spans="5:5" x14ac:dyDescent="0.25">
      <c r="E512" s="37"/>
    </row>
    <row r="513" spans="5:5" x14ac:dyDescent="0.25">
      <c r="E513" s="37"/>
    </row>
    <row r="514" spans="5:5" x14ac:dyDescent="0.25">
      <c r="E514" s="37"/>
    </row>
    <row r="515" spans="5:5" x14ac:dyDescent="0.25">
      <c r="E515" s="37"/>
    </row>
    <row r="516" spans="5:5" x14ac:dyDescent="0.25">
      <c r="E516" s="37"/>
    </row>
    <row r="517" spans="5:5" x14ac:dyDescent="0.25">
      <c r="E517" s="37"/>
    </row>
    <row r="518" spans="5:5" x14ac:dyDescent="0.25">
      <c r="E518" s="37"/>
    </row>
    <row r="519" spans="5:5" x14ac:dyDescent="0.25">
      <c r="E519" s="37"/>
    </row>
    <row r="520" spans="5:5" x14ac:dyDescent="0.25">
      <c r="E520" s="37"/>
    </row>
    <row r="521" spans="5:5" x14ac:dyDescent="0.25">
      <c r="E521" s="37"/>
    </row>
    <row r="522" spans="5:5" x14ac:dyDescent="0.25">
      <c r="E522" s="37"/>
    </row>
    <row r="523" spans="5:5" x14ac:dyDescent="0.25">
      <c r="E523" s="37"/>
    </row>
    <row r="524" spans="5:5" x14ac:dyDescent="0.25">
      <c r="E524" s="37"/>
    </row>
    <row r="525" spans="5:5" x14ac:dyDescent="0.25">
      <c r="E525" s="37"/>
    </row>
    <row r="526" spans="5:5" x14ac:dyDescent="0.25">
      <c r="E526" s="37"/>
    </row>
    <row r="527" spans="5:5" x14ac:dyDescent="0.25">
      <c r="E527" s="37"/>
    </row>
    <row r="528" spans="5:5" x14ac:dyDescent="0.25">
      <c r="E528" s="37"/>
    </row>
    <row r="529" spans="5:5" x14ac:dyDescent="0.25">
      <c r="E529" s="37"/>
    </row>
    <row r="530" spans="5:5" x14ac:dyDescent="0.25">
      <c r="E530" s="37"/>
    </row>
    <row r="531" spans="5:5" x14ac:dyDescent="0.25">
      <c r="E531" s="37"/>
    </row>
    <row r="532" spans="5:5" x14ac:dyDescent="0.25">
      <c r="E532" s="37"/>
    </row>
    <row r="533" spans="5:5" x14ac:dyDescent="0.25">
      <c r="E533" s="37"/>
    </row>
    <row r="534" spans="5:5" x14ac:dyDescent="0.25">
      <c r="E534" s="37"/>
    </row>
    <row r="535" spans="5:5" x14ac:dyDescent="0.25">
      <c r="E535" s="37"/>
    </row>
    <row r="536" spans="5:5" x14ac:dyDescent="0.25">
      <c r="E536" s="37"/>
    </row>
    <row r="537" spans="5:5" x14ac:dyDescent="0.25">
      <c r="E537" s="37"/>
    </row>
    <row r="538" spans="5:5" x14ac:dyDescent="0.25">
      <c r="E538" s="37"/>
    </row>
    <row r="539" spans="5:5" x14ac:dyDescent="0.25">
      <c r="E539" s="37"/>
    </row>
    <row r="540" spans="5:5" x14ac:dyDescent="0.25">
      <c r="E540" s="37"/>
    </row>
    <row r="541" spans="5:5" x14ac:dyDescent="0.25">
      <c r="E541" s="37"/>
    </row>
    <row r="542" spans="5:5" x14ac:dyDescent="0.25">
      <c r="E542" s="37"/>
    </row>
    <row r="543" spans="5:5" x14ac:dyDescent="0.25">
      <c r="E543" s="37"/>
    </row>
    <row r="544" spans="5:5" x14ac:dyDescent="0.25">
      <c r="E544" s="37"/>
    </row>
    <row r="545" spans="5:5" x14ac:dyDescent="0.25">
      <c r="E545" s="37"/>
    </row>
    <row r="546" spans="5:5" x14ac:dyDescent="0.25">
      <c r="E546" s="37"/>
    </row>
    <row r="547" spans="5:5" x14ac:dyDescent="0.25">
      <c r="E547" s="37"/>
    </row>
    <row r="548" spans="5:5" x14ac:dyDescent="0.25">
      <c r="E548" s="37"/>
    </row>
    <row r="549" spans="5:5" x14ac:dyDescent="0.25">
      <c r="E549" s="37"/>
    </row>
    <row r="550" spans="5:5" x14ac:dyDescent="0.25">
      <c r="E550" s="37"/>
    </row>
    <row r="551" spans="5:5" x14ac:dyDescent="0.25">
      <c r="E551" s="37"/>
    </row>
    <row r="552" spans="5:5" x14ac:dyDescent="0.25">
      <c r="E552" s="37"/>
    </row>
    <row r="553" spans="5:5" x14ac:dyDescent="0.25">
      <c r="E553" s="37"/>
    </row>
    <row r="554" spans="5:5" x14ac:dyDescent="0.25">
      <c r="E554" s="37"/>
    </row>
    <row r="555" spans="5:5" x14ac:dyDescent="0.25">
      <c r="E555" s="37"/>
    </row>
    <row r="556" spans="5:5" x14ac:dyDescent="0.25">
      <c r="E556" s="37"/>
    </row>
    <row r="557" spans="5:5" x14ac:dyDescent="0.25">
      <c r="E557" s="37"/>
    </row>
    <row r="558" spans="5:5" x14ac:dyDescent="0.25">
      <c r="E558" s="37"/>
    </row>
    <row r="559" spans="5:5" x14ac:dyDescent="0.25">
      <c r="E559" s="37"/>
    </row>
    <row r="560" spans="5:5" x14ac:dyDescent="0.25">
      <c r="E560" s="37"/>
    </row>
    <row r="561" spans="5:5" x14ac:dyDescent="0.25">
      <c r="E561" s="37"/>
    </row>
    <row r="562" spans="5:5" x14ac:dyDescent="0.25">
      <c r="E562" s="37"/>
    </row>
    <row r="563" spans="5:5" x14ac:dyDescent="0.25">
      <c r="E563" s="37"/>
    </row>
    <row r="564" spans="5:5" x14ac:dyDescent="0.25">
      <c r="E564" s="37"/>
    </row>
    <row r="565" spans="5:5" x14ac:dyDescent="0.25">
      <c r="E565" s="37"/>
    </row>
    <row r="566" spans="5:5" x14ac:dyDescent="0.25">
      <c r="E566" s="37"/>
    </row>
    <row r="567" spans="5:5" x14ac:dyDescent="0.25">
      <c r="E567" s="37"/>
    </row>
    <row r="568" spans="5:5" x14ac:dyDescent="0.25">
      <c r="E568" s="37"/>
    </row>
    <row r="569" spans="5:5" x14ac:dyDescent="0.25">
      <c r="E569" s="37"/>
    </row>
    <row r="570" spans="5:5" x14ac:dyDescent="0.25">
      <c r="E570" s="37"/>
    </row>
    <row r="571" spans="5:5" x14ac:dyDescent="0.25">
      <c r="E571" s="37"/>
    </row>
    <row r="572" spans="5:5" x14ac:dyDescent="0.25">
      <c r="E572" s="37"/>
    </row>
    <row r="573" spans="5:5" x14ac:dyDescent="0.25">
      <c r="E573" s="37"/>
    </row>
    <row r="574" spans="5:5" x14ac:dyDescent="0.25">
      <c r="E574" s="37"/>
    </row>
    <row r="575" spans="5:5" x14ac:dyDescent="0.25">
      <c r="E575" s="37"/>
    </row>
    <row r="576" spans="5:5" x14ac:dyDescent="0.25">
      <c r="E576" s="37"/>
    </row>
    <row r="577" spans="5:5" x14ac:dyDescent="0.25">
      <c r="E577" s="37"/>
    </row>
    <row r="578" spans="5:5" x14ac:dyDescent="0.25">
      <c r="E578" s="37"/>
    </row>
    <row r="579" spans="5:5" x14ac:dyDescent="0.25">
      <c r="E579" s="37"/>
    </row>
    <row r="580" spans="5:5" x14ac:dyDescent="0.25">
      <c r="E580" s="37"/>
    </row>
    <row r="581" spans="5:5" x14ac:dyDescent="0.25">
      <c r="E581" s="37"/>
    </row>
    <row r="582" spans="5:5" x14ac:dyDescent="0.25">
      <c r="E582" s="37"/>
    </row>
    <row r="583" spans="5:5" x14ac:dyDescent="0.25">
      <c r="E583" s="37"/>
    </row>
    <row r="584" spans="5:5" x14ac:dyDescent="0.25">
      <c r="E584" s="37"/>
    </row>
    <row r="585" spans="5:5" x14ac:dyDescent="0.25">
      <c r="E585" s="37"/>
    </row>
    <row r="586" spans="5:5" x14ac:dyDescent="0.25">
      <c r="E586" s="37"/>
    </row>
    <row r="587" spans="5:5" x14ac:dyDescent="0.25">
      <c r="E587" s="37"/>
    </row>
    <row r="588" spans="5:5" x14ac:dyDescent="0.25">
      <c r="E588" s="37"/>
    </row>
    <row r="589" spans="5:5" x14ac:dyDescent="0.25">
      <c r="E589" s="37"/>
    </row>
    <row r="590" spans="5:5" x14ac:dyDescent="0.25">
      <c r="E590" s="37"/>
    </row>
    <row r="591" spans="5:5" x14ac:dyDescent="0.25">
      <c r="E591" s="37"/>
    </row>
    <row r="592" spans="5:5" x14ac:dyDescent="0.25">
      <c r="E592" s="37"/>
    </row>
    <row r="593" spans="5:5" x14ac:dyDescent="0.25">
      <c r="E593" s="37"/>
    </row>
    <row r="594" spans="5:5" x14ac:dyDescent="0.25">
      <c r="E594" s="37"/>
    </row>
    <row r="595" spans="5:5" x14ac:dyDescent="0.25">
      <c r="E595" s="37"/>
    </row>
    <row r="596" spans="5:5" x14ac:dyDescent="0.25">
      <c r="E596" s="37"/>
    </row>
    <row r="597" spans="5:5" x14ac:dyDescent="0.25">
      <c r="E597" s="37"/>
    </row>
    <row r="598" spans="5:5" x14ac:dyDescent="0.25">
      <c r="E598" s="37"/>
    </row>
    <row r="599" spans="5:5" x14ac:dyDescent="0.25">
      <c r="E599" s="37"/>
    </row>
    <row r="600" spans="5:5" x14ac:dyDescent="0.25">
      <c r="E600" s="37"/>
    </row>
    <row r="601" spans="5:5" x14ac:dyDescent="0.25">
      <c r="E601" s="37"/>
    </row>
    <row r="602" spans="5:5" x14ac:dyDescent="0.25">
      <c r="E602" s="37"/>
    </row>
    <row r="603" spans="5:5" x14ac:dyDescent="0.25">
      <c r="E603" s="37"/>
    </row>
    <row r="604" spans="5:5" x14ac:dyDescent="0.25">
      <c r="E604" s="37"/>
    </row>
    <row r="605" spans="5:5" x14ac:dyDescent="0.25">
      <c r="E605" s="37"/>
    </row>
    <row r="606" spans="5:5" x14ac:dyDescent="0.25">
      <c r="E606" s="37"/>
    </row>
    <row r="607" spans="5:5" x14ac:dyDescent="0.25">
      <c r="E607" s="37"/>
    </row>
    <row r="608" spans="5:5" x14ac:dyDescent="0.25">
      <c r="E608" s="37"/>
    </row>
    <row r="609" spans="5:5" x14ac:dyDescent="0.25">
      <c r="E609" s="37"/>
    </row>
    <row r="610" spans="5:5" x14ac:dyDescent="0.25">
      <c r="E610" s="37"/>
    </row>
    <row r="611" spans="5:5" x14ac:dyDescent="0.25">
      <c r="E611" s="37"/>
    </row>
    <row r="612" spans="5:5" x14ac:dyDescent="0.25">
      <c r="E612" s="37"/>
    </row>
    <row r="613" spans="5:5" x14ac:dyDescent="0.25">
      <c r="E613" s="37"/>
    </row>
    <row r="614" spans="5:5" x14ac:dyDescent="0.25">
      <c r="E614" s="37"/>
    </row>
    <row r="615" spans="5:5" x14ac:dyDescent="0.25">
      <c r="E615" s="37"/>
    </row>
    <row r="616" spans="5:5" x14ac:dyDescent="0.25">
      <c r="E616" s="37"/>
    </row>
    <row r="617" spans="5:5" x14ac:dyDescent="0.25">
      <c r="E617" s="37"/>
    </row>
    <row r="618" spans="5:5" x14ac:dyDescent="0.25">
      <c r="E618" s="37"/>
    </row>
    <row r="619" spans="5:5" x14ac:dyDescent="0.25">
      <c r="E619" s="37"/>
    </row>
    <row r="620" spans="5:5" x14ac:dyDescent="0.25">
      <c r="E620" s="37"/>
    </row>
    <row r="621" spans="5:5" x14ac:dyDescent="0.25">
      <c r="E621" s="37"/>
    </row>
    <row r="622" spans="5:5" x14ac:dyDescent="0.25">
      <c r="E622" s="37"/>
    </row>
    <row r="623" spans="5:5" x14ac:dyDescent="0.25">
      <c r="E623" s="37"/>
    </row>
    <row r="624" spans="5:5" x14ac:dyDescent="0.25">
      <c r="E624" s="37"/>
    </row>
    <row r="625" spans="5:5" x14ac:dyDescent="0.25">
      <c r="E625" s="37"/>
    </row>
    <row r="626" spans="5:5" x14ac:dyDescent="0.25">
      <c r="E626" s="37"/>
    </row>
    <row r="627" spans="5:5" x14ac:dyDescent="0.25">
      <c r="E627" s="37"/>
    </row>
    <row r="628" spans="5:5" x14ac:dyDescent="0.25">
      <c r="E628" s="37"/>
    </row>
    <row r="629" spans="5:5" x14ac:dyDescent="0.25">
      <c r="E629" s="37"/>
    </row>
    <row r="630" spans="5:5" x14ac:dyDescent="0.25">
      <c r="E630" s="37"/>
    </row>
    <row r="631" spans="5:5" x14ac:dyDescent="0.25">
      <c r="E631" s="37"/>
    </row>
    <row r="632" spans="5:5" x14ac:dyDescent="0.25">
      <c r="E632" s="37"/>
    </row>
    <row r="633" spans="5:5" x14ac:dyDescent="0.25">
      <c r="E633" s="37"/>
    </row>
    <row r="634" spans="5:5" x14ac:dyDescent="0.25">
      <c r="E634" s="37"/>
    </row>
    <row r="635" spans="5:5" x14ac:dyDescent="0.25">
      <c r="E635" s="37"/>
    </row>
    <row r="636" spans="5:5" x14ac:dyDescent="0.25">
      <c r="E636" s="37"/>
    </row>
    <row r="637" spans="5:5" x14ac:dyDescent="0.25">
      <c r="E637" s="37"/>
    </row>
    <row r="638" spans="5:5" x14ac:dyDescent="0.25">
      <c r="E638" s="37"/>
    </row>
    <row r="639" spans="5:5" x14ac:dyDescent="0.25">
      <c r="E639" s="37"/>
    </row>
    <row r="640" spans="5:5" x14ac:dyDescent="0.25">
      <c r="E640" s="37"/>
    </row>
    <row r="641" spans="5:5" x14ac:dyDescent="0.25">
      <c r="E641" s="37"/>
    </row>
    <row r="642" spans="5:5" x14ac:dyDescent="0.25">
      <c r="E642" s="37"/>
    </row>
    <row r="643" spans="5:5" x14ac:dyDescent="0.25">
      <c r="E643" s="37"/>
    </row>
    <row r="644" spans="5:5" x14ac:dyDescent="0.25">
      <c r="E644" s="37"/>
    </row>
    <row r="645" spans="5:5" x14ac:dyDescent="0.25">
      <c r="E645" s="37"/>
    </row>
    <row r="646" spans="5:5" x14ac:dyDescent="0.25">
      <c r="E646" s="37"/>
    </row>
    <row r="647" spans="5:5" x14ac:dyDescent="0.25">
      <c r="E647" s="37"/>
    </row>
    <row r="648" spans="5:5" x14ac:dyDescent="0.25">
      <c r="E648" s="37"/>
    </row>
    <row r="649" spans="5:5" x14ac:dyDescent="0.25">
      <c r="E649" s="37"/>
    </row>
    <row r="650" spans="5:5" x14ac:dyDescent="0.25">
      <c r="E650" s="37"/>
    </row>
    <row r="651" spans="5:5" x14ac:dyDescent="0.25">
      <c r="E651" s="37"/>
    </row>
    <row r="652" spans="5:5" x14ac:dyDescent="0.25">
      <c r="E652" s="37"/>
    </row>
    <row r="653" spans="5:5" x14ac:dyDescent="0.25">
      <c r="E653" s="37"/>
    </row>
    <row r="654" spans="5:5" x14ac:dyDescent="0.25">
      <c r="E654" s="37"/>
    </row>
    <row r="655" spans="5:5" x14ac:dyDescent="0.25">
      <c r="E655" s="37"/>
    </row>
    <row r="656" spans="5:5" x14ac:dyDescent="0.25">
      <c r="E656" s="37"/>
    </row>
    <row r="657" spans="5:5" x14ac:dyDescent="0.25">
      <c r="E657" s="37"/>
    </row>
    <row r="658" spans="5:5" x14ac:dyDescent="0.25">
      <c r="E658" s="37"/>
    </row>
    <row r="659" spans="5:5" x14ac:dyDescent="0.25">
      <c r="E659" s="37"/>
    </row>
    <row r="660" spans="5:5" x14ac:dyDescent="0.25">
      <c r="E660" s="37"/>
    </row>
    <row r="661" spans="5:5" x14ac:dyDescent="0.25">
      <c r="E661" s="37"/>
    </row>
    <row r="662" spans="5:5" x14ac:dyDescent="0.25">
      <c r="E662" s="37"/>
    </row>
    <row r="663" spans="5:5" x14ac:dyDescent="0.25">
      <c r="E663" s="37"/>
    </row>
    <row r="664" spans="5:5" x14ac:dyDescent="0.25">
      <c r="E664" s="37"/>
    </row>
    <row r="665" spans="5:5" x14ac:dyDescent="0.25">
      <c r="E665" s="37"/>
    </row>
    <row r="666" spans="5:5" x14ac:dyDescent="0.25">
      <c r="E666" s="37"/>
    </row>
    <row r="667" spans="5:5" x14ac:dyDescent="0.25">
      <c r="E667" s="37"/>
    </row>
    <row r="668" spans="5:5" x14ac:dyDescent="0.25">
      <c r="E668" s="37"/>
    </row>
    <row r="669" spans="5:5" x14ac:dyDescent="0.25">
      <c r="E669" s="37"/>
    </row>
    <row r="670" spans="5:5" x14ac:dyDescent="0.25">
      <c r="E670" s="37"/>
    </row>
    <row r="671" spans="5:5" x14ac:dyDescent="0.25">
      <c r="E671" s="37"/>
    </row>
    <row r="672" spans="5:5" x14ac:dyDescent="0.25">
      <c r="E672" s="37"/>
    </row>
    <row r="673" spans="5:5" x14ac:dyDescent="0.25">
      <c r="E673" s="37"/>
    </row>
    <row r="674" spans="5:5" x14ac:dyDescent="0.25">
      <c r="E674" s="37"/>
    </row>
    <row r="675" spans="5:5" x14ac:dyDescent="0.25">
      <c r="E675" s="37"/>
    </row>
    <row r="676" spans="5:5" x14ac:dyDescent="0.25">
      <c r="E676" s="37"/>
    </row>
    <row r="677" spans="5:5" x14ac:dyDescent="0.25">
      <c r="E677" s="37"/>
    </row>
    <row r="678" spans="5:5" x14ac:dyDescent="0.25">
      <c r="E678" s="37"/>
    </row>
    <row r="679" spans="5:5" x14ac:dyDescent="0.25">
      <c r="E679" s="37"/>
    </row>
    <row r="680" spans="5:5" x14ac:dyDescent="0.25">
      <c r="E680" s="37"/>
    </row>
    <row r="681" spans="5:5" x14ac:dyDescent="0.25">
      <c r="E681" s="37"/>
    </row>
    <row r="682" spans="5:5" x14ac:dyDescent="0.25">
      <c r="E682" s="37"/>
    </row>
    <row r="683" spans="5:5" x14ac:dyDescent="0.25">
      <c r="E683" s="37"/>
    </row>
    <row r="684" spans="5:5" x14ac:dyDescent="0.25">
      <c r="E684" s="37"/>
    </row>
    <row r="685" spans="5:5" x14ac:dyDescent="0.25">
      <c r="E685" s="37"/>
    </row>
    <row r="686" spans="5:5" x14ac:dyDescent="0.25">
      <c r="E686" s="37"/>
    </row>
    <row r="687" spans="5:5" x14ac:dyDescent="0.25">
      <c r="E687" s="37"/>
    </row>
    <row r="688" spans="5:5" x14ac:dyDescent="0.25">
      <c r="E688" s="37"/>
    </row>
    <row r="689" spans="5:5" x14ac:dyDescent="0.25">
      <c r="E689" s="37"/>
    </row>
    <row r="690" spans="5:5" x14ac:dyDescent="0.25">
      <c r="E690" s="37"/>
    </row>
    <row r="691" spans="5:5" x14ac:dyDescent="0.25">
      <c r="E691" s="37"/>
    </row>
    <row r="692" spans="5:5" x14ac:dyDescent="0.25">
      <c r="E692" s="37"/>
    </row>
    <row r="693" spans="5:5" x14ac:dyDescent="0.25">
      <c r="E693" s="37"/>
    </row>
    <row r="694" spans="5:5" x14ac:dyDescent="0.25">
      <c r="E694" s="37"/>
    </row>
    <row r="695" spans="5:5" x14ac:dyDescent="0.25">
      <c r="E695" s="37"/>
    </row>
    <row r="696" spans="5:5" x14ac:dyDescent="0.25">
      <c r="E696" s="37"/>
    </row>
    <row r="697" spans="5:5" x14ac:dyDescent="0.25">
      <c r="E697" s="37"/>
    </row>
    <row r="698" spans="5:5" x14ac:dyDescent="0.25">
      <c r="E698" s="37"/>
    </row>
    <row r="699" spans="5:5" x14ac:dyDescent="0.25">
      <c r="E699" s="37"/>
    </row>
    <row r="700" spans="5:5" x14ac:dyDescent="0.25">
      <c r="E700" s="37"/>
    </row>
    <row r="701" spans="5:5" x14ac:dyDescent="0.25">
      <c r="E701" s="37"/>
    </row>
    <row r="702" spans="5:5" x14ac:dyDescent="0.25">
      <c r="E702" s="37"/>
    </row>
    <row r="703" spans="5:5" x14ac:dyDescent="0.25">
      <c r="E703" s="37"/>
    </row>
    <row r="704" spans="5:5" x14ac:dyDescent="0.25">
      <c r="E704" s="37"/>
    </row>
    <row r="705" spans="5:5" x14ac:dyDescent="0.25">
      <c r="E705" s="37"/>
    </row>
    <row r="706" spans="5:5" x14ac:dyDescent="0.25">
      <c r="E706" s="37"/>
    </row>
    <row r="707" spans="5:5" x14ac:dyDescent="0.25">
      <c r="E707" s="37"/>
    </row>
    <row r="708" spans="5:5" x14ac:dyDescent="0.25">
      <c r="E708" s="37"/>
    </row>
    <row r="709" spans="5:5" x14ac:dyDescent="0.25">
      <c r="E709" s="37"/>
    </row>
    <row r="710" spans="5:5" x14ac:dyDescent="0.25">
      <c r="E710" s="37"/>
    </row>
    <row r="711" spans="5:5" x14ac:dyDescent="0.25">
      <c r="E711" s="37"/>
    </row>
    <row r="712" spans="5:5" x14ac:dyDescent="0.25">
      <c r="E712" s="37"/>
    </row>
    <row r="713" spans="5:5" x14ac:dyDescent="0.25">
      <c r="E713" s="37"/>
    </row>
    <row r="714" spans="5:5" x14ac:dyDescent="0.25">
      <c r="E714" s="37"/>
    </row>
    <row r="715" spans="5:5" x14ac:dyDescent="0.25">
      <c r="E715" s="37"/>
    </row>
    <row r="716" spans="5:5" x14ac:dyDescent="0.25">
      <c r="E716" s="37"/>
    </row>
    <row r="717" spans="5:5" x14ac:dyDescent="0.25">
      <c r="E717" s="37"/>
    </row>
    <row r="718" spans="5:5" x14ac:dyDescent="0.25">
      <c r="E718" s="37"/>
    </row>
    <row r="719" spans="5:5" x14ac:dyDescent="0.25">
      <c r="E719" s="37"/>
    </row>
    <row r="720" spans="5:5" x14ac:dyDescent="0.25">
      <c r="E720" s="37"/>
    </row>
    <row r="721" spans="5:5" x14ac:dyDescent="0.25">
      <c r="E721" s="37"/>
    </row>
    <row r="722" spans="5:5" x14ac:dyDescent="0.25">
      <c r="E722" s="37"/>
    </row>
    <row r="723" spans="5:5" x14ac:dyDescent="0.25">
      <c r="E723" s="37"/>
    </row>
    <row r="724" spans="5:5" x14ac:dyDescent="0.25">
      <c r="E724" s="37"/>
    </row>
    <row r="725" spans="5:5" x14ac:dyDescent="0.25">
      <c r="E725" s="37"/>
    </row>
    <row r="726" spans="5:5" x14ac:dyDescent="0.25">
      <c r="E726" s="37"/>
    </row>
    <row r="727" spans="5:5" x14ac:dyDescent="0.25">
      <c r="E727" s="37"/>
    </row>
    <row r="728" spans="5:5" x14ac:dyDescent="0.25">
      <c r="E728" s="37"/>
    </row>
  </sheetData>
  <autoFilter ref="A2:BF314" xr:uid="{00000000-0001-0000-0000-000000000000}"/>
  <sortState xmlns:xlrd2="http://schemas.microsoft.com/office/spreadsheetml/2017/richdata2" ref="A3:BF80">
    <sortCondition ref="D3:D80"/>
    <sortCondition ref="A3:A80"/>
  </sortState>
  <mergeCells count="5">
    <mergeCell ref="A1:E1"/>
    <mergeCell ref="BA1:BF1"/>
    <mergeCell ref="AT1:AZ1"/>
    <mergeCell ref="AB1:AS1"/>
    <mergeCell ref="F1:AA1"/>
  </mergeCells>
  <phoneticPr fontId="18" type="noConversion"/>
  <conditionalFormatting sqref="BB3:BC80 BB315:BC1048576">
    <cfRule type="expression" dxfId="3" priority="9">
      <formula>IF($B3 = "Julia", TRUE, FALSE)</formula>
    </cfRule>
  </conditionalFormatting>
  <conditionalFormatting sqref="BA3:BA80 BA315:BA1048576">
    <cfRule type="expression" dxfId="2" priority="7">
      <formula>IF($B3 = "Python", TRUE, FALSE)</formula>
    </cfRule>
  </conditionalFormatting>
  <conditionalFormatting sqref="AO3:AS80 AO315:AS1048576">
    <cfRule type="notContainsBlanks" dxfId="1" priority="10">
      <formula>LEN(TRIM(AO3))&gt;0</formula>
    </cfRule>
  </conditionalFormatting>
  <conditionalFormatting sqref="AY3:AZ80 AY315:AZ1048576">
    <cfRule type="notContainsBlanks" dxfId="0" priority="1">
      <formula>LEN(TRIM(AY3))&gt;0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98008e-c7f6-4ed0-9865-26ace3c97b59" xsi:nil="true"/>
    <lcf76f155ced4ddcb4097134ff3c332f xmlns="34d8c884-fe7e-4d4f-a833-b92a2823f74b">
      <Terms xmlns="http://schemas.microsoft.com/office/infopath/2007/PartnerControls"/>
    </lcf76f155ced4ddcb4097134ff3c332f>
    <SharedWithUsers xmlns="a198008e-c7f6-4ed0-9865-26ace3c97b59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5172DAFC2BB6479729CB287362C7E3" ma:contentTypeVersion="13" ma:contentTypeDescription="Create a new document." ma:contentTypeScope="" ma:versionID="0fc11b0946794a47057850b4f6c92dd7">
  <xsd:schema xmlns:xsd="http://www.w3.org/2001/XMLSchema" xmlns:xs="http://www.w3.org/2001/XMLSchema" xmlns:p="http://schemas.microsoft.com/office/2006/metadata/properties" xmlns:ns2="34d8c884-fe7e-4d4f-a833-b92a2823f74b" xmlns:ns3="a198008e-c7f6-4ed0-9865-26ace3c97b59" targetNamespace="http://schemas.microsoft.com/office/2006/metadata/properties" ma:root="true" ma:fieldsID="fb90ec7fe59ed1d44226abab88cd233b" ns2:_="" ns3:_="">
    <xsd:import namespace="34d8c884-fe7e-4d4f-a833-b92a2823f74b"/>
    <xsd:import namespace="a198008e-c7f6-4ed0-9865-26ace3c97b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d8c884-fe7e-4d4f-a833-b92a2823f7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c451d461-d530-465a-81eb-73ef42a83d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98008e-c7f6-4ed0-9865-26ace3c97b5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4cd41ce-512c-4471-a627-8bf77c2cc8fd}" ma:internalName="TaxCatchAll" ma:showField="CatchAllData" ma:web="a198008e-c7f6-4ed0-9865-26ace3c97b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FA2C79D-5C43-4F8C-8CB2-6CBFC459154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1736866-79EE-4C47-B374-7C3565856A36}">
  <ds:schemaRefs>
    <ds:schemaRef ds:uri="http://schemas.microsoft.com/office/2006/metadata/properties"/>
    <ds:schemaRef ds:uri="http://schemas.microsoft.com/office/infopath/2007/PartnerControls"/>
    <ds:schemaRef ds:uri="a198008e-c7f6-4ed0-9865-26ace3c97b59"/>
    <ds:schemaRef ds:uri="34d8c884-fe7e-4d4f-a833-b92a2823f74b"/>
  </ds:schemaRefs>
</ds:datastoreItem>
</file>

<file path=customXml/itemProps3.xml><?xml version="1.0" encoding="utf-8"?>
<ds:datastoreItem xmlns:ds="http://schemas.openxmlformats.org/officeDocument/2006/customXml" ds:itemID="{9F43DC28-AE43-4EFF-8739-4E0C557B41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d8c884-fe7e-4d4f-a833-b92a2823f74b"/>
    <ds:schemaRef ds:uri="a198008e-c7f6-4ed0-9865-26ace3c97b5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MasterDataTable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Zach Hatzenbeller</dc:creator>
  <cp:keywords/>
  <dc:description/>
  <cp:lastModifiedBy>Yu Luo</cp:lastModifiedBy>
  <cp:revision/>
  <dcterms:created xsi:type="dcterms:W3CDTF">2024-02-21T20:31:27Z</dcterms:created>
  <dcterms:modified xsi:type="dcterms:W3CDTF">2024-06-04T18:02:30Z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0x010100B75172DAFC2BB6479729CB287362C7E3</vt:lpwstr>
  </property>
  <property fmtid="{D5CDD505-2E9C-101B-9397-08002B2CF9AE}" pid="3" name="MediaServiceImageTags">
    <vt:lpwstr/>
  </property>
  <property fmtid="{D5CDD505-2E9C-101B-9397-08002B2CF9AE}" pid="4" name="MSIP_Label_bea66b2b-af80-48b6-873b-d341d3035cfa_Enabled">
    <vt:lpwstr>true</vt:lpwstr>
  </property>
  <property fmtid="{D5CDD505-2E9C-101B-9397-08002B2CF9AE}" pid="5" name="MSIP_Label_bea66b2b-af80-48b6-873b-d341d3035cfa_SetDate">
    <vt:lpwstr>2024-02-29T22:36:18Z</vt:lpwstr>
  </property>
  <property fmtid="{D5CDD505-2E9C-101B-9397-08002B2CF9AE}" pid="6" name="MSIP_Label_bea66b2b-af80-48b6-873b-d341d3035cfa_Method">
    <vt:lpwstr>Standard</vt:lpwstr>
  </property>
  <property fmtid="{D5CDD505-2E9C-101B-9397-08002B2CF9AE}" pid="7" name="MSIP_Label_bea66b2b-af80-48b6-873b-d341d3035cfa_Name">
    <vt:lpwstr>Proprietary</vt:lpwstr>
  </property>
  <property fmtid="{D5CDD505-2E9C-101B-9397-08002B2CF9AE}" pid="8" name="MSIP_Label_bea66b2b-af80-48b6-873b-d341d3035cfa_SiteId">
    <vt:lpwstr>63982aff-fb6c-4c22-973b-70e4acfb63e6</vt:lpwstr>
  </property>
  <property fmtid="{D5CDD505-2E9C-101B-9397-08002B2CF9AE}" pid="9" name="MSIP_Label_bea66b2b-af80-48b6-873b-d341d3035cfa_ActionId">
    <vt:lpwstr>91d85dac-42e1-4dc2-93ee-7512b7f20543</vt:lpwstr>
  </property>
  <property fmtid="{D5CDD505-2E9C-101B-9397-08002B2CF9AE}" pid="10" name="MSIP_Label_bea66b2b-af80-48b6-873b-d341d3035cfa_ContentBits">
    <vt:lpwstr>0</vt:lpwstr>
  </property>
</Properties>
</file>