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995" documentId="8_{2425AED5-2B3D-4BFD-84B8-542313010F1F}" xr6:coauthVersionLast="47" xr6:coauthVersionMax="47" xr10:uidLastSave="{19C793F4-5BB4-4EE9-BAF9-7EC1C510882B}"/>
  <bookViews>
    <workbookView xWindow="-2892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5" i="1" l="1"/>
  <c r="AM55" i="1"/>
  <c r="AN54" i="1"/>
  <c r="AM54" i="1"/>
  <c r="AN53" i="1"/>
  <c r="AM53" i="1"/>
  <c r="AN52" i="1"/>
  <c r="AM52" i="1"/>
  <c r="AN51" i="1"/>
  <c r="AM51" i="1"/>
  <c r="AM46" i="1"/>
  <c r="AN46" i="1"/>
  <c r="AM47" i="1"/>
  <c r="AN47" i="1"/>
  <c r="AM48" i="1"/>
  <c r="AN48" i="1"/>
  <c r="AM49" i="1"/>
  <c r="AN49" i="1"/>
  <c r="AM50" i="1"/>
  <c r="AN50" i="1"/>
  <c r="AM41" i="1" l="1"/>
  <c r="AN41" i="1"/>
  <c r="AM42" i="1"/>
  <c r="AN42" i="1"/>
  <c r="AM43" i="1"/>
  <c r="AN43" i="1"/>
  <c r="AM44" i="1"/>
  <c r="AN44" i="1"/>
  <c r="AM45" i="1"/>
  <c r="AN45" i="1"/>
  <c r="AZ36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AN33" i="1"/>
  <c r="AM33" i="1"/>
  <c r="AN32" i="1"/>
  <c r="AM32" i="1"/>
  <c r="AN31" i="1"/>
  <c r="AM31" i="1"/>
  <c r="AZ2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E13" i="1"/>
  <c r="BJ13" i="1" s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<sst xmlns="http://schemas.openxmlformats.org/spreadsheetml/2006/main" count="206" uniqueCount="78">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</sst>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164" fontId="0" fillId="0" borderId="0" xfId="0" applyNumberFormat="1" applyFill="1" applyBorder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AS39" activePane="bottomRight" state="frozen"/>
      <selection pane="topRight" activeCell="H1" sqref="H1"/>
      <selection pane="bottomLeft" activeCell="A3" sqref="A3"/>
      <selection pane="bottomRight" activeCell="AU53" sqref="AU53"/>
    </sheetView>
  </sheetViews>
  <sheetFormatPr defaultColWidth="14.6640625" defaultRowHeight="14.4" x14ac:dyDescent="0.3"/>
  <cols>
    <col min="2" max="2" width="10.6640625" customWidth="1"/>
    <col min="3" max="4" width="10.6640625" hidden="1" customWidth="1"/>
    <col min="5" max="5" width="16.88671875" hidden="1" customWidth="1"/>
    <col min="6" max="60" width="12.6640625" customWidth="1"/>
    <col min="61" max="61" width="16.33203125" bestFit="1" customWidth="1"/>
    <col min="62" max="63" width="16.33203125" customWidth="1"/>
  </cols>
  <sheetData>
    <row r="1" spans="1:63" ht="21" x14ac:dyDescent="0.4">
      <c r="A1" s="73" t="s">
        <v>0</v>
      </c>
      <c r="B1" s="73"/>
      <c r="C1" s="73"/>
      <c r="D1" s="73"/>
      <c r="E1" s="73"/>
      <c r="F1" s="74" t="s">
        <v>1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6"/>
      <c r="AC1" s="87" t="s">
        <v>2</v>
      </c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9"/>
      <c r="AP1" s="82" t="s">
        <v>70</v>
      </c>
      <c r="AQ1" s="82"/>
      <c r="AR1" s="82"/>
      <c r="AS1" s="82"/>
      <c r="AT1" s="83"/>
      <c r="AU1" s="84" t="s">
        <v>64</v>
      </c>
      <c r="AV1" s="85"/>
      <c r="AW1" s="86"/>
      <c r="AX1" s="80" t="s">
        <v>62</v>
      </c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77" t="s">
        <v>66</v>
      </c>
      <c r="BJ1" s="78"/>
      <c r="BK1" s="79"/>
    </row>
    <row r="2" spans="1:63" ht="60.6" thickBot="1" x14ac:dyDescent="0.35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 t="shared" ref="BE3:BE34" si="1">IF(B3="Julia",AV3*AZ3/24/60,"")</f>
        <v/>
      </c>
      <c r="BF3" s="57">
        <f t="shared" ref="BF3:BF13" si="2">IF(B3="No MPC", AT3*J3*AZ3/1000,"")</f>
        <v>6.8242499999999996E-3</v>
      </c>
      <c r="BG3" s="14">
        <v>0</v>
      </c>
      <c r="BH3" s="14" t="str">
        <f t="shared" ref="BH3:BH34" si="3"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3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4">AT4*J4*AZ4/1000</f>
        <v>6.2681999999999989E-3</v>
      </c>
      <c r="AY4" s="30">
        <f t="shared" ref="AY4:AY8" si="5">AX4*24</f>
        <v>0.15043679999999998</v>
      </c>
      <c r="AZ4" s="30">
        <f t="shared" si="0"/>
        <v>1685</v>
      </c>
      <c r="BA4" s="31">
        <f t="shared" ref="BA4:BA59" si="6">IF(ISBLANK(AK4),NA(),IFERROR(AK4/AZ4,0))</f>
        <v>0</v>
      </c>
      <c r="BB4" s="31">
        <f t="shared" ref="BB4:BB32" si="7">AK4/AP4</f>
        <v>0</v>
      </c>
      <c r="BC4" s="31">
        <f t="shared" ref="BC4:BC32" si="8">AJ4*24</f>
        <v>0.12637499999999999</v>
      </c>
      <c r="BD4" s="31">
        <f t="shared" ref="BD4:BD35" si="9">IF(B4="Python",AU4*AZ4/24/60,"")</f>
        <v>5.2656249999999995E-3</v>
      </c>
      <c r="BE4" s="61" t="str">
        <f t="shared" si="1"/>
        <v/>
      </c>
      <c r="BF4" s="58" t="str">
        <f t="shared" si="2"/>
        <v/>
      </c>
      <c r="BG4" s="31">
        <v>0</v>
      </c>
      <c r="BH4" s="31" t="str">
        <f t="shared" si="3"/>
        <v/>
      </c>
      <c r="BI4" s="46">
        <f t="shared" ref="BI4:BI59" si="10">IF(BD4&lt;&gt;"",BD4/0.000385,IF(BE4&lt;&gt;"",BE4/0.000385,BF4/0.000385))</f>
        <v>13.676948051948051</v>
      </c>
      <c r="BJ4" s="66">
        <f t="shared" ref="BJ4:BJ59" si="11">IF(BD4&lt;&gt;"",BD4,IF(BE4&lt;&gt;"",BE4,BF4))</f>
        <v>5.2656249999999995E-3</v>
      </c>
      <c r="BK4" s="48">
        <f t="shared" ref="BK4:BK59" si="12">IF(BG4&lt;&gt;"",BG4,BH4)</f>
        <v>0</v>
      </c>
    </row>
    <row r="5" spans="1:63" x14ac:dyDescent="0.3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4"/>
        <v>6.7231499999999998E-3</v>
      </c>
      <c r="AY5" s="30">
        <f t="shared" si="5"/>
        <v>0.16135559999999999</v>
      </c>
      <c r="AZ5" s="30">
        <f t="shared" si="0"/>
        <v>1685</v>
      </c>
      <c r="BA5" s="31">
        <f t="shared" si="6"/>
        <v>0</v>
      </c>
      <c r="BB5" s="31">
        <f t="shared" si="7"/>
        <v>0</v>
      </c>
      <c r="BC5" s="31">
        <f t="shared" si="8"/>
        <v>0.12637499999999999</v>
      </c>
      <c r="BD5" s="31">
        <f t="shared" si="9"/>
        <v>5.2656249999999995E-3</v>
      </c>
      <c r="BE5" s="61" t="str">
        <f t="shared" si="1"/>
        <v/>
      </c>
      <c r="BF5" s="58" t="str">
        <f t="shared" si="2"/>
        <v/>
      </c>
      <c r="BG5" s="31">
        <v>0</v>
      </c>
      <c r="BH5" s="31" t="str">
        <f t="shared" si="3"/>
        <v/>
      </c>
      <c r="BI5" s="46">
        <f t="shared" si="10"/>
        <v>13.676948051948051</v>
      </c>
      <c r="BJ5" s="66">
        <f t="shared" si="11"/>
        <v>5.2656249999999995E-3</v>
      </c>
      <c r="BK5" s="48">
        <f t="shared" si="12"/>
        <v>0</v>
      </c>
    </row>
    <row r="6" spans="1:63" x14ac:dyDescent="0.3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4"/>
        <v>8.1385499999999996E-3</v>
      </c>
      <c r="AY6" s="30">
        <f t="shared" si="5"/>
        <v>0.19532519999999998</v>
      </c>
      <c r="AZ6" s="30">
        <f t="shared" si="0"/>
        <v>1685</v>
      </c>
      <c r="BA6" s="31">
        <f t="shared" si="6"/>
        <v>0</v>
      </c>
      <c r="BB6" s="31">
        <f t="shared" si="7"/>
        <v>0</v>
      </c>
      <c r="BC6" s="31">
        <f t="shared" si="8"/>
        <v>0.19532519999999998</v>
      </c>
      <c r="BD6" s="31" t="str">
        <f t="shared" si="9"/>
        <v/>
      </c>
      <c r="BE6" s="61" t="str">
        <f t="shared" si="1"/>
        <v/>
      </c>
      <c r="BF6" s="58">
        <f t="shared" si="2"/>
        <v>8.1385499999999996E-3</v>
      </c>
      <c r="BG6" s="31">
        <v>0</v>
      </c>
      <c r="BH6" s="31" t="str">
        <f t="shared" si="3"/>
        <v/>
      </c>
      <c r="BI6" s="46">
        <f t="shared" si="10"/>
        <v>21.13909090909091</v>
      </c>
      <c r="BJ6" s="66">
        <f t="shared" si="11"/>
        <v>8.1385499999999996E-3</v>
      </c>
      <c r="BK6" s="48">
        <f t="shared" si="12"/>
        <v>0</v>
      </c>
    </row>
    <row r="7" spans="1:63" x14ac:dyDescent="0.3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4"/>
        <v>6.1165499999999992E-3</v>
      </c>
      <c r="AY7" s="30">
        <f t="shared" si="5"/>
        <v>0.14679719999999999</v>
      </c>
      <c r="AZ7" s="30">
        <f t="shared" si="0"/>
        <v>1685</v>
      </c>
      <c r="BA7" s="31">
        <f t="shared" si="6"/>
        <v>0</v>
      </c>
      <c r="BB7" s="31">
        <f t="shared" si="7"/>
        <v>0</v>
      </c>
      <c r="BC7" s="31">
        <f t="shared" si="8"/>
        <v>0.14679719999999971</v>
      </c>
      <c r="BD7" s="31" t="str">
        <f t="shared" si="9"/>
        <v/>
      </c>
      <c r="BE7" s="60">
        <f t="shared" si="1"/>
        <v>6.116549999999988E-3</v>
      </c>
      <c r="BF7" s="60" t="str">
        <f t="shared" si="2"/>
        <v/>
      </c>
      <c r="BG7" s="31" t="str">
        <f>IF(IF(B7&lt;&gt;"Julia",((5-P7)*AZ7)/400, "")&lt;0,0,IF(B7&lt;&gt;"Julia",((5-P7)*AZ7)/400, ""))</f>
        <v/>
      </c>
      <c r="BH7" s="31">
        <f t="shared" si="3"/>
        <v>0</v>
      </c>
      <c r="BI7" s="46">
        <f t="shared" si="10"/>
        <v>15.887142857142827</v>
      </c>
      <c r="BJ7" s="66">
        <f t="shared" si="11"/>
        <v>6.116549999999988E-3</v>
      </c>
      <c r="BK7" s="48">
        <f t="shared" si="12"/>
        <v>0</v>
      </c>
    </row>
    <row r="8" spans="1:63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4"/>
        <v>6.5209499999999993E-3</v>
      </c>
      <c r="AY8" s="17">
        <f t="shared" si="5"/>
        <v>0.1565028</v>
      </c>
      <c r="AZ8" s="17">
        <f t="shared" si="0"/>
        <v>1685</v>
      </c>
      <c r="BA8" s="18">
        <f t="shared" si="6"/>
        <v>0</v>
      </c>
      <c r="BB8" s="18">
        <f t="shared" si="7"/>
        <v>0</v>
      </c>
      <c r="BC8" s="18">
        <f t="shared" si="8"/>
        <v>0.15650279999999972</v>
      </c>
      <c r="BD8" s="18" t="str">
        <f t="shared" si="9"/>
        <v/>
      </c>
      <c r="BE8" s="60">
        <f t="shared" si="1"/>
        <v>6.520949999999988E-3</v>
      </c>
      <c r="BF8" s="59" t="str">
        <f t="shared" si="2"/>
        <v/>
      </c>
      <c r="BG8" s="18" t="str">
        <f>IF(IF(B8&lt;&gt;"Julia",((5-P8)*AZ8)/400, "")&lt;0,0,IF(B8&lt;&gt;"Julia",((5-P8)*AZ8)/400, ""))</f>
        <v/>
      </c>
      <c r="BH8" s="18">
        <f t="shared" si="3"/>
        <v>0</v>
      </c>
      <c r="BI8" s="47">
        <f t="shared" si="10"/>
        <v>16.937532467532439</v>
      </c>
      <c r="BJ8" s="67">
        <f t="shared" si="11"/>
        <v>6.520949999999988E-3</v>
      </c>
      <c r="BK8" s="49">
        <f t="shared" si="12"/>
        <v>0</v>
      </c>
    </row>
    <row r="9" spans="1:63" x14ac:dyDescent="0.3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13">AK9-AK3</f>
        <v>8</v>
      </c>
      <c r="AN9" s="13">
        <f t="shared" ref="AN9:AN20" si="14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4"/>
        <v>9.8469503999999985E-3</v>
      </c>
      <c r="AY9" s="13">
        <f t="shared" ref="AY9:AY23" si="15">AX3*24</f>
        <v>0.16378199999999998</v>
      </c>
      <c r="AZ9" s="13">
        <f t="shared" ref="AZ9:AZ40" si="16">AP9+SUM(AG9:AI9,AK9:AL9)-((AO9+1)*D9)</f>
        <v>1709.54</v>
      </c>
      <c r="BA9" s="14">
        <f>IF(ISBLANK(AK9),NA(),IFERROR(AK9/AZ9,0))</f>
        <v>4.6796214186272328E-3</v>
      </c>
      <c r="BB9" s="14">
        <f t="shared" si="7"/>
        <v>4.7058823529411761E-3</v>
      </c>
      <c r="BC9" s="14">
        <f t="shared" si="8"/>
        <v>0.23439144959999997</v>
      </c>
      <c r="BD9" s="14" t="str">
        <f t="shared" si="9"/>
        <v/>
      </c>
      <c r="BE9" s="14" t="str">
        <f t="shared" si="1"/>
        <v/>
      </c>
      <c r="BF9" s="57">
        <f t="shared" si="2"/>
        <v>9.8469503999999985E-3</v>
      </c>
      <c r="BG9" s="14">
        <f>IF(P9&lt;10, IF(B9&lt;&gt;"Julia",((5-P9)*AZ9)/400, ""),0)</f>
        <v>17.4800465</v>
      </c>
      <c r="BH9" s="14" t="str">
        <f t="shared" si="3"/>
        <v/>
      </c>
      <c r="BI9" s="46">
        <f t="shared" si="10"/>
        <v>25.576494545454544</v>
      </c>
      <c r="BJ9" s="66">
        <f t="shared" si="11"/>
        <v>9.8469503999999985E-3</v>
      </c>
      <c r="BK9" s="48">
        <f t="shared" si="12"/>
        <v>17.4800465</v>
      </c>
    </row>
    <row r="10" spans="1:63" x14ac:dyDescent="0.3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13"/>
        <v>6</v>
      </c>
      <c r="AN10" s="30">
        <f t="shared" si="14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4"/>
        <v>8.1587988000000004E-3</v>
      </c>
      <c r="AY10" s="30">
        <f t="shared" si="15"/>
        <v>0.15043679999999998</v>
      </c>
      <c r="AZ10" s="30">
        <f t="shared" si="16"/>
        <v>1710.44</v>
      </c>
      <c r="BA10" s="31">
        <f t="shared" si="6"/>
        <v>3.5078693201749255E-3</v>
      </c>
      <c r="BB10" s="31">
        <f t="shared" si="7"/>
        <v>3.5294117647058825E-3</v>
      </c>
      <c r="BC10" s="31">
        <f t="shared" si="8"/>
        <v>0.21664160173748431</v>
      </c>
      <c r="BD10" s="31">
        <f t="shared" si="9"/>
        <v>9.1012272090343783E-3</v>
      </c>
      <c r="BE10" s="61" t="str">
        <f t="shared" si="1"/>
        <v/>
      </c>
      <c r="BF10" s="58" t="str">
        <f t="shared" si="2"/>
        <v/>
      </c>
      <c r="BG10" s="31">
        <f>IF(P10&lt;10, IF(B10&lt;&gt;"Julia",((5-P10)*AZ10)/400, ""),0)</f>
        <v>17.745815000000004</v>
      </c>
      <c r="BH10" s="31" t="str">
        <f t="shared" si="3"/>
        <v/>
      </c>
      <c r="BI10" s="46">
        <f t="shared" si="10"/>
        <v>23.639551192297088</v>
      </c>
      <c r="BJ10" s="66">
        <f t="shared" si="11"/>
        <v>9.1012272090343783E-3</v>
      </c>
      <c r="BK10" s="48">
        <f t="shared" si="12"/>
        <v>17.745815000000004</v>
      </c>
    </row>
    <row r="11" spans="1:63" x14ac:dyDescent="0.3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13"/>
        <v>6</v>
      </c>
      <c r="AN11" s="30">
        <f t="shared" si="14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4"/>
        <v>8.1339471000000003E-3</v>
      </c>
      <c r="AY11" s="30">
        <f t="shared" si="15"/>
        <v>0.16135559999999999</v>
      </c>
      <c r="AZ11" s="30">
        <f t="shared" si="16"/>
        <v>1705.23</v>
      </c>
      <c r="BA11" s="31">
        <f t="shared" si="6"/>
        <v>3.5185869354867087E-3</v>
      </c>
      <c r="BB11" s="31">
        <f t="shared" si="7"/>
        <v>3.5294117647058825E-3</v>
      </c>
      <c r="BC11" s="31">
        <f t="shared" si="8"/>
        <v>0.20907783531262189</v>
      </c>
      <c r="BD11" s="31">
        <f t="shared" si="9"/>
        <v>8.7836908913961585E-3</v>
      </c>
      <c r="BE11" s="61" t="str">
        <f t="shared" si="1"/>
        <v/>
      </c>
      <c r="BF11" s="58" t="str">
        <f t="shared" si="2"/>
        <v/>
      </c>
      <c r="BG11" s="31">
        <f>IF(P11&lt;10, IF(B11&lt;&gt;"Julia",((5-P11)*AZ11)/400, ""),0)</f>
        <v>17.393346000000001</v>
      </c>
      <c r="BH11" s="31" t="str">
        <f t="shared" si="3"/>
        <v/>
      </c>
      <c r="BI11" s="46">
        <f t="shared" si="10"/>
        <v>22.814781536093918</v>
      </c>
      <c r="BJ11" s="66">
        <f t="shared" si="11"/>
        <v>8.7836908913961585E-3</v>
      </c>
      <c r="BK11" s="48">
        <f t="shared" si="12"/>
        <v>17.393346000000001</v>
      </c>
    </row>
    <row r="12" spans="1:63" x14ac:dyDescent="0.3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13"/>
        <v>10</v>
      </c>
      <c r="AN12" s="30">
        <f t="shared" si="14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4"/>
        <v>1.26191358E-2</v>
      </c>
      <c r="AY12" s="30">
        <f t="shared" si="15"/>
        <v>0.19532519999999998</v>
      </c>
      <c r="AZ12" s="30">
        <f t="shared" si="16"/>
        <v>1709.91</v>
      </c>
      <c r="BA12" s="31">
        <f t="shared" si="6"/>
        <v>5.8482610195858256E-3</v>
      </c>
      <c r="BB12" s="31">
        <f t="shared" si="7"/>
        <v>5.8823529411764705E-3</v>
      </c>
      <c r="BC12" s="31">
        <f t="shared" si="8"/>
        <v>0.30037957920000002</v>
      </c>
      <c r="BD12" s="31" t="str">
        <f t="shared" si="9"/>
        <v/>
      </c>
      <c r="BE12" s="61" t="str">
        <f t="shared" si="1"/>
        <v/>
      </c>
      <c r="BF12" s="58">
        <f t="shared" si="2"/>
        <v>1.26191358E-2</v>
      </c>
      <c r="BG12" s="31">
        <f>IF(P12&lt;10, IF(B12&lt;&gt;"Julia",((5-P12)*AZ12)/400, ""),0)</f>
        <v>21.373875000000002</v>
      </c>
      <c r="BH12" s="31" t="str">
        <f t="shared" si="3"/>
        <v/>
      </c>
      <c r="BI12" s="46">
        <f t="shared" si="10"/>
        <v>32.776976103896104</v>
      </c>
      <c r="BJ12" s="66">
        <f t="shared" si="11"/>
        <v>1.26191358E-2</v>
      </c>
      <c r="BK12" s="48">
        <f t="shared" si="12"/>
        <v>21.373875000000002</v>
      </c>
    </row>
    <row r="13" spans="1:63" x14ac:dyDescent="0.3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13"/>
        <v>7</v>
      </c>
      <c r="AN13" s="30">
        <f t="shared" si="14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4"/>
        <v>7.797736799999999E-3</v>
      </c>
      <c r="AY13" s="30">
        <f t="shared" si="15"/>
        <v>0.14679719999999999</v>
      </c>
      <c r="AZ13" s="30">
        <f t="shared" si="16"/>
        <v>1710.03</v>
      </c>
      <c r="BA13" s="31">
        <f t="shared" si="6"/>
        <v>4.0934954357525893E-3</v>
      </c>
      <c r="BB13" s="31">
        <f t="shared" si="7"/>
        <v>4.1176470588235297E-3</v>
      </c>
      <c r="BC13" s="31">
        <f t="shared" si="8"/>
        <v>0.36564552587435944</v>
      </c>
      <c r="BD13" s="31" t="str">
        <f t="shared" si="9"/>
        <v/>
      </c>
      <c r="BE13" s="61">
        <f t="shared" si="1"/>
        <v>1.5360990534044473E-2</v>
      </c>
      <c r="BF13" s="58" t="str">
        <f t="shared" si="2"/>
        <v/>
      </c>
      <c r="BG13" s="68">
        <f>IF(P13&lt;10, IF(B13&lt;&gt;"Jul",((5-P13)*AZ13)/400, ""),0)</f>
        <v>14.022246000000001</v>
      </c>
      <c r="BH13" s="31">
        <f t="shared" si="3"/>
        <v>12.892915883980535</v>
      </c>
      <c r="BI13" s="46">
        <f t="shared" si="10"/>
        <v>39.89867671180383</v>
      </c>
      <c r="BJ13" s="66">
        <f t="shared" si="11"/>
        <v>1.5360990534044473E-2</v>
      </c>
      <c r="BK13" s="70">
        <f t="shared" si="12"/>
        <v>14.022246000000001</v>
      </c>
    </row>
    <row r="14" spans="1:63" ht="15" thickBot="1" x14ac:dyDescent="0.35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13"/>
        <v>8</v>
      </c>
      <c r="AN14" s="17">
        <f t="shared" si="14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4"/>
        <v>8.3187647999999996E-3</v>
      </c>
      <c r="AY14" s="17">
        <f t="shared" si="15"/>
        <v>0.1565028</v>
      </c>
      <c r="AZ14" s="17">
        <f t="shared" si="16"/>
        <v>1711.68</v>
      </c>
      <c r="BA14" s="18">
        <f t="shared" si="6"/>
        <v>4.6737707982800521E-3</v>
      </c>
      <c r="BB14" s="18">
        <f t="shared" si="7"/>
        <v>4.7058823529411761E-3</v>
      </c>
      <c r="BC14" s="18">
        <f t="shared" si="8"/>
        <v>0.19801739520000003</v>
      </c>
      <c r="BD14" s="18" t="str">
        <f t="shared" si="9"/>
        <v/>
      </c>
      <c r="BE14" s="18">
        <f t="shared" si="1"/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 t="shared" si="3"/>
        <v>17.715888</v>
      </c>
      <c r="BI14" s="46">
        <f t="shared" si="10"/>
        <v>21.607181298701299</v>
      </c>
      <c r="BJ14" s="66">
        <f t="shared" si="11"/>
        <v>8.3187647999999996E-3</v>
      </c>
      <c r="BK14" s="70">
        <f t="shared" si="12"/>
        <v>17.715888</v>
      </c>
    </row>
    <row r="15" spans="1:63" x14ac:dyDescent="0.3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4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4"/>
        <v>1.2285640799999999E-2</v>
      </c>
      <c r="AY15" s="13">
        <f t="shared" si="15"/>
        <v>0.23632680959999997</v>
      </c>
      <c r="AZ15" s="13">
        <f t="shared" si="16"/>
        <v>1735.26</v>
      </c>
      <c r="BA15" s="14">
        <f t="shared" si="6"/>
        <v>1.2851100123324459E-2</v>
      </c>
      <c r="BB15" s="14">
        <f t="shared" si="7"/>
        <v>1.3117647058823529E-2</v>
      </c>
      <c r="BC15" s="14">
        <f t="shared" si="8"/>
        <v>0.29485537919999999</v>
      </c>
      <c r="BD15" s="14" t="str">
        <f t="shared" si="9"/>
        <v/>
      </c>
      <c r="BE15" s="14" t="str">
        <f t="shared" si="1"/>
        <v/>
      </c>
      <c r="BF15" s="57">
        <f t="shared" ref="BF15:BF46" si="17"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 t="shared" si="3"/>
        <v/>
      </c>
      <c r="BI15" s="45">
        <f t="shared" si="10"/>
        <v>31.910755324675325</v>
      </c>
      <c r="BJ15" s="65">
        <f t="shared" si="11"/>
        <v>1.2285640799999999E-2</v>
      </c>
      <c r="BK15" s="50">
        <f t="shared" si="12"/>
        <v>11.539479000000002</v>
      </c>
    </row>
    <row r="16" spans="1:63" x14ac:dyDescent="0.3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13"/>
        <v>13.2</v>
      </c>
      <c r="AN16" s="30">
        <f t="shared" si="14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4"/>
        <v>1.1126932139999997E-2</v>
      </c>
      <c r="AY16" s="30">
        <f t="shared" si="15"/>
        <v>0.19581117120000002</v>
      </c>
      <c r="AZ16" s="30">
        <f t="shared" si="16"/>
        <v>1733.1669999999999</v>
      </c>
      <c r="BA16" s="31">
        <f t="shared" si="6"/>
        <v>1.1077986137515889E-2</v>
      </c>
      <c r="BB16" s="31">
        <f t="shared" si="7"/>
        <v>1.1294117647058823E-2</v>
      </c>
      <c r="BC16" s="31">
        <f t="shared" si="8"/>
        <v>0.15569769371332459</v>
      </c>
      <c r="BD16" s="31">
        <f t="shared" si="9"/>
        <v>6.4874039047218583E-3</v>
      </c>
      <c r="BE16" s="61" t="str">
        <f t="shared" si="1"/>
        <v/>
      </c>
      <c r="BF16" s="58" t="str">
        <f t="shared" si="17"/>
        <v/>
      </c>
      <c r="BG16" s="31">
        <f>IF(P16&lt;1.5, IF(B16&lt;&gt;"Julia",((3-P16)*AZ16)/400, ""),0)</f>
        <v>12.608789925000002</v>
      </c>
      <c r="BH16" s="31" t="str">
        <f t="shared" si="3"/>
        <v/>
      </c>
      <c r="BI16" s="46">
        <f t="shared" si="10"/>
        <v>16.850399752524307</v>
      </c>
      <c r="BJ16" s="66">
        <f t="shared" si="11"/>
        <v>6.4874039047218583E-3</v>
      </c>
      <c r="BK16" s="48">
        <f t="shared" si="12"/>
        <v>12.608789925000002</v>
      </c>
    </row>
    <row r="17" spans="1:63" x14ac:dyDescent="0.3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13"/>
        <v>13</v>
      </c>
      <c r="AN17" s="30">
        <f t="shared" si="14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4"/>
        <v>1.205442072E-2</v>
      </c>
      <c r="AY17" s="30">
        <f t="shared" si="15"/>
        <v>0.19521473040000001</v>
      </c>
      <c r="AZ17" s="30">
        <f t="shared" si="16"/>
        <v>1731.9570000000001</v>
      </c>
      <c r="BA17" s="31">
        <f t="shared" si="6"/>
        <v>1.0970249261384664E-2</v>
      </c>
      <c r="BB17" s="31">
        <f t="shared" si="7"/>
        <v>1.1176470588235295E-2</v>
      </c>
      <c r="BC17" s="31">
        <f t="shared" si="8"/>
        <v>0.16211423291058846</v>
      </c>
      <c r="BD17" s="31">
        <f t="shared" si="9"/>
        <v>6.7547597046078529E-3</v>
      </c>
      <c r="BE17" s="61" t="str">
        <f t="shared" si="1"/>
        <v/>
      </c>
      <c r="BF17" s="58" t="str">
        <f t="shared" si="17"/>
        <v/>
      </c>
      <c r="BG17" s="31">
        <f>IF(P17&lt;1.5, IF(B17&lt;&gt;"Julia",((3-P17)*AZ17)/400, ""),0)</f>
        <v>11.993802225000001</v>
      </c>
      <c r="BH17" s="31" t="str">
        <f t="shared" si="3"/>
        <v/>
      </c>
      <c r="BI17" s="46">
        <f t="shared" si="10"/>
        <v>17.544830401578839</v>
      </c>
      <c r="BJ17" s="66">
        <f t="shared" si="11"/>
        <v>6.7547597046078529E-3</v>
      </c>
      <c r="BK17" s="48">
        <f t="shared" si="12"/>
        <v>11.993802225000001</v>
      </c>
    </row>
    <row r="18" spans="1:63" x14ac:dyDescent="0.3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13"/>
        <v>18.02</v>
      </c>
      <c r="AN18" s="30">
        <f t="shared" si="14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4"/>
        <v>0</v>
      </c>
      <c r="AY18" s="30">
        <f t="shared" si="15"/>
        <v>0.30285925920000001</v>
      </c>
      <c r="AZ18" s="30">
        <f t="shared" si="16"/>
        <v>1736.752</v>
      </c>
      <c r="BA18" s="31">
        <f t="shared" si="6"/>
        <v>1.6133564262485377E-2</v>
      </c>
      <c r="BB18" s="31">
        <f t="shared" si="7"/>
        <v>1.6482352941176469E-2</v>
      </c>
      <c r="BC18" s="31">
        <f t="shared" si="8"/>
        <v>0</v>
      </c>
      <c r="BD18" s="31" t="str">
        <f t="shared" si="9"/>
        <v/>
      </c>
      <c r="BE18" s="61" t="str">
        <f t="shared" si="1"/>
        <v/>
      </c>
      <c r="BF18" s="58">
        <f t="shared" si="17"/>
        <v>0</v>
      </c>
      <c r="BG18" s="31">
        <f>IF(P18&lt;1.5, IF(B18&lt;&gt;"Julia",((3-P18)*AZ18)/400, ""),0)</f>
        <v>13.025639999999999</v>
      </c>
      <c r="BH18" s="31" t="str">
        <f t="shared" si="3"/>
        <v/>
      </c>
      <c r="BI18" s="46">
        <f t="shared" si="10"/>
        <v>0</v>
      </c>
      <c r="BJ18" s="66">
        <f t="shared" si="11"/>
        <v>0</v>
      </c>
      <c r="BK18" s="48">
        <f t="shared" si="12"/>
        <v>13.025639999999999</v>
      </c>
    </row>
    <row r="19" spans="1:63" x14ac:dyDescent="0.3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13"/>
        <v>21.89</v>
      </c>
      <c r="AN19" s="30">
        <f t="shared" si="14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4"/>
        <v>1.0077709230000001E-2</v>
      </c>
      <c r="AY19" s="30">
        <f t="shared" si="15"/>
        <v>0.18714568319999997</v>
      </c>
      <c r="AZ19" s="30">
        <f t="shared" si="16"/>
        <v>1740.537</v>
      </c>
      <c r="BA19" s="31">
        <f t="shared" si="6"/>
        <v>1.6598325689140766E-2</v>
      </c>
      <c r="BB19" s="31">
        <f t="shared" si="7"/>
        <v>1.6994117647058823E-2</v>
      </c>
      <c r="BC19" s="31">
        <f t="shared" si="8"/>
        <v>0.40784673284783574</v>
      </c>
      <c r="BD19" s="31" t="str">
        <f t="shared" si="9"/>
        <v/>
      </c>
      <c r="BE19" s="61">
        <f t="shared" si="1"/>
        <v>1.6993613868659822E-2</v>
      </c>
      <c r="BF19" s="58" t="str">
        <f t="shared" si="17"/>
        <v/>
      </c>
      <c r="BG19" s="31"/>
      <c r="BH19" s="31">
        <f t="shared" si="3"/>
        <v>3.9633683594627347</v>
      </c>
      <c r="BI19" s="46">
        <f t="shared" si="10"/>
        <v>44.139256801713827</v>
      </c>
      <c r="BJ19" s="66">
        <f t="shared" si="11"/>
        <v>1.6993613868659822E-2</v>
      </c>
      <c r="BK19" s="48">
        <f t="shared" si="12"/>
        <v>3.9633683594627347</v>
      </c>
    </row>
    <row r="20" spans="1:63" ht="15" thickBot="1" x14ac:dyDescent="0.35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13"/>
        <v>12.149999999999999</v>
      </c>
      <c r="AN20" s="17">
        <f t="shared" si="14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4"/>
        <v>1.0634540399999998E-2</v>
      </c>
      <c r="AY20" s="17">
        <f t="shared" si="15"/>
        <v>0.19965035519999999</v>
      </c>
      <c r="AZ20" s="17">
        <f t="shared" si="16"/>
        <v>1737.67</v>
      </c>
      <c r="BA20" s="18">
        <f t="shared" si="6"/>
        <v>1.1595987730696851E-2</v>
      </c>
      <c r="BB20" s="18">
        <f t="shared" si="7"/>
        <v>1.1852941176470587E-2</v>
      </c>
      <c r="BC20" s="18">
        <f t="shared" si="8"/>
        <v>0.59304435711449988</v>
      </c>
      <c r="BD20" s="18" t="str">
        <f t="shared" si="9"/>
        <v/>
      </c>
      <c r="BE20" s="18">
        <f t="shared" si="1"/>
        <v>2.4710181546437494E-2</v>
      </c>
      <c r="BF20" s="59" t="str">
        <f t="shared" si="17"/>
        <v/>
      </c>
      <c r="BG20" s="18" t="str">
        <f t="shared" ref="BG20:BG28" si="18">IF(P20&lt;1.5, IF(B20&lt;&gt;"Julia",((3-P20)*AZ20)/400, ""),0)</f>
        <v/>
      </c>
      <c r="BH20" s="18">
        <f t="shared" si="3"/>
        <v>8.4828514616618094</v>
      </c>
      <c r="BI20" s="47">
        <f t="shared" si="10"/>
        <v>64.182289731006477</v>
      </c>
      <c r="BJ20" s="67">
        <f t="shared" si="11"/>
        <v>2.4710181546437494E-2</v>
      </c>
      <c r="BK20" s="49">
        <f t="shared" si="12"/>
        <v>8.4828514616618094</v>
      </c>
    </row>
    <row r="21" spans="1:63" x14ac:dyDescent="0.3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9">AK21-AK15</f>
        <v>16.73</v>
      </c>
      <c r="AN21" s="13">
        <f t="shared" si="19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4"/>
        <v>1.37621646E-2</v>
      </c>
      <c r="AY21" s="13">
        <f t="shared" si="15"/>
        <v>0.29485537919999999</v>
      </c>
      <c r="AZ21" s="13">
        <f t="shared" si="16"/>
        <v>1757.62</v>
      </c>
      <c r="BA21" s="14">
        <f t="shared" si="6"/>
        <v>2.2206165155152995E-2</v>
      </c>
      <c r="BB21" s="14">
        <f t="shared" si="7"/>
        <v>2.2958823529411764E-2</v>
      </c>
      <c r="BC21" s="14">
        <f t="shared" si="8"/>
        <v>0.33029195039999998</v>
      </c>
      <c r="BD21" s="14" t="str">
        <f t="shared" si="9"/>
        <v/>
      </c>
      <c r="BE21" s="14" t="str">
        <f t="shared" si="1"/>
        <v/>
      </c>
      <c r="BF21" s="57">
        <f t="shared" si="17"/>
        <v>1.37621646E-2</v>
      </c>
      <c r="BG21" s="14">
        <f t="shared" si="18"/>
        <v>13.18215</v>
      </c>
      <c r="BH21" s="14" t="str">
        <f t="shared" si="3"/>
        <v/>
      </c>
      <c r="BI21" s="46">
        <f t="shared" si="10"/>
        <v>35.745882077922076</v>
      </c>
      <c r="BJ21" s="66">
        <f t="shared" si="11"/>
        <v>1.37621646E-2</v>
      </c>
      <c r="BK21" s="48">
        <f t="shared" si="12"/>
        <v>13.18215</v>
      </c>
    </row>
    <row r="22" spans="1:63" x14ac:dyDescent="0.3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9"/>
        <v>9.9000000000000021</v>
      </c>
      <c r="AN22" s="30">
        <f t="shared" si="19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4"/>
        <v>1.2308657399999997E-2</v>
      </c>
      <c r="AY22" s="30">
        <f t="shared" si="15"/>
        <v>0.26704637135999992</v>
      </c>
      <c r="AZ22" s="30">
        <f t="shared" si="16"/>
        <v>1753.37</v>
      </c>
      <c r="BA22" s="31">
        <f t="shared" si="6"/>
        <v>1.6596611097486558E-2</v>
      </c>
      <c r="BB22" s="31">
        <f t="shared" si="7"/>
        <v>1.7117647058823529E-2</v>
      </c>
      <c r="BC22" s="31">
        <f t="shared" si="8"/>
        <v>0.37272908663161136</v>
      </c>
      <c r="BD22" s="31">
        <f t="shared" si="9"/>
        <v>1.5530378609650473E-2</v>
      </c>
      <c r="BE22" s="61" t="str">
        <f t="shared" si="1"/>
        <v/>
      </c>
      <c r="BF22" s="58" t="str">
        <f t="shared" si="17"/>
        <v/>
      </c>
      <c r="BG22" s="31">
        <f t="shared" si="18"/>
        <v>13.150274999999999</v>
      </c>
      <c r="BH22" s="31" t="str">
        <f t="shared" si="3"/>
        <v/>
      </c>
      <c r="BI22" s="46">
        <f t="shared" si="10"/>
        <v>40.338645739351882</v>
      </c>
      <c r="BJ22" s="66">
        <f t="shared" si="11"/>
        <v>1.5530378609650473E-2</v>
      </c>
      <c r="BK22" s="48">
        <f t="shared" si="12"/>
        <v>13.150274999999999</v>
      </c>
    </row>
    <row r="23" spans="1:63" x14ac:dyDescent="0.3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9"/>
        <v>9.91</v>
      </c>
      <c r="AN23" s="30">
        <f t="shared" si="19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4"/>
        <v>1.2128747400000001E-2</v>
      </c>
      <c r="AY23" s="30">
        <f t="shared" si="15"/>
        <v>0.28930609728000001</v>
      </c>
      <c r="AZ23" s="30">
        <f t="shared" si="16"/>
        <v>1750.18</v>
      </c>
      <c r="BA23" s="31">
        <f>IF(ISBLANK(AK23),NA(),IFERROR(AK23/AZ23,0))</f>
        <v>1.6518300974756882E-2</v>
      </c>
      <c r="BB23" s="31">
        <f t="shared" si="7"/>
        <v>1.7005882352941176E-2</v>
      </c>
      <c r="BC23" s="31">
        <f t="shared" si="8"/>
        <v>0.33085613966484767</v>
      </c>
      <c r="BD23" s="31">
        <f t="shared" si="9"/>
        <v>1.378567248603532E-2</v>
      </c>
      <c r="BE23" s="61" t="str">
        <f t="shared" si="1"/>
        <v/>
      </c>
      <c r="BF23" s="58" t="str">
        <f t="shared" si="17"/>
        <v/>
      </c>
      <c r="BG23" s="31">
        <f t="shared" si="18"/>
        <v>13.12635</v>
      </c>
      <c r="BH23" s="31" t="str">
        <f t="shared" si="3"/>
        <v/>
      </c>
      <c r="BI23" s="46">
        <f t="shared" si="10"/>
        <v>35.806941522169666</v>
      </c>
      <c r="BJ23" s="66">
        <f t="shared" si="11"/>
        <v>1.378567248603532E-2</v>
      </c>
      <c r="BK23" s="48">
        <f t="shared" si="12"/>
        <v>13.12635</v>
      </c>
    </row>
    <row r="24" spans="1:63" x14ac:dyDescent="0.3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20">AK24-AK19</f>
        <v>23.71</v>
      </c>
      <c r="AN24" s="30">
        <f t="shared" si="20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4"/>
        <v>1.1634788099999998E-2</v>
      </c>
      <c r="AY24" s="30">
        <f t="shared" ref="AY24:AY70" si="21">AX19*24</f>
        <v>0.24186502152</v>
      </c>
      <c r="AZ24" s="30">
        <f t="shared" si="16"/>
        <v>1754.87</v>
      </c>
      <c r="BA24" s="31">
        <f t="shared" si="6"/>
        <v>2.9973730247824629E-2</v>
      </c>
      <c r="BB24" s="31">
        <f t="shared" si="7"/>
        <v>3.0941176470588236E-2</v>
      </c>
      <c r="BC24" s="31">
        <f t="shared" si="8"/>
        <v>0.58759022932349991</v>
      </c>
      <c r="BD24" s="31" t="str">
        <f t="shared" si="9"/>
        <v/>
      </c>
      <c r="BE24" s="61">
        <f t="shared" si="1"/>
        <v>2.4482926221812498E-2</v>
      </c>
      <c r="BF24" s="58" t="str">
        <f t="shared" si="17"/>
        <v/>
      </c>
      <c r="BG24" s="31" t="str">
        <f t="shared" si="18"/>
        <v/>
      </c>
      <c r="BH24" s="31">
        <f t="shared" si="3"/>
        <v>5.3590759753051112</v>
      </c>
      <c r="BI24" s="46">
        <f t="shared" si="10"/>
        <v>63.592016160551943</v>
      </c>
      <c r="BJ24" s="66">
        <f t="shared" si="11"/>
        <v>2.4482926221812498E-2</v>
      </c>
      <c r="BK24" s="48">
        <f t="shared" si="12"/>
        <v>5.3590759753051112</v>
      </c>
    </row>
    <row r="25" spans="1:63" ht="15" thickBot="1" x14ac:dyDescent="0.35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20"/>
        <v>30.85</v>
      </c>
      <c r="AN25" s="17">
        <f t="shared" si="20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4"/>
        <v>1.2452820119999998E-2</v>
      </c>
      <c r="AY25" s="17">
        <f t="shared" si="21"/>
        <v>0.25522896959999997</v>
      </c>
      <c r="AZ25" s="17">
        <f t="shared" si="16"/>
        <v>1773.9059999999999</v>
      </c>
      <c r="BA25" s="18">
        <f t="shared" si="6"/>
        <v>2.8750114154865027E-2</v>
      </c>
      <c r="BB25" s="18">
        <f t="shared" si="7"/>
        <v>0.03</v>
      </c>
      <c r="BC25" s="18">
        <f t="shared" si="8"/>
        <v>0.53113548411480005</v>
      </c>
      <c r="BD25" s="18" t="str">
        <f t="shared" si="9"/>
        <v/>
      </c>
      <c r="BE25" s="18">
        <f t="shared" si="1"/>
        <v>2.2130645171450001E-2</v>
      </c>
      <c r="BF25" s="59" t="str">
        <f t="shared" si="17"/>
        <v/>
      </c>
      <c r="BG25" s="18" t="str">
        <f t="shared" si="18"/>
        <v/>
      </c>
      <c r="BH25" s="18">
        <f t="shared" si="3"/>
        <v>7.4775654747660001</v>
      </c>
      <c r="BI25" s="46">
        <f t="shared" si="10"/>
        <v>57.482195250519489</v>
      </c>
      <c r="BJ25" s="66">
        <f t="shared" si="11"/>
        <v>2.2130645171450001E-2</v>
      </c>
      <c r="BK25" s="48">
        <f t="shared" si="12"/>
        <v>7.4775654747660001</v>
      </c>
    </row>
    <row r="26" spans="1:63" x14ac:dyDescent="0.3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>
        <v>1.3502837699999999E-2</v>
      </c>
      <c r="AK26" s="13">
        <v>57</v>
      </c>
      <c r="AL26" s="13">
        <v>46</v>
      </c>
      <c r="AM26" s="13">
        <f t="shared" si="20"/>
        <v>17.97</v>
      </c>
      <c r="AN26" s="13">
        <f t="shared" si="20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4"/>
        <v>1.3502837699999999E-2</v>
      </c>
      <c r="AY26" s="13">
        <f t="shared" si="21"/>
        <v>0.33029195039999998</v>
      </c>
      <c r="AZ26" s="13">
        <f t="shared" si="16"/>
        <v>1779.03</v>
      </c>
      <c r="BA26" s="14">
        <f t="shared" si="6"/>
        <v>3.2039931872986968E-2</v>
      </c>
      <c r="BB26" s="14">
        <f t="shared" si="7"/>
        <v>3.3529411764705884E-2</v>
      </c>
      <c r="BC26" s="14">
        <f t="shared" si="8"/>
        <v>0.32406810479999998</v>
      </c>
      <c r="BD26" s="14" t="str">
        <f t="shared" si="9"/>
        <v/>
      </c>
      <c r="BE26" s="14" t="str">
        <f t="shared" si="1"/>
        <v/>
      </c>
      <c r="BF26" s="57">
        <f t="shared" si="17"/>
        <v>1.3502837699999999E-2</v>
      </c>
      <c r="BG26" s="14">
        <f t="shared" si="18"/>
        <v>0</v>
      </c>
      <c r="BH26" s="14" t="str">
        <f t="shared" si="3"/>
        <v/>
      </c>
      <c r="BI26" s="45">
        <f t="shared" si="10"/>
        <v>35.072305714285712</v>
      </c>
      <c r="BJ26" s="65">
        <f t="shared" si="11"/>
        <v>1.3502837699999999E-2</v>
      </c>
      <c r="BK26" s="50">
        <f t="shared" si="12"/>
        <v>0</v>
      </c>
    </row>
    <row r="27" spans="1:63" x14ac:dyDescent="0.3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>
        <v>4.4315646613239966E-2</v>
      </c>
      <c r="AK27" s="30">
        <v>49</v>
      </c>
      <c r="AL27" s="30">
        <v>47</v>
      </c>
      <c r="AM27" s="30">
        <f t="shared" si="20"/>
        <v>19.899999999999999</v>
      </c>
      <c r="AN27" s="30">
        <f t="shared" si="20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4"/>
        <v>1.1170971E-2</v>
      </c>
      <c r="AY27" s="30">
        <f t="shared" si="21"/>
        <v>0.29540777759999992</v>
      </c>
      <c r="AZ27" s="30">
        <f t="shared" si="16"/>
        <v>1773.17</v>
      </c>
      <c r="BA27" s="31">
        <f t="shared" si="6"/>
        <v>2.7634124195649597E-2</v>
      </c>
      <c r="BB27" s="31">
        <f t="shared" si="7"/>
        <v>2.8823529411764706E-2</v>
      </c>
      <c r="BC27" s="31">
        <f t="shared" si="8"/>
        <v>1.0635755187177591</v>
      </c>
      <c r="BD27" s="31">
        <f t="shared" si="9"/>
        <v>4.4315646613239966E-2</v>
      </c>
      <c r="BE27" s="61" t="str">
        <f t="shared" si="1"/>
        <v/>
      </c>
      <c r="BF27" s="58" t="str">
        <f t="shared" si="17"/>
        <v/>
      </c>
      <c r="BG27" s="31">
        <f t="shared" si="18"/>
        <v>6.7380460000000006</v>
      </c>
      <c r="BH27" s="31" t="str">
        <f t="shared" si="3"/>
        <v/>
      </c>
      <c r="BI27" s="46">
        <f t="shared" si="10"/>
        <v>115.10557561880512</v>
      </c>
      <c r="BJ27" s="66">
        <f t="shared" si="11"/>
        <v>4.4315646613239966E-2</v>
      </c>
      <c r="BK27" s="48">
        <f t="shared" si="12"/>
        <v>6.7380460000000006</v>
      </c>
    </row>
    <row r="28" spans="1:63" x14ac:dyDescent="0.3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>
        <v>4.4316995715709212E-2</v>
      </c>
      <c r="AK28" s="30">
        <v>47</v>
      </c>
      <c r="AL28" s="30">
        <v>47</v>
      </c>
      <c r="AM28" s="30">
        <f t="shared" si="20"/>
        <v>18.09</v>
      </c>
      <c r="AN28" s="30">
        <f t="shared" si="20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4"/>
        <v>1.17288015E-2</v>
      </c>
      <c r="AY28" s="30">
        <f t="shared" si="21"/>
        <v>0.29108993760000001</v>
      </c>
      <c r="AZ28" s="30">
        <f t="shared" si="16"/>
        <v>1769.05</v>
      </c>
      <c r="BA28" s="31">
        <f t="shared" si="6"/>
        <v>2.656793194087222E-2</v>
      </c>
      <c r="BB28" s="31">
        <f t="shared" si="7"/>
        <v>2.7647058823529413E-2</v>
      </c>
      <c r="BC28" s="31">
        <f t="shared" si="8"/>
        <v>1.0636078971770211</v>
      </c>
      <c r="BD28" s="31">
        <f t="shared" si="9"/>
        <v>4.4316995715709212E-2</v>
      </c>
      <c r="BE28" s="61" t="str">
        <f t="shared" si="1"/>
        <v/>
      </c>
      <c r="BF28" s="58" t="str">
        <f t="shared" si="17"/>
        <v/>
      </c>
      <c r="BG28" s="31">
        <f t="shared" si="18"/>
        <v>0</v>
      </c>
      <c r="BH28" s="31" t="str">
        <f t="shared" si="3"/>
        <v/>
      </c>
      <c r="BI28" s="46">
        <f t="shared" si="10"/>
        <v>115.10907978106289</v>
      </c>
      <c r="BJ28" s="66">
        <f t="shared" si="11"/>
        <v>4.4316995715709212E-2</v>
      </c>
      <c r="BK28" s="48">
        <f t="shared" si="12"/>
        <v>0</v>
      </c>
    </row>
    <row r="29" spans="1:63" x14ac:dyDescent="0.3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>
        <v>1.4000061328465761E-2</v>
      </c>
      <c r="AK29" s="30">
        <v>85</v>
      </c>
      <c r="AL29" s="30">
        <v>27</v>
      </c>
      <c r="AM29" s="30">
        <f t="shared" si="20"/>
        <v>32.4</v>
      </c>
      <c r="AN29" s="30">
        <f t="shared" si="20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4"/>
        <v>1.19533344E-2</v>
      </c>
      <c r="AY29" s="30">
        <f t="shared" si="21"/>
        <v>0.27923491439999992</v>
      </c>
      <c r="AZ29" s="30">
        <f t="shared" si="16"/>
        <v>1778.77</v>
      </c>
      <c r="BA29" s="31">
        <f t="shared" si="6"/>
        <v>4.7785829533891398E-2</v>
      </c>
      <c r="BB29" s="31">
        <f t="shared" si="7"/>
        <v>0.05</v>
      </c>
      <c r="BC29" s="31">
        <f t="shared" si="8"/>
        <v>0.33600147188317825</v>
      </c>
      <c r="BD29" s="31" t="str">
        <f t="shared" si="9"/>
        <v/>
      </c>
      <c r="BE29" s="61">
        <f t="shared" si="1"/>
        <v>1.4000061328465761E-2</v>
      </c>
      <c r="BF29" s="58" t="str">
        <f t="shared" si="17"/>
        <v/>
      </c>
      <c r="BG29" s="31"/>
      <c r="BH29" s="31">
        <f t="shared" si="3"/>
        <v>4.2185063447336155</v>
      </c>
      <c r="BI29" s="46">
        <f t="shared" si="10"/>
        <v>36.363795658352629</v>
      </c>
      <c r="BJ29" s="66">
        <f t="shared" si="11"/>
        <v>1.4000061328465761E-2</v>
      </c>
      <c r="BK29" s="48">
        <f t="shared" si="12"/>
        <v>4.2185063447336155</v>
      </c>
    </row>
    <row r="30" spans="1:63" ht="15" thickBot="1" x14ac:dyDescent="0.35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>
        <v>2.1265523894556992E-2</v>
      </c>
      <c r="AK30" s="17">
        <v>81</v>
      </c>
      <c r="AL30" s="17">
        <v>38</v>
      </c>
      <c r="AM30" s="17">
        <f t="shared" si="20"/>
        <v>30</v>
      </c>
      <c r="AN30" s="17">
        <f t="shared" si="20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4"/>
        <v>1.27752228E-2</v>
      </c>
      <c r="AY30" s="17">
        <f t="shared" si="21"/>
        <v>0.29886768287999993</v>
      </c>
      <c r="AZ30" s="17">
        <f t="shared" si="16"/>
        <v>1804.41</v>
      </c>
      <c r="BA30" s="18">
        <f t="shared" si="6"/>
        <v>4.4890019452341758E-2</v>
      </c>
      <c r="BB30" s="18">
        <f t="shared" si="7"/>
        <v>4.764705882352941E-2</v>
      </c>
      <c r="BC30" s="18">
        <f t="shared" si="8"/>
        <v>0.51037257346936782</v>
      </c>
      <c r="BD30" s="18" t="str">
        <f t="shared" si="9"/>
        <v/>
      </c>
      <c r="BE30" s="18">
        <f t="shared" si="1"/>
        <v>2.1265523894556992E-2</v>
      </c>
      <c r="BF30" s="59" t="str">
        <f t="shared" si="17"/>
        <v/>
      </c>
      <c r="BG30" s="18"/>
      <c r="BH30" s="18">
        <f t="shared" si="3"/>
        <v>3.6766410485124208</v>
      </c>
      <c r="BI30" s="47">
        <f t="shared" si="10"/>
        <v>55.235126998849331</v>
      </c>
      <c r="BJ30" s="67">
        <f t="shared" si="11"/>
        <v>2.1265523894556992E-2</v>
      </c>
      <c r="BK30" s="49">
        <f t="shared" si="12"/>
        <v>3.6766410485124208</v>
      </c>
    </row>
    <row r="31" spans="1:63" x14ac:dyDescent="0.3">
      <c r="A31" s="3" t="s">
        <v>53</v>
      </c>
      <c r="B31" s="4" t="s">
        <v>28</v>
      </c>
      <c r="C31" s="4">
        <v>12</v>
      </c>
      <c r="D31" s="4">
        <v>5</v>
      </c>
      <c r="E31" s="5">
        <v>45454.412476851903</v>
      </c>
      <c r="F31" s="4">
        <v>2716.05</v>
      </c>
      <c r="G31" s="9"/>
      <c r="H31" s="9">
        <v>2295.9</v>
      </c>
      <c r="I31" s="9">
        <v>24.8</v>
      </c>
      <c r="J31" s="9">
        <v>23.5</v>
      </c>
      <c r="K31" s="9">
        <v>94.8</v>
      </c>
      <c r="L31" s="9">
        <v>16.3</v>
      </c>
      <c r="M31" s="9">
        <v>353</v>
      </c>
      <c r="N31" s="9">
        <v>1.18</v>
      </c>
      <c r="O31" s="9">
        <v>0.28999999999999998</v>
      </c>
      <c r="P31" s="9">
        <v>2.0299999999999998</v>
      </c>
      <c r="Q31" s="9">
        <v>0.08</v>
      </c>
      <c r="R31" s="9">
        <v>0.15</v>
      </c>
      <c r="S31" s="9">
        <v>3.26</v>
      </c>
      <c r="T31" s="9">
        <v>7.2489999999999997</v>
      </c>
      <c r="U31" s="9">
        <v>118.6</v>
      </c>
      <c r="V31" s="9">
        <v>46.7</v>
      </c>
      <c r="W31" s="9">
        <v>2.72</v>
      </c>
      <c r="X31" s="9">
        <v>155</v>
      </c>
      <c r="Y31" s="9">
        <v>50.6</v>
      </c>
      <c r="Z31" s="9">
        <v>104</v>
      </c>
      <c r="AA31" s="9">
        <v>37.799999999999997</v>
      </c>
      <c r="AB31" s="24">
        <v>7.2910000000000004</v>
      </c>
      <c r="AC31" s="12">
        <v>299</v>
      </c>
      <c r="AD31" s="13">
        <v>0.51100000000000001</v>
      </c>
      <c r="AE31" s="13">
        <v>7.3</v>
      </c>
      <c r="AF31" s="13">
        <v>34</v>
      </c>
      <c r="AG31" s="13">
        <v>31.32</v>
      </c>
      <c r="AH31" s="13">
        <v>21.46</v>
      </c>
      <c r="AI31" s="13">
        <v>5</v>
      </c>
      <c r="AJ31" s="13">
        <v>1.6917932E-2</v>
      </c>
      <c r="AK31" s="13">
        <v>76</v>
      </c>
      <c r="AL31" s="13">
        <v>46</v>
      </c>
      <c r="AM31" s="13">
        <f t="shared" ref="AM31:AM35" si="22">AK31-AK26</f>
        <v>19</v>
      </c>
      <c r="AN31" s="13">
        <f t="shared" ref="AN31:AN35" si="23">AL31-AL26</f>
        <v>0</v>
      </c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4"/>
        <v>1.6917932E-2</v>
      </c>
      <c r="AY31" s="13">
        <f t="shared" si="21"/>
        <v>0.32406810479999998</v>
      </c>
      <c r="AZ31" s="13">
        <f t="shared" si="16"/>
        <v>1799.78</v>
      </c>
      <c r="BA31" s="14">
        <f t="shared" si="6"/>
        <v>4.2227383346853505E-2</v>
      </c>
      <c r="BB31" s="14">
        <f t="shared" si="7"/>
        <v>4.4705882352941179E-2</v>
      </c>
      <c r="BC31" s="14">
        <f t="shared" si="8"/>
        <v>0.40603036800000003</v>
      </c>
      <c r="BD31" s="14" t="str">
        <f t="shared" si="9"/>
        <v/>
      </c>
      <c r="BE31" s="14" t="str">
        <f t="shared" si="1"/>
        <v/>
      </c>
      <c r="BF31" s="57">
        <f t="shared" si="17"/>
        <v>1.6917932E-2</v>
      </c>
      <c r="BG31" s="14">
        <f t="shared" ref="BG31:BG70" si="24">IF(P31&lt;1.5, IF(B31&lt;&gt;"Julia",((3-P31)*AZ31)/400, ""),0)</f>
        <v>0</v>
      </c>
      <c r="BH31" s="14" t="str">
        <f t="shared" si="3"/>
        <v/>
      </c>
      <c r="BI31" s="46">
        <f t="shared" si="10"/>
        <v>43.942680519480525</v>
      </c>
      <c r="BJ31" s="66">
        <f t="shared" si="11"/>
        <v>1.6917932E-2</v>
      </c>
      <c r="BK31" s="48">
        <f t="shared" si="12"/>
        <v>0</v>
      </c>
    </row>
    <row r="32" spans="1:63" x14ac:dyDescent="0.3">
      <c r="A32" s="1" t="s">
        <v>54</v>
      </c>
      <c r="B32" s="27" t="s">
        <v>27</v>
      </c>
      <c r="C32" s="27">
        <v>12</v>
      </c>
      <c r="D32" s="27">
        <v>5</v>
      </c>
      <c r="E32" s="28">
        <v>45454.415717592601</v>
      </c>
      <c r="F32" s="27">
        <v>2716.05</v>
      </c>
      <c r="G32" s="29"/>
      <c r="H32" s="29">
        <v>2198.355</v>
      </c>
      <c r="I32" s="29">
        <v>20.8</v>
      </c>
      <c r="J32" s="29">
        <v>19.3</v>
      </c>
      <c r="K32" s="29">
        <v>93</v>
      </c>
      <c r="L32" s="29">
        <v>17.3</v>
      </c>
      <c r="M32" s="29">
        <v>396</v>
      </c>
      <c r="N32" s="29">
        <v>1.32</v>
      </c>
      <c r="O32" s="29">
        <v>0.3</v>
      </c>
      <c r="P32" s="29">
        <v>5.62</v>
      </c>
      <c r="Q32" s="29">
        <v>0.23</v>
      </c>
      <c r="R32" s="29">
        <v>0.32</v>
      </c>
      <c r="S32" s="29">
        <v>2.87</v>
      </c>
      <c r="T32" s="29">
        <v>7.2560000000000002</v>
      </c>
      <c r="U32" s="29">
        <v>143.9</v>
      </c>
      <c r="V32" s="29">
        <v>42.6</v>
      </c>
      <c r="W32" s="29">
        <v>2.06</v>
      </c>
      <c r="X32" s="29">
        <v>158</v>
      </c>
      <c r="Y32" s="29">
        <v>62.3</v>
      </c>
      <c r="Z32" s="29">
        <v>126.2</v>
      </c>
      <c r="AA32" s="29">
        <v>34.5</v>
      </c>
      <c r="AB32" s="25">
        <v>7.2969999999999997</v>
      </c>
      <c r="AC32" s="15">
        <v>299</v>
      </c>
      <c r="AD32" s="30">
        <v>0.50900000000000001</v>
      </c>
      <c r="AE32" s="30">
        <v>7.28</v>
      </c>
      <c r="AF32" s="30">
        <v>34</v>
      </c>
      <c r="AG32" s="30">
        <v>33.53</v>
      </c>
      <c r="AH32" s="30">
        <v>6.72</v>
      </c>
      <c r="AI32" s="30">
        <v>3</v>
      </c>
      <c r="AJ32" s="30">
        <v>3.6440233892207234E-2</v>
      </c>
      <c r="AK32" s="30">
        <v>107</v>
      </c>
      <c r="AL32" s="30">
        <v>55</v>
      </c>
      <c r="AM32" s="30">
        <f t="shared" si="22"/>
        <v>58</v>
      </c>
      <c r="AN32" s="30">
        <f t="shared" si="23"/>
        <v>8</v>
      </c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>
        <v>2.87489038787993E-2</v>
      </c>
      <c r="AV32" s="30"/>
      <c r="AW32" s="40"/>
      <c r="AX32" s="15">
        <f t="shared" si="4"/>
        <v>1.409093E-2</v>
      </c>
      <c r="AY32" s="30">
        <f t="shared" si="21"/>
        <v>0.26810330399999999</v>
      </c>
      <c r="AZ32" s="30">
        <f t="shared" si="16"/>
        <v>1825.25</v>
      </c>
      <c r="BA32" s="31">
        <f t="shared" si="6"/>
        <v>5.8622106560745103E-2</v>
      </c>
      <c r="BB32" s="31">
        <f t="shared" si="7"/>
        <v>6.2941176470588237E-2</v>
      </c>
      <c r="BC32" s="31">
        <f t="shared" si="8"/>
        <v>0.87456561341297356</v>
      </c>
      <c r="BD32" s="31">
        <f t="shared" si="9"/>
        <v>3.6440233892207234E-2</v>
      </c>
      <c r="BE32" s="61" t="str">
        <f t="shared" si="1"/>
        <v/>
      </c>
      <c r="BF32" s="58" t="str">
        <f t="shared" si="17"/>
        <v/>
      </c>
      <c r="BG32" s="31">
        <f t="shared" si="24"/>
        <v>0</v>
      </c>
      <c r="BH32" s="31" t="str">
        <f t="shared" si="3"/>
        <v/>
      </c>
      <c r="BI32" s="46">
        <f t="shared" si="10"/>
        <v>94.649958161577231</v>
      </c>
      <c r="BJ32" s="66">
        <f t="shared" si="11"/>
        <v>3.6440233892207234E-2</v>
      </c>
      <c r="BK32" s="48">
        <f t="shared" si="12"/>
        <v>0</v>
      </c>
    </row>
    <row r="33" spans="1:63" x14ac:dyDescent="0.3">
      <c r="A33" s="1" t="s">
        <v>55</v>
      </c>
      <c r="B33" s="27" t="s">
        <v>27</v>
      </c>
      <c r="C33" s="27">
        <v>12</v>
      </c>
      <c r="D33" s="27">
        <v>5</v>
      </c>
      <c r="E33" s="28">
        <v>45454.421145833301</v>
      </c>
      <c r="F33" s="27">
        <v>2716.05</v>
      </c>
      <c r="G33" s="29"/>
      <c r="H33" s="29">
        <v>2270.1149999999998</v>
      </c>
      <c r="I33" s="29">
        <v>21.7</v>
      </c>
      <c r="J33" s="29">
        <v>20</v>
      </c>
      <c r="K33" s="29">
        <v>92.5</v>
      </c>
      <c r="L33" s="29">
        <v>17</v>
      </c>
      <c r="M33" s="29">
        <v>376</v>
      </c>
      <c r="N33" s="29">
        <v>1.28</v>
      </c>
      <c r="O33" s="29">
        <v>0.3</v>
      </c>
      <c r="P33" s="29">
        <v>5.03</v>
      </c>
      <c r="Q33" s="29">
        <v>0.2</v>
      </c>
      <c r="R33" s="29">
        <v>0.54</v>
      </c>
      <c r="S33" s="29">
        <v>2.76</v>
      </c>
      <c r="T33" s="29">
        <v>7.24</v>
      </c>
      <c r="U33" s="29">
        <v>109.8</v>
      </c>
      <c r="V33" s="29">
        <v>40.4</v>
      </c>
      <c r="W33" s="29">
        <v>2.12</v>
      </c>
      <c r="X33" s="29">
        <v>150.30000000000001</v>
      </c>
      <c r="Y33" s="29">
        <v>45.7</v>
      </c>
      <c r="Z33" s="29">
        <v>96.3</v>
      </c>
      <c r="AA33" s="29">
        <v>32.700000000000003</v>
      </c>
      <c r="AB33" s="25">
        <v>7.2809999999999997</v>
      </c>
      <c r="AC33" s="15">
        <v>299</v>
      </c>
      <c r="AD33" s="30">
        <v>0.503</v>
      </c>
      <c r="AE33" s="30">
        <v>7.28</v>
      </c>
      <c r="AF33" s="30">
        <v>34</v>
      </c>
      <c r="AG33" s="30">
        <v>27.27</v>
      </c>
      <c r="AH33" s="30">
        <v>10.57</v>
      </c>
      <c r="AI33" s="30">
        <v>7</v>
      </c>
      <c r="AJ33" s="30">
        <v>3.2747608574761916E-2</v>
      </c>
      <c r="AK33" s="30">
        <v>104</v>
      </c>
      <c r="AL33" s="30">
        <v>47</v>
      </c>
      <c r="AM33" s="30">
        <f t="shared" si="22"/>
        <v>57</v>
      </c>
      <c r="AN33" s="30">
        <f t="shared" si="23"/>
        <v>0</v>
      </c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>
        <v>2.5969554777765198E-2</v>
      </c>
      <c r="AV33" s="30"/>
      <c r="AW33" s="40"/>
      <c r="AX33" s="15">
        <f t="shared" si="4"/>
        <v>1.452672E-2</v>
      </c>
      <c r="AY33" s="30">
        <f t="shared" si="21"/>
        <v>0.28149123600000003</v>
      </c>
      <c r="AZ33" s="30">
        <f t="shared" si="16"/>
        <v>1815.84</v>
      </c>
      <c r="BA33" s="31">
        <f t="shared" si="6"/>
        <v>5.7273768613974804E-2</v>
      </c>
      <c r="BB33" s="31">
        <f t="shared" ref="BB33:BB58" si="25">AK33/AP33</f>
        <v>6.1176470588235297E-2</v>
      </c>
      <c r="BC33" s="31">
        <f t="shared" ref="BC33:BC58" si="26">AJ33*24</f>
        <v>0.78594260579428599</v>
      </c>
      <c r="BD33" s="31">
        <f t="shared" si="9"/>
        <v>3.2747608574761916E-2</v>
      </c>
      <c r="BE33" s="61" t="str">
        <f t="shared" si="1"/>
        <v/>
      </c>
      <c r="BF33" s="58" t="str">
        <f t="shared" si="17"/>
        <v/>
      </c>
      <c r="BG33" s="31">
        <f t="shared" si="24"/>
        <v>0</v>
      </c>
      <c r="BH33" s="31" t="str">
        <f t="shared" si="3"/>
        <v/>
      </c>
      <c r="BI33" s="46">
        <f t="shared" si="10"/>
        <v>85.058723570810173</v>
      </c>
      <c r="BJ33" s="66">
        <f t="shared" si="11"/>
        <v>3.2747608574761916E-2</v>
      </c>
      <c r="BK33" s="48">
        <f t="shared" si="12"/>
        <v>0</v>
      </c>
    </row>
    <row r="34" spans="1:63" x14ac:dyDescent="0.3">
      <c r="A34" s="1" t="s">
        <v>57</v>
      </c>
      <c r="B34" s="27" t="s">
        <v>26</v>
      </c>
      <c r="C34" s="27">
        <v>12</v>
      </c>
      <c r="D34" s="27">
        <v>5</v>
      </c>
      <c r="E34" s="28">
        <v>45454.425034722197</v>
      </c>
      <c r="F34" s="27">
        <v>2716.05</v>
      </c>
      <c r="G34" s="29"/>
      <c r="H34" s="29">
        <v>2325.9450000000002</v>
      </c>
      <c r="I34" s="29">
        <v>21.8</v>
      </c>
      <c r="J34" s="29">
        <v>20.9</v>
      </c>
      <c r="K34" s="29">
        <v>95.8</v>
      </c>
      <c r="L34" s="29">
        <v>16.899999999999999</v>
      </c>
      <c r="M34" s="29">
        <v>349</v>
      </c>
      <c r="N34" s="29">
        <v>1.44</v>
      </c>
      <c r="O34" s="29">
        <v>0.27</v>
      </c>
      <c r="P34" s="29">
        <v>1.33</v>
      </c>
      <c r="Q34" s="29">
        <v>0.16</v>
      </c>
      <c r="R34" s="29">
        <v>0.1</v>
      </c>
      <c r="S34" s="29">
        <v>1.83</v>
      </c>
      <c r="T34" s="29">
        <v>7.2539999999999996</v>
      </c>
      <c r="U34" s="29">
        <v>131.6</v>
      </c>
      <c r="V34" s="29">
        <v>12.7</v>
      </c>
      <c r="W34" s="29">
        <v>2.08</v>
      </c>
      <c r="X34" s="29">
        <v>149.1</v>
      </c>
      <c r="Y34" s="29">
        <v>56.7</v>
      </c>
      <c r="Z34" s="29">
        <v>115.4</v>
      </c>
      <c r="AA34" s="29">
        <v>10.3</v>
      </c>
      <c r="AB34" s="25">
        <v>7.2949999999999999</v>
      </c>
      <c r="AC34" s="15">
        <v>299</v>
      </c>
      <c r="AD34" s="30">
        <v>0.49399999999999999</v>
      </c>
      <c r="AE34" s="30">
        <v>7.3</v>
      </c>
      <c r="AF34" s="30">
        <v>34</v>
      </c>
      <c r="AG34" s="30">
        <v>24.77</v>
      </c>
      <c r="AH34" s="30">
        <v>3.99</v>
      </c>
      <c r="AI34" s="30">
        <v>8</v>
      </c>
      <c r="AJ34" s="30">
        <v>2.2234696197237742E-2</v>
      </c>
      <c r="AK34" s="30">
        <v>107</v>
      </c>
      <c r="AL34" s="30">
        <v>32</v>
      </c>
      <c r="AM34" s="30">
        <f t="shared" si="22"/>
        <v>22</v>
      </c>
      <c r="AN34" s="30">
        <f t="shared" si="23"/>
        <v>5</v>
      </c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>
        <v>1.7829755938445199E-2</v>
      </c>
      <c r="AW34" s="40">
        <v>4.2762477749490602E-3</v>
      </c>
      <c r="AX34" s="15">
        <f t="shared" si="4"/>
        <v>1.5012553599999999E-2</v>
      </c>
      <c r="AY34" s="30">
        <f t="shared" si="21"/>
        <v>0.28688002559999998</v>
      </c>
      <c r="AZ34" s="30">
        <f t="shared" si="16"/>
        <v>1795.76</v>
      </c>
      <c r="BA34" s="31">
        <f t="shared" si="6"/>
        <v>5.9584799750523457E-2</v>
      </c>
      <c r="BB34" s="31">
        <f t="shared" si="25"/>
        <v>6.2941176470588237E-2</v>
      </c>
      <c r="BC34" s="31">
        <f t="shared" si="26"/>
        <v>0.53363270873370583</v>
      </c>
      <c r="BD34" s="31" t="str">
        <f t="shared" si="9"/>
        <v/>
      </c>
      <c r="BE34" s="61">
        <f t="shared" si="1"/>
        <v>2.2234696197237742E-2</v>
      </c>
      <c r="BF34" s="58" t="str">
        <f t="shared" si="17"/>
        <v/>
      </c>
      <c r="BG34" s="31" t="str">
        <f t="shared" si="24"/>
        <v/>
      </c>
      <c r="BH34" s="31">
        <f t="shared" si="3"/>
        <v>7.6791147043425241</v>
      </c>
      <c r="BI34" s="46">
        <f t="shared" si="10"/>
        <v>57.752457655162971</v>
      </c>
      <c r="BJ34" s="66">
        <f t="shared" si="11"/>
        <v>2.2234696197237742E-2</v>
      </c>
      <c r="BK34" s="48">
        <f t="shared" si="12"/>
        <v>7.6791147043425241</v>
      </c>
    </row>
    <row r="35" spans="1:63" ht="15" thickBot="1" x14ac:dyDescent="0.35">
      <c r="A35" s="6" t="s">
        <v>58</v>
      </c>
      <c r="B35" s="7" t="s">
        <v>26</v>
      </c>
      <c r="C35" s="7">
        <v>12</v>
      </c>
      <c r="D35" s="7">
        <v>5</v>
      </c>
      <c r="E35" s="8">
        <v>45454.4282060185</v>
      </c>
      <c r="F35" s="7">
        <v>2716.05</v>
      </c>
      <c r="G35" s="11"/>
      <c r="H35" s="11">
        <v>2518.02</v>
      </c>
      <c r="I35" s="11">
        <v>25.2</v>
      </c>
      <c r="J35" s="11">
        <v>24.5</v>
      </c>
      <c r="K35" s="11">
        <v>96.9</v>
      </c>
      <c r="L35" s="11">
        <v>16.600000000000001</v>
      </c>
      <c r="M35" s="11">
        <v>329</v>
      </c>
      <c r="N35" s="11">
        <v>1.47</v>
      </c>
      <c r="O35" s="11">
        <v>0.26</v>
      </c>
      <c r="P35" s="11">
        <v>1.21</v>
      </c>
      <c r="Q35" s="11">
        <v>0.15</v>
      </c>
      <c r="R35" s="11">
        <v>7.0000000000000007E-2</v>
      </c>
      <c r="S35" s="11">
        <v>1</v>
      </c>
      <c r="T35" s="11">
        <v>7.2539999999999996</v>
      </c>
      <c r="U35" s="11">
        <v>133.6</v>
      </c>
      <c r="V35" s="11">
        <v>21.9</v>
      </c>
      <c r="W35" s="11">
        <v>2.06</v>
      </c>
      <c r="X35" s="11">
        <v>143.69999999999999</v>
      </c>
      <c r="Y35" s="11">
        <v>57.6</v>
      </c>
      <c r="Z35" s="11">
        <v>117.1</v>
      </c>
      <c r="AA35" s="11">
        <v>17.7</v>
      </c>
      <c r="AB35" s="26">
        <v>7.2960000000000003</v>
      </c>
      <c r="AC35" s="16">
        <v>301</v>
      </c>
      <c r="AD35" s="17">
        <v>0.495</v>
      </c>
      <c r="AE35" s="17">
        <v>7.3</v>
      </c>
      <c r="AF35" s="17">
        <v>34</v>
      </c>
      <c r="AG35" s="17">
        <v>21.77</v>
      </c>
      <c r="AH35" s="17">
        <v>28</v>
      </c>
      <c r="AI35" s="17">
        <v>8</v>
      </c>
      <c r="AJ35" s="17">
        <v>2.5244879709235456E-2</v>
      </c>
      <c r="AK35" s="17">
        <v>111</v>
      </c>
      <c r="AL35" s="17">
        <v>43</v>
      </c>
      <c r="AM35" s="17">
        <f t="shared" si="22"/>
        <v>30</v>
      </c>
      <c r="AN35" s="17">
        <f t="shared" si="23"/>
        <v>5</v>
      </c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>
        <v>1.9845628425675201E-2</v>
      </c>
      <c r="AW35" s="41">
        <v>5.6019013817215999E-3</v>
      </c>
      <c r="AX35" s="16">
        <f t="shared" si="4"/>
        <v>1.7951346E-2</v>
      </c>
      <c r="AY35" s="17">
        <f t="shared" si="21"/>
        <v>0.30660534719999999</v>
      </c>
      <c r="AZ35" s="17">
        <f t="shared" si="16"/>
        <v>1831.77</v>
      </c>
      <c r="BA35" s="18">
        <f t="shared" si="6"/>
        <v>6.0597127368610691E-2</v>
      </c>
      <c r="BB35" s="18">
        <f t="shared" si="25"/>
        <v>6.5294117647058822E-2</v>
      </c>
      <c r="BC35" s="18">
        <f t="shared" si="26"/>
        <v>0.60587711302165093</v>
      </c>
      <c r="BD35" s="18" t="str">
        <f t="shared" si="9"/>
        <v/>
      </c>
      <c r="BE35" s="18">
        <f t="shared" ref="BE35:BE70" si="27">IF(B35="Julia",AV35*AZ35/24/60,"")</f>
        <v>2.5244879709235456E-2</v>
      </c>
      <c r="BF35" s="59" t="str">
        <f t="shared" si="17"/>
        <v/>
      </c>
      <c r="BG35" s="18" t="str">
        <f t="shared" si="24"/>
        <v/>
      </c>
      <c r="BH35" s="18">
        <f t="shared" ref="BH35:BH70" si="28">IF(B35="Julia",AW35*AZ35,"")</f>
        <v>10.261394893996174</v>
      </c>
      <c r="BI35" s="46">
        <f t="shared" si="10"/>
        <v>65.571116127884309</v>
      </c>
      <c r="BJ35" s="66">
        <f t="shared" si="11"/>
        <v>2.5244879709235456E-2</v>
      </c>
      <c r="BK35" s="48">
        <f t="shared" si="12"/>
        <v>10.261394893996174</v>
      </c>
    </row>
    <row r="36" spans="1:63" x14ac:dyDescent="0.3">
      <c r="A36" s="1" t="s">
        <v>53</v>
      </c>
      <c r="B36" s="27" t="s">
        <v>28</v>
      </c>
      <c r="C36" s="27">
        <v>12</v>
      </c>
      <c r="D36" s="27">
        <v>6</v>
      </c>
      <c r="E36" s="28">
        <v>45455.407187500001</v>
      </c>
      <c r="F36">
        <v>3307.9</v>
      </c>
      <c r="G36" s="29"/>
      <c r="H36" s="29">
        <v>2801.43</v>
      </c>
      <c r="I36" s="29">
        <v>23.9</v>
      </c>
      <c r="J36" s="29">
        <v>22.4</v>
      </c>
      <c r="K36" s="29">
        <v>93.6</v>
      </c>
      <c r="L36" s="29">
        <v>16.399999999999999</v>
      </c>
      <c r="M36" s="29">
        <v>365</v>
      </c>
      <c r="N36" s="29">
        <v>1</v>
      </c>
      <c r="O36" s="29">
        <v>0.28000000000000003</v>
      </c>
      <c r="P36" s="29">
        <v>2.63</v>
      </c>
      <c r="Q36" s="29">
        <v>0.26</v>
      </c>
      <c r="R36" s="29">
        <v>0.02</v>
      </c>
      <c r="S36" s="29">
        <v>2.78</v>
      </c>
      <c r="T36" s="29">
        <v>7.2560000000000002</v>
      </c>
      <c r="U36" s="29">
        <v>112.8</v>
      </c>
      <c r="V36" s="29">
        <v>28.8</v>
      </c>
      <c r="W36" s="29">
        <v>2.59</v>
      </c>
      <c r="X36" s="29">
        <v>155.4</v>
      </c>
      <c r="Y36" s="29">
        <v>48.9</v>
      </c>
      <c r="Z36" s="29">
        <v>99</v>
      </c>
      <c r="AA36" s="29">
        <v>23.3</v>
      </c>
      <c r="AB36" s="25">
        <v>7.298</v>
      </c>
      <c r="AC36" s="12">
        <v>299</v>
      </c>
      <c r="AD36" s="13">
        <v>0.49700000000000005</v>
      </c>
      <c r="AE36" s="13">
        <v>7.3</v>
      </c>
      <c r="AF36" s="13">
        <v>34</v>
      </c>
      <c r="AG36" s="13">
        <v>31.32</v>
      </c>
      <c r="AH36" s="13">
        <v>35.200000000000003</v>
      </c>
      <c r="AI36" s="13">
        <v>6</v>
      </c>
      <c r="AJ36" s="13"/>
      <c r="AK36" s="13">
        <v>100</v>
      </c>
      <c r="AL36" s="13">
        <v>46</v>
      </c>
      <c r="AM36" s="13">
        <f t="shared" ref="AM36:AM40" si="29">AK36-AK31</f>
        <v>24</v>
      </c>
      <c r="AN36" s="13">
        <f t="shared" ref="AN36:AN40" si="30">AL36-AL31</f>
        <v>0</v>
      </c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4"/>
        <v>1.6329779199999998E-2</v>
      </c>
      <c r="AY36" s="13">
        <f t="shared" si="21"/>
        <v>0.40603036800000003</v>
      </c>
      <c r="AZ36" s="13">
        <f>AP36+SUM(AG36:AI36,AK36:AL36)-((AO36+1)*D36)</f>
        <v>1822.52</v>
      </c>
      <c r="BA36" s="14">
        <f t="shared" si="6"/>
        <v>5.4869082369466457E-2</v>
      </c>
      <c r="BB36" s="14">
        <f t="shared" si="25"/>
        <v>5.8823529411764705E-2</v>
      </c>
      <c r="BC36" s="14">
        <f t="shared" si="26"/>
        <v>0</v>
      </c>
      <c r="BD36" s="14" t="str">
        <f t="shared" ref="BD36:BD70" si="31">IF(B36="Python",AU36*AZ36/24/60,"")</f>
        <v/>
      </c>
      <c r="BE36" s="14" t="str">
        <f t="shared" si="27"/>
        <v/>
      </c>
      <c r="BF36" s="57">
        <f t="shared" si="17"/>
        <v>1.6329779199999998E-2</v>
      </c>
      <c r="BG36" s="14">
        <f t="shared" si="24"/>
        <v>0</v>
      </c>
      <c r="BH36" s="14" t="str">
        <f t="shared" si="28"/>
        <v/>
      </c>
      <c r="BI36" s="45">
        <f t="shared" si="10"/>
        <v>42.41501090909091</v>
      </c>
      <c r="BJ36" s="65">
        <f t="shared" si="11"/>
        <v>1.6329779199999998E-2</v>
      </c>
      <c r="BK36" s="50">
        <f t="shared" si="12"/>
        <v>0</v>
      </c>
    </row>
    <row r="37" spans="1:63" x14ac:dyDescent="0.3">
      <c r="A37" s="1" t="s">
        <v>54</v>
      </c>
      <c r="B37" s="27" t="s">
        <v>27</v>
      </c>
      <c r="C37" s="27">
        <v>12</v>
      </c>
      <c r="D37" s="27">
        <v>6</v>
      </c>
      <c r="E37" s="28">
        <v>45455.410543981503</v>
      </c>
      <c r="F37">
        <v>3307.9</v>
      </c>
      <c r="G37" s="29"/>
      <c r="H37" s="29">
        <v>2795.67</v>
      </c>
      <c r="I37" s="29">
        <v>21.4</v>
      </c>
      <c r="J37" s="29">
        <v>20.3</v>
      </c>
      <c r="K37" s="29">
        <v>95.3</v>
      </c>
      <c r="L37">
        <v>18</v>
      </c>
      <c r="M37" s="29">
        <v>414</v>
      </c>
      <c r="N37" s="29">
        <v>1.62</v>
      </c>
      <c r="O37" s="29">
        <v>0.28999999999999998</v>
      </c>
      <c r="P37" s="29">
        <v>6.08</v>
      </c>
      <c r="Q37" s="29">
        <v>0.57999999999999996</v>
      </c>
      <c r="R37" s="29">
        <v>0.9</v>
      </c>
      <c r="S37" s="29">
        <v>2.4700000000000002</v>
      </c>
      <c r="T37" s="29">
        <v>7.194</v>
      </c>
      <c r="U37" s="29">
        <v>155.9</v>
      </c>
      <c r="V37" s="29">
        <v>21</v>
      </c>
      <c r="W37" s="29">
        <v>1.79</v>
      </c>
      <c r="X37" s="29">
        <v>164.1</v>
      </c>
      <c r="Y37" s="10">
        <v>58.4</v>
      </c>
      <c r="Z37" s="29">
        <v>136.69999999999999</v>
      </c>
      <c r="AA37" s="29">
        <v>17</v>
      </c>
      <c r="AB37" s="25">
        <v>7.234</v>
      </c>
      <c r="AC37" s="15">
        <v>300</v>
      </c>
      <c r="AD37" s="30">
        <v>0.49700000000000005</v>
      </c>
      <c r="AE37" s="30">
        <v>7.22</v>
      </c>
      <c r="AF37" s="30">
        <v>34</v>
      </c>
      <c r="AG37" s="30">
        <v>33.53</v>
      </c>
      <c r="AH37" s="30">
        <v>6.72</v>
      </c>
      <c r="AI37" s="30">
        <v>4</v>
      </c>
      <c r="AJ37" s="30"/>
      <c r="AK37" s="30">
        <v>160</v>
      </c>
      <c r="AL37" s="30">
        <v>55</v>
      </c>
      <c r="AM37" s="30">
        <f t="shared" si="29"/>
        <v>53</v>
      </c>
      <c r="AN37" s="30">
        <f t="shared" si="30"/>
        <v>0</v>
      </c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>
        <v>1.3368395543308501E-2</v>
      </c>
      <c r="AV37" s="30"/>
      <c r="AW37" s="40"/>
      <c r="AX37" s="15">
        <f t="shared" si="4"/>
        <v>1.512959E-2</v>
      </c>
      <c r="AY37" s="30">
        <f t="shared" si="21"/>
        <v>0.33818231999999998</v>
      </c>
      <c r="AZ37" s="30">
        <f t="shared" si="16"/>
        <v>1863.25</v>
      </c>
      <c r="BA37" s="31">
        <f t="shared" si="6"/>
        <v>8.5871461156581244E-2</v>
      </c>
      <c r="BB37" s="31">
        <f t="shared" si="25"/>
        <v>9.4117647058823528E-2</v>
      </c>
      <c r="BC37" s="31">
        <f t="shared" si="26"/>
        <v>0</v>
      </c>
      <c r="BD37" s="31">
        <f t="shared" si="31"/>
        <v>1.7297682636159419E-2</v>
      </c>
      <c r="BE37" s="61" t="str">
        <f t="shared" si="27"/>
        <v/>
      </c>
      <c r="BF37" s="58" t="str">
        <f t="shared" si="17"/>
        <v/>
      </c>
      <c r="BG37" s="31">
        <f t="shared" si="24"/>
        <v>0</v>
      </c>
      <c r="BH37" s="31" t="str">
        <f t="shared" si="28"/>
        <v/>
      </c>
      <c r="BI37" s="46">
        <f t="shared" si="10"/>
        <v>44.929045808206283</v>
      </c>
      <c r="BJ37" s="66">
        <f t="shared" si="11"/>
        <v>1.7297682636159419E-2</v>
      </c>
      <c r="BK37" s="48">
        <f t="shared" si="12"/>
        <v>0</v>
      </c>
    </row>
    <row r="38" spans="1:63" x14ac:dyDescent="0.3">
      <c r="A38" s="1" t="s">
        <v>55</v>
      </c>
      <c r="B38" s="27" t="s">
        <v>27</v>
      </c>
      <c r="C38" s="27">
        <v>12</v>
      </c>
      <c r="D38" s="27">
        <v>6</v>
      </c>
      <c r="E38" s="28">
        <v>45455.413958333302</v>
      </c>
      <c r="F38">
        <v>3307.9</v>
      </c>
      <c r="G38" s="29"/>
      <c r="H38" s="29">
        <v>2845.89</v>
      </c>
      <c r="I38" s="29">
        <v>21.6</v>
      </c>
      <c r="J38" s="29">
        <v>20.3</v>
      </c>
      <c r="K38" s="29">
        <v>94.2</v>
      </c>
      <c r="L38" s="29">
        <v>17.5</v>
      </c>
      <c r="M38" s="29">
        <v>400</v>
      </c>
      <c r="N38" s="29">
        <v>1.54</v>
      </c>
      <c r="O38" s="29">
        <v>0.28999999999999998</v>
      </c>
      <c r="P38" s="29">
        <v>5.62</v>
      </c>
      <c r="Q38" s="29">
        <v>0.57999999999999996</v>
      </c>
      <c r="R38" s="29">
        <v>1.03</v>
      </c>
      <c r="S38" s="29">
        <v>2.1</v>
      </c>
      <c r="T38" s="29">
        <v>7.2380000000000004</v>
      </c>
      <c r="U38" s="29">
        <v>121.7</v>
      </c>
      <c r="V38" s="29">
        <v>18.2</v>
      </c>
      <c r="W38" s="29">
        <v>1.86</v>
      </c>
      <c r="X38" s="29">
        <v>155.6</v>
      </c>
      <c r="Y38" s="29">
        <v>50.5</v>
      </c>
      <c r="Z38" s="29">
        <v>106.7</v>
      </c>
      <c r="AA38" s="29">
        <v>14.7</v>
      </c>
      <c r="AB38" s="25">
        <v>7.2789999999999999</v>
      </c>
      <c r="AC38" s="15">
        <v>301</v>
      </c>
      <c r="AD38" s="30">
        <v>0.51100000000000001</v>
      </c>
      <c r="AE38" s="30">
        <v>7.27</v>
      </c>
      <c r="AF38" s="30">
        <v>34</v>
      </c>
      <c r="AG38" s="30">
        <v>27.27</v>
      </c>
      <c r="AH38" s="30">
        <v>10.57</v>
      </c>
      <c r="AI38" s="30">
        <v>7</v>
      </c>
      <c r="AJ38" s="30"/>
      <c r="AK38" s="30">
        <v>152</v>
      </c>
      <c r="AL38" s="30">
        <v>47</v>
      </c>
      <c r="AM38" s="30">
        <f t="shared" si="29"/>
        <v>48</v>
      </c>
      <c r="AN38" s="30">
        <f t="shared" si="30"/>
        <v>0</v>
      </c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>
        <v>1.6192580649375399E-2</v>
      </c>
      <c r="AV38" s="30"/>
      <c r="AW38" s="40"/>
      <c r="AX38" s="15">
        <f t="shared" si="4"/>
        <v>1.5004460800000001E-2</v>
      </c>
      <c r="AY38" s="30">
        <f t="shared" si="21"/>
        <v>0.34864128</v>
      </c>
      <c r="AZ38" s="30">
        <f t="shared" si="16"/>
        <v>1847.84</v>
      </c>
      <c r="BA38" s="31">
        <f t="shared" si="6"/>
        <v>8.2258204173521518E-2</v>
      </c>
      <c r="BB38" s="31">
        <f t="shared" si="25"/>
        <v>8.9411764705882357E-2</v>
      </c>
      <c r="BC38" s="31">
        <f t="shared" si="26"/>
        <v>0</v>
      </c>
      <c r="BD38" s="31">
        <f t="shared" si="31"/>
        <v>2.077867932440405E-2</v>
      </c>
      <c r="BE38" s="61" t="str">
        <f t="shared" si="27"/>
        <v/>
      </c>
      <c r="BF38" s="58" t="str">
        <f t="shared" si="17"/>
        <v/>
      </c>
      <c r="BG38" s="31">
        <f t="shared" si="24"/>
        <v>0</v>
      </c>
      <c r="BH38" s="31" t="str">
        <f t="shared" si="28"/>
        <v/>
      </c>
      <c r="BI38" s="46">
        <f t="shared" si="10"/>
        <v>53.970595647802732</v>
      </c>
      <c r="BJ38" s="66">
        <f t="shared" si="11"/>
        <v>2.077867932440405E-2</v>
      </c>
      <c r="BK38" s="48">
        <f t="shared" si="12"/>
        <v>0</v>
      </c>
    </row>
    <row r="39" spans="1:63" x14ac:dyDescent="0.3">
      <c r="A39" s="1" t="s">
        <v>57</v>
      </c>
      <c r="B39" s="27" t="s">
        <v>26</v>
      </c>
      <c r="C39" s="27">
        <v>12</v>
      </c>
      <c r="D39" s="27">
        <v>6</v>
      </c>
      <c r="E39" s="28">
        <v>45455.418726851902</v>
      </c>
      <c r="F39">
        <v>3307.9</v>
      </c>
      <c r="G39" s="29"/>
      <c r="H39" s="29">
        <v>2965.59</v>
      </c>
      <c r="I39" s="29">
        <v>23.6</v>
      </c>
      <c r="J39" s="29">
        <v>22.8</v>
      </c>
      <c r="K39" s="29">
        <v>96.4</v>
      </c>
      <c r="L39" s="29">
        <v>17.2</v>
      </c>
      <c r="M39" s="29">
        <v>351</v>
      </c>
      <c r="N39" s="29">
        <v>1.4</v>
      </c>
      <c r="O39" s="29">
        <v>0.26</v>
      </c>
      <c r="P39" s="29">
        <v>2.65</v>
      </c>
      <c r="Q39" s="29">
        <v>0.22</v>
      </c>
      <c r="R39" s="29">
        <v>0</v>
      </c>
      <c r="S39" s="29">
        <v>1.29</v>
      </c>
      <c r="T39" s="29">
        <v>7.2629999999999999</v>
      </c>
      <c r="U39" s="29">
        <v>131.1</v>
      </c>
      <c r="V39" s="29">
        <v>21.2</v>
      </c>
      <c r="W39" s="29">
        <v>1.92</v>
      </c>
      <c r="X39" s="29">
        <v>150.9</v>
      </c>
      <c r="Y39" s="29">
        <v>57.6</v>
      </c>
      <c r="Z39" s="29">
        <v>115</v>
      </c>
      <c r="AA39" s="29">
        <v>17.2</v>
      </c>
      <c r="AB39" s="25">
        <v>7.3040000000000003</v>
      </c>
      <c r="AC39" s="15">
        <v>300</v>
      </c>
      <c r="AD39" s="30">
        <v>0.47899999999999998</v>
      </c>
      <c r="AE39" s="30">
        <v>7.3</v>
      </c>
      <c r="AF39" s="30">
        <v>34</v>
      </c>
      <c r="AG39" s="30">
        <v>24.77</v>
      </c>
      <c r="AH39" s="30">
        <v>8.68</v>
      </c>
      <c r="AI39" s="30">
        <v>10</v>
      </c>
      <c r="AJ39" s="30"/>
      <c r="AK39" s="30">
        <v>138</v>
      </c>
      <c r="AL39" s="30">
        <v>40</v>
      </c>
      <c r="AM39" s="30">
        <f t="shared" si="29"/>
        <v>31</v>
      </c>
      <c r="AN39" s="30">
        <f t="shared" si="30"/>
        <v>8</v>
      </c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>
        <v>1.7536108436848299E-2</v>
      </c>
      <c r="AW39" s="40">
        <v>4.6517617677274302E-3</v>
      </c>
      <c r="AX39" s="15">
        <f t="shared" si="4"/>
        <v>1.6648104000000004E-2</v>
      </c>
      <c r="AY39" s="30">
        <f t="shared" si="21"/>
        <v>0.36030128639999998</v>
      </c>
      <c r="AZ39" s="30">
        <f t="shared" si="16"/>
        <v>1825.45</v>
      </c>
      <c r="BA39" s="31">
        <f t="shared" si="6"/>
        <v>7.559779780328138E-2</v>
      </c>
      <c r="BB39" s="31">
        <f t="shared" si="25"/>
        <v>8.1176470588235294E-2</v>
      </c>
      <c r="BC39" s="31">
        <f t="shared" si="26"/>
        <v>0</v>
      </c>
      <c r="BD39" s="31" t="str">
        <f t="shared" si="31"/>
        <v/>
      </c>
      <c r="BE39" s="61">
        <f t="shared" si="27"/>
        <v>2.2230061906975504E-2</v>
      </c>
      <c r="BF39" s="58" t="str">
        <f t="shared" si="17"/>
        <v/>
      </c>
      <c r="BG39" s="31"/>
      <c r="BH39" s="31">
        <f t="shared" si="28"/>
        <v>8.4915585188980369</v>
      </c>
      <c r="BI39" s="46">
        <f t="shared" si="10"/>
        <v>57.740420537598716</v>
      </c>
      <c r="BJ39" s="66">
        <f t="shared" si="11"/>
        <v>2.2230061906975504E-2</v>
      </c>
      <c r="BK39" s="48">
        <f t="shared" si="12"/>
        <v>8.4915585188980369</v>
      </c>
    </row>
    <row r="40" spans="1:63" ht="15" thickBot="1" x14ac:dyDescent="0.35">
      <c r="A40" s="1" t="s">
        <v>58</v>
      </c>
      <c r="B40" s="27" t="s">
        <v>26</v>
      </c>
      <c r="C40" s="27">
        <v>12</v>
      </c>
      <c r="D40" s="27">
        <v>6</v>
      </c>
      <c r="E40" s="28">
        <v>45455.421655092599</v>
      </c>
      <c r="F40">
        <v>3307.9</v>
      </c>
      <c r="G40" s="29"/>
      <c r="H40" s="29">
        <v>3271.2750000000001</v>
      </c>
      <c r="I40" s="29">
        <v>25.1</v>
      </c>
      <c r="J40" s="29">
        <v>24.5</v>
      </c>
      <c r="K40" s="29">
        <v>97.7</v>
      </c>
      <c r="L40" s="29">
        <v>16.7</v>
      </c>
      <c r="M40" s="29">
        <v>343</v>
      </c>
      <c r="N40" s="29">
        <v>1.59</v>
      </c>
      <c r="O40" s="29">
        <v>0.26</v>
      </c>
      <c r="P40" s="29">
        <v>1.36</v>
      </c>
      <c r="Q40" s="29">
        <v>0.23</v>
      </c>
      <c r="R40" s="29">
        <v>0</v>
      </c>
      <c r="S40" s="29">
        <v>0.63</v>
      </c>
      <c r="T40" s="29">
        <v>7.2539999999999996</v>
      </c>
      <c r="U40" s="29">
        <v>135.19999999999999</v>
      </c>
      <c r="V40" s="29">
        <v>21.3</v>
      </c>
      <c r="W40" s="29">
        <v>1.92</v>
      </c>
      <c r="X40" s="29">
        <v>149.4</v>
      </c>
      <c r="Y40" s="29">
        <v>58.3</v>
      </c>
      <c r="Z40" s="29">
        <v>118.5</v>
      </c>
      <c r="AA40" s="29">
        <v>17.3</v>
      </c>
      <c r="AB40" s="25">
        <v>7.2960000000000003</v>
      </c>
      <c r="AC40" s="16">
        <v>303</v>
      </c>
      <c r="AD40" s="17">
        <v>0.50700000000000001</v>
      </c>
      <c r="AE40" s="17">
        <v>7.3</v>
      </c>
      <c r="AF40" s="17">
        <v>34</v>
      </c>
      <c r="AG40" s="17">
        <v>21.77</v>
      </c>
      <c r="AH40" s="17">
        <v>30.46</v>
      </c>
      <c r="AI40" s="17">
        <v>10</v>
      </c>
      <c r="AJ40" s="17"/>
      <c r="AK40" s="17">
        <v>147</v>
      </c>
      <c r="AL40" s="17">
        <v>54</v>
      </c>
      <c r="AM40" s="17">
        <f t="shared" si="29"/>
        <v>36</v>
      </c>
      <c r="AN40" s="17">
        <f t="shared" si="30"/>
        <v>11</v>
      </c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>
        <v>1.61476013472261E-2</v>
      </c>
      <c r="AW40" s="41">
        <v>1.2435898508473199E-3</v>
      </c>
      <c r="AX40" s="16">
        <f t="shared" si="4"/>
        <v>1.8298854E-2</v>
      </c>
      <c r="AY40" s="17">
        <f t="shared" si="21"/>
        <v>0.430832304</v>
      </c>
      <c r="AZ40" s="17">
        <f t="shared" si="16"/>
        <v>1867.23</v>
      </c>
      <c r="BA40" s="18">
        <f t="shared" si="6"/>
        <v>7.8726241544962328E-2</v>
      </c>
      <c r="BB40" s="18">
        <f t="shared" si="25"/>
        <v>8.6470588235294119E-2</v>
      </c>
      <c r="BC40" s="18">
        <f t="shared" si="26"/>
        <v>0</v>
      </c>
      <c r="BD40" s="18" t="str">
        <f t="shared" si="31"/>
        <v/>
      </c>
      <c r="BE40" s="18">
        <f t="shared" si="27"/>
        <v>2.0938392821931242E-2</v>
      </c>
      <c r="BF40" s="59" t="str">
        <f t="shared" si="17"/>
        <v/>
      </c>
      <c r="BG40" s="18" t="str">
        <f t="shared" si="24"/>
        <v/>
      </c>
      <c r="BH40" s="18">
        <f t="shared" si="28"/>
        <v>2.3220682771976411</v>
      </c>
      <c r="BI40" s="47">
        <f t="shared" si="10"/>
        <v>54.385435901120111</v>
      </c>
      <c r="BJ40" s="67">
        <f t="shared" si="11"/>
        <v>2.0938392821931242E-2</v>
      </c>
      <c r="BK40" s="49">
        <f t="shared" si="12"/>
        <v>2.3220682771976411</v>
      </c>
    </row>
    <row r="41" spans="1:63" x14ac:dyDescent="0.3">
      <c r="A41" s="3" t="s">
        <v>53</v>
      </c>
      <c r="B41" s="4" t="s">
        <v>28</v>
      </c>
      <c r="C41" s="4">
        <v>12</v>
      </c>
      <c r="D41" s="4">
        <v>7</v>
      </c>
      <c r="E41" s="5">
        <v>45456.4049884259</v>
      </c>
      <c r="F41" s="4">
        <v>3888.32</v>
      </c>
      <c r="G41" s="9"/>
      <c r="H41" s="9">
        <v>3347.97</v>
      </c>
      <c r="I41" s="9">
        <v>24</v>
      </c>
      <c r="J41" s="9">
        <v>22.6</v>
      </c>
      <c r="K41" s="9">
        <v>94.4</v>
      </c>
      <c r="L41" s="9">
        <v>16.600000000000001</v>
      </c>
      <c r="M41" s="9">
        <v>365</v>
      </c>
      <c r="N41" s="9">
        <v>1.07</v>
      </c>
      <c r="O41" s="9">
        <v>0.25</v>
      </c>
      <c r="P41" s="9">
        <v>2.82</v>
      </c>
      <c r="Q41" s="9">
        <v>0.26</v>
      </c>
      <c r="R41" s="9">
        <v>0.05</v>
      </c>
      <c r="S41" s="9">
        <v>2.35</v>
      </c>
      <c r="T41" s="9">
        <v>7.2539999999999996</v>
      </c>
      <c r="U41" s="9">
        <v>114.8</v>
      </c>
      <c r="V41" s="9">
        <v>29.2</v>
      </c>
      <c r="W41" s="9">
        <v>2.38</v>
      </c>
      <c r="X41" s="9">
        <v>156.9</v>
      </c>
      <c r="Y41" s="9">
        <v>49.4</v>
      </c>
      <c r="Z41" s="9">
        <v>100.7</v>
      </c>
      <c r="AA41" s="9">
        <v>23.6</v>
      </c>
      <c r="AB41" s="24">
        <v>7.2949999999999999</v>
      </c>
      <c r="AC41" s="12">
        <v>301</v>
      </c>
      <c r="AD41" s="13">
        <v>0.495</v>
      </c>
      <c r="AE41" s="13">
        <v>7.3</v>
      </c>
      <c r="AF41" s="13">
        <v>34</v>
      </c>
      <c r="AG41" s="13">
        <v>31.32</v>
      </c>
      <c r="AH41" s="13">
        <v>48.44</v>
      </c>
      <c r="AI41" s="13">
        <v>6</v>
      </c>
      <c r="AJ41" s="13"/>
      <c r="AK41" s="13">
        <v>124</v>
      </c>
      <c r="AL41" s="13">
        <v>46</v>
      </c>
      <c r="AM41" s="13">
        <f t="shared" ref="AM41:AN45" si="32">AK41-AK36</f>
        <v>24</v>
      </c>
      <c r="AN41" s="13">
        <f t="shared" si="32"/>
        <v>0</v>
      </c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4"/>
        <v>1.6667590400000001E-2</v>
      </c>
      <c r="AY41" s="13">
        <f t="shared" si="21"/>
        <v>0.39191470079999996</v>
      </c>
      <c r="AZ41" s="13">
        <f t="shared" ref="AZ41:AZ70" si="33">AP41+SUM(AG41:AI41,AK41:AL41)-((AO41+1)*D41)</f>
        <v>1843.76</v>
      </c>
      <c r="BA41" s="14">
        <f t="shared" si="6"/>
        <v>6.7253872521369371E-2</v>
      </c>
      <c r="BB41" s="14">
        <f t="shared" si="25"/>
        <v>7.2941176470588232E-2</v>
      </c>
      <c r="BC41" s="14">
        <f t="shared" si="26"/>
        <v>0</v>
      </c>
      <c r="BD41" s="14" t="str">
        <f t="shared" si="31"/>
        <v/>
      </c>
      <c r="BE41" s="14" t="str">
        <f t="shared" si="27"/>
        <v/>
      </c>
      <c r="BF41" s="57">
        <f t="shared" si="17"/>
        <v>1.6667590400000001E-2</v>
      </c>
      <c r="BG41" s="14">
        <f t="shared" si="24"/>
        <v>0</v>
      </c>
      <c r="BH41" s="14" t="str">
        <f t="shared" si="28"/>
        <v/>
      </c>
      <c r="BI41" s="46">
        <f t="shared" si="10"/>
        <v>43.292442597402605</v>
      </c>
      <c r="BJ41" s="66">
        <f t="shared" si="11"/>
        <v>1.6667590400000001E-2</v>
      </c>
      <c r="BK41" s="48">
        <f t="shared" si="12"/>
        <v>0</v>
      </c>
    </row>
    <row r="42" spans="1:63" x14ac:dyDescent="0.3">
      <c r="A42" s="1" t="s">
        <v>54</v>
      </c>
      <c r="B42" s="27" t="s">
        <v>27</v>
      </c>
      <c r="C42" s="27">
        <v>12</v>
      </c>
      <c r="D42" s="27">
        <v>7</v>
      </c>
      <c r="E42" s="28">
        <v>45456.408564814803</v>
      </c>
      <c r="F42" s="27">
        <v>3888.32</v>
      </c>
      <c r="G42" s="29"/>
      <c r="H42" s="29">
        <v>3384.48</v>
      </c>
      <c r="I42" s="29">
        <v>21.4</v>
      </c>
      <c r="J42" s="29">
        <v>20.5</v>
      </c>
      <c r="K42" s="29">
        <v>96</v>
      </c>
      <c r="L42" s="29">
        <v>18.100000000000001</v>
      </c>
      <c r="M42" s="29">
        <v>402</v>
      </c>
      <c r="N42" s="29">
        <v>1.69</v>
      </c>
      <c r="O42" s="29">
        <v>0.26</v>
      </c>
      <c r="P42" s="29">
        <v>3.4</v>
      </c>
      <c r="Q42" s="29">
        <v>0.43</v>
      </c>
      <c r="R42" s="29">
        <v>0.11</v>
      </c>
      <c r="S42" s="29">
        <v>1.93</v>
      </c>
      <c r="T42" s="29">
        <v>7.2320000000000002</v>
      </c>
      <c r="U42" s="29">
        <v>156.6</v>
      </c>
      <c r="V42" s="29">
        <v>21.3</v>
      </c>
      <c r="W42" s="29">
        <v>1.6</v>
      </c>
      <c r="X42" s="29">
        <v>165.4</v>
      </c>
      <c r="Y42" s="29">
        <v>64.099999999999994</v>
      </c>
      <c r="Z42" s="29">
        <v>137.30000000000001</v>
      </c>
      <c r="AA42" s="29">
        <v>17.2</v>
      </c>
      <c r="AB42" s="25">
        <v>7.2729999999999997</v>
      </c>
      <c r="AC42" s="15">
        <v>300</v>
      </c>
      <c r="AD42" s="30">
        <v>0.51600000000000001</v>
      </c>
      <c r="AE42" s="30">
        <v>7.25</v>
      </c>
      <c r="AF42" s="30">
        <v>34</v>
      </c>
      <c r="AG42" s="30">
        <v>33.53</v>
      </c>
      <c r="AH42" s="30">
        <v>6.72</v>
      </c>
      <c r="AI42" s="30">
        <v>5</v>
      </c>
      <c r="AJ42" s="30"/>
      <c r="AK42" s="30">
        <v>187</v>
      </c>
      <c r="AL42" s="30">
        <v>55</v>
      </c>
      <c r="AM42" s="30">
        <f t="shared" si="32"/>
        <v>27</v>
      </c>
      <c r="AN42" s="30">
        <f t="shared" si="32"/>
        <v>0</v>
      </c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>
        <v>2.5062731433902599E-2</v>
      </c>
      <c r="AV42" s="30"/>
      <c r="AW42" s="40"/>
      <c r="AX42" s="15">
        <f t="shared" si="4"/>
        <v>1.537705E-2</v>
      </c>
      <c r="AY42" s="30">
        <f t="shared" si="21"/>
        <v>0.36311016000000002</v>
      </c>
      <c r="AZ42" s="30">
        <f t="shared" si="33"/>
        <v>1875.25</v>
      </c>
      <c r="BA42" s="31">
        <f t="shared" si="6"/>
        <v>9.9720037328356215E-2</v>
      </c>
      <c r="BB42" s="31">
        <f t="shared" si="25"/>
        <v>0.11</v>
      </c>
      <c r="BC42" s="31">
        <f t="shared" si="26"/>
        <v>0</v>
      </c>
      <c r="BD42" s="31">
        <f t="shared" si="31"/>
        <v>3.2638116056545728E-2</v>
      </c>
      <c r="BE42" s="61" t="str">
        <f t="shared" si="27"/>
        <v/>
      </c>
      <c r="BF42" s="58" t="str">
        <f t="shared" si="17"/>
        <v/>
      </c>
      <c r="BG42" s="31">
        <f t="shared" si="24"/>
        <v>0</v>
      </c>
      <c r="BH42" s="31" t="str">
        <f t="shared" si="28"/>
        <v/>
      </c>
      <c r="BI42" s="46">
        <f t="shared" si="10"/>
        <v>84.774327419599302</v>
      </c>
      <c r="BJ42" s="66">
        <f t="shared" si="11"/>
        <v>3.2638116056545728E-2</v>
      </c>
      <c r="BK42" s="48">
        <f t="shared" si="12"/>
        <v>0</v>
      </c>
    </row>
    <row r="43" spans="1:63" x14ac:dyDescent="0.3">
      <c r="A43" s="1" t="s">
        <v>55</v>
      </c>
      <c r="B43" s="27" t="s">
        <v>27</v>
      </c>
      <c r="C43" s="27">
        <v>12</v>
      </c>
      <c r="D43" s="27">
        <v>7</v>
      </c>
      <c r="E43" s="28">
        <v>45456.4118171296</v>
      </c>
      <c r="F43" s="27">
        <v>3888.32</v>
      </c>
      <c r="G43" s="29"/>
      <c r="H43" s="29">
        <v>3525.24</v>
      </c>
      <c r="I43" s="29">
        <v>20.8</v>
      </c>
      <c r="J43" s="29">
        <v>19.7</v>
      </c>
      <c r="K43" s="29">
        <v>94.8</v>
      </c>
      <c r="L43" s="29">
        <v>18</v>
      </c>
      <c r="M43" s="29">
        <v>382</v>
      </c>
      <c r="N43" s="29">
        <v>1.69</v>
      </c>
      <c r="O43" s="29">
        <v>0.26</v>
      </c>
      <c r="P43" s="29">
        <v>3.58</v>
      </c>
      <c r="Q43" s="29">
        <v>0.48</v>
      </c>
      <c r="R43" s="29">
        <v>0.5</v>
      </c>
      <c r="S43" s="29">
        <v>1.71</v>
      </c>
      <c r="T43" s="29">
        <v>7.24</v>
      </c>
      <c r="U43" s="29">
        <v>128.5</v>
      </c>
      <c r="V43" s="29">
        <v>13.6</v>
      </c>
      <c r="W43" s="29">
        <v>1.68</v>
      </c>
      <c r="X43" s="29">
        <v>157.69999999999999</v>
      </c>
      <c r="Y43" s="29">
        <v>53.5</v>
      </c>
      <c r="Z43" s="29">
        <v>112.7</v>
      </c>
      <c r="AA43" s="29">
        <v>11</v>
      </c>
      <c r="AB43" s="25">
        <v>7.2809999999999997</v>
      </c>
      <c r="AC43" s="15">
        <v>300</v>
      </c>
      <c r="AD43" s="30">
        <v>0.48399999999999999</v>
      </c>
      <c r="AE43" s="30">
        <v>7.26</v>
      </c>
      <c r="AF43" s="30">
        <v>34</v>
      </c>
      <c r="AG43" s="30">
        <v>27.27</v>
      </c>
      <c r="AH43" s="30">
        <v>10.57</v>
      </c>
      <c r="AI43" s="30">
        <v>7</v>
      </c>
      <c r="AJ43" s="30"/>
      <c r="AK43" s="30">
        <v>183</v>
      </c>
      <c r="AL43" s="30">
        <v>47</v>
      </c>
      <c r="AM43" s="30">
        <f t="shared" si="32"/>
        <v>31</v>
      </c>
      <c r="AN43" s="30">
        <f t="shared" si="32"/>
        <v>0</v>
      </c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>
        <v>1.39703591248772E-2</v>
      </c>
      <c r="AV43" s="30"/>
      <c r="AW43" s="40"/>
      <c r="AX43" s="15">
        <f t="shared" si="4"/>
        <v>1.46791792E-2</v>
      </c>
      <c r="AY43" s="30">
        <f t="shared" si="21"/>
        <v>0.36010705920000002</v>
      </c>
      <c r="AZ43" s="30">
        <f t="shared" si="33"/>
        <v>1862.8400000000001</v>
      </c>
      <c r="BA43" s="31">
        <f t="shared" si="6"/>
        <v>9.8237100341414182E-2</v>
      </c>
      <c r="BB43" s="31">
        <f t="shared" si="25"/>
        <v>0.10764705882352942</v>
      </c>
      <c r="BC43" s="31">
        <f t="shared" si="26"/>
        <v>0</v>
      </c>
      <c r="BD43" s="31">
        <f t="shared" si="31"/>
        <v>1.8072599855684893E-2</v>
      </c>
      <c r="BE43" s="61" t="str">
        <f t="shared" si="27"/>
        <v/>
      </c>
      <c r="BF43" s="58" t="str">
        <f t="shared" si="17"/>
        <v/>
      </c>
      <c r="BG43" s="31">
        <f t="shared" si="24"/>
        <v>0</v>
      </c>
      <c r="BH43" s="31" t="str">
        <f t="shared" si="28"/>
        <v/>
      </c>
      <c r="BI43" s="46">
        <f t="shared" si="10"/>
        <v>46.941817806973752</v>
      </c>
      <c r="BJ43" s="66">
        <f t="shared" si="11"/>
        <v>1.8072599855684893E-2</v>
      </c>
      <c r="BK43" s="48">
        <f t="shared" si="12"/>
        <v>0</v>
      </c>
    </row>
    <row r="44" spans="1:63" x14ac:dyDescent="0.3">
      <c r="A44" s="1" t="s">
        <v>57</v>
      </c>
      <c r="B44" s="27" t="s">
        <v>26</v>
      </c>
      <c r="C44" s="27">
        <v>12</v>
      </c>
      <c r="D44" s="27">
        <v>7</v>
      </c>
      <c r="E44" s="28">
        <v>45456.416608796302</v>
      </c>
      <c r="F44" s="27">
        <v>3888.32</v>
      </c>
      <c r="G44" s="29"/>
      <c r="H44" s="29">
        <v>3579.9450000000002</v>
      </c>
      <c r="I44" s="29">
        <v>22.7</v>
      </c>
      <c r="J44" s="29">
        <v>21.8</v>
      </c>
      <c r="K44" s="29">
        <v>96.3</v>
      </c>
      <c r="L44" s="29">
        <v>17.3</v>
      </c>
      <c r="M44" s="29">
        <v>363</v>
      </c>
      <c r="N44" s="29">
        <v>1.53</v>
      </c>
      <c r="O44" s="29">
        <v>0.23</v>
      </c>
      <c r="P44" s="29">
        <v>2.94</v>
      </c>
      <c r="Q44" s="29">
        <v>0.34</v>
      </c>
      <c r="R44" s="29">
        <v>0.03</v>
      </c>
      <c r="S44" s="29">
        <v>1.1299999999999999</v>
      </c>
      <c r="T44" s="29">
        <v>7.2320000000000002</v>
      </c>
      <c r="U44" s="29">
        <v>137.19999999999999</v>
      </c>
      <c r="V44" s="29">
        <v>12.5</v>
      </c>
      <c r="W44" s="29">
        <v>1.68</v>
      </c>
      <c r="X44" s="29">
        <v>151.30000000000001</v>
      </c>
      <c r="Y44" s="29">
        <v>56.1</v>
      </c>
      <c r="Z44" s="29">
        <v>120.4</v>
      </c>
      <c r="AA44" s="29">
        <v>10.1</v>
      </c>
      <c r="AB44" s="25">
        <v>7.2729999999999997</v>
      </c>
      <c r="AC44" s="15">
        <v>300</v>
      </c>
      <c r="AD44" s="30">
        <v>0.48899999999999999</v>
      </c>
      <c r="AE44" s="30">
        <v>7.27</v>
      </c>
      <c r="AF44" s="30">
        <v>34</v>
      </c>
      <c r="AG44" s="30">
        <v>24.77</v>
      </c>
      <c r="AH44" s="30">
        <v>8.94</v>
      </c>
      <c r="AI44" s="30">
        <v>11</v>
      </c>
      <c r="AJ44" s="30"/>
      <c r="AK44" s="30">
        <v>170</v>
      </c>
      <c r="AL44" s="30">
        <v>50</v>
      </c>
      <c r="AM44" s="30">
        <f t="shared" si="32"/>
        <v>32</v>
      </c>
      <c r="AN44" s="30">
        <f t="shared" si="32"/>
        <v>10</v>
      </c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>
        <v>1.4730434815927999E-2</v>
      </c>
      <c r="AW44" s="40">
        <v>9.9999999999999995E-8</v>
      </c>
      <c r="AX44" s="15">
        <f t="shared" si="4"/>
        <v>1.6155631200000003E-2</v>
      </c>
      <c r="AY44" s="30">
        <f t="shared" si="21"/>
        <v>0.39955449600000009</v>
      </c>
      <c r="AZ44" s="30">
        <f t="shared" si="33"/>
        <v>1852.71</v>
      </c>
      <c r="BA44" s="31">
        <f t="shared" si="6"/>
        <v>9.1757479583960785E-2</v>
      </c>
      <c r="BB44" s="31">
        <f t="shared" si="25"/>
        <v>0.1</v>
      </c>
      <c r="BC44" s="31">
        <f t="shared" si="26"/>
        <v>0</v>
      </c>
      <c r="BD44" s="31" t="str">
        <f t="shared" si="31"/>
        <v/>
      </c>
      <c r="BE44" s="61">
        <f t="shared" si="27"/>
        <v>1.8952238810984696E-2</v>
      </c>
      <c r="BF44" s="58" t="str">
        <f t="shared" si="17"/>
        <v/>
      </c>
      <c r="BG44" s="31">
        <f t="shared" si="24"/>
        <v>0</v>
      </c>
      <c r="BH44" s="31">
        <f t="shared" si="28"/>
        <v>1.8527099999999998E-4</v>
      </c>
      <c r="BI44" s="46">
        <f t="shared" si="10"/>
        <v>49.226594314245965</v>
      </c>
      <c r="BJ44" s="66">
        <f t="shared" si="11"/>
        <v>1.8952238810984696E-2</v>
      </c>
      <c r="BK44" s="48">
        <f t="shared" si="12"/>
        <v>0</v>
      </c>
    </row>
    <row r="45" spans="1:63" ht="15" thickBot="1" x14ac:dyDescent="0.35">
      <c r="A45" s="6" t="s">
        <v>58</v>
      </c>
      <c r="B45" s="7" t="s">
        <v>26</v>
      </c>
      <c r="C45" s="7">
        <v>12</v>
      </c>
      <c r="D45" s="7">
        <v>7</v>
      </c>
      <c r="E45" s="8">
        <v>45456.431018518502</v>
      </c>
      <c r="F45" s="7">
        <v>3888.32</v>
      </c>
      <c r="G45" s="11"/>
      <c r="H45" s="11">
        <v>3974.04</v>
      </c>
      <c r="I45" s="11">
        <v>23.8</v>
      </c>
      <c r="J45" s="11">
        <v>23.1</v>
      </c>
      <c r="K45" s="11">
        <v>97.3</v>
      </c>
      <c r="L45" s="11">
        <v>16.899999999999999</v>
      </c>
      <c r="M45" s="11">
        <v>332</v>
      </c>
      <c r="N45" s="11">
        <v>1.99</v>
      </c>
      <c r="O45" s="11">
        <v>0.24</v>
      </c>
      <c r="P45" s="11">
        <v>0.19</v>
      </c>
      <c r="Q45" s="11">
        <v>0.32</v>
      </c>
      <c r="R45" s="11">
        <v>0</v>
      </c>
      <c r="S45" s="11">
        <v>0.32</v>
      </c>
      <c r="T45" s="11">
        <v>7.2569999999999997</v>
      </c>
      <c r="U45" s="11">
        <v>137.19999999999999</v>
      </c>
      <c r="V45" s="11">
        <v>15.3</v>
      </c>
      <c r="W45" s="11">
        <v>1.85</v>
      </c>
      <c r="X45" s="11">
        <v>151.19999999999999</v>
      </c>
      <c r="Y45" s="11">
        <v>59.5</v>
      </c>
      <c r="Z45" s="11">
        <v>120.3</v>
      </c>
      <c r="AA45" s="11">
        <v>12.4</v>
      </c>
      <c r="AB45" s="26">
        <v>7.298</v>
      </c>
      <c r="AC45" s="16">
        <v>301</v>
      </c>
      <c r="AD45" s="17">
        <v>0.5</v>
      </c>
      <c r="AE45" s="17">
        <v>7.3</v>
      </c>
      <c r="AF45" s="17">
        <v>34</v>
      </c>
      <c r="AG45" s="17">
        <v>21.77</v>
      </c>
      <c r="AH45" s="17">
        <v>33.89</v>
      </c>
      <c r="AI45" s="17">
        <v>11</v>
      </c>
      <c r="AJ45" s="17"/>
      <c r="AK45" s="17">
        <v>178</v>
      </c>
      <c r="AL45" s="17">
        <v>57</v>
      </c>
      <c r="AM45" s="17">
        <f t="shared" si="32"/>
        <v>31</v>
      </c>
      <c r="AN45" s="17">
        <f t="shared" si="32"/>
        <v>3</v>
      </c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>
        <v>1.6126704454023699E-2</v>
      </c>
      <c r="AW45" s="41">
        <v>1.63930790240546E-3</v>
      </c>
      <c r="AX45" s="16">
        <f t="shared" si="4"/>
        <v>1.74604584E-2</v>
      </c>
      <c r="AY45" s="17">
        <f t="shared" si="21"/>
        <v>0.43917249599999997</v>
      </c>
      <c r="AZ45" s="17">
        <f t="shared" si="33"/>
        <v>1889.6599999999999</v>
      </c>
      <c r="BA45" s="18">
        <f t="shared" si="6"/>
        <v>9.4196839643110403E-2</v>
      </c>
      <c r="BB45" s="18">
        <f t="shared" si="25"/>
        <v>0.10470588235294118</v>
      </c>
      <c r="BC45" s="18">
        <f t="shared" si="26"/>
        <v>0</v>
      </c>
      <c r="BD45" s="18" t="str">
        <f t="shared" si="31"/>
        <v/>
      </c>
      <c r="BE45" s="18">
        <f t="shared" si="27"/>
        <v>2.1162491901798905E-2</v>
      </c>
      <c r="BF45" s="59" t="str">
        <f t="shared" si="17"/>
        <v/>
      </c>
      <c r="BG45" s="18" t="str">
        <f t="shared" si="24"/>
        <v/>
      </c>
      <c r="BH45" s="18">
        <f t="shared" si="28"/>
        <v>3.0977345708595014</v>
      </c>
      <c r="BI45" s="46">
        <f t="shared" si="10"/>
        <v>54.967511433243914</v>
      </c>
      <c r="BJ45" s="66">
        <f t="shared" si="11"/>
        <v>2.1162491901798905E-2</v>
      </c>
      <c r="BK45" s="48">
        <f t="shared" si="12"/>
        <v>3.0977345708595014</v>
      </c>
    </row>
    <row r="46" spans="1:63" x14ac:dyDescent="0.3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>
        <v>3868.2750000000001</v>
      </c>
      <c r="I46" s="27">
        <v>22.5</v>
      </c>
      <c r="J46" s="27">
        <v>21.1</v>
      </c>
      <c r="K46" s="27">
        <v>93.8</v>
      </c>
      <c r="L46" s="27">
        <v>16.7</v>
      </c>
      <c r="M46" s="27">
        <v>369</v>
      </c>
      <c r="N46" s="27">
        <v>1.1200000000000001</v>
      </c>
      <c r="O46" s="27">
        <v>0.22</v>
      </c>
      <c r="P46" s="27">
        <v>2.76</v>
      </c>
      <c r="Q46" s="27">
        <v>0.19</v>
      </c>
      <c r="R46" s="27">
        <v>7.0000000000000007E-2</v>
      </c>
      <c r="S46" s="27">
        <v>1.86</v>
      </c>
      <c r="T46" s="27">
        <v>7.2590000000000003</v>
      </c>
      <c r="U46" s="27">
        <v>118.5</v>
      </c>
      <c r="V46" s="27">
        <v>30.4</v>
      </c>
      <c r="W46" s="27">
        <v>2.19</v>
      </c>
      <c r="X46" s="27">
        <v>156.69999999999999</v>
      </c>
      <c r="Y46" s="27">
        <v>51.6</v>
      </c>
      <c r="Z46" s="27">
        <v>104</v>
      </c>
      <c r="AA46" s="27">
        <v>24.6</v>
      </c>
      <c r="AB46" s="2">
        <v>7.3</v>
      </c>
      <c r="AC46" s="3">
        <v>300</v>
      </c>
      <c r="AD46" s="4">
        <v>0.49399999999999999</v>
      </c>
      <c r="AE46" s="4">
        <v>7.3</v>
      </c>
      <c r="AF46" s="4">
        <v>34</v>
      </c>
      <c r="AG46" s="4">
        <v>31.32</v>
      </c>
      <c r="AH46" s="4">
        <v>59.68</v>
      </c>
      <c r="AI46" s="4">
        <v>7</v>
      </c>
      <c r="AJ46" s="4"/>
      <c r="AK46" s="13">
        <v>148</v>
      </c>
      <c r="AL46" s="13">
        <v>46</v>
      </c>
      <c r="AM46" s="13">
        <f t="shared" ref="AM46:AN50" si="34">AK46-AK41</f>
        <v>24</v>
      </c>
      <c r="AN46" s="13">
        <f t="shared" si="34"/>
        <v>0</v>
      </c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4"/>
        <v>1.5732160000000002E-2</v>
      </c>
      <c r="AY46" s="13">
        <f t="shared" si="21"/>
        <v>0.40002216960000003</v>
      </c>
      <c r="AZ46" s="13">
        <f t="shared" si="33"/>
        <v>1864</v>
      </c>
      <c r="BA46" s="14">
        <f t="shared" si="6"/>
        <v>7.9399141630901282E-2</v>
      </c>
      <c r="BB46" s="14">
        <f t="shared" si="25"/>
        <v>8.7058823529411758E-2</v>
      </c>
      <c r="BC46" s="14">
        <f t="shared" si="26"/>
        <v>0</v>
      </c>
      <c r="BD46" s="14" t="str">
        <f t="shared" si="31"/>
        <v/>
      </c>
      <c r="BE46" s="14" t="str">
        <f t="shared" si="27"/>
        <v/>
      </c>
      <c r="BF46" s="57">
        <f t="shared" si="17"/>
        <v>1.5732160000000002E-2</v>
      </c>
      <c r="BG46" s="14">
        <f t="shared" si="24"/>
        <v>0</v>
      </c>
      <c r="BH46" s="14" t="str">
        <f t="shared" si="28"/>
        <v/>
      </c>
      <c r="BI46" s="45">
        <f t="shared" si="10"/>
        <v>40.862753246753257</v>
      </c>
      <c r="BJ46" s="65">
        <f t="shared" si="11"/>
        <v>1.5732160000000002E-2</v>
      </c>
      <c r="BK46" s="50">
        <f t="shared" si="12"/>
        <v>0</v>
      </c>
    </row>
    <row r="47" spans="1:63" x14ac:dyDescent="0.3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>
        <v>4008.18</v>
      </c>
      <c r="I47" s="27">
        <v>20.2</v>
      </c>
      <c r="J47" s="27">
        <v>19.3</v>
      </c>
      <c r="K47" s="27">
        <v>95.8</v>
      </c>
      <c r="L47" s="27">
        <v>18.2</v>
      </c>
      <c r="M47" s="27">
        <v>402</v>
      </c>
      <c r="N47" s="27">
        <v>2.38</v>
      </c>
      <c r="O47" s="27">
        <v>0.24</v>
      </c>
      <c r="P47" s="27">
        <v>2.5</v>
      </c>
      <c r="Q47" s="27">
        <v>0.7</v>
      </c>
      <c r="R47" s="27">
        <v>1.26</v>
      </c>
      <c r="S47" s="27">
        <v>1.45</v>
      </c>
      <c r="T47" s="27">
        <v>7.218</v>
      </c>
      <c r="U47" s="27">
        <v>159.5</v>
      </c>
      <c r="V47" s="27">
        <v>37</v>
      </c>
      <c r="W47" s="27">
        <v>1.57</v>
      </c>
      <c r="X47" s="27">
        <v>170.1</v>
      </c>
      <c r="Y47" s="27">
        <v>63.1</v>
      </c>
      <c r="Z47" s="27">
        <v>139.9</v>
      </c>
      <c r="AA47" s="27">
        <v>29.9</v>
      </c>
      <c r="AB47" s="2">
        <v>7.258</v>
      </c>
      <c r="AC47" s="1">
        <v>300</v>
      </c>
      <c r="AD47" s="27">
        <v>0.503</v>
      </c>
      <c r="AE47" s="27">
        <v>7.23</v>
      </c>
      <c r="AF47" s="27">
        <v>34</v>
      </c>
      <c r="AG47" s="27">
        <v>33.53</v>
      </c>
      <c r="AH47" s="27">
        <v>6.72</v>
      </c>
      <c r="AI47" s="27">
        <v>5</v>
      </c>
      <c r="AJ47" s="27"/>
      <c r="AK47" s="30">
        <v>232</v>
      </c>
      <c r="AL47" s="30">
        <v>55</v>
      </c>
      <c r="AM47" s="30">
        <f t="shared" si="34"/>
        <v>45</v>
      </c>
      <c r="AN47" s="30">
        <f t="shared" si="34"/>
        <v>0</v>
      </c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>
        <v>6.41371916769767E-3</v>
      </c>
      <c r="AV47" s="30"/>
      <c r="AW47" s="40"/>
      <c r="AX47" s="15">
        <f t="shared" si="4"/>
        <v>1.470081E-2</v>
      </c>
      <c r="AY47" s="30">
        <f t="shared" si="21"/>
        <v>0.36904919999999997</v>
      </c>
      <c r="AZ47" s="30">
        <f t="shared" si="33"/>
        <v>1904.25</v>
      </c>
      <c r="BA47" s="31">
        <f t="shared" si="6"/>
        <v>0.1218327425495602</v>
      </c>
      <c r="BB47" s="31">
        <f t="shared" si="25"/>
        <v>0.13647058823529412</v>
      </c>
      <c r="BC47" s="31">
        <f t="shared" si="26"/>
        <v>0</v>
      </c>
      <c r="BD47" s="31">
        <f t="shared" si="31"/>
        <v>8.4814755035335331E-3</v>
      </c>
      <c r="BE47" s="61" t="str">
        <f t="shared" si="27"/>
        <v/>
      </c>
      <c r="BF47" s="58" t="str">
        <f t="shared" ref="BF47:BF70" si="35">IF(B47="No MPC", AT47*J47*AZ47/1000,"")</f>
        <v/>
      </c>
      <c r="BG47" s="31">
        <f t="shared" si="24"/>
        <v>0</v>
      </c>
      <c r="BH47" s="31" t="str">
        <f t="shared" si="28"/>
        <v/>
      </c>
      <c r="BI47" s="46">
        <f t="shared" si="10"/>
        <v>22.029806502684501</v>
      </c>
      <c r="BJ47" s="66">
        <f t="shared" si="11"/>
        <v>8.4814755035335331E-3</v>
      </c>
      <c r="BK47" s="48">
        <f t="shared" si="12"/>
        <v>0</v>
      </c>
    </row>
    <row r="48" spans="1:63" x14ac:dyDescent="0.3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>
        <v>3993.915</v>
      </c>
      <c r="I48" s="27">
        <v>20.9</v>
      </c>
      <c r="J48" s="27">
        <v>19.899999999999999</v>
      </c>
      <c r="K48" s="27">
        <v>95.4</v>
      </c>
      <c r="L48" s="27">
        <v>18.100000000000001</v>
      </c>
      <c r="M48" s="27">
        <v>376</v>
      </c>
      <c r="N48" s="27">
        <v>2.15</v>
      </c>
      <c r="O48" s="27">
        <v>0.23</v>
      </c>
      <c r="P48" s="27">
        <v>0.97</v>
      </c>
      <c r="Q48" s="27">
        <v>0.42</v>
      </c>
      <c r="R48" s="27">
        <v>0.1</v>
      </c>
      <c r="S48" s="27">
        <v>1.05</v>
      </c>
      <c r="T48" s="27">
        <v>7.2809999999999997</v>
      </c>
      <c r="U48" s="27">
        <v>133.19999999999999</v>
      </c>
      <c r="V48" s="27">
        <v>13</v>
      </c>
      <c r="W48" s="27">
        <v>1.62</v>
      </c>
      <c r="X48" s="27">
        <v>159.80000000000001</v>
      </c>
      <c r="Y48" s="27">
        <v>61.2</v>
      </c>
      <c r="Z48" s="27">
        <v>116.8</v>
      </c>
      <c r="AA48" s="27">
        <v>10.5</v>
      </c>
      <c r="AB48" s="2">
        <v>7.3230000000000004</v>
      </c>
      <c r="AC48" s="1">
        <v>302</v>
      </c>
      <c r="AD48" s="27">
        <v>0.51100000000000001</v>
      </c>
      <c r="AE48" s="27">
        <v>7.3</v>
      </c>
      <c r="AF48" s="27">
        <v>34</v>
      </c>
      <c r="AG48" s="27">
        <v>27.27</v>
      </c>
      <c r="AH48" s="27">
        <v>10.57</v>
      </c>
      <c r="AI48" s="27">
        <v>7</v>
      </c>
      <c r="AJ48" s="27"/>
      <c r="AK48" s="72">
        <v>210</v>
      </c>
      <c r="AL48" s="72">
        <v>47</v>
      </c>
      <c r="AM48" s="30">
        <f t="shared" si="34"/>
        <v>27</v>
      </c>
      <c r="AN48" s="30">
        <f t="shared" si="34"/>
        <v>0</v>
      </c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>
        <v>1.6156627905643501E-2</v>
      </c>
      <c r="AV48" s="30"/>
      <c r="AW48" s="40"/>
      <c r="AX48" s="15">
        <f t="shared" si="4"/>
        <v>1.4915766400000001E-2</v>
      </c>
      <c r="AY48" s="30">
        <f t="shared" si="21"/>
        <v>0.35230030079999997</v>
      </c>
      <c r="AZ48" s="30">
        <f t="shared" si="33"/>
        <v>1873.8400000000001</v>
      </c>
      <c r="BA48" s="31">
        <f t="shared" si="6"/>
        <v>0.11206933356102974</v>
      </c>
      <c r="BB48" s="31">
        <f t="shared" si="25"/>
        <v>0.12352941176470589</v>
      </c>
      <c r="BC48" s="31">
        <f t="shared" si="26"/>
        <v>0</v>
      </c>
      <c r="BD48" s="31">
        <f t="shared" si="31"/>
        <v>2.1024260857438207E-2</v>
      </c>
      <c r="BE48" s="61" t="str">
        <f t="shared" si="27"/>
        <v/>
      </c>
      <c r="BF48" s="58" t="str">
        <f t="shared" si="35"/>
        <v/>
      </c>
      <c r="BG48" s="31">
        <f t="shared" si="24"/>
        <v>9.5097380000000022</v>
      </c>
      <c r="BH48" s="31" t="str">
        <f t="shared" si="28"/>
        <v/>
      </c>
      <c r="BI48" s="46">
        <f t="shared" si="10"/>
        <v>54.608469759579762</v>
      </c>
      <c r="BJ48" s="66">
        <f t="shared" si="11"/>
        <v>2.1024260857438207E-2</v>
      </c>
      <c r="BK48" s="48">
        <f t="shared" si="12"/>
        <v>9.5097380000000022</v>
      </c>
    </row>
    <row r="49" spans="1:63" x14ac:dyDescent="0.3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>
        <v>4201.8450000000003</v>
      </c>
      <c r="I49" s="27">
        <v>21.1</v>
      </c>
      <c r="J49" s="27">
        <v>20.3</v>
      </c>
      <c r="K49" s="27">
        <v>96.3</v>
      </c>
      <c r="L49" s="27">
        <v>17.399999999999999</v>
      </c>
      <c r="M49" s="27">
        <v>0</v>
      </c>
      <c r="N49" s="27">
        <v>1.8</v>
      </c>
      <c r="O49" s="27">
        <v>0.22</v>
      </c>
      <c r="P49" s="27">
        <v>0.62</v>
      </c>
      <c r="Q49" s="27">
        <v>0.28999999999999998</v>
      </c>
      <c r="R49" s="27">
        <v>0.03</v>
      </c>
      <c r="S49" s="27">
        <v>0.8</v>
      </c>
      <c r="T49" s="27">
        <v>7.258</v>
      </c>
      <c r="U49" s="27">
        <v>129.69999999999999</v>
      </c>
      <c r="V49" s="27">
        <v>2.7</v>
      </c>
      <c r="W49" s="27">
        <v>1.63</v>
      </c>
      <c r="X49" s="27">
        <v>154.69999999999999</v>
      </c>
      <c r="Y49" s="27">
        <v>56.4</v>
      </c>
      <c r="Z49" s="27">
        <v>113.8</v>
      </c>
      <c r="AA49" s="27">
        <v>2.1</v>
      </c>
      <c r="AB49" s="2">
        <v>7.3</v>
      </c>
      <c r="AC49" s="1">
        <v>298</v>
      </c>
      <c r="AD49" s="27">
        <v>0.51200000000000001</v>
      </c>
      <c r="AE49" s="27">
        <v>7.3</v>
      </c>
      <c r="AF49" s="27">
        <v>34</v>
      </c>
      <c r="AG49" s="27">
        <v>24.77</v>
      </c>
      <c r="AH49" s="27">
        <v>9.3699999999999992</v>
      </c>
      <c r="AI49" s="27">
        <v>12</v>
      </c>
      <c r="AJ49" s="27"/>
      <c r="AK49" s="72">
        <v>198</v>
      </c>
      <c r="AL49" s="72">
        <v>50</v>
      </c>
      <c r="AM49" s="30">
        <f t="shared" si="34"/>
        <v>28</v>
      </c>
      <c r="AN49" s="30">
        <f t="shared" si="34"/>
        <v>0</v>
      </c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>
        <v>1.7874907459397099E-2</v>
      </c>
      <c r="AW49" s="30">
        <v>3.5727604149081598E-3</v>
      </c>
      <c r="AX49" s="15">
        <f t="shared" si="4"/>
        <v>1.51530568E-2</v>
      </c>
      <c r="AY49" s="30">
        <f t="shared" si="21"/>
        <v>0.38773514880000004</v>
      </c>
      <c r="AZ49" s="30">
        <f t="shared" si="33"/>
        <v>1866.1399999999999</v>
      </c>
      <c r="BA49" s="31">
        <f t="shared" si="6"/>
        <v>0.10610136431350274</v>
      </c>
      <c r="BB49" s="31">
        <f t="shared" si="25"/>
        <v>0.11647058823529412</v>
      </c>
      <c r="BC49" s="31">
        <f t="shared" si="26"/>
        <v>0</v>
      </c>
      <c r="BD49" s="31" t="str">
        <f t="shared" si="31"/>
        <v/>
      </c>
      <c r="BE49" s="61">
        <f t="shared" si="27"/>
        <v>2.3164638754360627E-2</v>
      </c>
      <c r="BF49" s="58" t="str">
        <f t="shared" si="35"/>
        <v/>
      </c>
      <c r="BG49" s="31" t="str">
        <f t="shared" si="24"/>
        <v/>
      </c>
      <c r="BH49" s="31">
        <f t="shared" si="28"/>
        <v>6.6672711206767126</v>
      </c>
      <c r="BI49" s="46">
        <f t="shared" si="10"/>
        <v>60.167892868469167</v>
      </c>
      <c r="BJ49" s="66">
        <f t="shared" si="11"/>
        <v>2.3164638754360627E-2</v>
      </c>
      <c r="BK49" s="48">
        <f t="shared" si="12"/>
        <v>6.6672711206767126</v>
      </c>
    </row>
    <row r="50" spans="1:63" ht="15" thickBot="1" x14ac:dyDescent="0.35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>
        <v>4781.4750000000004</v>
      </c>
      <c r="I50" s="27">
        <v>23.4</v>
      </c>
      <c r="J50" s="27">
        <v>22.5</v>
      </c>
      <c r="K50" s="27">
        <v>96.1</v>
      </c>
      <c r="L50" s="27">
        <v>16.899999999999999</v>
      </c>
      <c r="M50" s="27">
        <v>336</v>
      </c>
      <c r="N50" s="27">
        <v>2.65</v>
      </c>
      <c r="O50" s="27">
        <v>0.22</v>
      </c>
      <c r="P50" s="27">
        <v>7.0000000000000007E-2</v>
      </c>
      <c r="Q50" s="27">
        <v>0.37</v>
      </c>
      <c r="R50" s="27">
        <v>0.04</v>
      </c>
      <c r="S50" s="27">
        <v>0.16</v>
      </c>
      <c r="T50" s="27">
        <v>7.2610000000000001</v>
      </c>
      <c r="U50" s="27">
        <v>133.30000000000001</v>
      </c>
      <c r="V50" s="27">
        <v>25.2</v>
      </c>
      <c r="W50" s="27">
        <v>1.77</v>
      </c>
      <c r="X50" s="27">
        <v>151.80000000000001</v>
      </c>
      <c r="Y50" s="27">
        <v>58.3</v>
      </c>
      <c r="Z50" s="27">
        <v>116.9</v>
      </c>
      <c r="AA50" s="27">
        <v>20.399999999999999</v>
      </c>
      <c r="AB50" s="2">
        <v>7.3019999999999996</v>
      </c>
      <c r="AC50" s="6">
        <v>299</v>
      </c>
      <c r="AD50" s="7">
        <v>0.50900000000000001</v>
      </c>
      <c r="AE50" s="7">
        <v>7.3</v>
      </c>
      <c r="AF50" s="7">
        <v>34</v>
      </c>
      <c r="AG50" s="7">
        <v>21.77</v>
      </c>
      <c r="AH50" s="7">
        <v>41.39</v>
      </c>
      <c r="AI50" s="7">
        <v>12</v>
      </c>
      <c r="AJ50" s="7"/>
      <c r="AK50" s="17">
        <v>208</v>
      </c>
      <c r="AL50" s="17">
        <v>60</v>
      </c>
      <c r="AM50" s="17">
        <f t="shared" si="34"/>
        <v>30</v>
      </c>
      <c r="AN50" s="17">
        <f t="shared" si="34"/>
        <v>3</v>
      </c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>
        <v>1.28541289800434E-2</v>
      </c>
      <c r="AW50" s="17">
        <v>3.56209777936082E-3</v>
      </c>
      <c r="AX50" s="16">
        <f t="shared" si="4"/>
        <v>1.7236440000000002E-2</v>
      </c>
      <c r="AY50" s="17">
        <f t="shared" si="21"/>
        <v>0.41905100159999997</v>
      </c>
      <c r="AZ50" s="17">
        <f t="shared" si="33"/>
        <v>1915.1599999999999</v>
      </c>
      <c r="BA50" s="18">
        <f t="shared" si="6"/>
        <v>0.10860711376595168</v>
      </c>
      <c r="BB50" s="18">
        <f t="shared" si="25"/>
        <v>0.12235294117647059</v>
      </c>
      <c r="BC50" s="18">
        <f t="shared" si="26"/>
        <v>0</v>
      </c>
      <c r="BD50" s="18" t="str">
        <f t="shared" si="31"/>
        <v/>
      </c>
      <c r="BE50" s="18">
        <f t="shared" si="27"/>
        <v>1.7095634484319385E-2</v>
      </c>
      <c r="BF50" s="59" t="str">
        <f t="shared" si="35"/>
        <v/>
      </c>
      <c r="BG50" s="18" t="str">
        <f t="shared" si="24"/>
        <v/>
      </c>
      <c r="BH50" s="18">
        <f t="shared" si="28"/>
        <v>6.8219871831206671</v>
      </c>
      <c r="BI50" s="47">
        <f t="shared" si="10"/>
        <v>44.404245413816589</v>
      </c>
      <c r="BJ50" s="67">
        <f t="shared" si="11"/>
        <v>1.7095634484319385E-2</v>
      </c>
      <c r="BK50" s="49">
        <f t="shared" si="12"/>
        <v>6.8219871831206671</v>
      </c>
    </row>
    <row r="51" spans="1:63" x14ac:dyDescent="0.3">
      <c r="A51" s="3" t="s">
        <v>53</v>
      </c>
      <c r="B51" s="4" t="s">
        <v>28</v>
      </c>
      <c r="C51" s="4">
        <v>12</v>
      </c>
      <c r="D51" s="4">
        <v>9</v>
      </c>
      <c r="E51" s="5"/>
      <c r="F51" s="4">
        <v>4805.7299999999996</v>
      </c>
      <c r="G51" s="9"/>
      <c r="H51" s="9">
        <v>4357.8</v>
      </c>
      <c r="I51" s="4">
        <v>21.4</v>
      </c>
      <c r="J51" s="4">
        <v>20.2</v>
      </c>
      <c r="K51" s="4">
        <v>94</v>
      </c>
      <c r="L51" s="4">
        <v>17.3</v>
      </c>
      <c r="M51" s="4">
        <v>371</v>
      </c>
      <c r="N51" s="4">
        <v>1.1499999999999999</v>
      </c>
      <c r="O51" s="4">
        <v>0.2</v>
      </c>
      <c r="P51" s="4">
        <v>2.37</v>
      </c>
      <c r="Q51" s="4">
        <v>0.2</v>
      </c>
      <c r="R51" s="4">
        <v>7.0000000000000007E-2</v>
      </c>
      <c r="S51" s="4">
        <v>1.48</v>
      </c>
      <c r="T51" s="4">
        <v>7.2679999999999998</v>
      </c>
      <c r="U51" s="4">
        <v>118</v>
      </c>
      <c r="V51" s="4">
        <v>33.9</v>
      </c>
      <c r="W51" s="4">
        <v>2.06</v>
      </c>
      <c r="X51" s="4">
        <v>154.6</v>
      </c>
      <c r="Y51" s="4"/>
      <c r="Z51" s="4"/>
      <c r="AA51" s="4"/>
      <c r="AB51" s="22">
        <v>7.26</v>
      </c>
      <c r="AC51" s="3">
        <v>300</v>
      </c>
      <c r="AD51" s="4">
        <v>0.51100000000000001</v>
      </c>
      <c r="AE51" s="4">
        <v>7.3</v>
      </c>
      <c r="AF51" s="4">
        <v>34</v>
      </c>
      <c r="AG51" s="4">
        <v>31.315000000000001</v>
      </c>
      <c r="AH51" s="4">
        <v>68.802000000000007</v>
      </c>
      <c r="AI51" s="4">
        <v>7</v>
      </c>
      <c r="AJ51" s="4"/>
      <c r="AK51" s="4">
        <v>169</v>
      </c>
      <c r="AL51" s="4">
        <v>46</v>
      </c>
      <c r="AM51" s="4">
        <f t="shared" ref="AM51:AM55" si="36">AK51-AK46</f>
        <v>21</v>
      </c>
      <c r="AN51" s="4">
        <f t="shared" ref="AN51:AN55" si="37">AL51-AL46</f>
        <v>0</v>
      </c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4"/>
        <v>1.5175185360000001E-2</v>
      </c>
      <c r="AY51" s="13">
        <f t="shared" si="21"/>
        <v>0.37757184000000005</v>
      </c>
      <c r="AZ51" s="13">
        <f t="shared" si="33"/>
        <v>1878.117</v>
      </c>
      <c r="BA51" s="14">
        <f t="shared" si="6"/>
        <v>8.9983744356714732E-2</v>
      </c>
      <c r="BB51" s="14">
        <f t="shared" si="25"/>
        <v>9.9411764705882352E-2</v>
      </c>
      <c r="BC51" s="14">
        <f t="shared" si="26"/>
        <v>0</v>
      </c>
      <c r="BD51" s="14" t="str">
        <f t="shared" si="31"/>
        <v/>
      </c>
      <c r="BE51" s="14" t="str">
        <f t="shared" si="27"/>
        <v/>
      </c>
      <c r="BF51" s="57">
        <f t="shared" si="35"/>
        <v>1.5175185360000001E-2</v>
      </c>
      <c r="BG51" s="14">
        <f t="shared" si="24"/>
        <v>0</v>
      </c>
      <c r="BH51" s="14" t="str">
        <f t="shared" si="28"/>
        <v/>
      </c>
      <c r="BI51" s="46">
        <f t="shared" si="10"/>
        <v>39.416065870129877</v>
      </c>
      <c r="BJ51" s="66">
        <f t="shared" si="11"/>
        <v>1.5175185360000001E-2</v>
      </c>
      <c r="BK51" s="48">
        <f t="shared" si="12"/>
        <v>0</v>
      </c>
    </row>
    <row r="52" spans="1:63" x14ac:dyDescent="0.3">
      <c r="A52" s="1" t="s">
        <v>54</v>
      </c>
      <c r="B52" s="27" t="s">
        <v>27</v>
      </c>
      <c r="C52" s="27">
        <v>12</v>
      </c>
      <c r="D52" s="27">
        <v>9</v>
      </c>
      <c r="E52" s="28"/>
      <c r="F52" s="27">
        <v>4805.7299999999996</v>
      </c>
      <c r="G52" s="29"/>
      <c r="H52" s="29">
        <v>4487.28</v>
      </c>
      <c r="I52" s="35">
        <v>21.6</v>
      </c>
      <c r="J52" s="35">
        <v>20.5</v>
      </c>
      <c r="K52" s="35">
        <v>94.9</v>
      </c>
      <c r="L52" s="35">
        <v>18.2</v>
      </c>
      <c r="M52" s="35">
        <v>394</v>
      </c>
      <c r="N52" s="35">
        <v>2.91</v>
      </c>
      <c r="O52" s="35">
        <v>0.22</v>
      </c>
      <c r="P52" s="35">
        <v>0.03</v>
      </c>
      <c r="Q52" s="35">
        <v>0.52</v>
      </c>
      <c r="R52" s="35">
        <v>0.36</v>
      </c>
      <c r="S52" s="35">
        <v>0.82</v>
      </c>
      <c r="T52" s="35">
        <v>7.2949999999999999</v>
      </c>
      <c r="U52" s="35">
        <v>154.30000000000001</v>
      </c>
      <c r="V52" s="35">
        <v>41.7</v>
      </c>
      <c r="W52" s="35">
        <v>1.56</v>
      </c>
      <c r="X52" s="35">
        <v>170</v>
      </c>
      <c r="Y52" s="27"/>
      <c r="Z52" s="27"/>
      <c r="AA52" s="27"/>
      <c r="AB52" s="2">
        <v>7.2859999999999996</v>
      </c>
      <c r="AC52" s="1">
        <v>299</v>
      </c>
      <c r="AD52" s="27">
        <v>0.49299999999999999</v>
      </c>
      <c r="AE52" s="27">
        <v>7.3</v>
      </c>
      <c r="AF52" s="27">
        <v>34</v>
      </c>
      <c r="AG52" s="27">
        <v>33.526000000000003</v>
      </c>
      <c r="AH52" s="27">
        <v>11.22</v>
      </c>
      <c r="AI52" s="35">
        <v>5</v>
      </c>
      <c r="AJ52" s="27"/>
      <c r="AK52" s="72">
        <v>249</v>
      </c>
      <c r="AL52" s="72">
        <v>55</v>
      </c>
      <c r="AM52" s="27">
        <f t="shared" si="36"/>
        <v>17</v>
      </c>
      <c r="AN52" s="27">
        <f t="shared" si="37"/>
        <v>0</v>
      </c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>
        <v>1.61207945281465E-2</v>
      </c>
      <c r="AV52" s="30"/>
      <c r="AW52" s="40"/>
      <c r="AX52" s="15">
        <f t="shared" si="4"/>
        <v>1.5659917200000002E-2</v>
      </c>
      <c r="AY52" s="30">
        <f t="shared" si="21"/>
        <v>0.35281943999999998</v>
      </c>
      <c r="AZ52" s="30">
        <f t="shared" si="33"/>
        <v>1909.7460000000001</v>
      </c>
      <c r="BA52" s="31">
        <f t="shared" si="6"/>
        <v>0.13038383114822599</v>
      </c>
      <c r="BB52" s="31">
        <f t="shared" si="25"/>
        <v>0.14647058823529413</v>
      </c>
      <c r="BC52" s="31">
        <f t="shared" si="26"/>
        <v>0</v>
      </c>
      <c r="BD52" s="31">
        <f t="shared" si="31"/>
        <v>2.1379599213159493E-2</v>
      </c>
      <c r="BE52" s="61" t="str">
        <f t="shared" si="27"/>
        <v/>
      </c>
      <c r="BF52" s="58" t="str">
        <f t="shared" si="35"/>
        <v/>
      </c>
      <c r="BG52" s="31">
        <f t="shared" si="24"/>
        <v>14.179864050000001</v>
      </c>
      <c r="BH52" s="31" t="str">
        <f t="shared" si="28"/>
        <v/>
      </c>
      <c r="BI52" s="46">
        <f t="shared" si="10"/>
        <v>55.531426527686996</v>
      </c>
      <c r="BJ52" s="66">
        <f t="shared" si="11"/>
        <v>2.1379599213159493E-2</v>
      </c>
      <c r="BK52" s="48">
        <f t="shared" si="12"/>
        <v>14.179864050000001</v>
      </c>
    </row>
    <row r="53" spans="1:63" x14ac:dyDescent="0.3">
      <c r="A53" s="1" t="s">
        <v>55</v>
      </c>
      <c r="B53" s="27" t="s">
        <v>27</v>
      </c>
      <c r="C53" s="27">
        <v>12</v>
      </c>
      <c r="D53" s="27">
        <v>9</v>
      </c>
      <c r="E53" s="28"/>
      <c r="F53" s="27">
        <v>4805.7299999999996</v>
      </c>
      <c r="G53" s="29"/>
      <c r="H53" s="29">
        <v>4483.5600000000004</v>
      </c>
      <c r="I53" s="35">
        <v>22</v>
      </c>
      <c r="J53" s="35">
        <v>21</v>
      </c>
      <c r="K53" s="35">
        <v>95.4</v>
      </c>
      <c r="L53" s="35">
        <v>18.3</v>
      </c>
      <c r="M53" s="35">
        <v>376</v>
      </c>
      <c r="N53" s="35">
        <v>2.2999999999999998</v>
      </c>
      <c r="O53" s="35">
        <v>0.21</v>
      </c>
      <c r="P53" s="35">
        <v>0.92</v>
      </c>
      <c r="Q53" s="35">
        <v>0.5</v>
      </c>
      <c r="R53" s="35">
        <v>0.42</v>
      </c>
      <c r="S53" s="35">
        <v>0.88</v>
      </c>
      <c r="T53" s="35">
        <v>7.274</v>
      </c>
      <c r="U53" s="35">
        <v>128.69999999999999</v>
      </c>
      <c r="V53" s="35">
        <v>29</v>
      </c>
      <c r="W53" s="35">
        <v>1.5</v>
      </c>
      <c r="X53" s="35">
        <v>160</v>
      </c>
      <c r="Y53" s="27"/>
      <c r="Z53" s="27"/>
      <c r="AA53" s="27"/>
      <c r="AB53" s="2">
        <v>7.266</v>
      </c>
      <c r="AC53" s="1">
        <v>301</v>
      </c>
      <c r="AD53" s="27">
        <v>0.47299999999999998</v>
      </c>
      <c r="AE53" s="27">
        <v>7.3</v>
      </c>
      <c r="AF53" s="27">
        <v>34</v>
      </c>
      <c r="AG53" s="27">
        <v>27.274000000000001</v>
      </c>
      <c r="AH53" s="27">
        <v>11.551</v>
      </c>
      <c r="AI53" s="35">
        <v>7</v>
      </c>
      <c r="AJ53" s="27"/>
      <c r="AK53" s="72">
        <v>237</v>
      </c>
      <c r="AL53" s="72">
        <v>57</v>
      </c>
      <c r="AM53" s="27">
        <f t="shared" si="36"/>
        <v>27</v>
      </c>
      <c r="AN53" s="27">
        <f t="shared" si="37"/>
        <v>10</v>
      </c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>
        <v>1.6995950307655501E-2</v>
      </c>
      <c r="AV53" s="30"/>
      <c r="AW53" s="40"/>
      <c r="AX53" s="15">
        <f t="shared" si="4"/>
        <v>1.5924930000000004E-2</v>
      </c>
      <c r="AY53" s="30">
        <f t="shared" si="21"/>
        <v>0.3579783936</v>
      </c>
      <c r="AZ53" s="30">
        <f t="shared" si="33"/>
        <v>1895.825</v>
      </c>
      <c r="BA53" s="31">
        <f t="shared" si="6"/>
        <v>0.12501153851225719</v>
      </c>
      <c r="BB53" s="31">
        <f t="shared" si="25"/>
        <v>0.13941176470588235</v>
      </c>
      <c r="BC53" s="31">
        <f t="shared" si="26"/>
        <v>0</v>
      </c>
      <c r="BD53" s="31">
        <f t="shared" si="31"/>
        <v>2.2375935758340966E-2</v>
      </c>
      <c r="BE53" s="61" t="str">
        <f t="shared" si="27"/>
        <v/>
      </c>
      <c r="BF53" s="58" t="str">
        <f t="shared" si="35"/>
        <v/>
      </c>
      <c r="BG53" s="31">
        <f t="shared" si="24"/>
        <v>9.8582900000000002</v>
      </c>
      <c r="BH53" s="31" t="str">
        <f t="shared" si="28"/>
        <v/>
      </c>
      <c r="BI53" s="46">
        <f t="shared" si="10"/>
        <v>58.119313658028489</v>
      </c>
      <c r="BJ53" s="66">
        <f t="shared" si="11"/>
        <v>2.2375935758340966E-2</v>
      </c>
      <c r="BK53" s="48">
        <f t="shared" si="12"/>
        <v>9.8582900000000002</v>
      </c>
    </row>
    <row r="54" spans="1:63" x14ac:dyDescent="0.3">
      <c r="A54" s="1" t="s">
        <v>57</v>
      </c>
      <c r="B54" s="27" t="s">
        <v>26</v>
      </c>
      <c r="C54" s="27">
        <v>12</v>
      </c>
      <c r="D54" s="27">
        <v>9</v>
      </c>
      <c r="E54" s="28"/>
      <c r="F54" s="27">
        <v>4805.7299999999996</v>
      </c>
      <c r="G54" s="29"/>
      <c r="H54" s="29">
        <v>4788.2550000000001</v>
      </c>
      <c r="I54" s="35">
        <v>22.3</v>
      </c>
      <c r="J54" s="35">
        <v>21.3</v>
      </c>
      <c r="K54" s="35">
        <v>95.7</v>
      </c>
      <c r="L54" s="35">
        <v>17.5</v>
      </c>
      <c r="M54" s="35">
        <v>355</v>
      </c>
      <c r="N54" s="35">
        <v>1.99</v>
      </c>
      <c r="O54" s="35">
        <v>0.2</v>
      </c>
      <c r="P54" s="35">
        <v>0.65</v>
      </c>
      <c r="Q54" s="35">
        <v>0.43</v>
      </c>
      <c r="R54" s="35">
        <v>0.11</v>
      </c>
      <c r="S54" s="35">
        <v>0.66</v>
      </c>
      <c r="T54" s="35">
        <v>7.242</v>
      </c>
      <c r="U54" s="35">
        <v>131</v>
      </c>
      <c r="V54" s="35">
        <v>2</v>
      </c>
      <c r="W54" s="35">
        <v>1.52</v>
      </c>
      <c r="X54" s="35">
        <v>156.4</v>
      </c>
      <c r="Y54" s="27"/>
      <c r="Z54" s="27"/>
      <c r="AA54" s="27"/>
      <c r="AB54" s="2">
        <v>7.2350000000000003</v>
      </c>
      <c r="AC54" s="1">
        <v>302</v>
      </c>
      <c r="AD54" s="27">
        <v>0.49</v>
      </c>
      <c r="AE54" s="27">
        <v>7.29</v>
      </c>
      <c r="AF54" s="27">
        <v>34</v>
      </c>
      <c r="AG54" s="27">
        <v>24.766999999999999</v>
      </c>
      <c r="AH54" s="27">
        <v>10.186</v>
      </c>
      <c r="AI54" s="35">
        <v>12</v>
      </c>
      <c r="AJ54" s="27"/>
      <c r="AK54" s="72">
        <v>228</v>
      </c>
      <c r="AL54" s="72">
        <v>57</v>
      </c>
      <c r="AM54" s="27">
        <f t="shared" si="36"/>
        <v>30</v>
      </c>
      <c r="AN54" s="27">
        <f t="shared" si="37"/>
        <v>7</v>
      </c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>
        <v>1.5830527057502299E-2</v>
      </c>
      <c r="AW54" s="40">
        <v>6.3842230105098105E-4</v>
      </c>
      <c r="AX54" s="15">
        <f t="shared" si="4"/>
        <v>1.6085359560000005E-2</v>
      </c>
      <c r="AY54" s="30">
        <f t="shared" si="21"/>
        <v>0.36367336319999999</v>
      </c>
      <c r="AZ54" s="30">
        <f t="shared" si="33"/>
        <v>1887.953</v>
      </c>
      <c r="BA54" s="31">
        <f t="shared" si="6"/>
        <v>0.12076571821438352</v>
      </c>
      <c r="BB54" s="31">
        <f t="shared" si="25"/>
        <v>0.13411764705882354</v>
      </c>
      <c r="BC54" s="31">
        <f t="shared" si="26"/>
        <v>0</v>
      </c>
      <c r="BD54" s="31" t="str">
        <f t="shared" si="31"/>
        <v/>
      </c>
      <c r="BE54" s="61">
        <f t="shared" si="27"/>
        <v>2.0755063229022663E-2</v>
      </c>
      <c r="BF54" s="58" t="str">
        <f t="shared" si="35"/>
        <v/>
      </c>
      <c r="BG54" s="31" t="str">
        <f t="shared" si="24"/>
        <v/>
      </c>
      <c r="BH54" s="31">
        <f t="shared" si="28"/>
        <v>1.2053112985361027</v>
      </c>
      <c r="BI54" s="46">
        <f t="shared" si="10"/>
        <v>53.909255140318606</v>
      </c>
      <c r="BJ54" s="66">
        <f t="shared" si="11"/>
        <v>2.0755063229022663E-2</v>
      </c>
      <c r="BK54" s="48">
        <f t="shared" si="12"/>
        <v>1.2053112985361027</v>
      </c>
    </row>
    <row r="55" spans="1:63" ht="15" thickBot="1" x14ac:dyDescent="0.35">
      <c r="A55" s="6" t="s">
        <v>58</v>
      </c>
      <c r="B55" s="7" t="s">
        <v>26</v>
      </c>
      <c r="C55" s="7">
        <v>12</v>
      </c>
      <c r="D55" s="7">
        <v>9</v>
      </c>
      <c r="E55" s="8"/>
      <c r="F55" s="7">
        <v>4805.7299999999996</v>
      </c>
      <c r="G55" s="11"/>
      <c r="H55" s="11">
        <v>5197.7700000000004</v>
      </c>
      <c r="I55" s="7">
        <v>22.8</v>
      </c>
      <c r="J55" s="7">
        <v>21.4</v>
      </c>
      <c r="K55" s="7">
        <v>94.1</v>
      </c>
      <c r="L55" s="7">
        <v>16.8</v>
      </c>
      <c r="M55" s="7">
        <v>339</v>
      </c>
      <c r="N55" s="7">
        <v>3.38</v>
      </c>
      <c r="O55" s="7">
        <v>0.21</v>
      </c>
      <c r="P55" s="7">
        <v>0.04</v>
      </c>
      <c r="Q55" s="7">
        <v>0.32</v>
      </c>
      <c r="R55" s="7">
        <v>0.04</v>
      </c>
      <c r="S55" s="7">
        <v>0.11</v>
      </c>
      <c r="T55" s="7">
        <v>7.258</v>
      </c>
      <c r="U55" s="7">
        <v>133.6</v>
      </c>
      <c r="V55" s="7">
        <v>59.3</v>
      </c>
      <c r="W55" s="7">
        <v>1.79</v>
      </c>
      <c r="X55" s="7">
        <v>153.9</v>
      </c>
      <c r="Y55" s="7"/>
      <c r="Z55" s="7"/>
      <c r="AA55" s="7"/>
      <c r="AB55" s="23">
        <v>7.25</v>
      </c>
      <c r="AC55" s="6">
        <v>299</v>
      </c>
      <c r="AD55" s="7">
        <v>0.499</v>
      </c>
      <c r="AE55" s="7">
        <v>7.3</v>
      </c>
      <c r="AF55" s="7">
        <v>34</v>
      </c>
      <c r="AG55" s="7">
        <v>21.77</v>
      </c>
      <c r="AH55" s="7">
        <v>49.694000000000003</v>
      </c>
      <c r="AI55" s="7">
        <v>12</v>
      </c>
      <c r="AJ55" s="7"/>
      <c r="AK55" s="7">
        <v>232</v>
      </c>
      <c r="AL55" s="7">
        <v>68</v>
      </c>
      <c r="AM55" s="7">
        <f t="shared" si="36"/>
        <v>24</v>
      </c>
      <c r="AN55" s="7">
        <f t="shared" si="37"/>
        <v>8</v>
      </c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>
        <v>1.4162921683942099E-2</v>
      </c>
      <c r="AW55" s="41">
        <v>2.9900690641954698E-3</v>
      </c>
      <c r="AX55" s="16">
        <f t="shared" si="4"/>
        <v>1.6601811840000001E-2</v>
      </c>
      <c r="AY55" s="17">
        <f t="shared" si="21"/>
        <v>0.41367456000000002</v>
      </c>
      <c r="AZ55" s="17">
        <f t="shared" si="33"/>
        <v>1939.4639999999999</v>
      </c>
      <c r="BA55" s="18">
        <f t="shared" si="6"/>
        <v>0.11962067870298186</v>
      </c>
      <c r="BB55" s="18">
        <f t="shared" si="25"/>
        <v>0.13647058823529412</v>
      </c>
      <c r="BC55" s="18">
        <f t="shared" si="26"/>
        <v>0</v>
      </c>
      <c r="BD55" s="18" t="str">
        <f t="shared" si="31"/>
        <v/>
      </c>
      <c r="BE55" s="18">
        <f t="shared" si="27"/>
        <v>1.9075331070017416E-2</v>
      </c>
      <c r="BF55" s="59" t="str">
        <f t="shared" si="35"/>
        <v/>
      </c>
      <c r="BG55" s="18" t="str">
        <f t="shared" si="24"/>
        <v/>
      </c>
      <c r="BH55" s="18">
        <f t="shared" si="28"/>
        <v>5.7991313075208026</v>
      </c>
      <c r="BI55" s="46">
        <f t="shared" si="10"/>
        <v>49.546314467577709</v>
      </c>
      <c r="BJ55" s="66">
        <f t="shared" si="11"/>
        <v>1.9075331070017416E-2</v>
      </c>
      <c r="BK55" s="48">
        <f t="shared" si="12"/>
        <v>5.7991313075208026</v>
      </c>
    </row>
    <row r="56" spans="1:63" x14ac:dyDescent="0.3">
      <c r="A56" s="1" t="s">
        <v>53</v>
      </c>
      <c r="B56" s="27" t="s">
        <v>28</v>
      </c>
      <c r="C56" s="27">
        <v>12</v>
      </c>
      <c r="D56" s="27">
        <v>10</v>
      </c>
      <c r="E56" s="28"/>
      <c r="F56">
        <v>5302.42</v>
      </c>
      <c r="G56" s="29"/>
      <c r="H56" s="29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"/>
      <c r="AC56" s="3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4"/>
        <v>0</v>
      </c>
      <c r="AY56" s="13">
        <f t="shared" si="21"/>
        <v>0.36420444864000001</v>
      </c>
      <c r="AZ56" s="13">
        <f t="shared" si="33"/>
        <v>1540</v>
      </c>
      <c r="BA56" s="14" t="e">
        <f t="shared" si="6"/>
        <v>#N/A</v>
      </c>
      <c r="BB56" s="14">
        <f t="shared" si="25"/>
        <v>0</v>
      </c>
      <c r="BC56" s="14">
        <f t="shared" si="26"/>
        <v>0</v>
      </c>
      <c r="BD56" s="14" t="str">
        <f t="shared" si="31"/>
        <v/>
      </c>
      <c r="BE56" s="14" t="str">
        <f t="shared" si="27"/>
        <v/>
      </c>
      <c r="BF56" s="57">
        <f t="shared" si="35"/>
        <v>0</v>
      </c>
      <c r="BG56" s="14">
        <f t="shared" si="24"/>
        <v>11.55</v>
      </c>
      <c r="BH56" s="14" t="str">
        <f t="shared" si="28"/>
        <v/>
      </c>
      <c r="BI56" s="45">
        <f t="shared" si="10"/>
        <v>0</v>
      </c>
      <c r="BJ56" s="65">
        <f t="shared" si="11"/>
        <v>0</v>
      </c>
      <c r="BK56" s="50">
        <f t="shared" si="12"/>
        <v>11.55</v>
      </c>
    </row>
    <row r="57" spans="1:63" x14ac:dyDescent="0.3">
      <c r="A57" s="1" t="s">
        <v>54</v>
      </c>
      <c r="B57" s="27" t="s">
        <v>27</v>
      </c>
      <c r="C57" s="27">
        <v>12</v>
      </c>
      <c r="D57" s="27">
        <v>10</v>
      </c>
      <c r="E57" s="28"/>
      <c r="F57">
        <v>5302.42</v>
      </c>
      <c r="G57" s="29"/>
      <c r="H57" s="29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"/>
      <c r="AC57" s="1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/>
      <c r="AV57" s="30"/>
      <c r="AW57" s="40"/>
      <c r="AX57" s="15">
        <f t="shared" si="4"/>
        <v>0</v>
      </c>
      <c r="AY57" s="30">
        <f t="shared" si="21"/>
        <v>0.37583801280000007</v>
      </c>
      <c r="AZ57" s="30">
        <f t="shared" si="33"/>
        <v>1540</v>
      </c>
      <c r="BA57" s="31" t="e">
        <f t="shared" si="6"/>
        <v>#N/A</v>
      </c>
      <c r="BB57" s="31">
        <f t="shared" si="25"/>
        <v>0</v>
      </c>
      <c r="BC57" s="31">
        <f t="shared" si="26"/>
        <v>0</v>
      </c>
      <c r="BD57" s="31">
        <f t="shared" si="31"/>
        <v>0</v>
      </c>
      <c r="BE57" s="61" t="str">
        <f t="shared" si="27"/>
        <v/>
      </c>
      <c r="BF57" s="58" t="str">
        <f t="shared" si="35"/>
        <v/>
      </c>
      <c r="BG57" s="31">
        <f t="shared" si="24"/>
        <v>11.55</v>
      </c>
      <c r="BH57" s="31" t="str">
        <f t="shared" si="28"/>
        <v/>
      </c>
      <c r="BI57" s="46">
        <f t="shared" si="10"/>
        <v>0</v>
      </c>
      <c r="BJ57" s="66">
        <f t="shared" si="11"/>
        <v>0</v>
      </c>
      <c r="BK57" s="48">
        <f t="shared" si="12"/>
        <v>11.55</v>
      </c>
    </row>
    <row r="58" spans="1:63" x14ac:dyDescent="0.3">
      <c r="A58" s="1" t="s">
        <v>55</v>
      </c>
      <c r="B58" s="27" t="s">
        <v>27</v>
      </c>
      <c r="C58" s="27">
        <v>12</v>
      </c>
      <c r="D58" s="27">
        <v>10</v>
      </c>
      <c r="E58" s="28"/>
      <c r="F58">
        <v>5302.42</v>
      </c>
      <c r="G58" s="29"/>
      <c r="H58" s="29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"/>
      <c r="AC58" s="1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/>
      <c r="AV58" s="30"/>
      <c r="AW58" s="40"/>
      <c r="AX58" s="15">
        <f t="shared" si="4"/>
        <v>0</v>
      </c>
      <c r="AY58" s="30">
        <f t="shared" si="21"/>
        <v>0.38219832000000009</v>
      </c>
      <c r="AZ58" s="30">
        <f t="shared" si="33"/>
        <v>1540</v>
      </c>
      <c r="BA58" s="31" t="e">
        <f t="shared" si="6"/>
        <v>#N/A</v>
      </c>
      <c r="BB58" s="31">
        <f t="shared" si="25"/>
        <v>0</v>
      </c>
      <c r="BC58" s="31">
        <f t="shared" si="26"/>
        <v>0</v>
      </c>
      <c r="BD58" s="31">
        <f t="shared" si="31"/>
        <v>0</v>
      </c>
      <c r="BE58" s="61" t="str">
        <f t="shared" si="27"/>
        <v/>
      </c>
      <c r="BF58" s="58" t="str">
        <f t="shared" si="35"/>
        <v/>
      </c>
      <c r="BG58" s="31">
        <f t="shared" si="24"/>
        <v>11.55</v>
      </c>
      <c r="BH58" s="31" t="str">
        <f t="shared" si="28"/>
        <v/>
      </c>
      <c r="BI58" s="46">
        <f t="shared" si="10"/>
        <v>0</v>
      </c>
      <c r="BJ58" s="66">
        <f t="shared" si="11"/>
        <v>0</v>
      </c>
      <c r="BK58" s="48">
        <f t="shared" si="12"/>
        <v>11.55</v>
      </c>
    </row>
    <row r="59" spans="1:63" x14ac:dyDescent="0.3">
      <c r="A59" s="1" t="s">
        <v>57</v>
      </c>
      <c r="B59" s="27" t="s">
        <v>26</v>
      </c>
      <c r="C59" s="27">
        <v>12</v>
      </c>
      <c r="D59" s="27">
        <v>10</v>
      </c>
      <c r="E59" s="28"/>
      <c r="F59">
        <v>5302.42</v>
      </c>
      <c r="G59" s="29"/>
      <c r="H59" s="29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"/>
      <c r="AC59" s="1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/>
      <c r="AW59" s="40"/>
      <c r="AX59" s="15">
        <f t="shared" si="4"/>
        <v>0</v>
      </c>
      <c r="AY59" s="30">
        <f t="shared" si="21"/>
        <v>0.38604862944000012</v>
      </c>
      <c r="AZ59" s="30">
        <f t="shared" si="33"/>
        <v>1540</v>
      </c>
      <c r="BA59" s="31" t="e">
        <f t="shared" si="6"/>
        <v>#N/A</v>
      </c>
      <c r="BB59" s="31">
        <f t="shared" ref="BB59:BB70" si="38">AK59/AP59</f>
        <v>0</v>
      </c>
      <c r="BC59" s="31">
        <f t="shared" ref="BC59:BC70" si="39">AJ59*24</f>
        <v>0</v>
      </c>
      <c r="BD59" s="31" t="str">
        <f t="shared" si="31"/>
        <v/>
      </c>
      <c r="BE59" s="61">
        <f t="shared" si="27"/>
        <v>0</v>
      </c>
      <c r="BF59" s="58" t="str">
        <f t="shared" si="35"/>
        <v/>
      </c>
      <c r="BG59" s="31" t="str">
        <f t="shared" si="24"/>
        <v/>
      </c>
      <c r="BH59" s="31">
        <f t="shared" si="28"/>
        <v>0</v>
      </c>
      <c r="BI59" s="46">
        <f t="shared" si="10"/>
        <v>0</v>
      </c>
      <c r="BJ59" s="66">
        <f t="shared" si="11"/>
        <v>0</v>
      </c>
      <c r="BK59" s="48">
        <f t="shared" si="12"/>
        <v>0</v>
      </c>
    </row>
    <row r="60" spans="1:63" ht="15" thickBot="1" x14ac:dyDescent="0.35">
      <c r="A60" s="1" t="s">
        <v>58</v>
      </c>
      <c r="B60" s="27" t="s">
        <v>26</v>
      </c>
      <c r="C60" s="27">
        <v>12</v>
      </c>
      <c r="D60" s="27">
        <v>10</v>
      </c>
      <c r="E60" s="28"/>
      <c r="F60">
        <v>5302.42</v>
      </c>
      <c r="G60" s="29"/>
      <c r="H60" s="29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"/>
      <c r="AC60" s="6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/>
      <c r="AW60" s="41"/>
      <c r="AX60" s="16">
        <f t="shared" ref="AX60:AX70" si="40">AT60*J60*AZ60/1000</f>
        <v>0</v>
      </c>
      <c r="AY60" s="17">
        <f t="shared" si="21"/>
        <v>0.39844348416000003</v>
      </c>
      <c r="AZ60" s="17">
        <f t="shared" si="33"/>
        <v>1540</v>
      </c>
      <c r="BA60" s="18" t="e">
        <f t="shared" ref="BA60:BA70" si="41">IF(ISBLANK(AK60),NA(),IFERROR(AK60/AZ60,0))</f>
        <v>#N/A</v>
      </c>
      <c r="BB60" s="18">
        <f t="shared" si="38"/>
        <v>0</v>
      </c>
      <c r="BC60" s="18">
        <f t="shared" si="39"/>
        <v>0</v>
      </c>
      <c r="BD60" s="18" t="str">
        <f t="shared" si="31"/>
        <v/>
      </c>
      <c r="BE60" s="18">
        <f t="shared" si="27"/>
        <v>0</v>
      </c>
      <c r="BF60" s="59" t="str">
        <f t="shared" si="35"/>
        <v/>
      </c>
      <c r="BG60" s="18" t="str">
        <f t="shared" si="24"/>
        <v/>
      </c>
      <c r="BH60" s="18">
        <f t="shared" si="28"/>
        <v>0</v>
      </c>
      <c r="BI60" s="47">
        <f t="shared" ref="BI60:BI70" si="42">IF(BD60&lt;&gt;"",BD60/0.000385,IF(BE60&lt;&gt;"",BE60/0.000385,BF60/0.000385))</f>
        <v>0</v>
      </c>
      <c r="BJ60" s="67">
        <f t="shared" ref="BJ60:BJ65" si="43">IF(BD60&lt;&gt;"",BD60,IF(BE60&lt;&gt;"",BE60,BF60))</f>
        <v>0</v>
      </c>
      <c r="BK60" s="49">
        <f t="shared" ref="BK60:BK70" si="44">IF(BG60&lt;&gt;"",BG60,BH60)</f>
        <v>0</v>
      </c>
    </row>
    <row r="61" spans="1:63" x14ac:dyDescent="0.3">
      <c r="A61" s="3" t="s">
        <v>53</v>
      </c>
      <c r="B61" s="4" t="s">
        <v>28</v>
      </c>
      <c r="C61" s="4">
        <v>12</v>
      </c>
      <c r="D61" s="4">
        <v>11</v>
      </c>
      <c r="E61" s="5"/>
      <c r="F61" s="4">
        <v>5791.69</v>
      </c>
      <c r="G61" s="9"/>
      <c r="H61" s="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22"/>
      <c r="AC61" s="3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40"/>
        <v>0</v>
      </c>
      <c r="AY61" s="13">
        <f t="shared" si="21"/>
        <v>0</v>
      </c>
      <c r="AZ61" s="13">
        <f t="shared" si="33"/>
        <v>1524</v>
      </c>
      <c r="BA61" s="14" t="e">
        <f t="shared" si="41"/>
        <v>#N/A</v>
      </c>
      <c r="BB61" s="14">
        <f t="shared" si="38"/>
        <v>0</v>
      </c>
      <c r="BC61" s="14">
        <f t="shared" si="39"/>
        <v>0</v>
      </c>
      <c r="BD61" s="14" t="str">
        <f t="shared" si="31"/>
        <v/>
      </c>
      <c r="BE61" s="14" t="str">
        <f t="shared" si="27"/>
        <v/>
      </c>
      <c r="BF61" s="57">
        <f t="shared" si="35"/>
        <v>0</v>
      </c>
      <c r="BG61" s="14">
        <f t="shared" si="24"/>
        <v>11.43</v>
      </c>
      <c r="BH61" s="14" t="str">
        <f t="shared" si="28"/>
        <v/>
      </c>
      <c r="BI61" s="46">
        <f t="shared" si="42"/>
        <v>0</v>
      </c>
      <c r="BJ61" s="66">
        <f t="shared" si="43"/>
        <v>0</v>
      </c>
      <c r="BK61" s="48">
        <f t="shared" si="44"/>
        <v>11.43</v>
      </c>
    </row>
    <row r="62" spans="1:63" x14ac:dyDescent="0.3">
      <c r="A62" s="1" t="s">
        <v>54</v>
      </c>
      <c r="B62" s="27" t="s">
        <v>27</v>
      </c>
      <c r="C62" s="27">
        <v>12</v>
      </c>
      <c r="D62" s="27">
        <v>11</v>
      </c>
      <c r="E62" s="28"/>
      <c r="F62" s="27">
        <v>5791.69</v>
      </c>
      <c r="G62" s="29"/>
      <c r="H62" s="29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"/>
      <c r="AC62" s="1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/>
      <c r="AV62" s="30"/>
      <c r="AW62" s="40"/>
      <c r="AX62" s="15">
        <f t="shared" si="40"/>
        <v>0</v>
      </c>
      <c r="AY62" s="30">
        <f t="shared" si="21"/>
        <v>0</v>
      </c>
      <c r="AZ62" s="30">
        <f t="shared" si="33"/>
        <v>1524</v>
      </c>
      <c r="BA62" s="31" t="e">
        <f t="shared" si="41"/>
        <v>#N/A</v>
      </c>
      <c r="BB62" s="31">
        <f t="shared" si="38"/>
        <v>0</v>
      </c>
      <c r="BC62" s="31">
        <f t="shared" si="39"/>
        <v>0</v>
      </c>
      <c r="BD62" s="31">
        <f t="shared" si="31"/>
        <v>0</v>
      </c>
      <c r="BE62" s="61" t="str">
        <f t="shared" si="27"/>
        <v/>
      </c>
      <c r="BF62" s="58" t="str">
        <f t="shared" si="35"/>
        <v/>
      </c>
      <c r="BG62" s="31">
        <f t="shared" si="24"/>
        <v>11.43</v>
      </c>
      <c r="BH62" s="31" t="str">
        <f t="shared" si="28"/>
        <v/>
      </c>
      <c r="BI62" s="46">
        <f t="shared" si="42"/>
        <v>0</v>
      </c>
      <c r="BJ62" s="66">
        <f t="shared" si="43"/>
        <v>0</v>
      </c>
      <c r="BK62" s="48">
        <f t="shared" si="44"/>
        <v>11.43</v>
      </c>
    </row>
    <row r="63" spans="1:63" x14ac:dyDescent="0.3">
      <c r="A63" s="1" t="s">
        <v>55</v>
      </c>
      <c r="B63" s="27" t="s">
        <v>27</v>
      </c>
      <c r="C63" s="27">
        <v>12</v>
      </c>
      <c r="D63" s="27">
        <v>11</v>
      </c>
      <c r="E63" s="28"/>
      <c r="F63" s="27">
        <v>5791.69</v>
      </c>
      <c r="G63" s="29"/>
      <c r="H63" s="29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"/>
      <c r="AC63" s="1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/>
      <c r="AV63" s="30"/>
      <c r="AW63" s="40"/>
      <c r="AX63" s="15">
        <f t="shared" si="40"/>
        <v>0</v>
      </c>
      <c r="AY63" s="30">
        <f t="shared" si="21"/>
        <v>0</v>
      </c>
      <c r="AZ63" s="30">
        <f t="shared" si="33"/>
        <v>1524</v>
      </c>
      <c r="BA63" s="31" t="e">
        <f t="shared" si="41"/>
        <v>#N/A</v>
      </c>
      <c r="BB63" s="31">
        <f t="shared" si="38"/>
        <v>0</v>
      </c>
      <c r="BC63" s="31">
        <f t="shared" si="39"/>
        <v>0</v>
      </c>
      <c r="BD63" s="31">
        <f t="shared" si="31"/>
        <v>0</v>
      </c>
      <c r="BE63" s="61" t="str">
        <f t="shared" si="27"/>
        <v/>
      </c>
      <c r="BF63" s="58" t="str">
        <f t="shared" si="35"/>
        <v/>
      </c>
      <c r="BG63" s="31">
        <f t="shared" si="24"/>
        <v>11.43</v>
      </c>
      <c r="BH63" s="31" t="str">
        <f t="shared" si="28"/>
        <v/>
      </c>
      <c r="BI63" s="46">
        <f t="shared" si="42"/>
        <v>0</v>
      </c>
      <c r="BJ63" s="66">
        <f t="shared" si="43"/>
        <v>0</v>
      </c>
      <c r="BK63" s="48">
        <f t="shared" si="44"/>
        <v>11.43</v>
      </c>
    </row>
    <row r="64" spans="1:63" x14ac:dyDescent="0.3">
      <c r="A64" s="1" t="s">
        <v>57</v>
      </c>
      <c r="B64" s="27" t="s">
        <v>26</v>
      </c>
      <c r="C64" s="27">
        <v>12</v>
      </c>
      <c r="D64" s="27">
        <v>11</v>
      </c>
      <c r="E64" s="28"/>
      <c r="F64" s="27">
        <v>5791.69</v>
      </c>
      <c r="G64" s="29"/>
      <c r="H64" s="29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"/>
      <c r="AC64" s="1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 s="30"/>
      <c r="AW64" s="40"/>
      <c r="AX64" s="15">
        <f t="shared" si="40"/>
        <v>0</v>
      </c>
      <c r="AY64" s="30">
        <f t="shared" si="21"/>
        <v>0</v>
      </c>
      <c r="AZ64" s="30">
        <f t="shared" si="33"/>
        <v>1524</v>
      </c>
      <c r="BA64" s="31" t="e">
        <f t="shared" si="41"/>
        <v>#N/A</v>
      </c>
      <c r="BB64" s="31">
        <f t="shared" si="38"/>
        <v>0</v>
      </c>
      <c r="BC64" s="31">
        <f t="shared" si="39"/>
        <v>0</v>
      </c>
      <c r="BD64" s="31" t="str">
        <f t="shared" si="31"/>
        <v/>
      </c>
      <c r="BE64" s="61">
        <f t="shared" si="27"/>
        <v>0</v>
      </c>
      <c r="BF64" s="58" t="str">
        <f t="shared" si="35"/>
        <v/>
      </c>
      <c r="BG64" s="31" t="str">
        <f t="shared" si="24"/>
        <v/>
      </c>
      <c r="BH64" s="31">
        <f t="shared" si="28"/>
        <v>0</v>
      </c>
      <c r="BI64" s="46">
        <f t="shared" si="42"/>
        <v>0</v>
      </c>
      <c r="BJ64" s="66">
        <f t="shared" si="43"/>
        <v>0</v>
      </c>
      <c r="BK64" s="48">
        <f t="shared" si="44"/>
        <v>0</v>
      </c>
    </row>
    <row r="65" spans="1:63" ht="15" thickBot="1" x14ac:dyDescent="0.35">
      <c r="A65" s="6" t="s">
        <v>58</v>
      </c>
      <c r="B65" s="7" t="s">
        <v>26</v>
      </c>
      <c r="C65" s="7">
        <v>12</v>
      </c>
      <c r="D65" s="7">
        <v>11</v>
      </c>
      <c r="E65" s="8"/>
      <c r="F65" s="7">
        <v>5791.69</v>
      </c>
      <c r="G65" s="11"/>
      <c r="H65" s="11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23"/>
      <c r="AC65" s="6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 s="17"/>
      <c r="AW65" s="41"/>
      <c r="AX65" s="16">
        <f t="shared" si="40"/>
        <v>0</v>
      </c>
      <c r="AY65" s="17">
        <f t="shared" si="21"/>
        <v>0</v>
      </c>
      <c r="AZ65" s="17">
        <f t="shared" si="33"/>
        <v>1524</v>
      </c>
      <c r="BA65" s="18" t="e">
        <f t="shared" si="41"/>
        <v>#N/A</v>
      </c>
      <c r="BB65" s="18">
        <f t="shared" si="38"/>
        <v>0</v>
      </c>
      <c r="BC65" s="18">
        <f t="shared" si="39"/>
        <v>0</v>
      </c>
      <c r="BD65" s="18" t="str">
        <f t="shared" si="31"/>
        <v/>
      </c>
      <c r="BE65" s="18">
        <f t="shared" si="27"/>
        <v>0</v>
      </c>
      <c r="BF65" s="59" t="str">
        <f t="shared" si="35"/>
        <v/>
      </c>
      <c r="BG65" s="18" t="str">
        <f t="shared" si="24"/>
        <v/>
      </c>
      <c r="BH65" s="18">
        <f t="shared" si="28"/>
        <v>0</v>
      </c>
      <c r="BI65" s="46">
        <f t="shared" si="42"/>
        <v>0</v>
      </c>
      <c r="BJ65" s="66">
        <f t="shared" si="43"/>
        <v>0</v>
      </c>
      <c r="BK65" s="48">
        <f t="shared" si="44"/>
        <v>0</v>
      </c>
    </row>
    <row r="66" spans="1:63" x14ac:dyDescent="0.3">
      <c r="A66" s="3" t="s">
        <v>53</v>
      </c>
      <c r="B66" s="4" t="s">
        <v>28</v>
      </c>
      <c r="C66" s="4">
        <v>12</v>
      </c>
      <c r="D66" s="4">
        <v>12</v>
      </c>
      <c r="E66" s="5"/>
      <c r="F66" s="4">
        <v>6120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22"/>
      <c r="AC66" s="3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40"/>
        <v>0</v>
      </c>
      <c r="AY66" s="13">
        <f t="shared" si="21"/>
        <v>0</v>
      </c>
      <c r="AZ66" s="13">
        <f t="shared" si="33"/>
        <v>1508</v>
      </c>
      <c r="BA66" s="14" t="e">
        <f t="shared" si="41"/>
        <v>#N/A</v>
      </c>
      <c r="BB66" s="14">
        <f t="shared" si="38"/>
        <v>0</v>
      </c>
      <c r="BC66" s="14">
        <f t="shared" si="39"/>
        <v>0</v>
      </c>
      <c r="BD66" s="14" t="str">
        <f t="shared" si="31"/>
        <v/>
      </c>
      <c r="BE66" s="14" t="str">
        <f t="shared" si="27"/>
        <v/>
      </c>
      <c r="BF66" s="57">
        <f t="shared" si="35"/>
        <v>0</v>
      </c>
      <c r="BG66" s="14">
        <f t="shared" si="24"/>
        <v>11.31</v>
      </c>
      <c r="BH66" s="14" t="str">
        <f t="shared" si="28"/>
        <v/>
      </c>
      <c r="BI66" s="45">
        <f t="shared" si="42"/>
        <v>0</v>
      </c>
      <c r="BJ66" s="62"/>
      <c r="BK66" s="50">
        <f t="shared" si="44"/>
        <v>11.31</v>
      </c>
    </row>
    <row r="67" spans="1:63" x14ac:dyDescent="0.3">
      <c r="A67" s="1" t="s">
        <v>54</v>
      </c>
      <c r="B67" s="27" t="s">
        <v>27</v>
      </c>
      <c r="C67" s="27">
        <v>12</v>
      </c>
      <c r="D67" s="27">
        <v>12</v>
      </c>
      <c r="E67" s="28"/>
      <c r="F67" s="27">
        <v>6120</v>
      </c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"/>
      <c r="AC67" s="1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40"/>
        <v>0</v>
      </c>
      <c r="AY67" s="30">
        <f t="shared" si="21"/>
        <v>0</v>
      </c>
      <c r="AZ67" s="30">
        <f t="shared" si="33"/>
        <v>1508</v>
      </c>
      <c r="BA67" s="31" t="e">
        <f t="shared" si="41"/>
        <v>#N/A</v>
      </c>
      <c r="BB67" s="31">
        <f t="shared" si="38"/>
        <v>0</v>
      </c>
      <c r="BC67" s="31">
        <f t="shared" si="39"/>
        <v>0</v>
      </c>
      <c r="BD67" s="31">
        <f t="shared" si="31"/>
        <v>0</v>
      </c>
      <c r="BE67" s="61" t="str">
        <f t="shared" si="27"/>
        <v/>
      </c>
      <c r="BF67" s="58" t="str">
        <f t="shared" si="35"/>
        <v/>
      </c>
      <c r="BG67" s="31">
        <f t="shared" si="24"/>
        <v>11.31</v>
      </c>
      <c r="BH67" s="31" t="str">
        <f t="shared" si="28"/>
        <v/>
      </c>
      <c r="BI67" s="46">
        <f t="shared" si="42"/>
        <v>0</v>
      </c>
      <c r="BJ67" s="63"/>
      <c r="BK67" s="48">
        <f t="shared" si="44"/>
        <v>11.31</v>
      </c>
    </row>
    <row r="68" spans="1:63" x14ac:dyDescent="0.3">
      <c r="A68" s="1" t="s">
        <v>55</v>
      </c>
      <c r="B68" s="27" t="s">
        <v>27</v>
      </c>
      <c r="C68" s="27">
        <v>12</v>
      </c>
      <c r="D68" s="27">
        <v>12</v>
      </c>
      <c r="E68" s="28"/>
      <c r="F68" s="27">
        <v>6120</v>
      </c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"/>
      <c r="AC68" s="1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40"/>
        <v>0</v>
      </c>
      <c r="AY68" s="30">
        <f t="shared" si="21"/>
        <v>0</v>
      </c>
      <c r="AZ68" s="30">
        <f t="shared" si="33"/>
        <v>1508</v>
      </c>
      <c r="BA68" s="31" t="e">
        <f t="shared" si="41"/>
        <v>#N/A</v>
      </c>
      <c r="BB68" s="31">
        <f t="shared" si="38"/>
        <v>0</v>
      </c>
      <c r="BC68" s="31">
        <f t="shared" si="39"/>
        <v>0</v>
      </c>
      <c r="BD68" s="31">
        <f t="shared" si="31"/>
        <v>0</v>
      </c>
      <c r="BE68" s="61" t="str">
        <f t="shared" si="27"/>
        <v/>
      </c>
      <c r="BF68" s="58" t="str">
        <f t="shared" si="35"/>
        <v/>
      </c>
      <c r="BG68" s="31">
        <f t="shared" si="24"/>
        <v>11.31</v>
      </c>
      <c r="BH68" s="31" t="str">
        <f t="shared" si="28"/>
        <v/>
      </c>
      <c r="BI68" s="46">
        <f t="shared" si="42"/>
        <v>0</v>
      </c>
      <c r="BJ68" s="63"/>
      <c r="BK68" s="48">
        <f t="shared" si="44"/>
        <v>11.31</v>
      </c>
    </row>
    <row r="69" spans="1:63" x14ac:dyDescent="0.3">
      <c r="A69" s="1" t="s">
        <v>57</v>
      </c>
      <c r="B69" s="27" t="s">
        <v>26</v>
      </c>
      <c r="C69" s="27">
        <v>12</v>
      </c>
      <c r="D69" s="27">
        <v>12</v>
      </c>
      <c r="E69" s="28"/>
      <c r="F69" s="27">
        <v>6120</v>
      </c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"/>
      <c r="AC69" s="1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40"/>
        <v>0</v>
      </c>
      <c r="AY69" s="30">
        <f t="shared" si="21"/>
        <v>0</v>
      </c>
      <c r="AZ69" s="30">
        <f t="shared" si="33"/>
        <v>1508</v>
      </c>
      <c r="BA69" s="31" t="e">
        <f t="shared" si="41"/>
        <v>#N/A</v>
      </c>
      <c r="BB69" s="31">
        <f t="shared" si="38"/>
        <v>0</v>
      </c>
      <c r="BC69" s="31">
        <f t="shared" si="39"/>
        <v>0</v>
      </c>
      <c r="BD69" s="31" t="str">
        <f t="shared" si="31"/>
        <v/>
      </c>
      <c r="BE69" s="61">
        <f t="shared" si="27"/>
        <v>0</v>
      </c>
      <c r="BF69" s="58" t="str">
        <f t="shared" si="35"/>
        <v/>
      </c>
      <c r="BG69" s="31" t="str">
        <f t="shared" si="24"/>
        <v/>
      </c>
      <c r="BH69" s="31">
        <f t="shared" si="28"/>
        <v>0</v>
      </c>
      <c r="BI69" s="46">
        <f t="shared" si="42"/>
        <v>0</v>
      </c>
      <c r="BJ69" s="63"/>
      <c r="BK69" s="48">
        <f t="shared" si="44"/>
        <v>0</v>
      </c>
    </row>
    <row r="70" spans="1:63" ht="15" thickBot="1" x14ac:dyDescent="0.35">
      <c r="A70" s="6" t="s">
        <v>58</v>
      </c>
      <c r="B70" s="7" t="s">
        <v>26</v>
      </c>
      <c r="C70" s="7">
        <v>12</v>
      </c>
      <c r="D70" s="7">
        <v>12</v>
      </c>
      <c r="E70" s="8"/>
      <c r="F70" s="7">
        <v>6120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23"/>
      <c r="AC70" s="6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40"/>
        <v>0</v>
      </c>
      <c r="AY70" s="17">
        <f t="shared" si="21"/>
        <v>0</v>
      </c>
      <c r="AZ70" s="17">
        <f t="shared" si="33"/>
        <v>1508</v>
      </c>
      <c r="BA70" s="18" t="e">
        <f t="shared" si="41"/>
        <v>#N/A</v>
      </c>
      <c r="BB70" s="18">
        <f t="shared" si="38"/>
        <v>0</v>
      </c>
      <c r="BC70" s="18">
        <f t="shared" si="39"/>
        <v>0</v>
      </c>
      <c r="BD70" s="18" t="str">
        <f t="shared" si="31"/>
        <v/>
      </c>
      <c r="BE70" s="18">
        <f t="shared" si="27"/>
        <v>0</v>
      </c>
      <c r="BF70" s="59" t="str">
        <f t="shared" si="35"/>
        <v/>
      </c>
      <c r="BG70" s="18" t="str">
        <f t="shared" si="24"/>
        <v/>
      </c>
      <c r="BH70" s="18">
        <f t="shared" si="28"/>
        <v>0</v>
      </c>
      <c r="BI70" s="47">
        <f t="shared" si="42"/>
        <v>0</v>
      </c>
      <c r="BJ70" s="64"/>
      <c r="BK70" s="49">
        <f t="shared" si="44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34d8c884-fe7e-4d4f-a833-b92a2823f74b"/>
    <ds:schemaRef ds:uri="a198008e-c7f6-4ed0-9865-26ace3c97b59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2024-06-15T14:58:17Z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