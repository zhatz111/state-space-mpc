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845" documentId="8_{2425AED5-2B3D-4BFD-84B8-542313010F1F}" xr6:coauthVersionLast="47" xr6:coauthVersionMax="47" xr10:uidLastSave="{6FE016DD-E658-4756-9B9A-DA23EF794DAA}"/>
  <bookViews>
    <workbookView xWindow="-3720" yWindow="3135" windowWidth="36000" windowHeight="19215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1" i="1" l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E13" i="1"/>
  <c r="BJ13" i="1" s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<sst xmlns="http://schemas.openxmlformats.org/spreadsheetml/2006/main" count="206" uniqueCount="78">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</sst>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AD35" activePane="bottomRight" state="frozen"/>
      <selection pane="topRight" activeCell="H1" sqref="H1"/>
      <selection pane="bottomLeft" activeCell="A3" sqref="A3"/>
      <selection pane="bottomRight" activeCell="AU45" sqref="AU45"/>
    </sheetView>
  </sheetViews>
  <sheetFormatPr defaultColWidth="14.7109375" defaultRowHeight="15" x14ac:dyDescent="0.25"/>
  <cols>
    <col min="2" max="4" width="10.7109375" customWidth="1"/>
    <col min="5" max="5" width="16.85546875" bestFit="1" customWidth="1"/>
    <col min="6" max="60" width="12.7109375" customWidth="1"/>
    <col min="61" max="61" width="16.28515625" bestFit="1" customWidth="1"/>
    <col min="62" max="63" width="16.28515625" customWidth="1"/>
  </cols>
  <sheetData>
    <row r="1" spans="1:63" ht="21" x14ac:dyDescent="0.35">
      <c r="A1" s="72" t="s">
        <v>0</v>
      </c>
      <c r="B1" s="72"/>
      <c r="C1" s="72"/>
      <c r="D1" s="72"/>
      <c r="E1" s="72"/>
      <c r="F1" s="73" t="s">
        <v>1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5"/>
      <c r="AC1" s="86" t="s">
        <v>2</v>
      </c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8"/>
      <c r="AP1" s="81" t="s">
        <v>70</v>
      </c>
      <c r="AQ1" s="81"/>
      <c r="AR1" s="81"/>
      <c r="AS1" s="81"/>
      <c r="AT1" s="82"/>
      <c r="AU1" s="83" t="s">
        <v>64</v>
      </c>
      <c r="AV1" s="84"/>
      <c r="AW1" s="85"/>
      <c r="AX1" s="79" t="s">
        <v>62</v>
      </c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76" t="s">
        <v>66</v>
      </c>
      <c r="BJ1" s="77"/>
      <c r="BK1" s="78"/>
    </row>
    <row r="2" spans="1:63" ht="60.75" thickBot="1" x14ac:dyDescent="0.3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25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25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25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25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25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.75" thickBot="1" x14ac:dyDescent="0.3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25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25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25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25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25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 t="shared" si="1"/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.75" thickBot="1" x14ac:dyDescent="0.3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25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25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25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25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25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.75" thickBot="1" x14ac:dyDescent="0.3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25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25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25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25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.75" thickBot="1" x14ac:dyDescent="0.3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25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25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25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25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.75" thickBot="1" x14ac:dyDescent="0.3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25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25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25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25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.75" thickBot="1" x14ac:dyDescent="0.3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25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25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25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25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.75" thickBot="1" x14ac:dyDescent="0.3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25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25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25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25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.75" thickBot="1" x14ac:dyDescent="0.3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25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"/>
      <c r="AC46" s="3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0</v>
      </c>
      <c r="AY46" s="13">
        <f t="shared" si="21"/>
        <v>0.40002216960000003</v>
      </c>
      <c r="AZ46" s="13">
        <f t="shared" si="33"/>
        <v>1572</v>
      </c>
      <c r="BA46" s="14" t="e">
        <f t="shared" si="6"/>
        <v>#N/A</v>
      </c>
      <c r="BB46" s="14">
        <f t="shared" si="25"/>
        <v>0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0</v>
      </c>
      <c r="BG46" s="14">
        <f t="shared" si="24"/>
        <v>11.79</v>
      </c>
      <c r="BH46" s="14" t="str">
        <f t="shared" si="28"/>
        <v/>
      </c>
      <c r="BI46" s="45">
        <f t="shared" si="10"/>
        <v>0</v>
      </c>
      <c r="BJ46" s="65">
        <f t="shared" si="11"/>
        <v>0</v>
      </c>
      <c r="BK46" s="50">
        <f t="shared" si="12"/>
        <v>11.79</v>
      </c>
    </row>
    <row r="47" spans="1:63" x14ac:dyDescent="0.25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"/>
      <c r="AC47" s="1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/>
      <c r="AV47" s="30"/>
      <c r="AW47" s="40"/>
      <c r="AX47" s="15">
        <f t="shared" si="4"/>
        <v>0</v>
      </c>
      <c r="AY47" s="30">
        <f t="shared" si="21"/>
        <v>0.36904919999999997</v>
      </c>
      <c r="AZ47" s="30">
        <f t="shared" si="33"/>
        <v>1572</v>
      </c>
      <c r="BA47" s="31" t="e">
        <f t="shared" si="6"/>
        <v>#N/A</v>
      </c>
      <c r="BB47" s="31">
        <f t="shared" si="25"/>
        <v>0</v>
      </c>
      <c r="BC47" s="31">
        <f t="shared" si="26"/>
        <v>0</v>
      </c>
      <c r="BD47" s="31">
        <f t="shared" si="31"/>
        <v>0</v>
      </c>
      <c r="BE47" s="61" t="str">
        <f t="shared" si="27"/>
        <v/>
      </c>
      <c r="BF47" s="58" t="str">
        <f t="shared" ref="BF47:BF70" si="34">IF(B47="No MPC", AT47*J47*AZ47/1000,"")</f>
        <v/>
      </c>
      <c r="BG47" s="31">
        <f t="shared" si="24"/>
        <v>11.79</v>
      </c>
      <c r="BH47" s="31" t="str">
        <f t="shared" si="28"/>
        <v/>
      </c>
      <c r="BI47" s="46">
        <f t="shared" si="10"/>
        <v>0</v>
      </c>
      <c r="BJ47" s="66">
        <f t="shared" si="11"/>
        <v>0</v>
      </c>
      <c r="BK47" s="48">
        <f t="shared" si="12"/>
        <v>11.79</v>
      </c>
    </row>
    <row r="48" spans="1:63" x14ac:dyDescent="0.25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"/>
      <c r="AC48" s="1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/>
      <c r="AV48" s="30"/>
      <c r="AW48" s="40"/>
      <c r="AX48" s="15">
        <f t="shared" si="4"/>
        <v>0</v>
      </c>
      <c r="AY48" s="30">
        <f t="shared" si="21"/>
        <v>0.35230030079999997</v>
      </c>
      <c r="AZ48" s="30">
        <f t="shared" si="33"/>
        <v>1572</v>
      </c>
      <c r="BA48" s="31" t="e">
        <f t="shared" si="6"/>
        <v>#N/A</v>
      </c>
      <c r="BB48" s="31">
        <f t="shared" si="25"/>
        <v>0</v>
      </c>
      <c r="BC48" s="31">
        <f t="shared" si="26"/>
        <v>0</v>
      </c>
      <c r="BD48" s="31">
        <f t="shared" si="31"/>
        <v>0</v>
      </c>
      <c r="BE48" s="61" t="str">
        <f t="shared" si="27"/>
        <v/>
      </c>
      <c r="BF48" s="58" t="str">
        <f t="shared" si="34"/>
        <v/>
      </c>
      <c r="BG48" s="31">
        <f t="shared" si="24"/>
        <v>11.79</v>
      </c>
      <c r="BH48" s="31" t="str">
        <f t="shared" si="28"/>
        <v/>
      </c>
      <c r="BI48" s="46">
        <f t="shared" si="10"/>
        <v>0</v>
      </c>
      <c r="BJ48" s="66">
        <f t="shared" si="11"/>
        <v>0</v>
      </c>
      <c r="BK48" s="48">
        <f t="shared" si="12"/>
        <v>11.79</v>
      </c>
    </row>
    <row r="49" spans="1:63" x14ac:dyDescent="0.25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"/>
      <c r="AC49" s="1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/>
      <c r="AW49" s="40"/>
      <c r="AX49" s="15">
        <f t="shared" si="4"/>
        <v>0</v>
      </c>
      <c r="AY49" s="30">
        <f t="shared" si="21"/>
        <v>0.38773514880000004</v>
      </c>
      <c r="AZ49" s="30">
        <f t="shared" si="33"/>
        <v>1572</v>
      </c>
      <c r="BA49" s="31" t="e">
        <f t="shared" si="6"/>
        <v>#N/A</v>
      </c>
      <c r="BB49" s="31">
        <f t="shared" si="25"/>
        <v>0</v>
      </c>
      <c r="BC49" s="31">
        <f t="shared" si="26"/>
        <v>0</v>
      </c>
      <c r="BD49" s="31" t="str">
        <f t="shared" si="31"/>
        <v/>
      </c>
      <c r="BE49" s="61">
        <f t="shared" si="27"/>
        <v>0</v>
      </c>
      <c r="BF49" s="58" t="str">
        <f t="shared" si="34"/>
        <v/>
      </c>
      <c r="BG49" s="31" t="str">
        <f t="shared" si="24"/>
        <v/>
      </c>
      <c r="BH49" s="31">
        <f t="shared" si="28"/>
        <v>0</v>
      </c>
      <c r="BI49" s="46">
        <f t="shared" si="10"/>
        <v>0</v>
      </c>
      <c r="BJ49" s="66">
        <f t="shared" si="11"/>
        <v>0</v>
      </c>
      <c r="BK49" s="48">
        <f t="shared" si="12"/>
        <v>0</v>
      </c>
    </row>
    <row r="50" spans="1:63" ht="15.75" thickBot="1" x14ac:dyDescent="0.3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"/>
      <c r="AC50" s="6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/>
      <c r="AW50" s="41"/>
      <c r="AX50" s="16">
        <f t="shared" si="4"/>
        <v>0</v>
      </c>
      <c r="AY50" s="17">
        <f t="shared" si="21"/>
        <v>0.41905100159999997</v>
      </c>
      <c r="AZ50" s="17">
        <f t="shared" si="33"/>
        <v>1572</v>
      </c>
      <c r="BA50" s="18" t="e">
        <f t="shared" si="6"/>
        <v>#N/A</v>
      </c>
      <c r="BB50" s="18">
        <f t="shared" si="25"/>
        <v>0</v>
      </c>
      <c r="BC50" s="18">
        <f t="shared" si="26"/>
        <v>0</v>
      </c>
      <c r="BD50" s="18" t="str">
        <f t="shared" si="31"/>
        <v/>
      </c>
      <c r="BE50" s="18">
        <f t="shared" si="27"/>
        <v>0</v>
      </c>
      <c r="BF50" s="59" t="str">
        <f t="shared" si="34"/>
        <v/>
      </c>
      <c r="BG50" s="18" t="str">
        <f t="shared" si="24"/>
        <v/>
      </c>
      <c r="BH50" s="18">
        <f t="shared" si="28"/>
        <v>0</v>
      </c>
      <c r="BI50" s="47">
        <f t="shared" si="10"/>
        <v>0</v>
      </c>
      <c r="BJ50" s="67">
        <f t="shared" si="11"/>
        <v>0</v>
      </c>
      <c r="BK50" s="49">
        <f t="shared" si="12"/>
        <v>0</v>
      </c>
    </row>
    <row r="51" spans="1:63" x14ac:dyDescent="0.25">
      <c r="A51" s="3" t="s">
        <v>53</v>
      </c>
      <c r="B51" s="4" t="s">
        <v>28</v>
      </c>
      <c r="C51" s="4">
        <v>12</v>
      </c>
      <c r="D51" s="4">
        <v>9</v>
      </c>
      <c r="E51" s="5"/>
      <c r="F51" s="4">
        <v>4805.7299999999996</v>
      </c>
      <c r="G51" s="9"/>
      <c r="H51" s="9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22"/>
      <c r="AC51" s="3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0</v>
      </c>
      <c r="AY51" s="13">
        <f t="shared" si="21"/>
        <v>0</v>
      </c>
      <c r="AZ51" s="13">
        <f t="shared" si="33"/>
        <v>1556</v>
      </c>
      <c r="BA51" s="14" t="e">
        <f t="shared" si="6"/>
        <v>#N/A</v>
      </c>
      <c r="BB51" s="14">
        <f t="shared" si="25"/>
        <v>0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4"/>
        <v>0</v>
      </c>
      <c r="BG51" s="14">
        <f t="shared" si="24"/>
        <v>11.67</v>
      </c>
      <c r="BH51" s="14" t="str">
        <f t="shared" si="28"/>
        <v/>
      </c>
      <c r="BI51" s="46">
        <f t="shared" si="10"/>
        <v>0</v>
      </c>
      <c r="BJ51" s="66">
        <f t="shared" si="11"/>
        <v>0</v>
      </c>
      <c r="BK51" s="48">
        <f t="shared" si="12"/>
        <v>11.67</v>
      </c>
    </row>
    <row r="52" spans="1:63" x14ac:dyDescent="0.25">
      <c r="A52" s="1" t="s">
        <v>54</v>
      </c>
      <c r="B52" s="27" t="s">
        <v>27</v>
      </c>
      <c r="C52" s="27">
        <v>12</v>
      </c>
      <c r="D52" s="27">
        <v>9</v>
      </c>
      <c r="E52" s="28"/>
      <c r="F52" s="27">
        <v>4805.7299999999996</v>
      </c>
      <c r="G52" s="29"/>
      <c r="H52" s="29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"/>
      <c r="AC52" s="1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/>
      <c r="AV52" s="30"/>
      <c r="AW52" s="40"/>
      <c r="AX52" s="15">
        <f t="shared" si="4"/>
        <v>0</v>
      </c>
      <c r="AY52" s="30">
        <f t="shared" si="21"/>
        <v>0</v>
      </c>
      <c r="AZ52" s="30">
        <f t="shared" si="33"/>
        <v>1556</v>
      </c>
      <c r="BA52" s="31" t="e">
        <f t="shared" si="6"/>
        <v>#N/A</v>
      </c>
      <c r="BB52" s="31">
        <f t="shared" si="25"/>
        <v>0</v>
      </c>
      <c r="BC52" s="31">
        <f t="shared" si="26"/>
        <v>0</v>
      </c>
      <c r="BD52" s="31">
        <f t="shared" si="31"/>
        <v>0</v>
      </c>
      <c r="BE52" s="61" t="str">
        <f t="shared" si="27"/>
        <v/>
      </c>
      <c r="BF52" s="58" t="str">
        <f t="shared" si="34"/>
        <v/>
      </c>
      <c r="BG52" s="31">
        <f t="shared" si="24"/>
        <v>11.67</v>
      </c>
      <c r="BH52" s="31" t="str">
        <f t="shared" si="28"/>
        <v/>
      </c>
      <c r="BI52" s="46">
        <f t="shared" si="10"/>
        <v>0</v>
      </c>
      <c r="BJ52" s="66">
        <f t="shared" si="11"/>
        <v>0</v>
      </c>
      <c r="BK52" s="48">
        <f t="shared" si="12"/>
        <v>11.67</v>
      </c>
    </row>
    <row r="53" spans="1:63" x14ac:dyDescent="0.25">
      <c r="A53" s="1" t="s">
        <v>55</v>
      </c>
      <c r="B53" s="27" t="s">
        <v>27</v>
      </c>
      <c r="C53" s="27">
        <v>12</v>
      </c>
      <c r="D53" s="27">
        <v>9</v>
      </c>
      <c r="E53" s="28"/>
      <c r="F53" s="27">
        <v>4805.7299999999996</v>
      </c>
      <c r="G53" s="29"/>
      <c r="H53" s="29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"/>
      <c r="AC53" s="1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/>
      <c r="AV53" s="30"/>
      <c r="AW53" s="40"/>
      <c r="AX53" s="15">
        <f t="shared" si="4"/>
        <v>0</v>
      </c>
      <c r="AY53" s="30">
        <f t="shared" si="21"/>
        <v>0</v>
      </c>
      <c r="AZ53" s="30">
        <f t="shared" si="33"/>
        <v>1556</v>
      </c>
      <c r="BA53" s="31" t="e">
        <f t="shared" si="6"/>
        <v>#N/A</v>
      </c>
      <c r="BB53" s="31">
        <f t="shared" si="25"/>
        <v>0</v>
      </c>
      <c r="BC53" s="31">
        <f t="shared" si="26"/>
        <v>0</v>
      </c>
      <c r="BD53" s="31">
        <f t="shared" si="31"/>
        <v>0</v>
      </c>
      <c r="BE53" s="61" t="str">
        <f t="shared" si="27"/>
        <v/>
      </c>
      <c r="BF53" s="58" t="str">
        <f t="shared" si="34"/>
        <v/>
      </c>
      <c r="BG53" s="31">
        <f t="shared" si="24"/>
        <v>11.67</v>
      </c>
      <c r="BH53" s="31" t="str">
        <f t="shared" si="28"/>
        <v/>
      </c>
      <c r="BI53" s="46">
        <f t="shared" si="10"/>
        <v>0</v>
      </c>
      <c r="BJ53" s="66">
        <f t="shared" si="11"/>
        <v>0</v>
      </c>
      <c r="BK53" s="48">
        <f t="shared" si="12"/>
        <v>11.67</v>
      </c>
    </row>
    <row r="54" spans="1:63" x14ac:dyDescent="0.25">
      <c r="A54" s="1" t="s">
        <v>57</v>
      </c>
      <c r="B54" s="27" t="s">
        <v>26</v>
      </c>
      <c r="C54" s="27">
        <v>12</v>
      </c>
      <c r="D54" s="27">
        <v>9</v>
      </c>
      <c r="E54" s="28"/>
      <c r="F54" s="27">
        <v>4805.7299999999996</v>
      </c>
      <c r="G54" s="29"/>
      <c r="H54" s="29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"/>
      <c r="AC54" s="1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/>
      <c r="AW54" s="40"/>
      <c r="AX54" s="15">
        <f t="shared" si="4"/>
        <v>0</v>
      </c>
      <c r="AY54" s="30">
        <f t="shared" si="21"/>
        <v>0</v>
      </c>
      <c r="AZ54" s="30">
        <f t="shared" si="33"/>
        <v>1556</v>
      </c>
      <c r="BA54" s="31" t="e">
        <f t="shared" si="6"/>
        <v>#N/A</v>
      </c>
      <c r="BB54" s="31">
        <f t="shared" si="25"/>
        <v>0</v>
      </c>
      <c r="BC54" s="31">
        <f t="shared" si="26"/>
        <v>0</v>
      </c>
      <c r="BD54" s="31" t="str">
        <f t="shared" si="31"/>
        <v/>
      </c>
      <c r="BE54" s="61">
        <f t="shared" si="27"/>
        <v>0</v>
      </c>
      <c r="BF54" s="58" t="str">
        <f t="shared" si="34"/>
        <v/>
      </c>
      <c r="BG54" s="31" t="str">
        <f t="shared" si="24"/>
        <v/>
      </c>
      <c r="BH54" s="31">
        <f t="shared" si="28"/>
        <v>0</v>
      </c>
      <c r="BI54" s="46">
        <f t="shared" si="10"/>
        <v>0</v>
      </c>
      <c r="BJ54" s="66">
        <f t="shared" si="11"/>
        <v>0</v>
      </c>
      <c r="BK54" s="48">
        <f t="shared" si="12"/>
        <v>0</v>
      </c>
    </row>
    <row r="55" spans="1:63" ht="15.75" thickBot="1" x14ac:dyDescent="0.3">
      <c r="A55" s="6" t="s">
        <v>58</v>
      </c>
      <c r="B55" s="7" t="s">
        <v>26</v>
      </c>
      <c r="C55" s="7">
        <v>12</v>
      </c>
      <c r="D55" s="7">
        <v>9</v>
      </c>
      <c r="E55" s="8"/>
      <c r="F55" s="7">
        <v>4805.7299999999996</v>
      </c>
      <c r="G55" s="11"/>
      <c r="H55" s="11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23"/>
      <c r="AC55" s="6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/>
      <c r="AW55" s="41"/>
      <c r="AX55" s="16">
        <f t="shared" si="4"/>
        <v>0</v>
      </c>
      <c r="AY55" s="17">
        <f t="shared" si="21"/>
        <v>0</v>
      </c>
      <c r="AZ55" s="17">
        <f t="shared" si="33"/>
        <v>1556</v>
      </c>
      <c r="BA55" s="18" t="e">
        <f t="shared" si="6"/>
        <v>#N/A</v>
      </c>
      <c r="BB55" s="18">
        <f t="shared" si="25"/>
        <v>0</v>
      </c>
      <c r="BC55" s="18">
        <f t="shared" si="26"/>
        <v>0</v>
      </c>
      <c r="BD55" s="18" t="str">
        <f t="shared" si="31"/>
        <v/>
      </c>
      <c r="BE55" s="18">
        <f t="shared" si="27"/>
        <v>0</v>
      </c>
      <c r="BF55" s="59" t="str">
        <f t="shared" si="34"/>
        <v/>
      </c>
      <c r="BG55" s="18" t="str">
        <f t="shared" si="24"/>
        <v/>
      </c>
      <c r="BH55" s="18">
        <f t="shared" si="28"/>
        <v>0</v>
      </c>
      <c r="BI55" s="46">
        <f t="shared" si="10"/>
        <v>0</v>
      </c>
      <c r="BJ55" s="66">
        <f t="shared" si="11"/>
        <v>0</v>
      </c>
      <c r="BK55" s="48">
        <f t="shared" si="12"/>
        <v>0</v>
      </c>
    </row>
    <row r="56" spans="1:63" x14ac:dyDescent="0.25">
      <c r="A56" s="1" t="s">
        <v>53</v>
      </c>
      <c r="B56" s="27" t="s">
        <v>28</v>
      </c>
      <c r="C56" s="27">
        <v>12</v>
      </c>
      <c r="D56" s="27">
        <v>10</v>
      </c>
      <c r="E56" s="28"/>
      <c r="F56">
        <v>5302.42</v>
      </c>
      <c r="G56" s="29"/>
      <c r="H56" s="29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"/>
      <c r="AC56" s="3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0</v>
      </c>
      <c r="AY56" s="13">
        <f t="shared" si="21"/>
        <v>0</v>
      </c>
      <c r="AZ56" s="13">
        <f t="shared" si="33"/>
        <v>1540</v>
      </c>
      <c r="BA56" s="14" t="e">
        <f t="shared" si="6"/>
        <v>#N/A</v>
      </c>
      <c r="BB56" s="14">
        <f t="shared" si="25"/>
        <v>0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4"/>
        <v>0</v>
      </c>
      <c r="BG56" s="14">
        <f t="shared" si="24"/>
        <v>11.55</v>
      </c>
      <c r="BH56" s="14" t="str">
        <f t="shared" si="28"/>
        <v/>
      </c>
      <c r="BI56" s="45">
        <f t="shared" si="10"/>
        <v>0</v>
      </c>
      <c r="BJ56" s="65">
        <f t="shared" si="11"/>
        <v>0</v>
      </c>
      <c r="BK56" s="50">
        <f t="shared" si="12"/>
        <v>11.55</v>
      </c>
    </row>
    <row r="57" spans="1:63" x14ac:dyDescent="0.25">
      <c r="A57" s="1" t="s">
        <v>54</v>
      </c>
      <c r="B57" s="27" t="s">
        <v>27</v>
      </c>
      <c r="C57" s="27">
        <v>12</v>
      </c>
      <c r="D57" s="27">
        <v>10</v>
      </c>
      <c r="E57" s="28"/>
      <c r="F57">
        <v>5302.42</v>
      </c>
      <c r="G57" s="29"/>
      <c r="H57" s="29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"/>
      <c r="AC57" s="1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/>
      <c r="AV57" s="30"/>
      <c r="AW57" s="40"/>
      <c r="AX57" s="15">
        <f t="shared" si="4"/>
        <v>0</v>
      </c>
      <c r="AY57" s="30">
        <f t="shared" si="21"/>
        <v>0</v>
      </c>
      <c r="AZ57" s="30">
        <f t="shared" si="33"/>
        <v>1540</v>
      </c>
      <c r="BA57" s="31" t="e">
        <f t="shared" si="6"/>
        <v>#N/A</v>
      </c>
      <c r="BB57" s="31">
        <f t="shared" si="25"/>
        <v>0</v>
      </c>
      <c r="BC57" s="31">
        <f t="shared" si="26"/>
        <v>0</v>
      </c>
      <c r="BD57" s="31">
        <f t="shared" si="31"/>
        <v>0</v>
      </c>
      <c r="BE57" s="61" t="str">
        <f t="shared" si="27"/>
        <v/>
      </c>
      <c r="BF57" s="58" t="str">
        <f t="shared" si="34"/>
        <v/>
      </c>
      <c r="BG57" s="31">
        <f t="shared" si="24"/>
        <v>11.55</v>
      </c>
      <c r="BH57" s="31" t="str">
        <f t="shared" si="28"/>
        <v/>
      </c>
      <c r="BI57" s="46">
        <f t="shared" si="10"/>
        <v>0</v>
      </c>
      <c r="BJ57" s="66">
        <f t="shared" si="11"/>
        <v>0</v>
      </c>
      <c r="BK57" s="48">
        <f t="shared" si="12"/>
        <v>11.55</v>
      </c>
    </row>
    <row r="58" spans="1:63" x14ac:dyDescent="0.25">
      <c r="A58" s="1" t="s">
        <v>55</v>
      </c>
      <c r="B58" s="27" t="s">
        <v>27</v>
      </c>
      <c r="C58" s="27">
        <v>12</v>
      </c>
      <c r="D58" s="27">
        <v>10</v>
      </c>
      <c r="E58" s="28"/>
      <c r="F58">
        <v>5302.42</v>
      </c>
      <c r="G58" s="29"/>
      <c r="H58" s="29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"/>
      <c r="AC58" s="1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/>
      <c r="AV58" s="30"/>
      <c r="AW58" s="40"/>
      <c r="AX58" s="15">
        <f t="shared" si="4"/>
        <v>0</v>
      </c>
      <c r="AY58" s="30">
        <f t="shared" si="21"/>
        <v>0</v>
      </c>
      <c r="AZ58" s="30">
        <f t="shared" si="33"/>
        <v>1540</v>
      </c>
      <c r="BA58" s="31" t="e">
        <f t="shared" si="6"/>
        <v>#N/A</v>
      </c>
      <c r="BB58" s="31">
        <f t="shared" si="25"/>
        <v>0</v>
      </c>
      <c r="BC58" s="31">
        <f t="shared" si="26"/>
        <v>0</v>
      </c>
      <c r="BD58" s="31">
        <f t="shared" si="31"/>
        <v>0</v>
      </c>
      <c r="BE58" s="61" t="str">
        <f t="shared" si="27"/>
        <v/>
      </c>
      <c r="BF58" s="58" t="str">
        <f t="shared" si="34"/>
        <v/>
      </c>
      <c r="BG58" s="31">
        <f t="shared" si="24"/>
        <v>11.55</v>
      </c>
      <c r="BH58" s="31" t="str">
        <f t="shared" si="28"/>
        <v/>
      </c>
      <c r="BI58" s="46">
        <f t="shared" si="10"/>
        <v>0</v>
      </c>
      <c r="BJ58" s="66">
        <f t="shared" si="11"/>
        <v>0</v>
      </c>
      <c r="BK58" s="48">
        <f t="shared" si="12"/>
        <v>11.55</v>
      </c>
    </row>
    <row r="59" spans="1:63" x14ac:dyDescent="0.25">
      <c r="A59" s="1" t="s">
        <v>57</v>
      </c>
      <c r="B59" s="27" t="s">
        <v>26</v>
      </c>
      <c r="C59" s="27">
        <v>12</v>
      </c>
      <c r="D59" s="27">
        <v>10</v>
      </c>
      <c r="E59" s="28"/>
      <c r="F59">
        <v>5302.42</v>
      </c>
      <c r="G59" s="29"/>
      <c r="H59" s="29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"/>
      <c r="AC59" s="1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/>
      <c r="AW59" s="40"/>
      <c r="AX59" s="15">
        <f t="shared" si="4"/>
        <v>0</v>
      </c>
      <c r="AY59" s="30">
        <f t="shared" si="21"/>
        <v>0</v>
      </c>
      <c r="AZ59" s="30">
        <f t="shared" si="33"/>
        <v>1540</v>
      </c>
      <c r="BA59" s="31" t="e">
        <f t="shared" si="6"/>
        <v>#N/A</v>
      </c>
      <c r="BB59" s="31">
        <f t="shared" ref="BB59:BB70" si="35">AK59/AP59</f>
        <v>0</v>
      </c>
      <c r="BC59" s="31">
        <f t="shared" ref="BC59:BC70" si="36">AJ59*24</f>
        <v>0</v>
      </c>
      <c r="BD59" s="31" t="str">
        <f t="shared" si="31"/>
        <v/>
      </c>
      <c r="BE59" s="61">
        <f t="shared" si="27"/>
        <v>0</v>
      </c>
      <c r="BF59" s="58" t="str">
        <f t="shared" si="34"/>
        <v/>
      </c>
      <c r="BG59" s="31" t="str">
        <f t="shared" si="24"/>
        <v/>
      </c>
      <c r="BH59" s="31">
        <f t="shared" si="28"/>
        <v>0</v>
      </c>
      <c r="BI59" s="46">
        <f t="shared" si="10"/>
        <v>0</v>
      </c>
      <c r="BJ59" s="66">
        <f t="shared" si="11"/>
        <v>0</v>
      </c>
      <c r="BK59" s="48">
        <f t="shared" si="12"/>
        <v>0</v>
      </c>
    </row>
    <row r="60" spans="1:63" ht="15.75" thickBot="1" x14ac:dyDescent="0.3">
      <c r="A60" s="1" t="s">
        <v>58</v>
      </c>
      <c r="B60" s="27" t="s">
        <v>26</v>
      </c>
      <c r="C60" s="27">
        <v>12</v>
      </c>
      <c r="D60" s="27">
        <v>10</v>
      </c>
      <c r="E60" s="28"/>
      <c r="F60">
        <v>5302.42</v>
      </c>
      <c r="G60" s="29"/>
      <c r="H60" s="29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"/>
      <c r="AC60" s="6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/>
      <c r="AW60" s="41"/>
      <c r="AX60" s="16">
        <f t="shared" ref="AX60:AX70" si="37">AT60*J60*AZ60/1000</f>
        <v>0</v>
      </c>
      <c r="AY60" s="17">
        <f t="shared" si="21"/>
        <v>0</v>
      </c>
      <c r="AZ60" s="17">
        <f t="shared" si="33"/>
        <v>1540</v>
      </c>
      <c r="BA60" s="18" t="e">
        <f t="shared" ref="BA60:BA70" si="38">IF(ISBLANK(AK60),NA(),IFERROR(AK60/AZ60,0))</f>
        <v>#N/A</v>
      </c>
      <c r="BB60" s="18">
        <f t="shared" si="35"/>
        <v>0</v>
      </c>
      <c r="BC60" s="18">
        <f t="shared" si="36"/>
        <v>0</v>
      </c>
      <c r="BD60" s="18" t="str">
        <f t="shared" si="31"/>
        <v/>
      </c>
      <c r="BE60" s="18">
        <f t="shared" si="27"/>
        <v>0</v>
      </c>
      <c r="BF60" s="59" t="str">
        <f t="shared" si="34"/>
        <v/>
      </c>
      <c r="BG60" s="18" t="str">
        <f t="shared" si="24"/>
        <v/>
      </c>
      <c r="BH60" s="18">
        <f t="shared" si="28"/>
        <v>0</v>
      </c>
      <c r="BI60" s="47">
        <f t="shared" ref="BI60:BI70" si="39">IF(BD60&lt;&gt;"",BD60/0.000385,IF(BE60&lt;&gt;"",BE60/0.000385,BF60/0.000385))</f>
        <v>0</v>
      </c>
      <c r="BJ60" s="67">
        <f t="shared" ref="BJ60:BJ65" si="40">IF(BD60&lt;&gt;"",BD60,IF(BE60&lt;&gt;"",BE60,BF60))</f>
        <v>0</v>
      </c>
      <c r="BK60" s="49">
        <f t="shared" ref="BK60:BK70" si="41">IF(BG60&lt;&gt;"",BG60,BH60)</f>
        <v>0</v>
      </c>
    </row>
    <row r="61" spans="1:63" x14ac:dyDescent="0.25">
      <c r="A61" s="3" t="s">
        <v>53</v>
      </c>
      <c r="B61" s="4" t="s">
        <v>28</v>
      </c>
      <c r="C61" s="4">
        <v>12</v>
      </c>
      <c r="D61" s="4">
        <v>11</v>
      </c>
      <c r="E61" s="5"/>
      <c r="F61" s="4">
        <v>5791.69</v>
      </c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22"/>
      <c r="AC61" s="3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37"/>
        <v>0</v>
      </c>
      <c r="AY61" s="13">
        <f t="shared" si="21"/>
        <v>0</v>
      </c>
      <c r="AZ61" s="13">
        <f t="shared" si="33"/>
        <v>1524</v>
      </c>
      <c r="BA61" s="14" t="e">
        <f t="shared" si="38"/>
        <v>#N/A</v>
      </c>
      <c r="BB61" s="14">
        <f t="shared" si="35"/>
        <v>0</v>
      </c>
      <c r="BC61" s="14">
        <f t="shared" si="36"/>
        <v>0</v>
      </c>
      <c r="BD61" s="14" t="str">
        <f t="shared" si="31"/>
        <v/>
      </c>
      <c r="BE61" s="14" t="str">
        <f t="shared" si="27"/>
        <v/>
      </c>
      <c r="BF61" s="57">
        <f t="shared" si="34"/>
        <v>0</v>
      </c>
      <c r="BG61" s="14">
        <f t="shared" si="24"/>
        <v>11.43</v>
      </c>
      <c r="BH61" s="14" t="str">
        <f t="shared" si="28"/>
        <v/>
      </c>
      <c r="BI61" s="46">
        <f t="shared" si="39"/>
        <v>0</v>
      </c>
      <c r="BJ61" s="66">
        <f t="shared" si="40"/>
        <v>0</v>
      </c>
      <c r="BK61" s="48">
        <f t="shared" si="41"/>
        <v>11.43</v>
      </c>
    </row>
    <row r="62" spans="1:63" x14ac:dyDescent="0.25">
      <c r="A62" s="1" t="s">
        <v>54</v>
      </c>
      <c r="B62" s="27" t="s">
        <v>27</v>
      </c>
      <c r="C62" s="27">
        <v>12</v>
      </c>
      <c r="D62" s="27">
        <v>11</v>
      </c>
      <c r="E62" s="28"/>
      <c r="F62" s="27">
        <v>5791.69</v>
      </c>
      <c r="G62" s="29"/>
      <c r="H62" s="29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"/>
      <c r="AC62" s="1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/>
      <c r="AV62" s="30"/>
      <c r="AW62" s="40"/>
      <c r="AX62" s="15">
        <f t="shared" si="37"/>
        <v>0</v>
      </c>
      <c r="AY62" s="30">
        <f t="shared" si="21"/>
        <v>0</v>
      </c>
      <c r="AZ62" s="30">
        <f t="shared" si="33"/>
        <v>1524</v>
      </c>
      <c r="BA62" s="31" t="e">
        <f t="shared" si="38"/>
        <v>#N/A</v>
      </c>
      <c r="BB62" s="31">
        <f t="shared" si="35"/>
        <v>0</v>
      </c>
      <c r="BC62" s="31">
        <f t="shared" si="36"/>
        <v>0</v>
      </c>
      <c r="BD62" s="31">
        <f t="shared" si="31"/>
        <v>0</v>
      </c>
      <c r="BE62" s="61" t="str">
        <f t="shared" si="27"/>
        <v/>
      </c>
      <c r="BF62" s="58" t="str">
        <f t="shared" si="34"/>
        <v/>
      </c>
      <c r="BG62" s="31">
        <f t="shared" si="24"/>
        <v>11.43</v>
      </c>
      <c r="BH62" s="31" t="str">
        <f t="shared" si="28"/>
        <v/>
      </c>
      <c r="BI62" s="46">
        <f t="shared" si="39"/>
        <v>0</v>
      </c>
      <c r="BJ62" s="66">
        <f t="shared" si="40"/>
        <v>0</v>
      </c>
      <c r="BK62" s="48">
        <f t="shared" si="41"/>
        <v>11.43</v>
      </c>
    </row>
    <row r="63" spans="1:63" x14ac:dyDescent="0.25">
      <c r="A63" s="1" t="s">
        <v>55</v>
      </c>
      <c r="B63" s="27" t="s">
        <v>27</v>
      </c>
      <c r="C63" s="27">
        <v>12</v>
      </c>
      <c r="D63" s="27">
        <v>11</v>
      </c>
      <c r="E63" s="28"/>
      <c r="F63" s="27">
        <v>5791.69</v>
      </c>
      <c r="G63" s="29"/>
      <c r="H63" s="29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"/>
      <c r="AC63" s="1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/>
      <c r="AV63" s="30"/>
      <c r="AW63" s="40"/>
      <c r="AX63" s="15">
        <f t="shared" si="37"/>
        <v>0</v>
      </c>
      <c r="AY63" s="30">
        <f t="shared" si="21"/>
        <v>0</v>
      </c>
      <c r="AZ63" s="30">
        <f t="shared" si="33"/>
        <v>1524</v>
      </c>
      <c r="BA63" s="31" t="e">
        <f t="shared" si="38"/>
        <v>#N/A</v>
      </c>
      <c r="BB63" s="31">
        <f t="shared" si="35"/>
        <v>0</v>
      </c>
      <c r="BC63" s="31">
        <f t="shared" si="36"/>
        <v>0</v>
      </c>
      <c r="BD63" s="31">
        <f t="shared" si="31"/>
        <v>0</v>
      </c>
      <c r="BE63" s="61" t="str">
        <f t="shared" si="27"/>
        <v/>
      </c>
      <c r="BF63" s="58" t="str">
        <f t="shared" si="34"/>
        <v/>
      </c>
      <c r="BG63" s="31">
        <f t="shared" si="24"/>
        <v>11.43</v>
      </c>
      <c r="BH63" s="31" t="str">
        <f t="shared" si="28"/>
        <v/>
      </c>
      <c r="BI63" s="46">
        <f t="shared" si="39"/>
        <v>0</v>
      </c>
      <c r="BJ63" s="66">
        <f t="shared" si="40"/>
        <v>0</v>
      </c>
      <c r="BK63" s="48">
        <f t="shared" si="41"/>
        <v>11.43</v>
      </c>
    </row>
    <row r="64" spans="1:63" x14ac:dyDescent="0.25">
      <c r="A64" s="1" t="s">
        <v>57</v>
      </c>
      <c r="B64" s="27" t="s">
        <v>26</v>
      </c>
      <c r="C64" s="27">
        <v>12</v>
      </c>
      <c r="D64" s="27">
        <v>11</v>
      </c>
      <c r="E64" s="28"/>
      <c r="F64" s="27">
        <v>5791.69</v>
      </c>
      <c r="G64" s="29"/>
      <c r="H64" s="29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"/>
      <c r="AC64" s="1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 s="30"/>
      <c r="AW64" s="40"/>
      <c r="AX64" s="15">
        <f t="shared" si="37"/>
        <v>0</v>
      </c>
      <c r="AY64" s="30">
        <f t="shared" si="21"/>
        <v>0</v>
      </c>
      <c r="AZ64" s="30">
        <f t="shared" si="33"/>
        <v>1524</v>
      </c>
      <c r="BA64" s="31" t="e">
        <f t="shared" si="38"/>
        <v>#N/A</v>
      </c>
      <c r="BB64" s="31">
        <f t="shared" si="35"/>
        <v>0</v>
      </c>
      <c r="BC64" s="31">
        <f t="shared" si="36"/>
        <v>0</v>
      </c>
      <c r="BD64" s="31" t="str">
        <f t="shared" si="31"/>
        <v/>
      </c>
      <c r="BE64" s="61">
        <f t="shared" si="27"/>
        <v>0</v>
      </c>
      <c r="BF64" s="58" t="str">
        <f t="shared" si="34"/>
        <v/>
      </c>
      <c r="BG64" s="31" t="str">
        <f t="shared" si="24"/>
        <v/>
      </c>
      <c r="BH64" s="31">
        <f t="shared" si="28"/>
        <v>0</v>
      </c>
      <c r="BI64" s="46">
        <f t="shared" si="39"/>
        <v>0</v>
      </c>
      <c r="BJ64" s="66">
        <f t="shared" si="40"/>
        <v>0</v>
      </c>
      <c r="BK64" s="48">
        <f t="shared" si="41"/>
        <v>0</v>
      </c>
    </row>
    <row r="65" spans="1:63" ht="15.75" thickBot="1" x14ac:dyDescent="0.3">
      <c r="A65" s="6" t="s">
        <v>58</v>
      </c>
      <c r="B65" s="7" t="s">
        <v>26</v>
      </c>
      <c r="C65" s="7">
        <v>12</v>
      </c>
      <c r="D65" s="7">
        <v>11</v>
      </c>
      <c r="E65" s="8"/>
      <c r="F65" s="7">
        <v>5791.69</v>
      </c>
      <c r="G65" s="11"/>
      <c r="H65" s="1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23"/>
      <c r="AC65" s="6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 s="17"/>
      <c r="AW65" s="41"/>
      <c r="AX65" s="16">
        <f t="shared" si="37"/>
        <v>0</v>
      </c>
      <c r="AY65" s="17">
        <f t="shared" si="21"/>
        <v>0</v>
      </c>
      <c r="AZ65" s="17">
        <f t="shared" si="33"/>
        <v>1524</v>
      </c>
      <c r="BA65" s="18" t="e">
        <f t="shared" si="38"/>
        <v>#N/A</v>
      </c>
      <c r="BB65" s="18">
        <f t="shared" si="35"/>
        <v>0</v>
      </c>
      <c r="BC65" s="18">
        <f t="shared" si="36"/>
        <v>0</v>
      </c>
      <c r="BD65" s="18" t="str">
        <f t="shared" si="31"/>
        <v/>
      </c>
      <c r="BE65" s="18">
        <f t="shared" si="27"/>
        <v>0</v>
      </c>
      <c r="BF65" s="59" t="str">
        <f t="shared" si="34"/>
        <v/>
      </c>
      <c r="BG65" s="18" t="str">
        <f t="shared" si="24"/>
        <v/>
      </c>
      <c r="BH65" s="18">
        <f t="shared" si="28"/>
        <v>0</v>
      </c>
      <c r="BI65" s="46">
        <f t="shared" si="39"/>
        <v>0</v>
      </c>
      <c r="BJ65" s="66">
        <f t="shared" si="40"/>
        <v>0</v>
      </c>
      <c r="BK65" s="48">
        <f t="shared" si="41"/>
        <v>0</v>
      </c>
    </row>
    <row r="66" spans="1:63" x14ac:dyDescent="0.25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37"/>
        <v>0</v>
      </c>
      <c r="AY66" s="13">
        <f t="shared" si="21"/>
        <v>0</v>
      </c>
      <c r="AZ66" s="13">
        <f t="shared" si="33"/>
        <v>1508</v>
      </c>
      <c r="BA66" s="14" t="e">
        <f t="shared" si="38"/>
        <v>#N/A</v>
      </c>
      <c r="BB66" s="14">
        <f t="shared" si="35"/>
        <v>0</v>
      </c>
      <c r="BC66" s="14">
        <f t="shared" si="36"/>
        <v>0</v>
      </c>
      <c r="BD66" s="14" t="str">
        <f t="shared" si="31"/>
        <v/>
      </c>
      <c r="BE66" s="14" t="str">
        <f t="shared" si="27"/>
        <v/>
      </c>
      <c r="BF66" s="57">
        <f t="shared" si="34"/>
        <v>0</v>
      </c>
      <c r="BG66" s="14">
        <f t="shared" si="24"/>
        <v>11.31</v>
      </c>
      <c r="BH66" s="14" t="str">
        <f t="shared" si="28"/>
        <v/>
      </c>
      <c r="BI66" s="45">
        <f t="shared" si="39"/>
        <v>0</v>
      </c>
      <c r="BJ66" s="62"/>
      <c r="BK66" s="50">
        <f t="shared" si="41"/>
        <v>11.31</v>
      </c>
    </row>
    <row r="67" spans="1:63" x14ac:dyDescent="0.25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37"/>
        <v>0</v>
      </c>
      <c r="AY67" s="30">
        <f t="shared" si="21"/>
        <v>0</v>
      </c>
      <c r="AZ67" s="30">
        <f t="shared" si="33"/>
        <v>1508</v>
      </c>
      <c r="BA67" s="31" t="e">
        <f t="shared" si="38"/>
        <v>#N/A</v>
      </c>
      <c r="BB67" s="31">
        <f t="shared" si="35"/>
        <v>0</v>
      </c>
      <c r="BC67" s="31">
        <f t="shared" si="36"/>
        <v>0</v>
      </c>
      <c r="BD67" s="31">
        <f t="shared" si="31"/>
        <v>0</v>
      </c>
      <c r="BE67" s="61" t="str">
        <f t="shared" si="27"/>
        <v/>
      </c>
      <c r="BF67" s="58" t="str">
        <f t="shared" si="34"/>
        <v/>
      </c>
      <c r="BG67" s="31">
        <f t="shared" si="24"/>
        <v>11.31</v>
      </c>
      <c r="BH67" s="31" t="str">
        <f t="shared" si="28"/>
        <v/>
      </c>
      <c r="BI67" s="46">
        <f t="shared" si="39"/>
        <v>0</v>
      </c>
      <c r="BJ67" s="63"/>
      <c r="BK67" s="48">
        <f t="shared" si="41"/>
        <v>11.31</v>
      </c>
    </row>
    <row r="68" spans="1:63" x14ac:dyDescent="0.25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37"/>
        <v>0</v>
      </c>
      <c r="AY68" s="30">
        <f t="shared" si="21"/>
        <v>0</v>
      </c>
      <c r="AZ68" s="30">
        <f t="shared" si="33"/>
        <v>1508</v>
      </c>
      <c r="BA68" s="31" t="e">
        <f t="shared" si="38"/>
        <v>#N/A</v>
      </c>
      <c r="BB68" s="31">
        <f t="shared" si="35"/>
        <v>0</v>
      </c>
      <c r="BC68" s="31">
        <f t="shared" si="36"/>
        <v>0</v>
      </c>
      <c r="BD68" s="31">
        <f t="shared" si="31"/>
        <v>0</v>
      </c>
      <c r="BE68" s="61" t="str">
        <f t="shared" si="27"/>
        <v/>
      </c>
      <c r="BF68" s="58" t="str">
        <f t="shared" si="34"/>
        <v/>
      </c>
      <c r="BG68" s="31">
        <f t="shared" si="24"/>
        <v>11.31</v>
      </c>
      <c r="BH68" s="31" t="str">
        <f t="shared" si="28"/>
        <v/>
      </c>
      <c r="BI68" s="46">
        <f t="shared" si="39"/>
        <v>0</v>
      </c>
      <c r="BJ68" s="63"/>
      <c r="BK68" s="48">
        <f t="shared" si="41"/>
        <v>11.31</v>
      </c>
    </row>
    <row r="69" spans="1:63" x14ac:dyDescent="0.25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37"/>
        <v>0</v>
      </c>
      <c r="AY69" s="30">
        <f t="shared" si="21"/>
        <v>0</v>
      </c>
      <c r="AZ69" s="30">
        <f t="shared" si="33"/>
        <v>1508</v>
      </c>
      <c r="BA69" s="31" t="e">
        <f t="shared" si="38"/>
        <v>#N/A</v>
      </c>
      <c r="BB69" s="31">
        <f t="shared" si="35"/>
        <v>0</v>
      </c>
      <c r="BC69" s="31">
        <f t="shared" si="36"/>
        <v>0</v>
      </c>
      <c r="BD69" s="31" t="str">
        <f t="shared" si="31"/>
        <v/>
      </c>
      <c r="BE69" s="61">
        <f t="shared" si="27"/>
        <v>0</v>
      </c>
      <c r="BF69" s="58" t="str">
        <f t="shared" si="34"/>
        <v/>
      </c>
      <c r="BG69" s="31" t="str">
        <f t="shared" si="24"/>
        <v/>
      </c>
      <c r="BH69" s="31">
        <f t="shared" si="28"/>
        <v>0</v>
      </c>
      <c r="BI69" s="46">
        <f t="shared" si="39"/>
        <v>0</v>
      </c>
      <c r="BJ69" s="63"/>
      <c r="BK69" s="48">
        <f t="shared" si="41"/>
        <v>0</v>
      </c>
    </row>
    <row r="70" spans="1:63" ht="15.75" thickBot="1" x14ac:dyDescent="0.3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37"/>
        <v>0</v>
      </c>
      <c r="AY70" s="17">
        <f t="shared" si="21"/>
        <v>0</v>
      </c>
      <c r="AZ70" s="17">
        <f t="shared" si="33"/>
        <v>1508</v>
      </c>
      <c r="BA70" s="18" t="e">
        <f t="shared" si="38"/>
        <v>#N/A</v>
      </c>
      <c r="BB70" s="18">
        <f t="shared" si="35"/>
        <v>0</v>
      </c>
      <c r="BC70" s="18">
        <f t="shared" si="36"/>
        <v>0</v>
      </c>
      <c r="BD70" s="18" t="str">
        <f t="shared" si="31"/>
        <v/>
      </c>
      <c r="BE70" s="18">
        <f t="shared" si="27"/>
        <v>0</v>
      </c>
      <c r="BF70" s="59" t="str">
        <f t="shared" si="34"/>
        <v/>
      </c>
      <c r="BG70" s="18" t="str">
        <f t="shared" si="24"/>
        <v/>
      </c>
      <c r="BH70" s="18">
        <f t="shared" si="28"/>
        <v>0</v>
      </c>
      <c r="BI70" s="47">
        <f t="shared" si="39"/>
        <v>0</v>
      </c>
      <c r="BJ70" s="64"/>
      <c r="BK70" s="49">
        <f t="shared" si="41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a198008e-c7f6-4ed0-9865-26ace3c97b59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2024-06-13T16:08:17Z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