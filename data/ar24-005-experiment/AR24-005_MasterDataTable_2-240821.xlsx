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604392\Git\state-space-model\data\ar24-005-experiment\"/>
    </mc:Choice>
  </mc:AlternateContent>
  <xr:revisionPtr revIDLastSave="0" documentId="13_ncr:1_{B44434C1-2E62-46C8-ADEB-46C57D2AAB3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xported ambr Data" sheetId="1" r:id="rId1"/>
    <sheet name="All Titer Results" sheetId="3" r:id="rId2"/>
    <sheet name="Difference Plot Data" sheetId="6" r:id="rId3"/>
    <sheet name="MAPE" sheetId="10" r:id="rId4"/>
    <sheet name="sketchpad" sheetId="2" r:id="rId5"/>
    <sheet name="sketchpad (0225)" sheetId="4" r:id="rId6"/>
    <sheet name="TooManySketchPads" sheetId="7" r:id="rId7"/>
    <sheet name="br05_past_daily_debug" sheetId="5" r:id="rId8"/>
    <sheet name="Exported ambr Data (240303copy)" sheetId="9" r:id="rId9"/>
  </sheets>
  <definedNames>
    <definedName name="_xlnm._FilterDatabase" localSheetId="0" hidden="1">'Exported ambr Data'!$A$2:$AO$314</definedName>
    <definedName name="_xlnm._FilterDatabase" localSheetId="8" hidden="1">'Exported ambr Data (240303copy)'!$A$2:$AL$26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5" i="3" l="1"/>
  <c r="L224" i="3"/>
  <c r="L212" i="3"/>
  <c r="L171" i="3"/>
  <c r="L138" i="3"/>
  <c r="L105" i="3"/>
  <c r="L72" i="3"/>
  <c r="L39" i="3"/>
  <c r="L6" i="3"/>
  <c r="K6" i="3"/>
  <c r="AB3" i="1"/>
  <c r="AB269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X113" i="1"/>
  <c r="K275" i="3"/>
  <c r="K224" i="3"/>
  <c r="K212" i="3"/>
  <c r="K171" i="3"/>
  <c r="K138" i="3"/>
  <c r="K105" i="3"/>
  <c r="K72" i="3"/>
  <c r="K39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J277" i="3"/>
  <c r="I277" i="3" s="1"/>
  <c r="J274" i="3"/>
  <c r="I274" i="3" s="1"/>
  <c r="J271" i="3"/>
  <c r="I271" i="3" s="1"/>
  <c r="H277" i="3"/>
  <c r="H274" i="3"/>
  <c r="H271" i="3"/>
  <c r="D279" i="3"/>
  <c r="C279" i="3"/>
  <c r="B279" i="3"/>
  <c r="D278" i="3"/>
  <c r="C278" i="3"/>
  <c r="B278" i="3"/>
  <c r="D277" i="3"/>
  <c r="C277" i="3"/>
  <c r="B277" i="3"/>
  <c r="D276" i="3"/>
  <c r="C276" i="3"/>
  <c r="B276" i="3"/>
  <c r="D275" i="3"/>
  <c r="C275" i="3"/>
  <c r="B275" i="3"/>
  <c r="D274" i="3"/>
  <c r="C274" i="3"/>
  <c r="B274" i="3"/>
  <c r="D273" i="3"/>
  <c r="C273" i="3"/>
  <c r="B27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A314" i="1"/>
  <c r="Z314" i="1"/>
  <c r="Y314" i="1"/>
  <c r="X314" i="1"/>
  <c r="AA313" i="1"/>
  <c r="Z313" i="1"/>
  <c r="Y313" i="1"/>
  <c r="X313" i="1"/>
  <c r="AA312" i="1"/>
  <c r="Z312" i="1"/>
  <c r="Y312" i="1"/>
  <c r="X312" i="1"/>
  <c r="AA311" i="1"/>
  <c r="Z311" i="1"/>
  <c r="Y311" i="1"/>
  <c r="X311" i="1"/>
  <c r="AA310" i="1"/>
  <c r="Z310" i="1"/>
  <c r="Y310" i="1"/>
  <c r="X310" i="1"/>
  <c r="AA309" i="1"/>
  <c r="Z309" i="1"/>
  <c r="Y309" i="1"/>
  <c r="X309" i="1"/>
  <c r="AA308" i="1"/>
  <c r="Z308" i="1"/>
  <c r="Y308" i="1"/>
  <c r="X308" i="1"/>
  <c r="AA307" i="1"/>
  <c r="Z307" i="1"/>
  <c r="Y307" i="1"/>
  <c r="X307" i="1"/>
  <c r="AA306" i="1"/>
  <c r="Z306" i="1"/>
  <c r="Y306" i="1"/>
  <c r="X306" i="1"/>
  <c r="AA305" i="1"/>
  <c r="Z305" i="1"/>
  <c r="Y305" i="1"/>
  <c r="X305" i="1"/>
  <c r="AA304" i="1"/>
  <c r="Z304" i="1"/>
  <c r="Y304" i="1"/>
  <c r="X304" i="1"/>
  <c r="AA303" i="1"/>
  <c r="Z303" i="1"/>
  <c r="Y303" i="1"/>
  <c r="X303" i="1"/>
  <c r="AA302" i="1"/>
  <c r="Z302" i="1"/>
  <c r="Y302" i="1"/>
  <c r="X302" i="1"/>
  <c r="AA301" i="1"/>
  <c r="Z301" i="1"/>
  <c r="Y301" i="1"/>
  <c r="X301" i="1"/>
  <c r="AA300" i="1"/>
  <c r="Z300" i="1"/>
  <c r="Y300" i="1"/>
  <c r="X300" i="1"/>
  <c r="AA299" i="1"/>
  <c r="Z299" i="1"/>
  <c r="Y299" i="1"/>
  <c r="X299" i="1"/>
  <c r="AA298" i="1"/>
  <c r="Z298" i="1"/>
  <c r="Y298" i="1"/>
  <c r="X298" i="1"/>
  <c r="AA297" i="1"/>
  <c r="Z297" i="1"/>
  <c r="Y297" i="1"/>
  <c r="X297" i="1"/>
  <c r="AA296" i="1"/>
  <c r="Z296" i="1"/>
  <c r="Y296" i="1"/>
  <c r="X296" i="1"/>
  <c r="AA295" i="1"/>
  <c r="Z295" i="1"/>
  <c r="Y295" i="1"/>
  <c r="X295" i="1"/>
  <c r="AA294" i="1"/>
  <c r="Z294" i="1"/>
  <c r="Y294" i="1"/>
  <c r="X294" i="1"/>
  <c r="AA293" i="1"/>
  <c r="Z293" i="1"/>
  <c r="Y293" i="1"/>
  <c r="X293" i="1"/>
  <c r="AA292" i="1"/>
  <c r="Z292" i="1"/>
  <c r="Y292" i="1"/>
  <c r="X292" i="1"/>
  <c r="AA291" i="1"/>
  <c r="Z291" i="1"/>
  <c r="Y291" i="1"/>
  <c r="X291" i="1"/>
  <c r="CV3" i="4"/>
  <c r="CV4" i="4"/>
  <c r="CV5" i="4"/>
  <c r="CV6" i="4"/>
  <c r="CV7" i="4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V23" i="4"/>
  <c r="CV24" i="4"/>
  <c r="CV25" i="4"/>
  <c r="CU3" i="4"/>
  <c r="CU4" i="4"/>
  <c r="CU5" i="4"/>
  <c r="CU6" i="4"/>
  <c r="CU7" i="4"/>
  <c r="CU8" i="4"/>
  <c r="CU9" i="4"/>
  <c r="CU10" i="4"/>
  <c r="CU11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S3" i="4"/>
  <c r="CS4" i="4"/>
  <c r="CS5" i="4"/>
  <c r="CS6" i="4"/>
  <c r="CS7" i="4"/>
  <c r="CS8" i="4"/>
  <c r="CS9" i="4"/>
  <c r="CS10" i="4"/>
  <c r="CS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Q3" i="4"/>
  <c r="CQ4" i="4"/>
  <c r="CQ5" i="4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" i="4"/>
  <c r="CS2" i="4"/>
  <c r="CU2" i="4"/>
  <c r="CV2" i="4" s="1"/>
  <c r="CX2" i="4" s="1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AM267" i="1"/>
  <c r="AN267" i="1"/>
  <c r="AO267" i="1"/>
  <c r="AM268" i="1"/>
  <c r="AN268" i="1"/>
  <c r="AO268" i="1"/>
  <c r="AM269" i="1"/>
  <c r="AN269" i="1"/>
  <c r="AO269" i="1"/>
  <c r="AM270" i="1"/>
  <c r="AN270" i="1"/>
  <c r="AO270" i="1"/>
  <c r="AM271" i="1"/>
  <c r="AN271" i="1"/>
  <c r="AO271" i="1"/>
  <c r="AM272" i="1"/>
  <c r="AN272" i="1"/>
  <c r="AO272" i="1"/>
  <c r="AM273" i="1"/>
  <c r="AN273" i="1"/>
  <c r="AO273" i="1"/>
  <c r="AM274" i="1"/>
  <c r="AN274" i="1"/>
  <c r="AO274" i="1"/>
  <c r="AM275" i="1"/>
  <c r="AN275" i="1"/>
  <c r="AO275" i="1"/>
  <c r="AM276" i="1"/>
  <c r="AN276" i="1"/>
  <c r="AO276" i="1"/>
  <c r="AM277" i="1"/>
  <c r="AN277" i="1"/>
  <c r="AO277" i="1"/>
  <c r="AM278" i="1"/>
  <c r="AN278" i="1"/>
  <c r="AO278" i="1"/>
  <c r="AM279" i="1"/>
  <c r="AN279" i="1"/>
  <c r="AO279" i="1"/>
  <c r="AM280" i="1"/>
  <c r="AN280" i="1"/>
  <c r="AO280" i="1"/>
  <c r="AM281" i="1"/>
  <c r="AN281" i="1"/>
  <c r="AO281" i="1"/>
  <c r="AM282" i="1"/>
  <c r="AN282" i="1"/>
  <c r="AO282" i="1"/>
  <c r="AM283" i="1"/>
  <c r="AN283" i="1"/>
  <c r="AO283" i="1"/>
  <c r="AM284" i="1"/>
  <c r="AN284" i="1"/>
  <c r="AO284" i="1"/>
  <c r="AM285" i="1"/>
  <c r="AN285" i="1"/>
  <c r="AO285" i="1"/>
  <c r="AM286" i="1"/>
  <c r="AN286" i="1"/>
  <c r="AO286" i="1"/>
  <c r="AM287" i="1"/>
  <c r="AN287" i="1"/>
  <c r="AO287" i="1"/>
  <c r="AM288" i="1"/>
  <c r="AN288" i="1"/>
  <c r="AO288" i="1"/>
  <c r="AM289" i="1"/>
  <c r="AN289" i="1"/>
  <c r="AO289" i="1"/>
  <c r="AM290" i="1"/>
  <c r="AN290" i="1"/>
  <c r="AO290" i="1"/>
  <c r="AG267" i="1"/>
  <c r="AH291" i="1" s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X267" i="1"/>
  <c r="Y267" i="1"/>
  <c r="Z267" i="1"/>
  <c r="AA267" i="1"/>
  <c r="X268" i="1"/>
  <c r="Y268" i="1"/>
  <c r="Z268" i="1"/>
  <c r="AA268" i="1"/>
  <c r="X269" i="1"/>
  <c r="Y269" i="1"/>
  <c r="Z269" i="1"/>
  <c r="AA269" i="1"/>
  <c r="X270" i="1"/>
  <c r="Y270" i="1"/>
  <c r="Z270" i="1"/>
  <c r="AA270" i="1"/>
  <c r="X271" i="1"/>
  <c r="Y271" i="1"/>
  <c r="Z271" i="1"/>
  <c r="AA271" i="1"/>
  <c r="X272" i="1"/>
  <c r="Y272" i="1"/>
  <c r="Z272" i="1"/>
  <c r="AA272" i="1"/>
  <c r="X273" i="1"/>
  <c r="Y273" i="1"/>
  <c r="Z273" i="1"/>
  <c r="AA273" i="1"/>
  <c r="X274" i="1"/>
  <c r="Y274" i="1"/>
  <c r="Z274" i="1"/>
  <c r="AA274" i="1"/>
  <c r="X275" i="1"/>
  <c r="Y275" i="1"/>
  <c r="Z275" i="1"/>
  <c r="AA275" i="1"/>
  <c r="X276" i="1"/>
  <c r="Y276" i="1"/>
  <c r="Z276" i="1"/>
  <c r="AA276" i="1"/>
  <c r="X277" i="1"/>
  <c r="Y277" i="1"/>
  <c r="Z277" i="1"/>
  <c r="AA277" i="1"/>
  <c r="X278" i="1"/>
  <c r="Y278" i="1"/>
  <c r="Z278" i="1"/>
  <c r="AA278" i="1"/>
  <c r="X279" i="1"/>
  <c r="Y279" i="1"/>
  <c r="Z279" i="1"/>
  <c r="AA279" i="1"/>
  <c r="X280" i="1"/>
  <c r="Y280" i="1"/>
  <c r="Z280" i="1"/>
  <c r="AA280" i="1"/>
  <c r="X281" i="1"/>
  <c r="Y281" i="1"/>
  <c r="Z281" i="1"/>
  <c r="AA281" i="1"/>
  <c r="X282" i="1"/>
  <c r="Y282" i="1"/>
  <c r="Z282" i="1"/>
  <c r="AA282" i="1"/>
  <c r="X283" i="1"/>
  <c r="Y283" i="1"/>
  <c r="Z283" i="1"/>
  <c r="AA283" i="1"/>
  <c r="X284" i="1"/>
  <c r="Y284" i="1"/>
  <c r="Z284" i="1"/>
  <c r="AA284" i="1"/>
  <c r="X285" i="1"/>
  <c r="Y285" i="1"/>
  <c r="Z285" i="1"/>
  <c r="AA285" i="1"/>
  <c r="X286" i="1"/>
  <c r="Y286" i="1"/>
  <c r="Z286" i="1"/>
  <c r="AA286" i="1"/>
  <c r="X287" i="1"/>
  <c r="Y287" i="1"/>
  <c r="Z287" i="1"/>
  <c r="AA287" i="1"/>
  <c r="X288" i="1"/>
  <c r="Y288" i="1"/>
  <c r="Z288" i="1"/>
  <c r="AA288" i="1"/>
  <c r="X289" i="1"/>
  <c r="Y289" i="1"/>
  <c r="Z289" i="1"/>
  <c r="AA289" i="1"/>
  <c r="X290" i="1"/>
  <c r="Y290" i="1"/>
  <c r="Z290" i="1"/>
  <c r="AA290" i="1"/>
  <c r="B220" i="3"/>
  <c r="C220" i="3"/>
  <c r="D220" i="3"/>
  <c r="B221" i="3"/>
  <c r="C221" i="3"/>
  <c r="D221" i="3"/>
  <c r="B222" i="3"/>
  <c r="C222" i="3"/>
  <c r="D222" i="3"/>
  <c r="B223" i="3"/>
  <c r="C223" i="3"/>
  <c r="D223" i="3"/>
  <c r="B224" i="3"/>
  <c r="C224" i="3"/>
  <c r="D224" i="3"/>
  <c r="B225" i="3"/>
  <c r="C225" i="3"/>
  <c r="D225" i="3"/>
  <c r="B226" i="3"/>
  <c r="C226" i="3"/>
  <c r="D226" i="3"/>
  <c r="B227" i="3"/>
  <c r="C227" i="3"/>
  <c r="D227" i="3"/>
  <c r="B228" i="3"/>
  <c r="C228" i="3"/>
  <c r="D228" i="3"/>
  <c r="B229" i="3"/>
  <c r="C229" i="3"/>
  <c r="D229" i="3"/>
  <c r="B230" i="3"/>
  <c r="C230" i="3"/>
  <c r="D230" i="3"/>
  <c r="B231" i="3"/>
  <c r="C231" i="3"/>
  <c r="D231" i="3"/>
  <c r="B232" i="3"/>
  <c r="C232" i="3"/>
  <c r="D232" i="3"/>
  <c r="B233" i="3"/>
  <c r="C233" i="3"/>
  <c r="D233" i="3"/>
  <c r="B234" i="3"/>
  <c r="C234" i="3"/>
  <c r="D234" i="3"/>
  <c r="B235" i="3"/>
  <c r="C235" i="3"/>
  <c r="D235" i="3"/>
  <c r="B236" i="3"/>
  <c r="C236" i="3"/>
  <c r="D236" i="3"/>
  <c r="B237" i="3"/>
  <c r="C237" i="3"/>
  <c r="D237" i="3"/>
  <c r="B238" i="3"/>
  <c r="C238" i="3"/>
  <c r="D238" i="3"/>
  <c r="B239" i="3"/>
  <c r="C239" i="3"/>
  <c r="D239" i="3"/>
  <c r="B240" i="3"/>
  <c r="C240" i="3"/>
  <c r="D240" i="3"/>
  <c r="B241" i="3"/>
  <c r="C241" i="3"/>
  <c r="D241" i="3"/>
  <c r="B242" i="3"/>
  <c r="C242" i="3"/>
  <c r="D242" i="3"/>
  <c r="B243" i="3"/>
  <c r="C243" i="3"/>
  <c r="D243" i="3"/>
  <c r="B244" i="3"/>
  <c r="C244" i="3"/>
  <c r="D244" i="3"/>
  <c r="B245" i="3"/>
  <c r="C245" i="3"/>
  <c r="D245" i="3"/>
  <c r="B246" i="3"/>
  <c r="C246" i="3"/>
  <c r="D246" i="3"/>
  <c r="B247" i="3"/>
  <c r="C247" i="3"/>
  <c r="D247" i="3"/>
  <c r="B248" i="3"/>
  <c r="C248" i="3"/>
  <c r="D248" i="3"/>
  <c r="B249" i="3"/>
  <c r="C249" i="3"/>
  <c r="D249" i="3"/>
  <c r="H226" i="3"/>
  <c r="I226" i="3"/>
  <c r="J226" i="3"/>
  <c r="H223" i="3"/>
  <c r="J223" i="3"/>
  <c r="I223" i="3" s="1"/>
  <c r="H220" i="3"/>
  <c r="J220" i="3"/>
  <c r="I220" i="3" s="1"/>
  <c r="AL266" i="9"/>
  <c r="AK266" i="9"/>
  <c r="AM266" i="9" s="1"/>
  <c r="AJ266" i="9"/>
  <c r="AD266" i="9"/>
  <c r="Y266" i="9"/>
  <c r="X266" i="9"/>
  <c r="W266" i="9"/>
  <c r="V266" i="9"/>
  <c r="U266" i="9"/>
  <c r="AL265" i="9"/>
  <c r="AK265" i="9"/>
  <c r="AM265" i="9" s="1"/>
  <c r="AJ265" i="9"/>
  <c r="AD265" i="9"/>
  <c r="Y265" i="9"/>
  <c r="X265" i="9"/>
  <c r="W265" i="9"/>
  <c r="V265" i="9"/>
  <c r="U265" i="9"/>
  <c r="AL264" i="9"/>
  <c r="AK264" i="9"/>
  <c r="AM264" i="9" s="1"/>
  <c r="AJ264" i="9"/>
  <c r="AD264" i="9"/>
  <c r="Y264" i="9"/>
  <c r="X264" i="9"/>
  <c r="W264" i="9"/>
  <c r="V264" i="9"/>
  <c r="U264" i="9"/>
  <c r="AL263" i="9"/>
  <c r="AK263" i="9"/>
  <c r="AM263" i="9" s="1"/>
  <c r="AJ263" i="9"/>
  <c r="AD263" i="9"/>
  <c r="Y263" i="9"/>
  <c r="X263" i="9"/>
  <c r="W263" i="9"/>
  <c r="V263" i="9"/>
  <c r="U263" i="9"/>
  <c r="AL262" i="9"/>
  <c r="AK262" i="9"/>
  <c r="AM262" i="9" s="1"/>
  <c r="AJ262" i="9"/>
  <c r="AE262" i="9"/>
  <c r="AD262" i="9"/>
  <c r="Y262" i="9"/>
  <c r="X262" i="9"/>
  <c r="W262" i="9"/>
  <c r="V262" i="9"/>
  <c r="U262" i="9"/>
  <c r="AL261" i="9"/>
  <c r="AK261" i="9"/>
  <c r="AM261" i="9" s="1"/>
  <c r="AJ261" i="9"/>
  <c r="AD261" i="9"/>
  <c r="Y261" i="9"/>
  <c r="X261" i="9"/>
  <c r="W261" i="9"/>
  <c r="V261" i="9"/>
  <c r="U261" i="9"/>
  <c r="AL260" i="9"/>
  <c r="AK260" i="9"/>
  <c r="AJ260" i="9"/>
  <c r="AM260" i="9" s="1"/>
  <c r="AE260" i="9"/>
  <c r="AD260" i="9"/>
  <c r="Y260" i="9"/>
  <c r="X260" i="9"/>
  <c r="W260" i="9"/>
  <c r="V260" i="9"/>
  <c r="U260" i="9"/>
  <c r="AM259" i="9"/>
  <c r="AL259" i="9"/>
  <c r="AK259" i="9"/>
  <c r="AJ259" i="9"/>
  <c r="AD259" i="9"/>
  <c r="Y259" i="9"/>
  <c r="X259" i="9"/>
  <c r="W259" i="9"/>
  <c r="V259" i="9"/>
  <c r="U259" i="9"/>
  <c r="AM258" i="9"/>
  <c r="AL258" i="9"/>
  <c r="AK258" i="9"/>
  <c r="AJ258" i="9"/>
  <c r="AD258" i="9"/>
  <c r="Y258" i="9"/>
  <c r="X258" i="9"/>
  <c r="W258" i="9"/>
  <c r="V258" i="9"/>
  <c r="U258" i="9"/>
  <c r="AL257" i="9"/>
  <c r="AK257" i="9"/>
  <c r="AM257" i="9" s="1"/>
  <c r="AJ257" i="9"/>
  <c r="AD257" i="9"/>
  <c r="Y257" i="9"/>
  <c r="X257" i="9"/>
  <c r="W257" i="9"/>
  <c r="V257" i="9"/>
  <c r="U257" i="9"/>
  <c r="AM256" i="9"/>
  <c r="AL256" i="9"/>
  <c r="AK256" i="9"/>
  <c r="AJ256" i="9"/>
  <c r="AD256" i="9"/>
  <c r="Y256" i="9"/>
  <c r="X256" i="9"/>
  <c r="W256" i="9"/>
  <c r="V256" i="9"/>
  <c r="U256" i="9"/>
  <c r="AL255" i="9"/>
  <c r="AK255" i="9"/>
  <c r="AM255" i="9" s="1"/>
  <c r="AJ255" i="9"/>
  <c r="AE255" i="9"/>
  <c r="AD255" i="9"/>
  <c r="Y255" i="9"/>
  <c r="X255" i="9"/>
  <c r="W255" i="9"/>
  <c r="V255" i="9"/>
  <c r="U255" i="9"/>
  <c r="AM254" i="9"/>
  <c r="AL254" i="9"/>
  <c r="AK254" i="9"/>
  <c r="AJ254" i="9"/>
  <c r="AD254" i="9"/>
  <c r="Y254" i="9"/>
  <c r="X254" i="9"/>
  <c r="W254" i="9"/>
  <c r="V254" i="9"/>
  <c r="U254" i="9"/>
  <c r="AL253" i="9"/>
  <c r="AK253" i="9"/>
  <c r="AM253" i="9" s="1"/>
  <c r="AJ253" i="9"/>
  <c r="AD253" i="9"/>
  <c r="Y253" i="9"/>
  <c r="X253" i="9"/>
  <c r="W253" i="9"/>
  <c r="V253" i="9"/>
  <c r="U253" i="9"/>
  <c r="AL252" i="9"/>
  <c r="AK252" i="9"/>
  <c r="AM252" i="9" s="1"/>
  <c r="AJ252" i="9"/>
  <c r="AE252" i="9"/>
  <c r="AD252" i="9"/>
  <c r="Y252" i="9"/>
  <c r="X252" i="9"/>
  <c r="W252" i="9"/>
  <c r="V252" i="9"/>
  <c r="U252" i="9"/>
  <c r="AL251" i="9"/>
  <c r="AK251" i="9"/>
  <c r="AJ251" i="9"/>
  <c r="AM251" i="9" s="1"/>
  <c r="AD251" i="9"/>
  <c r="Y251" i="9"/>
  <c r="X251" i="9"/>
  <c r="W251" i="9"/>
  <c r="V251" i="9"/>
  <c r="U251" i="9"/>
  <c r="AL250" i="9"/>
  <c r="AK250" i="9"/>
  <c r="AM250" i="9" s="1"/>
  <c r="AJ250" i="9"/>
  <c r="AD250" i="9"/>
  <c r="Y250" i="9"/>
  <c r="X250" i="9"/>
  <c r="W250" i="9"/>
  <c r="V250" i="9"/>
  <c r="U250" i="9"/>
  <c r="AL249" i="9"/>
  <c r="AK249" i="9"/>
  <c r="AM249" i="9" s="1"/>
  <c r="AJ249" i="9"/>
  <c r="AD249" i="9"/>
  <c r="Y249" i="9"/>
  <c r="X249" i="9"/>
  <c r="W249" i="9"/>
  <c r="V249" i="9"/>
  <c r="U249" i="9"/>
  <c r="AL248" i="9"/>
  <c r="AK248" i="9"/>
  <c r="AM248" i="9" s="1"/>
  <c r="AJ248" i="9"/>
  <c r="AD248" i="9"/>
  <c r="Y248" i="9"/>
  <c r="X248" i="9"/>
  <c r="W248" i="9"/>
  <c r="V248" i="9"/>
  <c r="U248" i="9"/>
  <c r="AL247" i="9"/>
  <c r="AK247" i="9"/>
  <c r="AM247" i="9" s="1"/>
  <c r="AJ247" i="9"/>
  <c r="AD247" i="9"/>
  <c r="Y247" i="9"/>
  <c r="X247" i="9"/>
  <c r="W247" i="9"/>
  <c r="V247" i="9"/>
  <c r="U247" i="9"/>
  <c r="AL246" i="9"/>
  <c r="AK246" i="9"/>
  <c r="AM246" i="9" s="1"/>
  <c r="AJ246" i="9"/>
  <c r="AE246" i="9"/>
  <c r="AD246" i="9"/>
  <c r="Y246" i="9"/>
  <c r="X246" i="9"/>
  <c r="W246" i="9"/>
  <c r="V246" i="9"/>
  <c r="U246" i="9"/>
  <c r="AL245" i="9"/>
  <c r="AK245" i="9"/>
  <c r="AJ245" i="9"/>
  <c r="AM245" i="9" s="1"/>
  <c r="AD245" i="9"/>
  <c r="Y245" i="9"/>
  <c r="X245" i="9"/>
  <c r="W245" i="9"/>
  <c r="V245" i="9"/>
  <c r="U245" i="9"/>
  <c r="AL244" i="9"/>
  <c r="AK244" i="9"/>
  <c r="AM244" i="9" s="1"/>
  <c r="AJ244" i="9"/>
  <c r="AE244" i="9"/>
  <c r="AD244" i="9"/>
  <c r="Y244" i="9"/>
  <c r="X244" i="9"/>
  <c r="W244" i="9"/>
  <c r="V244" i="9"/>
  <c r="U244" i="9"/>
  <c r="AM243" i="9"/>
  <c r="AL243" i="9"/>
  <c r="AK243" i="9"/>
  <c r="AJ243" i="9"/>
  <c r="AD243" i="9"/>
  <c r="Y243" i="9"/>
  <c r="X243" i="9"/>
  <c r="W243" i="9"/>
  <c r="V243" i="9"/>
  <c r="U243" i="9"/>
  <c r="AM242" i="9"/>
  <c r="AL242" i="9"/>
  <c r="AK242" i="9"/>
  <c r="AJ242" i="9"/>
  <c r="AD242" i="9"/>
  <c r="AE266" i="9" s="1"/>
  <c r="Y242" i="9"/>
  <c r="X242" i="9"/>
  <c r="W242" i="9"/>
  <c r="V242" i="9"/>
  <c r="U242" i="9"/>
  <c r="AL241" i="9"/>
  <c r="AK241" i="9"/>
  <c r="AM241" i="9" s="1"/>
  <c r="AJ241" i="9"/>
  <c r="AD241" i="9"/>
  <c r="AE265" i="9" s="1"/>
  <c r="Y241" i="9"/>
  <c r="X241" i="9"/>
  <c r="W241" i="9"/>
  <c r="V241" i="9"/>
  <c r="U241" i="9"/>
  <c r="AM240" i="9"/>
  <c r="AL240" i="9"/>
  <c r="AK240" i="9"/>
  <c r="AJ240" i="9"/>
  <c r="AD240" i="9"/>
  <c r="AE264" i="9" s="1"/>
  <c r="Y240" i="9"/>
  <c r="X240" i="9"/>
  <c r="W240" i="9"/>
  <c r="V240" i="9"/>
  <c r="U240" i="9"/>
  <c r="AL239" i="9"/>
  <c r="AK239" i="9"/>
  <c r="AM239" i="9" s="1"/>
  <c r="AJ239" i="9"/>
  <c r="AE239" i="9"/>
  <c r="AD239" i="9"/>
  <c r="AE263" i="9" s="1"/>
  <c r="Y239" i="9"/>
  <c r="X239" i="9"/>
  <c r="W239" i="9"/>
  <c r="V239" i="9"/>
  <c r="U239" i="9"/>
  <c r="AM238" i="9"/>
  <c r="AL238" i="9"/>
  <c r="AK238" i="9"/>
  <c r="AJ238" i="9"/>
  <c r="AE238" i="9"/>
  <c r="AD238" i="9"/>
  <c r="Y238" i="9"/>
  <c r="X238" i="9"/>
  <c r="W238" i="9"/>
  <c r="V238" i="9"/>
  <c r="U238" i="9"/>
  <c r="AL237" i="9"/>
  <c r="AK237" i="9"/>
  <c r="AM237" i="9" s="1"/>
  <c r="AJ237" i="9"/>
  <c r="AD237" i="9"/>
  <c r="AE261" i="9" s="1"/>
  <c r="Y237" i="9"/>
  <c r="X237" i="9"/>
  <c r="W237" i="9"/>
  <c r="V237" i="9"/>
  <c r="U237" i="9"/>
  <c r="AL236" i="9"/>
  <c r="AK236" i="9"/>
  <c r="AM236" i="9" s="1"/>
  <c r="AJ236" i="9"/>
  <c r="AE236" i="9"/>
  <c r="AD236" i="9"/>
  <c r="Y236" i="9"/>
  <c r="X236" i="9"/>
  <c r="W236" i="9"/>
  <c r="V236" i="9"/>
  <c r="U236" i="9"/>
  <c r="AL235" i="9"/>
  <c r="AK235" i="9"/>
  <c r="AJ235" i="9"/>
  <c r="AM235" i="9" s="1"/>
  <c r="AD235" i="9"/>
  <c r="AE259" i="9" s="1"/>
  <c r="Y235" i="9"/>
  <c r="X235" i="9"/>
  <c r="W235" i="9"/>
  <c r="V235" i="9"/>
  <c r="U235" i="9"/>
  <c r="AL234" i="9"/>
  <c r="AK234" i="9"/>
  <c r="AM234" i="9" s="1"/>
  <c r="AJ234" i="9"/>
  <c r="AD234" i="9"/>
  <c r="AE258" i="9" s="1"/>
  <c r="Y234" i="9"/>
  <c r="X234" i="9"/>
  <c r="W234" i="9"/>
  <c r="V234" i="9"/>
  <c r="U234" i="9"/>
  <c r="AL233" i="9"/>
  <c r="AK233" i="9"/>
  <c r="AM233" i="9" s="1"/>
  <c r="AJ233" i="9"/>
  <c r="AD233" i="9"/>
  <c r="AE257" i="9" s="1"/>
  <c r="Y233" i="9"/>
  <c r="X233" i="9"/>
  <c r="W233" i="9"/>
  <c r="V233" i="9"/>
  <c r="U233" i="9"/>
  <c r="AL232" i="9"/>
  <c r="AK232" i="9"/>
  <c r="AM232" i="9" s="1"/>
  <c r="AJ232" i="9"/>
  <c r="AD232" i="9"/>
  <c r="AE256" i="9" s="1"/>
  <c r="Y232" i="9"/>
  <c r="X232" i="9"/>
  <c r="W232" i="9"/>
  <c r="V232" i="9"/>
  <c r="U232" i="9"/>
  <c r="AL231" i="9"/>
  <c r="AK231" i="9"/>
  <c r="AM231" i="9" s="1"/>
  <c r="AJ231" i="9"/>
  <c r="AD231" i="9"/>
  <c r="Y231" i="9"/>
  <c r="X231" i="9"/>
  <c r="W231" i="9"/>
  <c r="V231" i="9"/>
  <c r="U231" i="9"/>
  <c r="AL230" i="9"/>
  <c r="AK230" i="9"/>
  <c r="AM230" i="9" s="1"/>
  <c r="AJ230" i="9"/>
  <c r="AE230" i="9"/>
  <c r="AD230" i="9"/>
  <c r="AE254" i="9" s="1"/>
  <c r="Y230" i="9"/>
  <c r="X230" i="9"/>
  <c r="W230" i="9"/>
  <c r="V230" i="9"/>
  <c r="U230" i="9"/>
  <c r="AL229" i="9"/>
  <c r="AK229" i="9"/>
  <c r="AJ229" i="9"/>
  <c r="AM229" i="9" s="1"/>
  <c r="AD229" i="9"/>
  <c r="AE253" i="9" s="1"/>
  <c r="Y229" i="9"/>
  <c r="X229" i="9"/>
  <c r="W229" i="9"/>
  <c r="V229" i="9"/>
  <c r="U229" i="9"/>
  <c r="AL228" i="9"/>
  <c r="AK228" i="9"/>
  <c r="AM228" i="9" s="1"/>
  <c r="AJ228" i="9"/>
  <c r="AE228" i="9"/>
  <c r="AD228" i="9"/>
  <c r="Y228" i="9"/>
  <c r="X228" i="9"/>
  <c r="W228" i="9"/>
  <c r="V228" i="9"/>
  <c r="U228" i="9"/>
  <c r="AM227" i="9"/>
  <c r="AL227" i="9"/>
  <c r="AK227" i="9"/>
  <c r="AJ227" i="9"/>
  <c r="AD227" i="9"/>
  <c r="AE251" i="9" s="1"/>
  <c r="Y227" i="9"/>
  <c r="X227" i="9"/>
  <c r="W227" i="9"/>
  <c r="V227" i="9"/>
  <c r="U227" i="9"/>
  <c r="AM226" i="9"/>
  <c r="AL226" i="9"/>
  <c r="AK226" i="9"/>
  <c r="AJ226" i="9"/>
  <c r="AD226" i="9"/>
  <c r="AE250" i="9" s="1"/>
  <c r="Y226" i="9"/>
  <c r="X226" i="9"/>
  <c r="W226" i="9"/>
  <c r="V226" i="9"/>
  <c r="U226" i="9"/>
  <c r="AL225" i="9"/>
  <c r="AK225" i="9"/>
  <c r="AM225" i="9" s="1"/>
  <c r="AJ225" i="9"/>
  <c r="AD225" i="9"/>
  <c r="AE249" i="9" s="1"/>
  <c r="Y225" i="9"/>
  <c r="X225" i="9"/>
  <c r="W225" i="9"/>
  <c r="V225" i="9"/>
  <c r="U225" i="9"/>
  <c r="AM224" i="9"/>
  <c r="AL224" i="9"/>
  <c r="AK224" i="9"/>
  <c r="AJ224" i="9"/>
  <c r="AD224" i="9"/>
  <c r="AE248" i="9" s="1"/>
  <c r="Y224" i="9"/>
  <c r="X224" i="9"/>
  <c r="W224" i="9"/>
  <c r="V224" i="9"/>
  <c r="U224" i="9"/>
  <c r="AL223" i="9"/>
  <c r="AK223" i="9"/>
  <c r="AM223" i="9" s="1"/>
  <c r="AJ223" i="9"/>
  <c r="AE223" i="9"/>
  <c r="AD223" i="9"/>
  <c r="AE247" i="9" s="1"/>
  <c r="Y223" i="9"/>
  <c r="X223" i="9"/>
  <c r="W223" i="9"/>
  <c r="V223" i="9"/>
  <c r="U223" i="9"/>
  <c r="AM222" i="9"/>
  <c r="AL222" i="9"/>
  <c r="AK222" i="9"/>
  <c r="AJ222" i="9"/>
  <c r="AE222" i="9"/>
  <c r="AD222" i="9"/>
  <c r="Y222" i="9"/>
  <c r="X222" i="9"/>
  <c r="W222" i="9"/>
  <c r="V222" i="9"/>
  <c r="U222" i="9"/>
  <c r="AL221" i="9"/>
  <c r="AK221" i="9"/>
  <c r="AM221" i="9" s="1"/>
  <c r="AJ221" i="9"/>
  <c r="AD221" i="9"/>
  <c r="AE245" i="9" s="1"/>
  <c r="Y221" i="9"/>
  <c r="X221" i="9"/>
  <c r="W221" i="9"/>
  <c r="V221" i="9"/>
  <c r="U221" i="9"/>
  <c r="AL220" i="9"/>
  <c r="AK220" i="9"/>
  <c r="AM220" i="9" s="1"/>
  <c r="AJ220" i="9"/>
  <c r="AE220" i="9"/>
  <c r="AD220" i="9"/>
  <c r="Y220" i="9"/>
  <c r="X220" i="9"/>
  <c r="W220" i="9"/>
  <c r="V220" i="9"/>
  <c r="U220" i="9"/>
  <c r="AL219" i="9"/>
  <c r="AK219" i="9"/>
  <c r="AJ219" i="9"/>
  <c r="AM219" i="9" s="1"/>
  <c r="AD219" i="9"/>
  <c r="AE243" i="9" s="1"/>
  <c r="Y219" i="9"/>
  <c r="X219" i="9"/>
  <c r="W219" i="9"/>
  <c r="V219" i="9"/>
  <c r="U219" i="9"/>
  <c r="AL218" i="9"/>
  <c r="AK218" i="9"/>
  <c r="AM218" i="9" s="1"/>
  <c r="AJ218" i="9"/>
  <c r="AD218" i="9"/>
  <c r="AE242" i="9" s="1"/>
  <c r="Y218" i="9"/>
  <c r="X218" i="9"/>
  <c r="W218" i="9"/>
  <c r="V218" i="9"/>
  <c r="U218" i="9"/>
  <c r="AL217" i="9"/>
  <c r="AK217" i="9"/>
  <c r="AM217" i="9" s="1"/>
  <c r="AJ217" i="9"/>
  <c r="AD217" i="9"/>
  <c r="AE241" i="9" s="1"/>
  <c r="Y217" i="9"/>
  <c r="X217" i="9"/>
  <c r="W217" i="9"/>
  <c r="V217" i="9"/>
  <c r="U217" i="9"/>
  <c r="AL216" i="9"/>
  <c r="AK216" i="9"/>
  <c r="AM216" i="9" s="1"/>
  <c r="AJ216" i="9"/>
  <c r="AD216" i="9"/>
  <c r="AE240" i="9" s="1"/>
  <c r="Y216" i="9"/>
  <c r="X216" i="9"/>
  <c r="W216" i="9"/>
  <c r="V216" i="9"/>
  <c r="U216" i="9"/>
  <c r="AL215" i="9"/>
  <c r="AK215" i="9"/>
  <c r="AM215" i="9" s="1"/>
  <c r="AJ215" i="9"/>
  <c r="AD215" i="9"/>
  <c r="Y215" i="9"/>
  <c r="X215" i="9"/>
  <c r="W215" i="9"/>
  <c r="V215" i="9"/>
  <c r="U215" i="9"/>
  <c r="AL214" i="9"/>
  <c r="AK214" i="9"/>
  <c r="AM214" i="9" s="1"/>
  <c r="AJ214" i="9"/>
  <c r="AE214" i="9"/>
  <c r="AD214" i="9"/>
  <c r="Y214" i="9"/>
  <c r="X214" i="9"/>
  <c r="W214" i="9"/>
  <c r="V214" i="9"/>
  <c r="U214" i="9"/>
  <c r="AL213" i="9"/>
  <c r="AK213" i="9"/>
  <c r="AJ213" i="9"/>
  <c r="AM213" i="9" s="1"/>
  <c r="AD213" i="9"/>
  <c r="AE237" i="9" s="1"/>
  <c r="Y213" i="9"/>
  <c r="X213" i="9"/>
  <c r="W213" i="9"/>
  <c r="V213" i="9"/>
  <c r="U213" i="9"/>
  <c r="AL212" i="9"/>
  <c r="AK212" i="9"/>
  <c r="AM212" i="9" s="1"/>
  <c r="AJ212" i="9"/>
  <c r="AE212" i="9"/>
  <c r="AD212" i="9"/>
  <c r="Y212" i="9"/>
  <c r="X212" i="9"/>
  <c r="W212" i="9"/>
  <c r="V212" i="9"/>
  <c r="U212" i="9"/>
  <c r="AM211" i="9"/>
  <c r="AL211" i="9"/>
  <c r="AK211" i="9"/>
  <c r="AJ211" i="9"/>
  <c r="AD211" i="9"/>
  <c r="AE235" i="9" s="1"/>
  <c r="Y211" i="9"/>
  <c r="X211" i="9"/>
  <c r="W211" i="9"/>
  <c r="V211" i="9"/>
  <c r="U211" i="9"/>
  <c r="AM210" i="9"/>
  <c r="AL210" i="9"/>
  <c r="AK210" i="9"/>
  <c r="AJ210" i="9"/>
  <c r="AD210" i="9"/>
  <c r="AE234" i="9" s="1"/>
  <c r="Y210" i="9"/>
  <c r="X210" i="9"/>
  <c r="W210" i="9"/>
  <c r="V210" i="9"/>
  <c r="U210" i="9"/>
  <c r="AL209" i="9"/>
  <c r="AK209" i="9"/>
  <c r="AM209" i="9" s="1"/>
  <c r="AJ209" i="9"/>
  <c r="AD209" i="9"/>
  <c r="AE233" i="9" s="1"/>
  <c r="Y209" i="9"/>
  <c r="X209" i="9"/>
  <c r="W209" i="9"/>
  <c r="V209" i="9"/>
  <c r="U209" i="9"/>
  <c r="AM208" i="9"/>
  <c r="AL208" i="9"/>
  <c r="AK208" i="9"/>
  <c r="AJ208" i="9"/>
  <c r="AD208" i="9"/>
  <c r="AE232" i="9" s="1"/>
  <c r="Y208" i="9"/>
  <c r="X208" i="9"/>
  <c r="W208" i="9"/>
  <c r="V208" i="9"/>
  <c r="U208" i="9"/>
  <c r="AL207" i="9"/>
  <c r="AK207" i="9"/>
  <c r="AM207" i="9" s="1"/>
  <c r="AJ207" i="9"/>
  <c r="AE207" i="9"/>
  <c r="AD207" i="9"/>
  <c r="AE231" i="9" s="1"/>
  <c r="Y207" i="9"/>
  <c r="X207" i="9"/>
  <c r="W207" i="9"/>
  <c r="V207" i="9"/>
  <c r="U207" i="9"/>
  <c r="AM206" i="9"/>
  <c r="AL206" i="9"/>
  <c r="AK206" i="9"/>
  <c r="AJ206" i="9"/>
  <c r="AE206" i="9"/>
  <c r="AD206" i="9"/>
  <c r="Y206" i="9"/>
  <c r="X206" i="9"/>
  <c r="W206" i="9"/>
  <c r="V206" i="9"/>
  <c r="U206" i="9"/>
  <c r="AL205" i="9"/>
  <c r="AK205" i="9"/>
  <c r="AM205" i="9" s="1"/>
  <c r="AJ205" i="9"/>
  <c r="AD205" i="9"/>
  <c r="AE229" i="9" s="1"/>
  <c r="Y205" i="9"/>
  <c r="X205" i="9"/>
  <c r="W205" i="9"/>
  <c r="V205" i="9"/>
  <c r="U205" i="9"/>
  <c r="AL204" i="9"/>
  <c r="AK204" i="9"/>
  <c r="AM204" i="9" s="1"/>
  <c r="AJ204" i="9"/>
  <c r="AE204" i="9"/>
  <c r="AD204" i="9"/>
  <c r="Y204" i="9"/>
  <c r="X204" i="9"/>
  <c r="W204" i="9"/>
  <c r="V204" i="9"/>
  <c r="U204" i="9"/>
  <c r="AL203" i="9"/>
  <c r="AK203" i="9"/>
  <c r="AJ203" i="9"/>
  <c r="AM203" i="9" s="1"/>
  <c r="AD203" i="9"/>
  <c r="AE227" i="9" s="1"/>
  <c r="Y203" i="9"/>
  <c r="X203" i="9"/>
  <c r="W203" i="9"/>
  <c r="V203" i="9"/>
  <c r="U203" i="9"/>
  <c r="AL202" i="9"/>
  <c r="AK202" i="9"/>
  <c r="AM202" i="9" s="1"/>
  <c r="AJ202" i="9"/>
  <c r="AD202" i="9"/>
  <c r="AE226" i="9" s="1"/>
  <c r="Y202" i="9"/>
  <c r="X202" i="9"/>
  <c r="W202" i="9"/>
  <c r="V202" i="9"/>
  <c r="U202" i="9"/>
  <c r="AL201" i="9"/>
  <c r="AK201" i="9"/>
  <c r="AM201" i="9" s="1"/>
  <c r="AJ201" i="9"/>
  <c r="AD201" i="9"/>
  <c r="AE225" i="9" s="1"/>
  <c r="Y201" i="9"/>
  <c r="X201" i="9"/>
  <c r="W201" i="9"/>
  <c r="V201" i="9"/>
  <c r="U201" i="9"/>
  <c r="AL200" i="9"/>
  <c r="AK200" i="9"/>
  <c r="AM200" i="9" s="1"/>
  <c r="AJ200" i="9"/>
  <c r="AD200" i="9"/>
  <c r="AE224" i="9" s="1"/>
  <c r="Y200" i="9"/>
  <c r="X200" i="9"/>
  <c r="W200" i="9"/>
  <c r="V200" i="9"/>
  <c r="U200" i="9"/>
  <c r="AL199" i="9"/>
  <c r="AK199" i="9"/>
  <c r="AM199" i="9" s="1"/>
  <c r="AJ199" i="9"/>
  <c r="AD199" i="9"/>
  <c r="Y199" i="9"/>
  <c r="X199" i="9"/>
  <c r="W199" i="9"/>
  <c r="V199" i="9"/>
  <c r="U199" i="9"/>
  <c r="AL198" i="9"/>
  <c r="AK198" i="9"/>
  <c r="AM198" i="9" s="1"/>
  <c r="AJ198" i="9"/>
  <c r="AE198" i="9"/>
  <c r="AD198" i="9"/>
  <c r="Y198" i="9"/>
  <c r="X198" i="9"/>
  <c r="W198" i="9"/>
  <c r="V198" i="9"/>
  <c r="U198" i="9"/>
  <c r="AL197" i="9"/>
  <c r="AK197" i="9"/>
  <c r="AJ197" i="9"/>
  <c r="AM197" i="9" s="1"/>
  <c r="AD197" i="9"/>
  <c r="AE221" i="9" s="1"/>
  <c r="Y197" i="9"/>
  <c r="X197" i="9"/>
  <c r="W197" i="9"/>
  <c r="V197" i="9"/>
  <c r="U197" i="9"/>
  <c r="AL196" i="9"/>
  <c r="AK196" i="9"/>
  <c r="AM196" i="9" s="1"/>
  <c r="AJ196" i="9"/>
  <c r="AE196" i="9"/>
  <c r="AD196" i="9"/>
  <c r="Y196" i="9"/>
  <c r="X196" i="9"/>
  <c r="W196" i="9"/>
  <c r="V196" i="9"/>
  <c r="U196" i="9"/>
  <c r="AM195" i="9"/>
  <c r="AL195" i="9"/>
  <c r="AK195" i="9"/>
  <c r="AJ195" i="9"/>
  <c r="AD195" i="9"/>
  <c r="AE219" i="9" s="1"/>
  <c r="Y195" i="9"/>
  <c r="X195" i="9"/>
  <c r="W195" i="9"/>
  <c r="V195" i="9"/>
  <c r="U195" i="9"/>
  <c r="AM194" i="9"/>
  <c r="AL194" i="9"/>
  <c r="AK194" i="9"/>
  <c r="AJ194" i="9"/>
  <c r="AD194" i="9"/>
  <c r="AE218" i="9" s="1"/>
  <c r="Y194" i="9"/>
  <c r="X194" i="9"/>
  <c r="W194" i="9"/>
  <c r="V194" i="9"/>
  <c r="U194" i="9"/>
  <c r="AL193" i="9"/>
  <c r="AK193" i="9"/>
  <c r="AM193" i="9" s="1"/>
  <c r="AJ193" i="9"/>
  <c r="AD193" i="9"/>
  <c r="AE217" i="9" s="1"/>
  <c r="Y193" i="9"/>
  <c r="X193" i="9"/>
  <c r="W193" i="9"/>
  <c r="V193" i="9"/>
  <c r="U193" i="9"/>
  <c r="AM192" i="9"/>
  <c r="AL192" i="9"/>
  <c r="AK192" i="9"/>
  <c r="AJ192" i="9"/>
  <c r="AD192" i="9"/>
  <c r="AE216" i="9" s="1"/>
  <c r="Y192" i="9"/>
  <c r="X192" i="9"/>
  <c r="W192" i="9"/>
  <c r="V192" i="9"/>
  <c r="U192" i="9"/>
  <c r="AL191" i="9"/>
  <c r="AK191" i="9"/>
  <c r="AM191" i="9" s="1"/>
  <c r="AJ191" i="9"/>
  <c r="AE191" i="9"/>
  <c r="AD191" i="9"/>
  <c r="AE215" i="9" s="1"/>
  <c r="Y191" i="9"/>
  <c r="X191" i="9"/>
  <c r="W191" i="9"/>
  <c r="V191" i="9"/>
  <c r="U191" i="9"/>
  <c r="AM190" i="9"/>
  <c r="AL190" i="9"/>
  <c r="AK190" i="9"/>
  <c r="AJ190" i="9"/>
  <c r="AE190" i="9"/>
  <c r="AD190" i="9"/>
  <c r="Y190" i="9"/>
  <c r="X190" i="9"/>
  <c r="W190" i="9"/>
  <c r="V190" i="9"/>
  <c r="U190" i="9"/>
  <c r="AL189" i="9"/>
  <c r="AK189" i="9"/>
  <c r="AM189" i="9" s="1"/>
  <c r="AJ189" i="9"/>
  <c r="AD189" i="9"/>
  <c r="AE213" i="9" s="1"/>
  <c r="Y189" i="9"/>
  <c r="X189" i="9"/>
  <c r="W189" i="9"/>
  <c r="V189" i="9"/>
  <c r="U189" i="9"/>
  <c r="AL188" i="9"/>
  <c r="AK188" i="9"/>
  <c r="AM188" i="9" s="1"/>
  <c r="AJ188" i="9"/>
  <c r="AE188" i="9"/>
  <c r="AD188" i="9"/>
  <c r="Y188" i="9"/>
  <c r="X188" i="9"/>
  <c r="W188" i="9"/>
  <c r="V188" i="9"/>
  <c r="U188" i="9"/>
  <c r="AL187" i="9"/>
  <c r="AK187" i="9"/>
  <c r="AJ187" i="9"/>
  <c r="AM187" i="9" s="1"/>
  <c r="AD187" i="9"/>
  <c r="AE211" i="9" s="1"/>
  <c r="Y187" i="9"/>
  <c r="X187" i="9"/>
  <c r="W187" i="9"/>
  <c r="V187" i="9"/>
  <c r="U187" i="9"/>
  <c r="AL186" i="9"/>
  <c r="AK186" i="9"/>
  <c r="AM186" i="9" s="1"/>
  <c r="AJ186" i="9"/>
  <c r="AD186" i="9"/>
  <c r="AE210" i="9" s="1"/>
  <c r="Y186" i="9"/>
  <c r="X186" i="9"/>
  <c r="W186" i="9"/>
  <c r="V186" i="9"/>
  <c r="U186" i="9"/>
  <c r="AL185" i="9"/>
  <c r="AK185" i="9"/>
  <c r="AM185" i="9" s="1"/>
  <c r="AJ185" i="9"/>
  <c r="AD185" i="9"/>
  <c r="AE209" i="9" s="1"/>
  <c r="Y185" i="9"/>
  <c r="X185" i="9"/>
  <c r="W185" i="9"/>
  <c r="V185" i="9"/>
  <c r="U185" i="9"/>
  <c r="AL184" i="9"/>
  <c r="AK184" i="9"/>
  <c r="AM184" i="9" s="1"/>
  <c r="AJ184" i="9"/>
  <c r="AD184" i="9"/>
  <c r="AE208" i="9" s="1"/>
  <c r="Y184" i="9"/>
  <c r="X184" i="9"/>
  <c r="W184" i="9"/>
  <c r="V184" i="9"/>
  <c r="U184" i="9"/>
  <c r="AL183" i="9"/>
  <c r="AK183" i="9"/>
  <c r="AM183" i="9" s="1"/>
  <c r="AJ183" i="9"/>
  <c r="AD183" i="9"/>
  <c r="Y183" i="9"/>
  <c r="X183" i="9"/>
  <c r="W183" i="9"/>
  <c r="V183" i="9"/>
  <c r="U183" i="9"/>
  <c r="AL182" i="9"/>
  <c r="AK182" i="9"/>
  <c r="AM182" i="9" s="1"/>
  <c r="AJ182" i="9"/>
  <c r="AE182" i="9"/>
  <c r="AD182" i="9"/>
  <c r="Y182" i="9"/>
  <c r="X182" i="9"/>
  <c r="W182" i="9"/>
  <c r="V182" i="9"/>
  <c r="U182" i="9"/>
  <c r="AL181" i="9"/>
  <c r="AK181" i="9"/>
  <c r="AJ181" i="9"/>
  <c r="AM181" i="9" s="1"/>
  <c r="AD181" i="9"/>
  <c r="AE205" i="9" s="1"/>
  <c r="Y181" i="9"/>
  <c r="X181" i="9"/>
  <c r="W181" i="9"/>
  <c r="V181" i="9"/>
  <c r="U181" i="9"/>
  <c r="AL180" i="9"/>
  <c r="AK180" i="9"/>
  <c r="AM180" i="9" s="1"/>
  <c r="AJ180" i="9"/>
  <c r="AE180" i="9"/>
  <c r="AD180" i="9"/>
  <c r="Y180" i="9"/>
  <c r="X180" i="9"/>
  <c r="W180" i="9"/>
  <c r="V180" i="9"/>
  <c r="U180" i="9"/>
  <c r="AM179" i="9"/>
  <c r="AL179" i="9"/>
  <c r="AK179" i="9"/>
  <c r="AJ179" i="9"/>
  <c r="AD179" i="9"/>
  <c r="AE203" i="9" s="1"/>
  <c r="Y179" i="9"/>
  <c r="X179" i="9"/>
  <c r="W179" i="9"/>
  <c r="V179" i="9"/>
  <c r="U179" i="9"/>
  <c r="AM178" i="9"/>
  <c r="AL178" i="9"/>
  <c r="AK178" i="9"/>
  <c r="AJ178" i="9"/>
  <c r="AD178" i="9"/>
  <c r="AE202" i="9" s="1"/>
  <c r="Y178" i="9"/>
  <c r="X178" i="9"/>
  <c r="W178" i="9"/>
  <c r="V178" i="9"/>
  <c r="U178" i="9"/>
  <c r="AL177" i="9"/>
  <c r="AK177" i="9"/>
  <c r="AM177" i="9" s="1"/>
  <c r="AJ177" i="9"/>
  <c r="AD177" i="9"/>
  <c r="AE201" i="9" s="1"/>
  <c r="Y177" i="9"/>
  <c r="X177" i="9"/>
  <c r="W177" i="9"/>
  <c r="V177" i="9"/>
  <c r="U177" i="9"/>
  <c r="AM176" i="9"/>
  <c r="AL176" i="9"/>
  <c r="AK176" i="9"/>
  <c r="AJ176" i="9"/>
  <c r="AD176" i="9"/>
  <c r="AE200" i="9" s="1"/>
  <c r="Y176" i="9"/>
  <c r="X176" i="9"/>
  <c r="W176" i="9"/>
  <c r="V176" i="9"/>
  <c r="U176" i="9"/>
  <c r="AL175" i="9"/>
  <c r="AK175" i="9"/>
  <c r="AM175" i="9" s="1"/>
  <c r="AJ175" i="9"/>
  <c r="AE175" i="9"/>
  <c r="AD175" i="9"/>
  <c r="AE199" i="9" s="1"/>
  <c r="Y175" i="9"/>
  <c r="X175" i="9"/>
  <c r="W175" i="9"/>
  <c r="V175" i="9"/>
  <c r="U175" i="9"/>
  <c r="AM174" i="9"/>
  <c r="AL174" i="9"/>
  <c r="AK174" i="9"/>
  <c r="AJ174" i="9"/>
  <c r="AE174" i="9"/>
  <c r="AD174" i="9"/>
  <c r="Y174" i="9"/>
  <c r="X174" i="9"/>
  <c r="W174" i="9"/>
  <c r="V174" i="9"/>
  <c r="U174" i="9"/>
  <c r="AL173" i="9"/>
  <c r="AK173" i="9"/>
  <c r="AM173" i="9" s="1"/>
  <c r="AJ173" i="9"/>
  <c r="AD173" i="9"/>
  <c r="AE197" i="9" s="1"/>
  <c r="Y173" i="9"/>
  <c r="X173" i="9"/>
  <c r="W173" i="9"/>
  <c r="V173" i="9"/>
  <c r="U173" i="9"/>
  <c r="AL172" i="9"/>
  <c r="AK172" i="9"/>
  <c r="AM172" i="9" s="1"/>
  <c r="AJ172" i="9"/>
  <c r="AE172" i="9"/>
  <c r="AD172" i="9"/>
  <c r="Y172" i="9"/>
  <c r="X172" i="9"/>
  <c r="W172" i="9"/>
  <c r="V172" i="9"/>
  <c r="U172" i="9"/>
  <c r="AL171" i="9"/>
  <c r="AK171" i="9"/>
  <c r="AJ171" i="9"/>
  <c r="AM171" i="9" s="1"/>
  <c r="AD171" i="9"/>
  <c r="AE195" i="9" s="1"/>
  <c r="Y171" i="9"/>
  <c r="X171" i="9"/>
  <c r="W171" i="9"/>
  <c r="V171" i="9"/>
  <c r="U171" i="9"/>
  <c r="AL170" i="9"/>
  <c r="AK170" i="9"/>
  <c r="AM170" i="9" s="1"/>
  <c r="AJ170" i="9"/>
  <c r="AD170" i="9"/>
  <c r="AE194" i="9" s="1"/>
  <c r="Y170" i="9"/>
  <c r="X170" i="9"/>
  <c r="W170" i="9"/>
  <c r="V170" i="9"/>
  <c r="U170" i="9"/>
  <c r="AL169" i="9"/>
  <c r="AK169" i="9"/>
  <c r="AM169" i="9" s="1"/>
  <c r="AJ169" i="9"/>
  <c r="AD169" i="9"/>
  <c r="AE193" i="9" s="1"/>
  <c r="Y169" i="9"/>
  <c r="X169" i="9"/>
  <c r="W169" i="9"/>
  <c r="V169" i="9"/>
  <c r="U169" i="9"/>
  <c r="AL168" i="9"/>
  <c r="AK168" i="9"/>
  <c r="AM168" i="9" s="1"/>
  <c r="AJ168" i="9"/>
  <c r="AD168" i="9"/>
  <c r="AE192" i="9" s="1"/>
  <c r="Y168" i="9"/>
  <c r="X168" i="9"/>
  <c r="W168" i="9"/>
  <c r="V168" i="9"/>
  <c r="U168" i="9"/>
  <c r="AL167" i="9"/>
  <c r="AK167" i="9"/>
  <c r="AM167" i="9" s="1"/>
  <c r="AJ167" i="9"/>
  <c r="AD167" i="9"/>
  <c r="Y167" i="9"/>
  <c r="X167" i="9"/>
  <c r="W167" i="9"/>
  <c r="V167" i="9"/>
  <c r="U167" i="9"/>
  <c r="AL166" i="9"/>
  <c r="AK166" i="9"/>
  <c r="AM166" i="9" s="1"/>
  <c r="AJ166" i="9"/>
  <c r="AE166" i="9"/>
  <c r="AD166" i="9"/>
  <c r="Y166" i="9"/>
  <c r="X166" i="9"/>
  <c r="W166" i="9"/>
  <c r="V166" i="9"/>
  <c r="U166" i="9"/>
  <c r="AL165" i="9"/>
  <c r="AK165" i="9"/>
  <c r="AJ165" i="9"/>
  <c r="AM165" i="9" s="1"/>
  <c r="AD165" i="9"/>
  <c r="AE189" i="9" s="1"/>
  <c r="Y165" i="9"/>
  <c r="X165" i="9"/>
  <c r="W165" i="9"/>
  <c r="V165" i="9"/>
  <c r="U165" i="9"/>
  <c r="AL164" i="9"/>
  <c r="AK164" i="9"/>
  <c r="AM164" i="9" s="1"/>
  <c r="AJ164" i="9"/>
  <c r="AE164" i="9"/>
  <c r="AD164" i="9"/>
  <c r="Y164" i="9"/>
  <c r="X164" i="9"/>
  <c r="W164" i="9"/>
  <c r="V164" i="9"/>
  <c r="U164" i="9"/>
  <c r="AM163" i="9"/>
  <c r="AL163" i="9"/>
  <c r="AK163" i="9"/>
  <c r="AJ163" i="9"/>
  <c r="AD163" i="9"/>
  <c r="AE187" i="9" s="1"/>
  <c r="Y163" i="9"/>
  <c r="X163" i="9"/>
  <c r="W163" i="9"/>
  <c r="V163" i="9"/>
  <c r="U163" i="9"/>
  <c r="AM162" i="9"/>
  <c r="AL162" i="9"/>
  <c r="AK162" i="9"/>
  <c r="AJ162" i="9"/>
  <c r="AD162" i="9"/>
  <c r="AE186" i="9" s="1"/>
  <c r="Y162" i="9"/>
  <c r="X162" i="9"/>
  <c r="W162" i="9"/>
  <c r="V162" i="9"/>
  <c r="U162" i="9"/>
  <c r="AL161" i="9"/>
  <c r="AK161" i="9"/>
  <c r="AM161" i="9" s="1"/>
  <c r="AJ161" i="9"/>
  <c r="AD161" i="9"/>
  <c r="AE185" i="9" s="1"/>
  <c r="Y161" i="9"/>
  <c r="X161" i="9"/>
  <c r="W161" i="9"/>
  <c r="V161" i="9"/>
  <c r="U161" i="9"/>
  <c r="AM160" i="9"/>
  <c r="AL160" i="9"/>
  <c r="AK160" i="9"/>
  <c r="AJ160" i="9"/>
  <c r="AD160" i="9"/>
  <c r="AE184" i="9" s="1"/>
  <c r="Y160" i="9"/>
  <c r="X160" i="9"/>
  <c r="W160" i="9"/>
  <c r="V160" i="9"/>
  <c r="U160" i="9"/>
  <c r="AL159" i="9"/>
  <c r="AK159" i="9"/>
  <c r="AM159" i="9" s="1"/>
  <c r="AJ159" i="9"/>
  <c r="AE159" i="9"/>
  <c r="AD159" i="9"/>
  <c r="AE183" i="9" s="1"/>
  <c r="Y159" i="9"/>
  <c r="X159" i="9"/>
  <c r="W159" i="9"/>
  <c r="V159" i="9"/>
  <c r="U159" i="9"/>
  <c r="AM158" i="9"/>
  <c r="AL158" i="9"/>
  <c r="AK158" i="9"/>
  <c r="AJ158" i="9"/>
  <c r="AE158" i="9"/>
  <c r="AD158" i="9"/>
  <c r="Y158" i="9"/>
  <c r="X158" i="9"/>
  <c r="W158" i="9"/>
  <c r="V158" i="9"/>
  <c r="U158" i="9"/>
  <c r="AL157" i="9"/>
  <c r="AK157" i="9"/>
  <c r="AM157" i="9" s="1"/>
  <c r="AJ157" i="9"/>
  <c r="AD157" i="9"/>
  <c r="AE181" i="9" s="1"/>
  <c r="Y157" i="9"/>
  <c r="X157" i="9"/>
  <c r="W157" i="9"/>
  <c r="V157" i="9"/>
  <c r="U157" i="9"/>
  <c r="AL156" i="9"/>
  <c r="AK156" i="9"/>
  <c r="AM156" i="9" s="1"/>
  <c r="AJ156" i="9"/>
  <c r="AE156" i="9"/>
  <c r="AD156" i="9"/>
  <c r="Y156" i="9"/>
  <c r="X156" i="9"/>
  <c r="W156" i="9"/>
  <c r="V156" i="9"/>
  <c r="U156" i="9"/>
  <c r="AL155" i="9"/>
  <c r="AK155" i="9"/>
  <c r="AJ155" i="9"/>
  <c r="AM155" i="9" s="1"/>
  <c r="AD155" i="9"/>
  <c r="AE179" i="9" s="1"/>
  <c r="Y155" i="9"/>
  <c r="X155" i="9"/>
  <c r="W155" i="9"/>
  <c r="V155" i="9"/>
  <c r="U155" i="9"/>
  <c r="AL154" i="9"/>
  <c r="AK154" i="9"/>
  <c r="AM154" i="9" s="1"/>
  <c r="AJ154" i="9"/>
  <c r="AD154" i="9"/>
  <c r="AE178" i="9" s="1"/>
  <c r="Y154" i="9"/>
  <c r="X154" i="9"/>
  <c r="W154" i="9"/>
  <c r="V154" i="9"/>
  <c r="U154" i="9"/>
  <c r="AL153" i="9"/>
  <c r="AK153" i="9"/>
  <c r="AM153" i="9" s="1"/>
  <c r="AJ153" i="9"/>
  <c r="AD153" i="9"/>
  <c r="AE177" i="9" s="1"/>
  <c r="Y153" i="9"/>
  <c r="X153" i="9"/>
  <c r="W153" i="9"/>
  <c r="V153" i="9"/>
  <c r="U153" i="9"/>
  <c r="AL152" i="9"/>
  <c r="AK152" i="9"/>
  <c r="AM152" i="9" s="1"/>
  <c r="AJ152" i="9"/>
  <c r="AD152" i="9"/>
  <c r="AE176" i="9" s="1"/>
  <c r="Y152" i="9"/>
  <c r="X152" i="9"/>
  <c r="W152" i="9"/>
  <c r="V152" i="9"/>
  <c r="U152" i="9"/>
  <c r="AL151" i="9"/>
  <c r="AK151" i="9"/>
  <c r="AM151" i="9" s="1"/>
  <c r="AJ151" i="9"/>
  <c r="AD151" i="9"/>
  <c r="Y151" i="9"/>
  <c r="X151" i="9"/>
  <c r="W151" i="9"/>
  <c r="V151" i="9"/>
  <c r="U151" i="9"/>
  <c r="AL150" i="9"/>
  <c r="AK150" i="9"/>
  <c r="AM150" i="9" s="1"/>
  <c r="AJ150" i="9"/>
  <c r="AE150" i="9"/>
  <c r="AD150" i="9"/>
  <c r="Y150" i="9"/>
  <c r="X150" i="9"/>
  <c r="W150" i="9"/>
  <c r="V150" i="9"/>
  <c r="U150" i="9"/>
  <c r="AL149" i="9"/>
  <c r="AK149" i="9"/>
  <c r="AJ149" i="9"/>
  <c r="AM149" i="9" s="1"/>
  <c r="AD149" i="9"/>
  <c r="AE173" i="9" s="1"/>
  <c r="Y149" i="9"/>
  <c r="X149" i="9"/>
  <c r="W149" i="9"/>
  <c r="V149" i="9"/>
  <c r="U149" i="9"/>
  <c r="AL148" i="9"/>
  <c r="AK148" i="9"/>
  <c r="AM148" i="9" s="1"/>
  <c r="AJ148" i="9"/>
  <c r="AE148" i="9"/>
  <c r="AD148" i="9"/>
  <c r="Y148" i="9"/>
  <c r="X148" i="9"/>
  <c r="W148" i="9"/>
  <c r="V148" i="9"/>
  <c r="U148" i="9"/>
  <c r="AM147" i="9"/>
  <c r="AL147" i="9"/>
  <c r="AK147" i="9"/>
  <c r="AJ147" i="9"/>
  <c r="AD147" i="9"/>
  <c r="AE171" i="9" s="1"/>
  <c r="Y147" i="9"/>
  <c r="X147" i="9"/>
  <c r="W147" i="9"/>
  <c r="V147" i="9"/>
  <c r="U147" i="9"/>
  <c r="AM146" i="9"/>
  <c r="AL146" i="9"/>
  <c r="AK146" i="9"/>
  <c r="AJ146" i="9"/>
  <c r="AD146" i="9"/>
  <c r="AE170" i="9" s="1"/>
  <c r="Y146" i="9"/>
  <c r="X146" i="9"/>
  <c r="W146" i="9"/>
  <c r="V146" i="9"/>
  <c r="U146" i="9"/>
  <c r="AL145" i="9"/>
  <c r="AK145" i="9"/>
  <c r="AM145" i="9" s="1"/>
  <c r="AJ145" i="9"/>
  <c r="AD145" i="9"/>
  <c r="AE169" i="9" s="1"/>
  <c r="Y145" i="9"/>
  <c r="X145" i="9"/>
  <c r="W145" i="9"/>
  <c r="V145" i="9"/>
  <c r="U145" i="9"/>
  <c r="AM144" i="9"/>
  <c r="AL144" i="9"/>
  <c r="AK144" i="9"/>
  <c r="AJ144" i="9"/>
  <c r="AD144" i="9"/>
  <c r="AE168" i="9" s="1"/>
  <c r="Y144" i="9"/>
  <c r="X144" i="9"/>
  <c r="W144" i="9"/>
  <c r="V144" i="9"/>
  <c r="U144" i="9"/>
  <c r="AL143" i="9"/>
  <c r="AK143" i="9"/>
  <c r="AM143" i="9" s="1"/>
  <c r="AJ143" i="9"/>
  <c r="AE143" i="9"/>
  <c r="AD143" i="9"/>
  <c r="AE167" i="9" s="1"/>
  <c r="Y143" i="9"/>
  <c r="X143" i="9"/>
  <c r="W143" i="9"/>
  <c r="V143" i="9"/>
  <c r="U143" i="9"/>
  <c r="AM142" i="9"/>
  <c r="AL142" i="9"/>
  <c r="AK142" i="9"/>
  <c r="AJ142" i="9"/>
  <c r="AE142" i="9"/>
  <c r="AD142" i="9"/>
  <c r="Y142" i="9"/>
  <c r="X142" i="9"/>
  <c r="W142" i="9"/>
  <c r="V142" i="9"/>
  <c r="U142" i="9"/>
  <c r="AL141" i="9"/>
  <c r="AK141" i="9"/>
  <c r="AM141" i="9" s="1"/>
  <c r="AJ141" i="9"/>
  <c r="AD141" i="9"/>
  <c r="AE165" i="9" s="1"/>
  <c r="Y141" i="9"/>
  <c r="X141" i="9"/>
  <c r="W141" i="9"/>
  <c r="V141" i="9"/>
  <c r="U141" i="9"/>
  <c r="AL140" i="9"/>
  <c r="AK140" i="9"/>
  <c r="AM140" i="9" s="1"/>
  <c r="AJ140" i="9"/>
  <c r="AE140" i="9"/>
  <c r="AD140" i="9"/>
  <c r="Y140" i="9"/>
  <c r="X140" i="9"/>
  <c r="W140" i="9"/>
  <c r="V140" i="9"/>
  <c r="U140" i="9"/>
  <c r="AL139" i="9"/>
  <c r="AK139" i="9"/>
  <c r="AJ139" i="9"/>
  <c r="AM139" i="9" s="1"/>
  <c r="AD139" i="9"/>
  <c r="AE163" i="9" s="1"/>
  <c r="Y139" i="9"/>
  <c r="X139" i="9"/>
  <c r="W139" i="9"/>
  <c r="V139" i="9"/>
  <c r="U139" i="9"/>
  <c r="AL138" i="9"/>
  <c r="AK138" i="9"/>
  <c r="AM138" i="9" s="1"/>
  <c r="AJ138" i="9"/>
  <c r="AD138" i="9"/>
  <c r="AE162" i="9" s="1"/>
  <c r="Y138" i="9"/>
  <c r="X138" i="9"/>
  <c r="W138" i="9"/>
  <c r="V138" i="9"/>
  <c r="U138" i="9"/>
  <c r="AL137" i="9"/>
  <c r="AK137" i="9"/>
  <c r="AM137" i="9" s="1"/>
  <c r="AJ137" i="9"/>
  <c r="AD137" i="9"/>
  <c r="AE161" i="9" s="1"/>
  <c r="Y137" i="9"/>
  <c r="X137" i="9"/>
  <c r="W137" i="9"/>
  <c r="V137" i="9"/>
  <c r="U137" i="9"/>
  <c r="AL136" i="9"/>
  <c r="AK136" i="9"/>
  <c r="AM136" i="9" s="1"/>
  <c r="AJ136" i="9"/>
  <c r="AD136" i="9"/>
  <c r="AE160" i="9" s="1"/>
  <c r="Y136" i="9"/>
  <c r="X136" i="9"/>
  <c r="W136" i="9"/>
  <c r="V136" i="9"/>
  <c r="U136" i="9"/>
  <c r="AL135" i="9"/>
  <c r="AK135" i="9"/>
  <c r="AM135" i="9" s="1"/>
  <c r="AJ135" i="9"/>
  <c r="AD135" i="9"/>
  <c r="Y135" i="9"/>
  <c r="X135" i="9"/>
  <c r="W135" i="9"/>
  <c r="V135" i="9"/>
  <c r="U135" i="9"/>
  <c r="AL134" i="9"/>
  <c r="AK134" i="9"/>
  <c r="AM134" i="9" s="1"/>
  <c r="AJ134" i="9"/>
  <c r="AE134" i="9"/>
  <c r="AD134" i="9"/>
  <c r="Y134" i="9"/>
  <c r="X134" i="9"/>
  <c r="W134" i="9"/>
  <c r="V134" i="9"/>
  <c r="U134" i="9"/>
  <c r="AL133" i="9"/>
  <c r="AK133" i="9"/>
  <c r="AJ133" i="9"/>
  <c r="AM133" i="9" s="1"/>
  <c r="AD133" i="9"/>
  <c r="AE157" i="9" s="1"/>
  <c r="Y133" i="9"/>
  <c r="X133" i="9"/>
  <c r="W133" i="9"/>
  <c r="V133" i="9"/>
  <c r="U133" i="9"/>
  <c r="AL132" i="9"/>
  <c r="AK132" i="9"/>
  <c r="AM132" i="9" s="1"/>
  <c r="AJ132" i="9"/>
  <c r="AE132" i="9"/>
  <c r="AD132" i="9"/>
  <c r="Y132" i="9"/>
  <c r="X132" i="9"/>
  <c r="W132" i="9"/>
  <c r="V132" i="9"/>
  <c r="U132" i="9"/>
  <c r="AM131" i="9"/>
  <c r="AL131" i="9"/>
  <c r="AK131" i="9"/>
  <c r="AJ131" i="9"/>
  <c r="AD131" i="9"/>
  <c r="AE155" i="9" s="1"/>
  <c r="Y131" i="9"/>
  <c r="X131" i="9"/>
  <c r="W131" i="9"/>
  <c r="V131" i="9"/>
  <c r="U131" i="9"/>
  <c r="AM130" i="9"/>
  <c r="AL130" i="9"/>
  <c r="AK130" i="9"/>
  <c r="AJ130" i="9"/>
  <c r="AD130" i="9"/>
  <c r="AE154" i="9" s="1"/>
  <c r="Y130" i="9"/>
  <c r="X130" i="9"/>
  <c r="W130" i="9"/>
  <c r="V130" i="9"/>
  <c r="U130" i="9"/>
  <c r="AL129" i="9"/>
  <c r="AK129" i="9"/>
  <c r="AM129" i="9" s="1"/>
  <c r="AJ129" i="9"/>
  <c r="AD129" i="9"/>
  <c r="AE153" i="9" s="1"/>
  <c r="Y129" i="9"/>
  <c r="X129" i="9"/>
  <c r="W129" i="9"/>
  <c r="V129" i="9"/>
  <c r="U129" i="9"/>
  <c r="AM128" i="9"/>
  <c r="AL128" i="9"/>
  <c r="AK128" i="9"/>
  <c r="AJ128" i="9"/>
  <c r="AD128" i="9"/>
  <c r="AE152" i="9" s="1"/>
  <c r="Y128" i="9"/>
  <c r="X128" i="9"/>
  <c r="W128" i="9"/>
  <c r="V128" i="9"/>
  <c r="U128" i="9"/>
  <c r="AL127" i="9"/>
  <c r="AK127" i="9"/>
  <c r="AM127" i="9" s="1"/>
  <c r="AJ127" i="9"/>
  <c r="AE127" i="9"/>
  <c r="AD127" i="9"/>
  <c r="AE151" i="9" s="1"/>
  <c r="Y127" i="9"/>
  <c r="X127" i="9"/>
  <c r="W127" i="9"/>
  <c r="V127" i="9"/>
  <c r="U127" i="9"/>
  <c r="AM126" i="9"/>
  <c r="AL126" i="9"/>
  <c r="AK126" i="9"/>
  <c r="AJ126" i="9"/>
  <c r="AE126" i="9"/>
  <c r="AD126" i="9"/>
  <c r="Y126" i="9"/>
  <c r="X126" i="9"/>
  <c r="W126" i="9"/>
  <c r="V126" i="9"/>
  <c r="U126" i="9"/>
  <c r="AL125" i="9"/>
  <c r="AK125" i="9"/>
  <c r="AM125" i="9" s="1"/>
  <c r="AJ125" i="9"/>
  <c r="AD125" i="9"/>
  <c r="AE149" i="9" s="1"/>
  <c r="Y125" i="9"/>
  <c r="X125" i="9"/>
  <c r="W125" i="9"/>
  <c r="V125" i="9"/>
  <c r="U125" i="9"/>
  <c r="AL124" i="9"/>
  <c r="AK124" i="9"/>
  <c r="AM124" i="9" s="1"/>
  <c r="AJ124" i="9"/>
  <c r="AE124" i="9"/>
  <c r="AD124" i="9"/>
  <c r="Y124" i="9"/>
  <c r="X124" i="9"/>
  <c r="W124" i="9"/>
  <c r="V124" i="9"/>
  <c r="U124" i="9"/>
  <c r="AL123" i="9"/>
  <c r="AK123" i="9"/>
  <c r="AJ123" i="9"/>
  <c r="AM123" i="9" s="1"/>
  <c r="AD123" i="9"/>
  <c r="AE147" i="9" s="1"/>
  <c r="Y123" i="9"/>
  <c r="X123" i="9"/>
  <c r="W123" i="9"/>
  <c r="V123" i="9"/>
  <c r="U123" i="9"/>
  <c r="AL122" i="9"/>
  <c r="AK122" i="9"/>
  <c r="AM122" i="9" s="1"/>
  <c r="AJ122" i="9"/>
  <c r="AD122" i="9"/>
  <c r="AE146" i="9" s="1"/>
  <c r="Y122" i="9"/>
  <c r="X122" i="9"/>
  <c r="W122" i="9"/>
  <c r="V122" i="9"/>
  <c r="U122" i="9"/>
  <c r="AL121" i="9"/>
  <c r="AK121" i="9"/>
  <c r="AM121" i="9" s="1"/>
  <c r="AJ121" i="9"/>
  <c r="AD121" i="9"/>
  <c r="AE145" i="9" s="1"/>
  <c r="Y121" i="9"/>
  <c r="X121" i="9"/>
  <c r="W121" i="9"/>
  <c r="V121" i="9"/>
  <c r="U121" i="9"/>
  <c r="AL120" i="9"/>
  <c r="AK120" i="9"/>
  <c r="AM120" i="9" s="1"/>
  <c r="AJ120" i="9"/>
  <c r="AD120" i="9"/>
  <c r="AE144" i="9" s="1"/>
  <c r="Y120" i="9"/>
  <c r="X120" i="9"/>
  <c r="W120" i="9"/>
  <c r="V120" i="9"/>
  <c r="U120" i="9"/>
  <c r="AL119" i="9"/>
  <c r="AK119" i="9"/>
  <c r="AM119" i="9" s="1"/>
  <c r="AJ119" i="9"/>
  <c r="AD119" i="9"/>
  <c r="Y119" i="9"/>
  <c r="X119" i="9"/>
  <c r="W119" i="9"/>
  <c r="V119" i="9"/>
  <c r="U119" i="9"/>
  <c r="AL118" i="9"/>
  <c r="AK118" i="9"/>
  <c r="AM118" i="9" s="1"/>
  <c r="AJ118" i="9"/>
  <c r="AE118" i="9"/>
  <c r="AD118" i="9"/>
  <c r="Y118" i="9"/>
  <c r="X118" i="9"/>
  <c r="W118" i="9"/>
  <c r="V118" i="9"/>
  <c r="U118" i="9"/>
  <c r="AL117" i="9"/>
  <c r="AK117" i="9"/>
  <c r="AJ117" i="9"/>
  <c r="AM117" i="9" s="1"/>
  <c r="AD117" i="9"/>
  <c r="AE141" i="9" s="1"/>
  <c r="Y117" i="9"/>
  <c r="X117" i="9"/>
  <c r="W117" i="9"/>
  <c r="V117" i="9"/>
  <c r="U117" i="9"/>
  <c r="AL116" i="9"/>
  <c r="AK116" i="9"/>
  <c r="AM116" i="9" s="1"/>
  <c r="AJ116" i="9"/>
  <c r="AE116" i="9"/>
  <c r="AD116" i="9"/>
  <c r="Y116" i="9"/>
  <c r="X116" i="9"/>
  <c r="W116" i="9"/>
  <c r="V116" i="9"/>
  <c r="U116" i="9"/>
  <c r="AM115" i="9"/>
  <c r="AL115" i="9"/>
  <c r="AK115" i="9"/>
  <c r="AJ115" i="9"/>
  <c r="AD115" i="9"/>
  <c r="AE139" i="9" s="1"/>
  <c r="Y115" i="9"/>
  <c r="X115" i="9"/>
  <c r="W115" i="9"/>
  <c r="V115" i="9"/>
  <c r="U115" i="9"/>
  <c r="AM114" i="9"/>
  <c r="AL114" i="9"/>
  <c r="AK114" i="9"/>
  <c r="AJ114" i="9"/>
  <c r="AD114" i="9"/>
  <c r="AE138" i="9" s="1"/>
  <c r="Y114" i="9"/>
  <c r="X114" i="9"/>
  <c r="W114" i="9"/>
  <c r="V114" i="9"/>
  <c r="U114" i="9"/>
  <c r="AL113" i="9"/>
  <c r="AK113" i="9"/>
  <c r="AM113" i="9" s="1"/>
  <c r="AJ113" i="9"/>
  <c r="AD113" i="9"/>
  <c r="AE137" i="9" s="1"/>
  <c r="Y113" i="9"/>
  <c r="X113" i="9"/>
  <c r="W113" i="9"/>
  <c r="V113" i="9"/>
  <c r="U113" i="9"/>
  <c r="AM112" i="9"/>
  <c r="AL112" i="9"/>
  <c r="AK112" i="9"/>
  <c r="AJ112" i="9"/>
  <c r="AD112" i="9"/>
  <c r="AE136" i="9" s="1"/>
  <c r="Y112" i="9"/>
  <c r="X112" i="9"/>
  <c r="W112" i="9"/>
  <c r="V112" i="9"/>
  <c r="U112" i="9"/>
  <c r="AL111" i="9"/>
  <c r="AK111" i="9"/>
  <c r="AM111" i="9" s="1"/>
  <c r="AJ111" i="9"/>
  <c r="AE111" i="9"/>
  <c r="AD111" i="9"/>
  <c r="AE135" i="9" s="1"/>
  <c r="Y111" i="9"/>
  <c r="X111" i="9"/>
  <c r="W111" i="9"/>
  <c r="V111" i="9"/>
  <c r="U111" i="9"/>
  <c r="AM110" i="9"/>
  <c r="AL110" i="9"/>
  <c r="AK110" i="9"/>
  <c r="AJ110" i="9"/>
  <c r="AE110" i="9"/>
  <c r="AD110" i="9"/>
  <c r="Y110" i="9"/>
  <c r="X110" i="9"/>
  <c r="W110" i="9"/>
  <c r="V110" i="9"/>
  <c r="U110" i="9"/>
  <c r="AL109" i="9"/>
  <c r="AK109" i="9"/>
  <c r="AM109" i="9" s="1"/>
  <c r="AJ109" i="9"/>
  <c r="AD109" i="9"/>
  <c r="AE133" i="9" s="1"/>
  <c r="Y109" i="9"/>
  <c r="X109" i="9"/>
  <c r="W109" i="9"/>
  <c r="V109" i="9"/>
  <c r="U109" i="9"/>
  <c r="AL108" i="9"/>
  <c r="AK108" i="9"/>
  <c r="AM108" i="9" s="1"/>
  <c r="AJ108" i="9"/>
  <c r="AE108" i="9"/>
  <c r="AD108" i="9"/>
  <c r="Y108" i="9"/>
  <c r="X108" i="9"/>
  <c r="W108" i="9"/>
  <c r="V108" i="9"/>
  <c r="U108" i="9"/>
  <c r="AL107" i="9"/>
  <c r="AK107" i="9"/>
  <c r="AJ107" i="9"/>
  <c r="AM107" i="9" s="1"/>
  <c r="AD107" i="9"/>
  <c r="AE131" i="9" s="1"/>
  <c r="Y107" i="9"/>
  <c r="X107" i="9"/>
  <c r="W107" i="9"/>
  <c r="V107" i="9"/>
  <c r="U107" i="9"/>
  <c r="AL106" i="9"/>
  <c r="AK106" i="9"/>
  <c r="AM106" i="9" s="1"/>
  <c r="AJ106" i="9"/>
  <c r="AD106" i="9"/>
  <c r="AE130" i="9" s="1"/>
  <c r="Y106" i="9"/>
  <c r="X106" i="9"/>
  <c r="W106" i="9"/>
  <c r="V106" i="9"/>
  <c r="U106" i="9"/>
  <c r="AL105" i="9"/>
  <c r="AK105" i="9"/>
  <c r="AM105" i="9" s="1"/>
  <c r="AJ105" i="9"/>
  <c r="AD105" i="9"/>
  <c r="AE129" i="9" s="1"/>
  <c r="Y105" i="9"/>
  <c r="X105" i="9"/>
  <c r="W105" i="9"/>
  <c r="V105" i="9"/>
  <c r="U105" i="9"/>
  <c r="AL104" i="9"/>
  <c r="AK104" i="9"/>
  <c r="AM104" i="9" s="1"/>
  <c r="AJ104" i="9"/>
  <c r="AD104" i="9"/>
  <c r="AE128" i="9" s="1"/>
  <c r="Y104" i="9"/>
  <c r="X104" i="9"/>
  <c r="W104" i="9"/>
  <c r="V104" i="9"/>
  <c r="U104" i="9"/>
  <c r="AL103" i="9"/>
  <c r="AK103" i="9"/>
  <c r="AM103" i="9" s="1"/>
  <c r="AJ103" i="9"/>
  <c r="AD103" i="9"/>
  <c r="Y103" i="9"/>
  <c r="X103" i="9"/>
  <c r="W103" i="9"/>
  <c r="V103" i="9"/>
  <c r="U103" i="9"/>
  <c r="AL102" i="9"/>
  <c r="AK102" i="9"/>
  <c r="AM102" i="9" s="1"/>
  <c r="AJ102" i="9"/>
  <c r="AE102" i="9"/>
  <c r="AD102" i="9"/>
  <c r="Y102" i="9"/>
  <c r="X102" i="9"/>
  <c r="W102" i="9"/>
  <c r="V102" i="9"/>
  <c r="U102" i="9"/>
  <c r="AL101" i="9"/>
  <c r="AK101" i="9"/>
  <c r="AJ101" i="9"/>
  <c r="AM101" i="9" s="1"/>
  <c r="AD101" i="9"/>
  <c r="AE125" i="9" s="1"/>
  <c r="Y101" i="9"/>
  <c r="X101" i="9"/>
  <c r="W101" i="9"/>
  <c r="V101" i="9"/>
  <c r="U101" i="9"/>
  <c r="AL100" i="9"/>
  <c r="AK100" i="9"/>
  <c r="AM100" i="9" s="1"/>
  <c r="AJ100" i="9"/>
  <c r="AE100" i="9"/>
  <c r="AD100" i="9"/>
  <c r="Y100" i="9"/>
  <c r="X100" i="9"/>
  <c r="W100" i="9"/>
  <c r="V100" i="9"/>
  <c r="U100" i="9"/>
  <c r="AM99" i="9"/>
  <c r="AL99" i="9"/>
  <c r="AK99" i="9"/>
  <c r="AJ99" i="9"/>
  <c r="AD99" i="9"/>
  <c r="AE123" i="9" s="1"/>
  <c r="Y99" i="9"/>
  <c r="X99" i="9"/>
  <c r="W99" i="9"/>
  <c r="V99" i="9"/>
  <c r="U99" i="9"/>
  <c r="AM98" i="9"/>
  <c r="AL98" i="9"/>
  <c r="AK98" i="9"/>
  <c r="AJ98" i="9"/>
  <c r="AD98" i="9"/>
  <c r="AE122" i="9" s="1"/>
  <c r="Y98" i="9"/>
  <c r="X98" i="9"/>
  <c r="W98" i="9"/>
  <c r="V98" i="9"/>
  <c r="U98" i="9"/>
  <c r="AL97" i="9"/>
  <c r="AK97" i="9"/>
  <c r="AM97" i="9" s="1"/>
  <c r="AJ97" i="9"/>
  <c r="AD97" i="9"/>
  <c r="AE121" i="9" s="1"/>
  <c r="Y97" i="9"/>
  <c r="X97" i="9"/>
  <c r="W97" i="9"/>
  <c r="V97" i="9"/>
  <c r="U97" i="9"/>
  <c r="AM96" i="9"/>
  <c r="AL96" i="9"/>
  <c r="AK96" i="9"/>
  <c r="AJ96" i="9"/>
  <c r="AD96" i="9"/>
  <c r="AE120" i="9" s="1"/>
  <c r="Y96" i="9"/>
  <c r="X96" i="9"/>
  <c r="W96" i="9"/>
  <c r="V96" i="9"/>
  <c r="U96" i="9"/>
  <c r="AL95" i="9"/>
  <c r="AK95" i="9"/>
  <c r="AM95" i="9" s="1"/>
  <c r="AJ95" i="9"/>
  <c r="AE95" i="9"/>
  <c r="AD95" i="9"/>
  <c r="AE119" i="9" s="1"/>
  <c r="Y95" i="9"/>
  <c r="X95" i="9"/>
  <c r="W95" i="9"/>
  <c r="V95" i="9"/>
  <c r="U95" i="9"/>
  <c r="AM94" i="9"/>
  <c r="AL94" i="9"/>
  <c r="AK94" i="9"/>
  <c r="AJ94" i="9"/>
  <c r="AE94" i="9"/>
  <c r="AD94" i="9"/>
  <c r="Y94" i="9"/>
  <c r="X94" i="9"/>
  <c r="W94" i="9"/>
  <c r="V94" i="9"/>
  <c r="U94" i="9"/>
  <c r="AL93" i="9"/>
  <c r="AK93" i="9"/>
  <c r="AM93" i="9" s="1"/>
  <c r="AJ93" i="9"/>
  <c r="AD93" i="9"/>
  <c r="AE117" i="9" s="1"/>
  <c r="Y93" i="9"/>
  <c r="X93" i="9"/>
  <c r="W93" i="9"/>
  <c r="V93" i="9"/>
  <c r="U93" i="9"/>
  <c r="AL92" i="9"/>
  <c r="AK92" i="9"/>
  <c r="AM92" i="9" s="1"/>
  <c r="AJ92" i="9"/>
  <c r="AE92" i="9"/>
  <c r="AD92" i="9"/>
  <c r="Y92" i="9"/>
  <c r="X92" i="9"/>
  <c r="W92" i="9"/>
  <c r="V92" i="9"/>
  <c r="U92" i="9"/>
  <c r="AL91" i="9"/>
  <c r="AK91" i="9"/>
  <c r="AJ91" i="9"/>
  <c r="AM91" i="9" s="1"/>
  <c r="AD91" i="9"/>
  <c r="AE115" i="9" s="1"/>
  <c r="Y91" i="9"/>
  <c r="X91" i="9"/>
  <c r="W91" i="9"/>
  <c r="V91" i="9"/>
  <c r="U91" i="9"/>
  <c r="AL90" i="9"/>
  <c r="AK90" i="9"/>
  <c r="AM90" i="9" s="1"/>
  <c r="AJ90" i="9"/>
  <c r="AD90" i="9"/>
  <c r="AE114" i="9" s="1"/>
  <c r="Y90" i="9"/>
  <c r="X90" i="9"/>
  <c r="W90" i="9"/>
  <c r="V90" i="9"/>
  <c r="U90" i="9"/>
  <c r="AL89" i="9"/>
  <c r="AK89" i="9"/>
  <c r="AM89" i="9" s="1"/>
  <c r="AJ89" i="9"/>
  <c r="AD89" i="9"/>
  <c r="AE113" i="9" s="1"/>
  <c r="Y89" i="9"/>
  <c r="X89" i="9"/>
  <c r="W89" i="9"/>
  <c r="V89" i="9"/>
  <c r="U89" i="9"/>
  <c r="AL88" i="9"/>
  <c r="AK88" i="9"/>
  <c r="AM88" i="9" s="1"/>
  <c r="AJ88" i="9"/>
  <c r="AD88" i="9"/>
  <c r="AE112" i="9" s="1"/>
  <c r="Y88" i="9"/>
  <c r="X88" i="9"/>
  <c r="W88" i="9"/>
  <c r="V88" i="9"/>
  <c r="U88" i="9"/>
  <c r="AL87" i="9"/>
  <c r="AK87" i="9"/>
  <c r="AM87" i="9" s="1"/>
  <c r="AJ87" i="9"/>
  <c r="AD87" i="9"/>
  <c r="Y87" i="9"/>
  <c r="X87" i="9"/>
  <c r="W87" i="9"/>
  <c r="V87" i="9"/>
  <c r="U87" i="9"/>
  <c r="AL86" i="9"/>
  <c r="AK86" i="9"/>
  <c r="AM86" i="9" s="1"/>
  <c r="AJ86" i="9"/>
  <c r="AE86" i="9"/>
  <c r="AD86" i="9"/>
  <c r="Y86" i="9"/>
  <c r="X86" i="9"/>
  <c r="W86" i="9"/>
  <c r="V86" i="9"/>
  <c r="U86" i="9"/>
  <c r="AL85" i="9"/>
  <c r="AK85" i="9"/>
  <c r="AJ85" i="9"/>
  <c r="AM85" i="9" s="1"/>
  <c r="AD85" i="9"/>
  <c r="AE109" i="9" s="1"/>
  <c r="Y85" i="9"/>
  <c r="X85" i="9"/>
  <c r="W85" i="9"/>
  <c r="V85" i="9"/>
  <c r="U85" i="9"/>
  <c r="AL84" i="9"/>
  <c r="AK84" i="9"/>
  <c r="AM84" i="9" s="1"/>
  <c r="AJ84" i="9"/>
  <c r="AE84" i="9"/>
  <c r="AD84" i="9"/>
  <c r="Y84" i="9"/>
  <c r="X84" i="9"/>
  <c r="W84" i="9"/>
  <c r="V84" i="9"/>
  <c r="U84" i="9"/>
  <c r="AM83" i="9"/>
  <c r="AL83" i="9"/>
  <c r="AK83" i="9"/>
  <c r="AJ83" i="9"/>
  <c r="AD83" i="9"/>
  <c r="AE107" i="9" s="1"/>
  <c r="Y83" i="9"/>
  <c r="X83" i="9"/>
  <c r="W83" i="9"/>
  <c r="V83" i="9"/>
  <c r="U83" i="9"/>
  <c r="AM82" i="9"/>
  <c r="AL82" i="9"/>
  <c r="AK82" i="9"/>
  <c r="AJ82" i="9"/>
  <c r="AD82" i="9"/>
  <c r="AE106" i="9" s="1"/>
  <c r="Y82" i="9"/>
  <c r="X82" i="9"/>
  <c r="W82" i="9"/>
  <c r="V82" i="9"/>
  <c r="U82" i="9"/>
  <c r="AL81" i="9"/>
  <c r="AK81" i="9"/>
  <c r="AM81" i="9" s="1"/>
  <c r="AJ81" i="9"/>
  <c r="AD81" i="9"/>
  <c r="AE105" i="9" s="1"/>
  <c r="Y81" i="9"/>
  <c r="X81" i="9"/>
  <c r="W81" i="9"/>
  <c r="V81" i="9"/>
  <c r="U81" i="9"/>
  <c r="AM80" i="9"/>
  <c r="AL80" i="9"/>
  <c r="AK80" i="9"/>
  <c r="AJ80" i="9"/>
  <c r="AD80" i="9"/>
  <c r="AE104" i="9" s="1"/>
  <c r="Y80" i="9"/>
  <c r="X80" i="9"/>
  <c r="W80" i="9"/>
  <c r="V80" i="9"/>
  <c r="U80" i="9"/>
  <c r="AL79" i="9"/>
  <c r="AK79" i="9"/>
  <c r="AM79" i="9" s="1"/>
  <c r="AJ79" i="9"/>
  <c r="AE79" i="9"/>
  <c r="AD79" i="9"/>
  <c r="AE103" i="9" s="1"/>
  <c r="Y79" i="9"/>
  <c r="X79" i="9"/>
  <c r="W79" i="9"/>
  <c r="V79" i="9"/>
  <c r="U79" i="9"/>
  <c r="AM78" i="9"/>
  <c r="AL78" i="9"/>
  <c r="AK78" i="9"/>
  <c r="AJ78" i="9"/>
  <c r="AE78" i="9"/>
  <c r="AD78" i="9"/>
  <c r="Y78" i="9"/>
  <c r="X78" i="9"/>
  <c r="W78" i="9"/>
  <c r="V78" i="9"/>
  <c r="U78" i="9"/>
  <c r="AL77" i="9"/>
  <c r="AK77" i="9"/>
  <c r="AM77" i="9" s="1"/>
  <c r="AJ77" i="9"/>
  <c r="AD77" i="9"/>
  <c r="AE101" i="9" s="1"/>
  <c r="Y77" i="9"/>
  <c r="X77" i="9"/>
  <c r="W77" i="9"/>
  <c r="V77" i="9"/>
  <c r="U77" i="9"/>
  <c r="AL76" i="9"/>
  <c r="AK76" i="9"/>
  <c r="AM76" i="9" s="1"/>
  <c r="AJ76" i="9"/>
  <c r="AE76" i="9"/>
  <c r="AD76" i="9"/>
  <c r="Y76" i="9"/>
  <c r="X76" i="9"/>
  <c r="W76" i="9"/>
  <c r="V76" i="9"/>
  <c r="U76" i="9"/>
  <c r="AL75" i="9"/>
  <c r="AK75" i="9"/>
  <c r="AJ75" i="9"/>
  <c r="AM75" i="9" s="1"/>
  <c r="AD75" i="9"/>
  <c r="AE99" i="9" s="1"/>
  <c r="Y75" i="9"/>
  <c r="X75" i="9"/>
  <c r="W75" i="9"/>
  <c r="V75" i="9"/>
  <c r="U75" i="9"/>
  <c r="AL74" i="9"/>
  <c r="AK74" i="9"/>
  <c r="AM74" i="9" s="1"/>
  <c r="AJ74" i="9"/>
  <c r="AD74" i="9"/>
  <c r="AE98" i="9" s="1"/>
  <c r="Y74" i="9"/>
  <c r="X74" i="9"/>
  <c r="W74" i="9"/>
  <c r="V74" i="9"/>
  <c r="U74" i="9"/>
  <c r="AL73" i="9"/>
  <c r="AK73" i="9"/>
  <c r="AM73" i="9" s="1"/>
  <c r="AJ73" i="9"/>
  <c r="AD73" i="9"/>
  <c r="AE97" i="9" s="1"/>
  <c r="Y73" i="9"/>
  <c r="X73" i="9"/>
  <c r="W73" i="9"/>
  <c r="V73" i="9"/>
  <c r="U73" i="9"/>
  <c r="AL72" i="9"/>
  <c r="AK72" i="9"/>
  <c r="AM72" i="9" s="1"/>
  <c r="AJ72" i="9"/>
  <c r="AD72" i="9"/>
  <c r="AE96" i="9" s="1"/>
  <c r="Y72" i="9"/>
  <c r="X72" i="9"/>
  <c r="W72" i="9"/>
  <c r="V72" i="9"/>
  <c r="U72" i="9"/>
  <c r="AL71" i="9"/>
  <c r="AK71" i="9"/>
  <c r="AM71" i="9" s="1"/>
  <c r="AJ71" i="9"/>
  <c r="AD71" i="9"/>
  <c r="Y71" i="9"/>
  <c r="X71" i="9"/>
  <c r="W71" i="9"/>
  <c r="V71" i="9"/>
  <c r="U71" i="9"/>
  <c r="AL70" i="9"/>
  <c r="AK70" i="9"/>
  <c r="AM70" i="9" s="1"/>
  <c r="AJ70" i="9"/>
  <c r="AE70" i="9"/>
  <c r="AD70" i="9"/>
  <c r="Y70" i="9"/>
  <c r="X70" i="9"/>
  <c r="W70" i="9"/>
  <c r="V70" i="9"/>
  <c r="U70" i="9"/>
  <c r="AL69" i="9"/>
  <c r="AK69" i="9"/>
  <c r="AJ69" i="9"/>
  <c r="AM69" i="9" s="1"/>
  <c r="AD69" i="9"/>
  <c r="AE93" i="9" s="1"/>
  <c r="Y69" i="9"/>
  <c r="X69" i="9"/>
  <c r="W69" i="9"/>
  <c r="V69" i="9"/>
  <c r="U69" i="9"/>
  <c r="AL68" i="9"/>
  <c r="AK68" i="9"/>
  <c r="AM68" i="9" s="1"/>
  <c r="AJ68" i="9"/>
  <c r="AE68" i="9"/>
  <c r="AD68" i="9"/>
  <c r="Y68" i="9"/>
  <c r="X68" i="9"/>
  <c r="W68" i="9"/>
  <c r="V68" i="9"/>
  <c r="U68" i="9"/>
  <c r="AM67" i="9"/>
  <c r="AL67" i="9"/>
  <c r="AK67" i="9"/>
  <c r="AJ67" i="9"/>
  <c r="AD67" i="9"/>
  <c r="AE91" i="9" s="1"/>
  <c r="Y67" i="9"/>
  <c r="X67" i="9"/>
  <c r="W67" i="9"/>
  <c r="V67" i="9"/>
  <c r="U67" i="9"/>
  <c r="AM66" i="9"/>
  <c r="AL66" i="9"/>
  <c r="AK66" i="9"/>
  <c r="AJ66" i="9"/>
  <c r="AD66" i="9"/>
  <c r="AE90" i="9" s="1"/>
  <c r="Y66" i="9"/>
  <c r="X66" i="9"/>
  <c r="W66" i="9"/>
  <c r="V66" i="9"/>
  <c r="U66" i="9"/>
  <c r="AL65" i="9"/>
  <c r="AK65" i="9"/>
  <c r="AM65" i="9" s="1"/>
  <c r="AJ65" i="9"/>
  <c r="AD65" i="9"/>
  <c r="AE89" i="9" s="1"/>
  <c r="Y65" i="9"/>
  <c r="X65" i="9"/>
  <c r="W65" i="9"/>
  <c r="V65" i="9"/>
  <c r="U65" i="9"/>
  <c r="AM64" i="9"/>
  <c r="AL64" i="9"/>
  <c r="AK64" i="9"/>
  <c r="AJ64" i="9"/>
  <c r="AD64" i="9"/>
  <c r="AE88" i="9" s="1"/>
  <c r="Y64" i="9"/>
  <c r="X64" i="9"/>
  <c r="W64" i="9"/>
  <c r="V64" i="9"/>
  <c r="U64" i="9"/>
  <c r="AL63" i="9"/>
  <c r="AK63" i="9"/>
  <c r="AM63" i="9" s="1"/>
  <c r="AJ63" i="9"/>
  <c r="AE63" i="9"/>
  <c r="AD63" i="9"/>
  <c r="AE87" i="9" s="1"/>
  <c r="Y63" i="9"/>
  <c r="X63" i="9"/>
  <c r="W63" i="9"/>
  <c r="V63" i="9"/>
  <c r="U63" i="9"/>
  <c r="AM62" i="9"/>
  <c r="AL62" i="9"/>
  <c r="AK62" i="9"/>
  <c r="AJ62" i="9"/>
  <c r="AE62" i="9"/>
  <c r="AD62" i="9"/>
  <c r="Y62" i="9"/>
  <c r="X62" i="9"/>
  <c r="W62" i="9"/>
  <c r="V62" i="9"/>
  <c r="U62" i="9"/>
  <c r="AL61" i="9"/>
  <c r="AK61" i="9"/>
  <c r="AM61" i="9" s="1"/>
  <c r="AJ61" i="9"/>
  <c r="AD61" i="9"/>
  <c r="AE85" i="9" s="1"/>
  <c r="Y61" i="9"/>
  <c r="X61" i="9"/>
  <c r="W61" i="9"/>
  <c r="V61" i="9"/>
  <c r="U61" i="9"/>
  <c r="AL60" i="9"/>
  <c r="AK60" i="9"/>
  <c r="AM60" i="9" s="1"/>
  <c r="AJ60" i="9"/>
  <c r="AE60" i="9"/>
  <c r="AD60" i="9"/>
  <c r="Y60" i="9"/>
  <c r="X60" i="9"/>
  <c r="W60" i="9"/>
  <c r="V60" i="9"/>
  <c r="U60" i="9"/>
  <c r="AL59" i="9"/>
  <c r="AK59" i="9"/>
  <c r="AJ59" i="9"/>
  <c r="AM59" i="9" s="1"/>
  <c r="AD59" i="9"/>
  <c r="AE83" i="9" s="1"/>
  <c r="Y59" i="9"/>
  <c r="X59" i="9"/>
  <c r="W59" i="9"/>
  <c r="V59" i="9"/>
  <c r="U59" i="9"/>
  <c r="AL58" i="9"/>
  <c r="AK58" i="9"/>
  <c r="AM58" i="9" s="1"/>
  <c r="AJ58" i="9"/>
  <c r="AD58" i="9"/>
  <c r="AE82" i="9" s="1"/>
  <c r="Y58" i="9"/>
  <c r="X58" i="9"/>
  <c r="W58" i="9"/>
  <c r="V58" i="9"/>
  <c r="U58" i="9"/>
  <c r="AL57" i="9"/>
  <c r="AK57" i="9"/>
  <c r="AM57" i="9" s="1"/>
  <c r="AJ57" i="9"/>
  <c r="AD57" i="9"/>
  <c r="AE81" i="9" s="1"/>
  <c r="Y57" i="9"/>
  <c r="X57" i="9"/>
  <c r="W57" i="9"/>
  <c r="V57" i="9"/>
  <c r="U57" i="9"/>
  <c r="AL56" i="9"/>
  <c r="AK56" i="9"/>
  <c r="AM56" i="9" s="1"/>
  <c r="AJ56" i="9"/>
  <c r="AD56" i="9"/>
  <c r="AE80" i="9" s="1"/>
  <c r="Y56" i="9"/>
  <c r="X56" i="9"/>
  <c r="W56" i="9"/>
  <c r="V56" i="9"/>
  <c r="U56" i="9"/>
  <c r="AL55" i="9"/>
  <c r="AK55" i="9"/>
  <c r="AM55" i="9" s="1"/>
  <c r="AJ55" i="9"/>
  <c r="AD55" i="9"/>
  <c r="Y55" i="9"/>
  <c r="X55" i="9"/>
  <c r="W55" i="9"/>
  <c r="V55" i="9"/>
  <c r="U55" i="9"/>
  <c r="AL54" i="9"/>
  <c r="AK54" i="9"/>
  <c r="AM54" i="9" s="1"/>
  <c r="AJ54" i="9"/>
  <c r="AE54" i="9"/>
  <c r="AD54" i="9"/>
  <c r="Y54" i="9"/>
  <c r="X54" i="9"/>
  <c r="W54" i="9"/>
  <c r="V54" i="9"/>
  <c r="U54" i="9"/>
  <c r="AL53" i="9"/>
  <c r="AK53" i="9"/>
  <c r="AJ53" i="9"/>
  <c r="AM53" i="9" s="1"/>
  <c r="AD53" i="9"/>
  <c r="AE77" i="9" s="1"/>
  <c r="Y53" i="9"/>
  <c r="X53" i="9"/>
  <c r="W53" i="9"/>
  <c r="V53" i="9"/>
  <c r="U53" i="9"/>
  <c r="AL52" i="9"/>
  <c r="AK52" i="9"/>
  <c r="AM52" i="9" s="1"/>
  <c r="AJ52" i="9"/>
  <c r="AE52" i="9"/>
  <c r="AD52" i="9"/>
  <c r="Y52" i="9"/>
  <c r="X52" i="9"/>
  <c r="W52" i="9"/>
  <c r="V52" i="9"/>
  <c r="U52" i="9"/>
  <c r="AM51" i="9"/>
  <c r="AL51" i="9"/>
  <c r="AK51" i="9"/>
  <c r="AJ51" i="9"/>
  <c r="AD51" i="9"/>
  <c r="AE75" i="9" s="1"/>
  <c r="Y51" i="9"/>
  <c r="X51" i="9"/>
  <c r="W51" i="9"/>
  <c r="V51" i="9"/>
  <c r="U51" i="9"/>
  <c r="AM50" i="9"/>
  <c r="AL50" i="9"/>
  <c r="AK50" i="9"/>
  <c r="AJ50" i="9"/>
  <c r="AD50" i="9"/>
  <c r="AE74" i="9" s="1"/>
  <c r="Y50" i="9"/>
  <c r="X50" i="9"/>
  <c r="W50" i="9"/>
  <c r="V50" i="9"/>
  <c r="U50" i="9"/>
  <c r="AL49" i="9"/>
  <c r="AK49" i="9"/>
  <c r="AM49" i="9" s="1"/>
  <c r="AJ49" i="9"/>
  <c r="AD49" i="9"/>
  <c r="AE73" i="9" s="1"/>
  <c r="Y49" i="9"/>
  <c r="X49" i="9"/>
  <c r="W49" i="9"/>
  <c r="V49" i="9"/>
  <c r="U49" i="9"/>
  <c r="AM48" i="9"/>
  <c r="AL48" i="9"/>
  <c r="AK48" i="9"/>
  <c r="AJ48" i="9"/>
  <c r="AD48" i="9"/>
  <c r="AE72" i="9" s="1"/>
  <c r="Y48" i="9"/>
  <c r="X48" i="9"/>
  <c r="W48" i="9"/>
  <c r="V48" i="9"/>
  <c r="U48" i="9"/>
  <c r="AL47" i="9"/>
  <c r="AK47" i="9"/>
  <c r="AM47" i="9" s="1"/>
  <c r="AJ47" i="9"/>
  <c r="AE47" i="9"/>
  <c r="AD47" i="9"/>
  <c r="AE71" i="9" s="1"/>
  <c r="Y47" i="9"/>
  <c r="X47" i="9"/>
  <c r="W47" i="9"/>
  <c r="V47" i="9"/>
  <c r="U47" i="9"/>
  <c r="AM46" i="9"/>
  <c r="AL46" i="9"/>
  <c r="AK46" i="9"/>
  <c r="AJ46" i="9"/>
  <c r="AD46" i="9"/>
  <c r="Y46" i="9"/>
  <c r="X46" i="9"/>
  <c r="W46" i="9"/>
  <c r="V46" i="9"/>
  <c r="U46" i="9"/>
  <c r="AL45" i="9"/>
  <c r="AK45" i="9"/>
  <c r="AM45" i="9" s="1"/>
  <c r="AJ45" i="9"/>
  <c r="AE45" i="9"/>
  <c r="AD45" i="9"/>
  <c r="AE69" i="9" s="1"/>
  <c r="Y45" i="9"/>
  <c r="X45" i="9"/>
  <c r="W45" i="9"/>
  <c r="V45" i="9"/>
  <c r="U45" i="9"/>
  <c r="AL44" i="9"/>
  <c r="AK44" i="9"/>
  <c r="AM44" i="9" s="1"/>
  <c r="AJ44" i="9"/>
  <c r="AE44" i="9"/>
  <c r="AD44" i="9"/>
  <c r="Y44" i="9"/>
  <c r="X44" i="9"/>
  <c r="W44" i="9"/>
  <c r="V44" i="9"/>
  <c r="U44" i="9"/>
  <c r="AL43" i="9"/>
  <c r="AK43" i="9"/>
  <c r="AJ43" i="9"/>
  <c r="AM43" i="9" s="1"/>
  <c r="AD43" i="9"/>
  <c r="AE67" i="9" s="1"/>
  <c r="Y43" i="9"/>
  <c r="X43" i="9"/>
  <c r="W43" i="9"/>
  <c r="V43" i="9"/>
  <c r="U43" i="9"/>
  <c r="AL42" i="9"/>
  <c r="AK42" i="9"/>
  <c r="AM42" i="9" s="1"/>
  <c r="AJ42" i="9"/>
  <c r="AD42" i="9"/>
  <c r="AE66" i="9" s="1"/>
  <c r="Y42" i="9"/>
  <c r="X42" i="9"/>
  <c r="W42" i="9"/>
  <c r="V42" i="9"/>
  <c r="U42" i="9"/>
  <c r="AL41" i="9"/>
  <c r="AK41" i="9"/>
  <c r="AM41" i="9" s="1"/>
  <c r="AJ41" i="9"/>
  <c r="AD41" i="9"/>
  <c r="AE65" i="9" s="1"/>
  <c r="Y41" i="9"/>
  <c r="X41" i="9"/>
  <c r="W41" i="9"/>
  <c r="V41" i="9"/>
  <c r="U41" i="9"/>
  <c r="AL40" i="9"/>
  <c r="AK40" i="9"/>
  <c r="AM40" i="9" s="1"/>
  <c r="AJ40" i="9"/>
  <c r="AD40" i="9"/>
  <c r="AE64" i="9" s="1"/>
  <c r="Y40" i="9"/>
  <c r="X40" i="9"/>
  <c r="W40" i="9"/>
  <c r="V40" i="9"/>
  <c r="U40" i="9"/>
  <c r="AL39" i="9"/>
  <c r="AK39" i="9"/>
  <c r="AM39" i="9" s="1"/>
  <c r="AJ39" i="9"/>
  <c r="AD39" i="9"/>
  <c r="Y39" i="9"/>
  <c r="X39" i="9"/>
  <c r="W39" i="9"/>
  <c r="V39" i="9"/>
  <c r="U39" i="9"/>
  <c r="AL38" i="9"/>
  <c r="AK38" i="9"/>
  <c r="AM38" i="9" s="1"/>
  <c r="AJ38" i="9"/>
  <c r="AD38" i="9"/>
  <c r="Y38" i="9"/>
  <c r="X38" i="9"/>
  <c r="W38" i="9"/>
  <c r="V38" i="9"/>
  <c r="U38" i="9"/>
  <c r="AL37" i="9"/>
  <c r="AK37" i="9"/>
  <c r="AJ37" i="9"/>
  <c r="AM37" i="9" s="1"/>
  <c r="AE37" i="9"/>
  <c r="AD37" i="9"/>
  <c r="AE61" i="9" s="1"/>
  <c r="Y37" i="9"/>
  <c r="X37" i="9"/>
  <c r="W37" i="9"/>
  <c r="V37" i="9"/>
  <c r="U37" i="9"/>
  <c r="AL36" i="9"/>
  <c r="AK36" i="9"/>
  <c r="AM36" i="9" s="1"/>
  <c r="AJ36" i="9"/>
  <c r="AD36" i="9"/>
  <c r="Y36" i="9"/>
  <c r="X36" i="9"/>
  <c r="W36" i="9"/>
  <c r="V36" i="9"/>
  <c r="U36" i="9"/>
  <c r="AM35" i="9"/>
  <c r="AL35" i="9"/>
  <c r="AK35" i="9"/>
  <c r="AJ35" i="9"/>
  <c r="AD35" i="9"/>
  <c r="AE59" i="9" s="1"/>
  <c r="Y35" i="9"/>
  <c r="X35" i="9"/>
  <c r="W35" i="9"/>
  <c r="V35" i="9"/>
  <c r="U35" i="9"/>
  <c r="AM34" i="9"/>
  <c r="AL34" i="9"/>
  <c r="AK34" i="9"/>
  <c r="AJ34" i="9"/>
  <c r="AD34" i="9"/>
  <c r="AE58" i="9" s="1"/>
  <c r="Y34" i="9"/>
  <c r="X34" i="9"/>
  <c r="W34" i="9"/>
  <c r="V34" i="9"/>
  <c r="U34" i="9"/>
  <c r="AL33" i="9"/>
  <c r="AK33" i="9"/>
  <c r="AM33" i="9" s="1"/>
  <c r="AJ33" i="9"/>
  <c r="AD33" i="9"/>
  <c r="AE57" i="9" s="1"/>
  <c r="Y33" i="9"/>
  <c r="X33" i="9"/>
  <c r="W33" i="9"/>
  <c r="V33" i="9"/>
  <c r="U33" i="9"/>
  <c r="AM32" i="9"/>
  <c r="AL32" i="9"/>
  <c r="AK32" i="9"/>
  <c r="AJ32" i="9"/>
  <c r="AD32" i="9"/>
  <c r="AE56" i="9" s="1"/>
  <c r="Y32" i="9"/>
  <c r="X32" i="9"/>
  <c r="W32" i="9"/>
  <c r="V32" i="9"/>
  <c r="U32" i="9"/>
  <c r="AL31" i="9"/>
  <c r="AK31" i="9"/>
  <c r="AM31" i="9" s="1"/>
  <c r="AJ31" i="9"/>
  <c r="AE31" i="9"/>
  <c r="AD31" i="9"/>
  <c r="AE55" i="9" s="1"/>
  <c r="Y31" i="9"/>
  <c r="X31" i="9"/>
  <c r="W31" i="9"/>
  <c r="V31" i="9"/>
  <c r="U31" i="9"/>
  <c r="AM30" i="9"/>
  <c r="AL30" i="9"/>
  <c r="AK30" i="9"/>
  <c r="AJ30" i="9"/>
  <c r="AD30" i="9"/>
  <c r="Y30" i="9"/>
  <c r="X30" i="9"/>
  <c r="W30" i="9"/>
  <c r="V30" i="9"/>
  <c r="U30" i="9"/>
  <c r="AL29" i="9"/>
  <c r="AK29" i="9"/>
  <c r="AM29" i="9" s="1"/>
  <c r="AJ29" i="9"/>
  <c r="AE29" i="9"/>
  <c r="AD29" i="9"/>
  <c r="AE53" i="9" s="1"/>
  <c r="Y29" i="9"/>
  <c r="X29" i="9"/>
  <c r="W29" i="9"/>
  <c r="V29" i="9"/>
  <c r="U29" i="9"/>
  <c r="AL28" i="9"/>
  <c r="AK28" i="9"/>
  <c r="AM28" i="9" s="1"/>
  <c r="AJ28" i="9"/>
  <c r="AE28" i="9"/>
  <c r="AD28" i="9"/>
  <c r="Y28" i="9"/>
  <c r="X28" i="9"/>
  <c r="W28" i="9"/>
  <c r="V28" i="9"/>
  <c r="U28" i="9"/>
  <c r="AL27" i="9"/>
  <c r="AK27" i="9"/>
  <c r="AJ27" i="9"/>
  <c r="AM27" i="9" s="1"/>
  <c r="AD27" i="9"/>
  <c r="AE51" i="9" s="1"/>
  <c r="Y27" i="9"/>
  <c r="X27" i="9"/>
  <c r="W27" i="9"/>
  <c r="V27" i="9"/>
  <c r="U27" i="9"/>
  <c r="AL26" i="9"/>
  <c r="AK26" i="9"/>
  <c r="AM26" i="9" s="1"/>
  <c r="AJ26" i="9"/>
  <c r="AD26" i="9"/>
  <c r="AE50" i="9" s="1"/>
  <c r="Y26" i="9"/>
  <c r="X26" i="9"/>
  <c r="W26" i="9"/>
  <c r="V26" i="9"/>
  <c r="U26" i="9"/>
  <c r="AL25" i="9"/>
  <c r="AK25" i="9"/>
  <c r="AM25" i="9" s="1"/>
  <c r="AJ25" i="9"/>
  <c r="AD25" i="9"/>
  <c r="AE49" i="9" s="1"/>
  <c r="Y25" i="9"/>
  <c r="X25" i="9"/>
  <c r="W25" i="9"/>
  <c r="V25" i="9"/>
  <c r="U25" i="9"/>
  <c r="AM24" i="9"/>
  <c r="AL24" i="9"/>
  <c r="AK24" i="9"/>
  <c r="AJ24" i="9"/>
  <c r="AD24" i="9"/>
  <c r="AE48" i="9" s="1"/>
  <c r="Y24" i="9"/>
  <c r="X24" i="9"/>
  <c r="W24" i="9"/>
  <c r="V24" i="9"/>
  <c r="U24" i="9"/>
  <c r="AM23" i="9"/>
  <c r="AL23" i="9"/>
  <c r="AK23" i="9"/>
  <c r="AJ23" i="9"/>
  <c r="AD23" i="9"/>
  <c r="Y23" i="9"/>
  <c r="X23" i="9"/>
  <c r="W23" i="9"/>
  <c r="V23" i="9"/>
  <c r="U23" i="9"/>
  <c r="AM22" i="9"/>
  <c r="AL22" i="9"/>
  <c r="AK22" i="9"/>
  <c r="AJ22" i="9"/>
  <c r="AD22" i="9"/>
  <c r="AE46" i="9" s="1"/>
  <c r="Y22" i="9"/>
  <c r="X22" i="9"/>
  <c r="W22" i="9"/>
  <c r="V22" i="9"/>
  <c r="U22" i="9"/>
  <c r="AL21" i="9"/>
  <c r="AK21" i="9"/>
  <c r="AM21" i="9" s="1"/>
  <c r="AJ21" i="9"/>
  <c r="AD21" i="9"/>
  <c r="Y21" i="9"/>
  <c r="X21" i="9"/>
  <c r="W21" i="9"/>
  <c r="V21" i="9"/>
  <c r="U21" i="9"/>
  <c r="AL20" i="9"/>
  <c r="AK20" i="9"/>
  <c r="AM20" i="9" s="1"/>
  <c r="AJ20" i="9"/>
  <c r="AD20" i="9"/>
  <c r="Y20" i="9"/>
  <c r="X20" i="9"/>
  <c r="W20" i="9"/>
  <c r="V20" i="9"/>
  <c r="U20" i="9"/>
  <c r="AL19" i="9"/>
  <c r="AK19" i="9"/>
  <c r="AM19" i="9" s="1"/>
  <c r="AJ19" i="9"/>
  <c r="AD19" i="9"/>
  <c r="AE43" i="9" s="1"/>
  <c r="Y19" i="9"/>
  <c r="X19" i="9"/>
  <c r="W19" i="9"/>
  <c r="V19" i="9"/>
  <c r="U19" i="9"/>
  <c r="AL18" i="9"/>
  <c r="AK18" i="9"/>
  <c r="AM18" i="9" s="1"/>
  <c r="AJ18" i="9"/>
  <c r="AD18" i="9"/>
  <c r="AE42" i="9" s="1"/>
  <c r="Y18" i="9"/>
  <c r="X18" i="9"/>
  <c r="W18" i="9"/>
  <c r="V18" i="9"/>
  <c r="U18" i="9"/>
  <c r="AL17" i="9"/>
  <c r="AK17" i="9"/>
  <c r="AM17" i="9" s="1"/>
  <c r="AJ17" i="9"/>
  <c r="AD17" i="9"/>
  <c r="AE41" i="9" s="1"/>
  <c r="Y17" i="9"/>
  <c r="X17" i="9"/>
  <c r="W17" i="9"/>
  <c r="V17" i="9"/>
  <c r="U17" i="9"/>
  <c r="AM16" i="9"/>
  <c r="AL16" i="9"/>
  <c r="AK16" i="9"/>
  <c r="AJ16" i="9"/>
  <c r="AD16" i="9"/>
  <c r="AE40" i="9" s="1"/>
  <c r="Y16" i="9"/>
  <c r="X16" i="9"/>
  <c r="W16" i="9"/>
  <c r="V16" i="9"/>
  <c r="U16" i="9"/>
  <c r="AM15" i="9"/>
  <c r="AL15" i="9"/>
  <c r="AK15" i="9"/>
  <c r="AJ15" i="9"/>
  <c r="AD15" i="9"/>
  <c r="AE39" i="9" s="1"/>
  <c r="Y15" i="9"/>
  <c r="X15" i="9"/>
  <c r="W15" i="9"/>
  <c r="V15" i="9"/>
  <c r="U15" i="9"/>
  <c r="AM14" i="9"/>
  <c r="AL14" i="9"/>
  <c r="AK14" i="9"/>
  <c r="AJ14" i="9"/>
  <c r="AD14" i="9"/>
  <c r="AE38" i="9" s="1"/>
  <c r="Y14" i="9"/>
  <c r="X14" i="9"/>
  <c r="W14" i="9"/>
  <c r="V14" i="9"/>
  <c r="U14" i="9"/>
  <c r="AL13" i="9"/>
  <c r="AK13" i="9"/>
  <c r="AM13" i="9" s="1"/>
  <c r="AJ13" i="9"/>
  <c r="AD13" i="9"/>
  <c r="Y13" i="9"/>
  <c r="X13" i="9"/>
  <c r="W13" i="9"/>
  <c r="V13" i="9"/>
  <c r="U13" i="9"/>
  <c r="AL12" i="9"/>
  <c r="AK12" i="9"/>
  <c r="AM12" i="9" s="1"/>
  <c r="AJ12" i="9"/>
  <c r="AD12" i="9"/>
  <c r="AE36" i="9" s="1"/>
  <c r="Y12" i="9"/>
  <c r="X12" i="9"/>
  <c r="W12" i="9"/>
  <c r="V12" i="9"/>
  <c r="U12" i="9"/>
  <c r="AL11" i="9"/>
  <c r="AK11" i="9"/>
  <c r="AM11" i="9" s="1"/>
  <c r="AJ11" i="9"/>
  <c r="AD11" i="9"/>
  <c r="AE35" i="9" s="1"/>
  <c r="Y11" i="9"/>
  <c r="X11" i="9"/>
  <c r="W11" i="9"/>
  <c r="V11" i="9"/>
  <c r="U11" i="9"/>
  <c r="AL10" i="9"/>
  <c r="AK10" i="9"/>
  <c r="AM10" i="9" s="1"/>
  <c r="AJ10" i="9"/>
  <c r="AD10" i="9"/>
  <c r="AE34" i="9" s="1"/>
  <c r="Y10" i="9"/>
  <c r="X10" i="9"/>
  <c r="W10" i="9"/>
  <c r="V10" i="9"/>
  <c r="U10" i="9"/>
  <c r="AL9" i="9"/>
  <c r="AK9" i="9"/>
  <c r="AM9" i="9" s="1"/>
  <c r="AJ9" i="9"/>
  <c r="AD9" i="9"/>
  <c r="AE33" i="9" s="1"/>
  <c r="Y9" i="9"/>
  <c r="X9" i="9"/>
  <c r="W9" i="9"/>
  <c r="V9" i="9"/>
  <c r="U9" i="9"/>
  <c r="AM8" i="9"/>
  <c r="AL8" i="9"/>
  <c r="AK8" i="9"/>
  <c r="AJ8" i="9"/>
  <c r="AD8" i="9"/>
  <c r="AE32" i="9" s="1"/>
  <c r="Y8" i="9"/>
  <c r="X8" i="9"/>
  <c r="W8" i="9"/>
  <c r="V8" i="9"/>
  <c r="U8" i="9"/>
  <c r="AM7" i="9"/>
  <c r="AL7" i="9"/>
  <c r="AK7" i="9"/>
  <c r="AJ7" i="9"/>
  <c r="AD7" i="9"/>
  <c r="Y7" i="9"/>
  <c r="X7" i="9"/>
  <c r="W7" i="9"/>
  <c r="V7" i="9"/>
  <c r="U7" i="9"/>
  <c r="AM6" i="9"/>
  <c r="AL6" i="9"/>
  <c r="AK6" i="9"/>
  <c r="AJ6" i="9"/>
  <c r="AD6" i="9"/>
  <c r="AE30" i="9" s="1"/>
  <c r="Y6" i="9"/>
  <c r="X6" i="9"/>
  <c r="W6" i="9"/>
  <c r="V6" i="9"/>
  <c r="U6" i="9"/>
  <c r="AL5" i="9"/>
  <c r="AK5" i="9"/>
  <c r="AM5" i="9" s="1"/>
  <c r="AJ5" i="9"/>
  <c r="AD5" i="9"/>
  <c r="Y5" i="9"/>
  <c r="X5" i="9"/>
  <c r="W5" i="9"/>
  <c r="V5" i="9"/>
  <c r="U5" i="9"/>
  <c r="AL4" i="9"/>
  <c r="AK4" i="9"/>
  <c r="AM4" i="9" s="1"/>
  <c r="AJ4" i="9"/>
  <c r="AD4" i="9"/>
  <c r="Y4" i="9"/>
  <c r="X4" i="9"/>
  <c r="W4" i="9"/>
  <c r="V4" i="9"/>
  <c r="U4" i="9"/>
  <c r="AL3" i="9"/>
  <c r="AK3" i="9"/>
  <c r="AM3" i="9" s="1"/>
  <c r="AJ3" i="9"/>
  <c r="AD3" i="9"/>
  <c r="AE27" i="9" s="1"/>
  <c r="Y3" i="9"/>
  <c r="X3" i="9"/>
  <c r="W3" i="9"/>
  <c r="V3" i="9"/>
  <c r="U3" i="9"/>
  <c r="CM3" i="4"/>
  <c r="CM4" i="4"/>
  <c r="CM5" i="4"/>
  <c r="CM6" i="4"/>
  <c r="CM7" i="4"/>
  <c r="CM8" i="4"/>
  <c r="CM9" i="4"/>
  <c r="CM10" i="4"/>
  <c r="CM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41" i="4"/>
  <c r="CM42" i="4"/>
  <c r="CM43" i="4"/>
  <c r="CM44" i="4"/>
  <c r="CM45" i="4"/>
  <c r="CM46" i="4"/>
  <c r="CM47" i="4"/>
  <c r="CM48" i="4"/>
  <c r="CM49" i="4"/>
  <c r="CK3" i="4"/>
  <c r="CK4" i="4"/>
  <c r="CK5" i="4"/>
  <c r="CK6" i="4"/>
  <c r="CK7" i="4"/>
  <c r="CK8" i="4"/>
  <c r="CK9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41" i="4"/>
  <c r="CK42" i="4"/>
  <c r="CK43" i="4"/>
  <c r="CK44" i="4"/>
  <c r="CK45" i="4"/>
  <c r="CK46" i="4"/>
  <c r="CK47" i="4"/>
  <c r="CK48" i="4"/>
  <c r="CK49" i="4"/>
  <c r="CJ3" i="4"/>
  <c r="CJ4" i="4"/>
  <c r="CJ5" i="4"/>
  <c r="CJ6" i="4"/>
  <c r="CJ7" i="4"/>
  <c r="CJ8" i="4"/>
  <c r="CJ9" i="4"/>
  <c r="CJ10" i="4"/>
  <c r="CJ11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H3" i="4"/>
  <c r="CH4" i="4"/>
  <c r="CH5" i="4"/>
  <c r="CH6" i="4"/>
  <c r="CH7" i="4"/>
  <c r="CH8" i="4"/>
  <c r="CH9" i="4"/>
  <c r="CH10" i="4"/>
  <c r="CH11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F3" i="4"/>
  <c r="CF4" i="4"/>
  <c r="CF5" i="4"/>
  <c r="CF6" i="4"/>
  <c r="CF7" i="4"/>
  <c r="CF8" i="4"/>
  <c r="CF9" i="4"/>
  <c r="CF10" i="4"/>
  <c r="CF11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AM243" i="1"/>
  <c r="AN243" i="1"/>
  <c r="AO243" i="1"/>
  <c r="AM244" i="1"/>
  <c r="AN244" i="1"/>
  <c r="AO244" i="1"/>
  <c r="AM245" i="1"/>
  <c r="AN245" i="1"/>
  <c r="AO245" i="1"/>
  <c r="AM246" i="1"/>
  <c r="AN246" i="1"/>
  <c r="AO246" i="1"/>
  <c r="AM247" i="1"/>
  <c r="AN247" i="1"/>
  <c r="AO247" i="1"/>
  <c r="AM248" i="1"/>
  <c r="AN248" i="1"/>
  <c r="AO248" i="1"/>
  <c r="AM249" i="1"/>
  <c r="AN249" i="1"/>
  <c r="AO249" i="1"/>
  <c r="AM250" i="1"/>
  <c r="AN250" i="1"/>
  <c r="AO250" i="1"/>
  <c r="AM251" i="1"/>
  <c r="AN251" i="1"/>
  <c r="AO251" i="1"/>
  <c r="AM252" i="1"/>
  <c r="AN252" i="1"/>
  <c r="AO252" i="1"/>
  <c r="AM253" i="1"/>
  <c r="AN253" i="1"/>
  <c r="AO253" i="1"/>
  <c r="AM254" i="1"/>
  <c r="AN254" i="1"/>
  <c r="AO254" i="1"/>
  <c r="AM255" i="1"/>
  <c r="AN255" i="1"/>
  <c r="AO255" i="1"/>
  <c r="AM256" i="1"/>
  <c r="AN256" i="1"/>
  <c r="AO256" i="1"/>
  <c r="AM257" i="1"/>
  <c r="AN257" i="1"/>
  <c r="AO257" i="1"/>
  <c r="AM258" i="1"/>
  <c r="AN258" i="1"/>
  <c r="AO258" i="1"/>
  <c r="AM259" i="1"/>
  <c r="AN259" i="1"/>
  <c r="AO259" i="1"/>
  <c r="AM260" i="1"/>
  <c r="AN260" i="1"/>
  <c r="AO260" i="1"/>
  <c r="AM261" i="1"/>
  <c r="AN261" i="1"/>
  <c r="AO261" i="1"/>
  <c r="AM262" i="1"/>
  <c r="AN262" i="1"/>
  <c r="AO262" i="1"/>
  <c r="AM263" i="1"/>
  <c r="AN263" i="1"/>
  <c r="AO263" i="1"/>
  <c r="AM264" i="1"/>
  <c r="AN264" i="1"/>
  <c r="AO264" i="1"/>
  <c r="AM265" i="1"/>
  <c r="AN265" i="1"/>
  <c r="AO265" i="1"/>
  <c r="AM266" i="1"/>
  <c r="AN266" i="1"/>
  <c r="AO266" i="1"/>
  <c r="X243" i="1"/>
  <c r="Y243" i="1"/>
  <c r="Z243" i="1"/>
  <c r="AA243" i="1"/>
  <c r="X244" i="1"/>
  <c r="Y244" i="1"/>
  <c r="Z244" i="1"/>
  <c r="AA244" i="1"/>
  <c r="X245" i="1"/>
  <c r="Y245" i="1"/>
  <c r="Z245" i="1"/>
  <c r="AA245" i="1"/>
  <c r="X246" i="1"/>
  <c r="Y246" i="1"/>
  <c r="Z246" i="1"/>
  <c r="AA246" i="1"/>
  <c r="X247" i="1"/>
  <c r="Y247" i="1"/>
  <c r="Z247" i="1"/>
  <c r="AA247" i="1"/>
  <c r="X248" i="1"/>
  <c r="Y248" i="1"/>
  <c r="Z248" i="1"/>
  <c r="AA248" i="1"/>
  <c r="X249" i="1"/>
  <c r="Y249" i="1"/>
  <c r="Z249" i="1"/>
  <c r="AA249" i="1"/>
  <c r="X250" i="1"/>
  <c r="Y250" i="1"/>
  <c r="Z250" i="1"/>
  <c r="AA250" i="1"/>
  <c r="X251" i="1"/>
  <c r="Y251" i="1"/>
  <c r="Z251" i="1"/>
  <c r="AA251" i="1"/>
  <c r="X252" i="1"/>
  <c r="Y252" i="1"/>
  <c r="Z252" i="1"/>
  <c r="AA252" i="1"/>
  <c r="X253" i="1"/>
  <c r="Y253" i="1"/>
  <c r="Z253" i="1"/>
  <c r="AA253" i="1"/>
  <c r="X254" i="1"/>
  <c r="Y254" i="1"/>
  <c r="Z254" i="1"/>
  <c r="AA254" i="1"/>
  <c r="X255" i="1"/>
  <c r="Y255" i="1"/>
  <c r="Z255" i="1"/>
  <c r="AA255" i="1"/>
  <c r="X256" i="1"/>
  <c r="Y256" i="1"/>
  <c r="Z256" i="1"/>
  <c r="AA256" i="1"/>
  <c r="X257" i="1"/>
  <c r="Y257" i="1"/>
  <c r="Z257" i="1"/>
  <c r="AA257" i="1"/>
  <c r="X258" i="1"/>
  <c r="Y258" i="1"/>
  <c r="Z258" i="1"/>
  <c r="AA258" i="1"/>
  <c r="X259" i="1"/>
  <c r="Y259" i="1"/>
  <c r="Z259" i="1"/>
  <c r="AA259" i="1"/>
  <c r="X260" i="1"/>
  <c r="Y260" i="1"/>
  <c r="Z260" i="1"/>
  <c r="AA260" i="1"/>
  <c r="X261" i="1"/>
  <c r="Y261" i="1"/>
  <c r="Z261" i="1"/>
  <c r="AA261" i="1"/>
  <c r="X262" i="1"/>
  <c r="Y262" i="1"/>
  <c r="Z262" i="1"/>
  <c r="AA262" i="1"/>
  <c r="X263" i="1"/>
  <c r="Y263" i="1"/>
  <c r="Z263" i="1"/>
  <c r="AA263" i="1"/>
  <c r="X264" i="1"/>
  <c r="Y264" i="1"/>
  <c r="Z264" i="1"/>
  <c r="AA264" i="1"/>
  <c r="X265" i="1"/>
  <c r="Y265" i="1"/>
  <c r="Z265" i="1"/>
  <c r="AA265" i="1"/>
  <c r="X266" i="1"/>
  <c r="Y266" i="1"/>
  <c r="Z266" i="1"/>
  <c r="AA266" i="1"/>
  <c r="CF2" i="4"/>
  <c r="CH2" i="4"/>
  <c r="CJ2" i="4"/>
  <c r="CK2" i="4" s="1"/>
  <c r="CM2" i="4" s="1"/>
  <c r="AG243" i="1"/>
  <c r="AH267" i="1" s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J214" i="3"/>
  <c r="I214" i="3" s="1"/>
  <c r="H214" i="3"/>
  <c r="J211" i="3"/>
  <c r="I211" i="3" s="1"/>
  <c r="H211" i="3"/>
  <c r="J208" i="3"/>
  <c r="I208" i="3" s="1"/>
  <c r="H208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" i="7"/>
  <c r="CB3" i="4"/>
  <c r="CB4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41" i="4"/>
  <c r="CB42" i="4"/>
  <c r="CB43" i="4"/>
  <c r="CB44" i="4"/>
  <c r="CB45" i="4"/>
  <c r="CB46" i="4"/>
  <c r="CB47" i="4"/>
  <c r="CB48" i="4"/>
  <c r="CB49" i="4"/>
  <c r="CB50" i="4"/>
  <c r="CB51" i="4"/>
  <c r="CB52" i="4"/>
  <c r="CB53" i="4"/>
  <c r="CB54" i="4"/>
  <c r="CB55" i="4"/>
  <c r="CB56" i="4"/>
  <c r="CB57" i="4"/>
  <c r="CB58" i="4"/>
  <c r="CB59" i="4"/>
  <c r="CB60" i="4"/>
  <c r="CB61" i="4"/>
  <c r="CB62" i="4"/>
  <c r="CB63" i="4"/>
  <c r="CB64" i="4"/>
  <c r="CB65" i="4"/>
  <c r="CB66" i="4"/>
  <c r="CB67" i="4"/>
  <c r="CB68" i="4"/>
  <c r="CB69" i="4"/>
  <c r="CB70" i="4"/>
  <c r="CB71" i="4"/>
  <c r="CB72" i="4"/>
  <c r="CB73" i="4"/>
  <c r="J218" i="6"/>
  <c r="J219" i="6"/>
  <c r="J220" i="6"/>
  <c r="J221" i="6"/>
  <c r="J222" i="6"/>
  <c r="J223" i="6"/>
  <c r="J224" i="6"/>
  <c r="J225" i="6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BZ3" i="4"/>
  <c r="BZ4" i="4"/>
  <c r="BZ5" i="4"/>
  <c r="BZ6" i="4"/>
  <c r="BZ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Y3" i="4"/>
  <c r="BY4" i="4"/>
  <c r="BY5" i="4"/>
  <c r="BY6" i="4"/>
  <c r="BY7" i="4"/>
  <c r="BY8" i="4"/>
  <c r="BY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W3" i="4"/>
  <c r="BW4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U3" i="4"/>
  <c r="BU4" i="4"/>
  <c r="BU5" i="4"/>
  <c r="BU6" i="4"/>
  <c r="BU7" i="4"/>
  <c r="BU8" i="4"/>
  <c r="BU9" i="4"/>
  <c r="BU10" i="4"/>
  <c r="BU11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AM219" i="1"/>
  <c r="AN219" i="1"/>
  <c r="AO219" i="1"/>
  <c r="AM220" i="1"/>
  <c r="AN220" i="1"/>
  <c r="AO220" i="1"/>
  <c r="AM221" i="1"/>
  <c r="AN221" i="1"/>
  <c r="AO221" i="1"/>
  <c r="AM222" i="1"/>
  <c r="AN222" i="1"/>
  <c r="AO222" i="1"/>
  <c r="AM223" i="1"/>
  <c r="AN223" i="1"/>
  <c r="AO223" i="1"/>
  <c r="AM224" i="1"/>
  <c r="AN224" i="1"/>
  <c r="AO224" i="1"/>
  <c r="AM225" i="1"/>
  <c r="AN225" i="1"/>
  <c r="AO225" i="1"/>
  <c r="AM226" i="1"/>
  <c r="AN226" i="1"/>
  <c r="AO226" i="1"/>
  <c r="AM227" i="1"/>
  <c r="AN227" i="1"/>
  <c r="AO227" i="1"/>
  <c r="AM228" i="1"/>
  <c r="AN228" i="1"/>
  <c r="AO228" i="1"/>
  <c r="AM229" i="1"/>
  <c r="AN229" i="1"/>
  <c r="AO229" i="1"/>
  <c r="AM230" i="1"/>
  <c r="AN230" i="1"/>
  <c r="AO230" i="1"/>
  <c r="AM231" i="1"/>
  <c r="AN231" i="1"/>
  <c r="AO231" i="1"/>
  <c r="AM232" i="1"/>
  <c r="AN232" i="1"/>
  <c r="AO232" i="1"/>
  <c r="AM233" i="1"/>
  <c r="AN233" i="1"/>
  <c r="AO233" i="1"/>
  <c r="AM234" i="1"/>
  <c r="AN234" i="1"/>
  <c r="AO234" i="1"/>
  <c r="AM235" i="1"/>
  <c r="AN235" i="1"/>
  <c r="AO235" i="1"/>
  <c r="AM236" i="1"/>
  <c r="AN236" i="1"/>
  <c r="AO236" i="1"/>
  <c r="AM237" i="1"/>
  <c r="AN237" i="1"/>
  <c r="AO237" i="1"/>
  <c r="AM238" i="1"/>
  <c r="AN238" i="1"/>
  <c r="AO238" i="1"/>
  <c r="AM239" i="1"/>
  <c r="AN239" i="1"/>
  <c r="AO239" i="1"/>
  <c r="AM240" i="1"/>
  <c r="AN240" i="1"/>
  <c r="AO240" i="1"/>
  <c r="AM241" i="1"/>
  <c r="AN241" i="1"/>
  <c r="AO241" i="1"/>
  <c r="AM242" i="1"/>
  <c r="AN242" i="1"/>
  <c r="AO242" i="1"/>
  <c r="AG219" i="1"/>
  <c r="AH243" i="1" s="1"/>
  <c r="AG220" i="1"/>
  <c r="AH244" i="1" s="1"/>
  <c r="AG221" i="1"/>
  <c r="AH245" i="1" s="1"/>
  <c r="AG222" i="1"/>
  <c r="AH246" i="1" s="1"/>
  <c r="AG223" i="1"/>
  <c r="AH247" i="1" s="1"/>
  <c r="AG224" i="1"/>
  <c r="AH248" i="1" s="1"/>
  <c r="AG225" i="1"/>
  <c r="AH249" i="1" s="1"/>
  <c r="AG226" i="1"/>
  <c r="AH250" i="1" s="1"/>
  <c r="AG227" i="1"/>
  <c r="AH251" i="1" s="1"/>
  <c r="AG228" i="1"/>
  <c r="AH252" i="1" s="1"/>
  <c r="AG229" i="1"/>
  <c r="AH253" i="1" s="1"/>
  <c r="AG230" i="1"/>
  <c r="AH254" i="1" s="1"/>
  <c r="AG231" i="1"/>
  <c r="AH255" i="1" s="1"/>
  <c r="AG232" i="1"/>
  <c r="AG233" i="1"/>
  <c r="AG234" i="1"/>
  <c r="AG235" i="1"/>
  <c r="AH259" i="1" s="1"/>
  <c r="AG236" i="1"/>
  <c r="AH260" i="1" s="1"/>
  <c r="AG237" i="1"/>
  <c r="AH261" i="1" s="1"/>
  <c r="AG238" i="1"/>
  <c r="AH262" i="1" s="1"/>
  <c r="AG239" i="1"/>
  <c r="AH263" i="1" s="1"/>
  <c r="AG240" i="1"/>
  <c r="AH264" i="1" s="1"/>
  <c r="AG241" i="1"/>
  <c r="AG242" i="1"/>
  <c r="BY2" i="4"/>
  <c r="BZ2" i="4" s="1"/>
  <c r="CB2" i="4" s="1"/>
  <c r="BW2" i="4"/>
  <c r="BU2" i="4"/>
  <c r="X219" i="1"/>
  <c r="Y219" i="1"/>
  <c r="Z219" i="1"/>
  <c r="AA219" i="1"/>
  <c r="X220" i="1"/>
  <c r="Y220" i="1"/>
  <c r="Z220" i="1"/>
  <c r="AA220" i="1"/>
  <c r="X221" i="1"/>
  <c r="Y221" i="1"/>
  <c r="Z221" i="1"/>
  <c r="AA221" i="1"/>
  <c r="X222" i="1"/>
  <c r="Y222" i="1"/>
  <c r="Z222" i="1"/>
  <c r="AA222" i="1"/>
  <c r="X223" i="1"/>
  <c r="Y223" i="1"/>
  <c r="Z223" i="1"/>
  <c r="AA223" i="1"/>
  <c r="X224" i="1"/>
  <c r="Y224" i="1"/>
  <c r="Z224" i="1"/>
  <c r="AA224" i="1"/>
  <c r="X225" i="1"/>
  <c r="Y225" i="1"/>
  <c r="Z225" i="1"/>
  <c r="AA225" i="1"/>
  <c r="X226" i="1"/>
  <c r="Y226" i="1"/>
  <c r="Z226" i="1"/>
  <c r="AA226" i="1"/>
  <c r="X227" i="1"/>
  <c r="Y227" i="1"/>
  <c r="Z227" i="1"/>
  <c r="AA227" i="1"/>
  <c r="X228" i="1"/>
  <c r="Y228" i="1"/>
  <c r="Z228" i="1"/>
  <c r="AA228" i="1"/>
  <c r="X229" i="1"/>
  <c r="Y229" i="1"/>
  <c r="Z229" i="1"/>
  <c r="AA229" i="1"/>
  <c r="X230" i="1"/>
  <c r="Y230" i="1"/>
  <c r="Z230" i="1"/>
  <c r="AA230" i="1"/>
  <c r="X231" i="1"/>
  <c r="Y231" i="1"/>
  <c r="Z231" i="1"/>
  <c r="AA231" i="1"/>
  <c r="X232" i="1"/>
  <c r="Y232" i="1"/>
  <c r="Z232" i="1"/>
  <c r="AA232" i="1"/>
  <c r="X233" i="1"/>
  <c r="Y233" i="1"/>
  <c r="Z233" i="1"/>
  <c r="AA233" i="1"/>
  <c r="X234" i="1"/>
  <c r="Y234" i="1"/>
  <c r="Z234" i="1"/>
  <c r="AA234" i="1"/>
  <c r="X235" i="1"/>
  <c r="Y235" i="1"/>
  <c r="Z235" i="1"/>
  <c r="AA235" i="1"/>
  <c r="X236" i="1"/>
  <c r="Y236" i="1"/>
  <c r="Z236" i="1"/>
  <c r="AA236" i="1"/>
  <c r="X237" i="1"/>
  <c r="Y237" i="1"/>
  <c r="Z237" i="1"/>
  <c r="AA237" i="1"/>
  <c r="X238" i="1"/>
  <c r="Y238" i="1"/>
  <c r="Z238" i="1"/>
  <c r="AA238" i="1"/>
  <c r="X239" i="1"/>
  <c r="Y239" i="1"/>
  <c r="Z239" i="1"/>
  <c r="AA239" i="1"/>
  <c r="X240" i="1"/>
  <c r="Y240" i="1"/>
  <c r="Z240" i="1"/>
  <c r="AA240" i="1"/>
  <c r="X241" i="1"/>
  <c r="Y241" i="1"/>
  <c r="Z241" i="1"/>
  <c r="AA241" i="1"/>
  <c r="X242" i="1"/>
  <c r="Y242" i="1"/>
  <c r="Z242" i="1"/>
  <c r="AA242" i="1"/>
  <c r="Y210" i="1"/>
  <c r="BQ3" i="4"/>
  <c r="BQ4" i="4"/>
  <c r="BQ5" i="4"/>
  <c r="BQ6" i="4"/>
  <c r="BQ7" i="4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J123" i="6"/>
  <c r="J124" i="6"/>
  <c r="J125" i="6"/>
  <c r="J126" i="6"/>
  <c r="J129" i="6"/>
  <c r="J136" i="6"/>
  <c r="J137" i="6"/>
  <c r="J139" i="6"/>
  <c r="J140" i="6"/>
  <c r="J141" i="6"/>
  <c r="J142" i="6"/>
  <c r="J145" i="6"/>
  <c r="H123" i="6"/>
  <c r="H124" i="6"/>
  <c r="H125" i="6"/>
  <c r="H126" i="6"/>
  <c r="H127" i="6"/>
  <c r="J127" i="6" s="1"/>
  <c r="H128" i="6"/>
  <c r="J128" i="6" s="1"/>
  <c r="H129" i="6"/>
  <c r="H130" i="6"/>
  <c r="J130" i="6" s="1"/>
  <c r="H131" i="6"/>
  <c r="J131" i="6" s="1"/>
  <c r="H132" i="6"/>
  <c r="J132" i="6" s="1"/>
  <c r="H133" i="6"/>
  <c r="J133" i="6" s="1"/>
  <c r="H134" i="6"/>
  <c r="J134" i="6" s="1"/>
  <c r="H135" i="6"/>
  <c r="J135" i="6" s="1"/>
  <c r="H136" i="6"/>
  <c r="H137" i="6"/>
  <c r="H138" i="6"/>
  <c r="J138" i="6" s="1"/>
  <c r="H139" i="6"/>
  <c r="H140" i="6"/>
  <c r="H141" i="6"/>
  <c r="H142" i="6"/>
  <c r="H143" i="6"/>
  <c r="J143" i="6" s="1"/>
  <c r="H144" i="6"/>
  <c r="J144" i="6" s="1"/>
  <c r="H145" i="6"/>
  <c r="H122" i="6"/>
  <c r="J122" i="6" s="1"/>
  <c r="J171" i="6"/>
  <c r="J172" i="6"/>
  <c r="J173" i="6"/>
  <c r="J174" i="6"/>
  <c r="J177" i="6"/>
  <c r="J184" i="6"/>
  <c r="J185" i="6"/>
  <c r="J187" i="6"/>
  <c r="J188" i="6"/>
  <c r="J189" i="6"/>
  <c r="J190" i="6"/>
  <c r="J193" i="6"/>
  <c r="H171" i="6"/>
  <c r="H172" i="6"/>
  <c r="H173" i="6"/>
  <c r="H174" i="6"/>
  <c r="H175" i="6"/>
  <c r="J175" i="6" s="1"/>
  <c r="H176" i="6"/>
  <c r="J176" i="6" s="1"/>
  <c r="H177" i="6"/>
  <c r="H178" i="6"/>
  <c r="J178" i="6" s="1"/>
  <c r="H179" i="6"/>
  <c r="J179" i="6" s="1"/>
  <c r="H180" i="6"/>
  <c r="J180" i="6" s="1"/>
  <c r="H181" i="6"/>
  <c r="J181" i="6" s="1"/>
  <c r="H182" i="6"/>
  <c r="J182" i="6" s="1"/>
  <c r="H183" i="6"/>
  <c r="J183" i="6" s="1"/>
  <c r="H184" i="6"/>
  <c r="H185" i="6"/>
  <c r="H186" i="6"/>
  <c r="J186" i="6" s="1"/>
  <c r="H187" i="6"/>
  <c r="H188" i="6"/>
  <c r="H189" i="6"/>
  <c r="H190" i="6"/>
  <c r="H191" i="6"/>
  <c r="J191" i="6" s="1"/>
  <c r="H192" i="6"/>
  <c r="J192" i="6" s="1"/>
  <c r="H193" i="6"/>
  <c r="H170" i="6"/>
  <c r="J170" i="6" s="1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J146" i="6"/>
  <c r="BO3" i="4"/>
  <c r="BO4" i="4"/>
  <c r="BO5" i="4"/>
  <c r="BO6" i="4"/>
  <c r="BO7" i="4"/>
  <c r="BO8" i="4"/>
  <c r="BO9" i="4"/>
  <c r="BO10" i="4"/>
  <c r="BO11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N3" i="4"/>
  <c r="BN5" i="4"/>
  <c r="BN6" i="4"/>
  <c r="BN7" i="4"/>
  <c r="BN8" i="4"/>
  <c r="BN9" i="4"/>
  <c r="BN11" i="4"/>
  <c r="BN12" i="4"/>
  <c r="BN13" i="4"/>
  <c r="BN15" i="4"/>
  <c r="BN17" i="4"/>
  <c r="BN18" i="4"/>
  <c r="BN20" i="4"/>
  <c r="BN21" i="4"/>
  <c r="BN22" i="4"/>
  <c r="BN23" i="4"/>
  <c r="BN24" i="4"/>
  <c r="BN25" i="4"/>
  <c r="BL3" i="4"/>
  <c r="BL4" i="4"/>
  <c r="BN4" i="4" s="1"/>
  <c r="BL5" i="4"/>
  <c r="BL6" i="4"/>
  <c r="BL7" i="4"/>
  <c r="BL8" i="4"/>
  <c r="BL9" i="4"/>
  <c r="BL10" i="4"/>
  <c r="BN10" i="4" s="1"/>
  <c r="BL11" i="4"/>
  <c r="BL12" i="4"/>
  <c r="BL13" i="4"/>
  <c r="BL14" i="4"/>
  <c r="BN14" i="4" s="1"/>
  <c r="BL15" i="4"/>
  <c r="BL16" i="4"/>
  <c r="BN16" i="4" s="1"/>
  <c r="BL17" i="4"/>
  <c r="BL18" i="4"/>
  <c r="BL19" i="4"/>
  <c r="BN19" i="4" s="1"/>
  <c r="BL20" i="4"/>
  <c r="BL21" i="4"/>
  <c r="BL22" i="4"/>
  <c r="BL23" i="4"/>
  <c r="BL24" i="4"/>
  <c r="BL25" i="4"/>
  <c r="BJ3" i="4"/>
  <c r="BJ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BN2" i="4"/>
  <c r="BO2" i="4" s="1"/>
  <c r="BQ2" i="4" s="1"/>
  <c r="BL2" i="4"/>
  <c r="BJ2" i="4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H173" i="3"/>
  <c r="J173" i="3"/>
  <c r="I173" i="3" s="1"/>
  <c r="H170" i="3"/>
  <c r="J170" i="3"/>
  <c r="I170" i="3" s="1"/>
  <c r="H167" i="3"/>
  <c r="J167" i="3"/>
  <c r="B152" i="3"/>
  <c r="C152" i="3"/>
  <c r="D152" i="3"/>
  <c r="B153" i="3"/>
  <c r="C153" i="3"/>
  <c r="D153" i="3"/>
  <c r="B154" i="3"/>
  <c r="C154" i="3"/>
  <c r="D154" i="3"/>
  <c r="B155" i="3"/>
  <c r="C155" i="3"/>
  <c r="D155" i="3"/>
  <c r="B156" i="3"/>
  <c r="C156" i="3"/>
  <c r="D156" i="3"/>
  <c r="B157" i="3"/>
  <c r="C157" i="3"/>
  <c r="D157" i="3"/>
  <c r="B158" i="3"/>
  <c r="C158" i="3"/>
  <c r="D158" i="3"/>
  <c r="B159" i="3"/>
  <c r="C159" i="3"/>
  <c r="D159" i="3"/>
  <c r="B160" i="3"/>
  <c r="C160" i="3"/>
  <c r="D160" i="3"/>
  <c r="B161" i="3"/>
  <c r="C161" i="3"/>
  <c r="D161" i="3"/>
  <c r="B162" i="3"/>
  <c r="C162" i="3"/>
  <c r="D162" i="3"/>
  <c r="B163" i="3"/>
  <c r="C163" i="3"/>
  <c r="D163" i="3"/>
  <c r="B164" i="3"/>
  <c r="C164" i="3"/>
  <c r="D164" i="3"/>
  <c r="B165" i="3"/>
  <c r="C165" i="3"/>
  <c r="D165" i="3"/>
  <c r="B166" i="3"/>
  <c r="C166" i="3"/>
  <c r="D166" i="3"/>
  <c r="B167" i="3"/>
  <c r="C167" i="3"/>
  <c r="D167" i="3"/>
  <c r="B168" i="3"/>
  <c r="C168" i="3"/>
  <c r="D168" i="3"/>
  <c r="B169" i="3"/>
  <c r="C169" i="3"/>
  <c r="D169" i="3"/>
  <c r="B170" i="3"/>
  <c r="C170" i="3"/>
  <c r="D170" i="3"/>
  <c r="B171" i="3"/>
  <c r="C171" i="3"/>
  <c r="D171" i="3"/>
  <c r="B172" i="3"/>
  <c r="C172" i="3"/>
  <c r="D172" i="3"/>
  <c r="B173" i="3"/>
  <c r="C173" i="3"/>
  <c r="D173" i="3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C179" i="3"/>
  <c r="D179" i="3"/>
  <c r="B180" i="3"/>
  <c r="C180" i="3"/>
  <c r="D180" i="3"/>
  <c r="B181" i="3"/>
  <c r="C181" i="3"/>
  <c r="D181" i="3"/>
  <c r="AO218" i="1"/>
  <c r="AN218" i="1"/>
  <c r="AM218" i="1"/>
  <c r="AO217" i="1"/>
  <c r="AN217" i="1"/>
  <c r="AM217" i="1"/>
  <c r="AO216" i="1"/>
  <c r="AN216" i="1"/>
  <c r="AM216" i="1"/>
  <c r="AO215" i="1"/>
  <c r="AN215" i="1"/>
  <c r="AM215" i="1"/>
  <c r="AO214" i="1"/>
  <c r="AN214" i="1"/>
  <c r="AM214" i="1"/>
  <c r="AO213" i="1"/>
  <c r="AN213" i="1"/>
  <c r="AM213" i="1"/>
  <c r="AO212" i="1"/>
  <c r="AN212" i="1"/>
  <c r="AM212" i="1"/>
  <c r="AO211" i="1"/>
  <c r="AN211" i="1"/>
  <c r="AM211" i="1"/>
  <c r="AO210" i="1"/>
  <c r="AN210" i="1"/>
  <c r="AM210" i="1"/>
  <c r="AO209" i="1"/>
  <c r="AN209" i="1"/>
  <c r="AM209" i="1"/>
  <c r="AO208" i="1"/>
  <c r="AN208" i="1"/>
  <c r="AM208" i="1"/>
  <c r="AO207" i="1"/>
  <c r="AN207" i="1"/>
  <c r="AM207" i="1"/>
  <c r="AO206" i="1"/>
  <c r="AN206" i="1"/>
  <c r="AM206" i="1"/>
  <c r="AO205" i="1"/>
  <c r="AN205" i="1"/>
  <c r="AM205" i="1"/>
  <c r="AO204" i="1"/>
  <c r="AN204" i="1"/>
  <c r="AM204" i="1"/>
  <c r="AO203" i="1"/>
  <c r="AN203" i="1"/>
  <c r="AM203" i="1"/>
  <c r="AO202" i="1"/>
  <c r="AN202" i="1"/>
  <c r="AM202" i="1"/>
  <c r="AO201" i="1"/>
  <c r="AN201" i="1"/>
  <c r="AM201" i="1"/>
  <c r="AO200" i="1"/>
  <c r="AN200" i="1"/>
  <c r="AM200" i="1"/>
  <c r="AO199" i="1"/>
  <c r="AN199" i="1"/>
  <c r="AM199" i="1"/>
  <c r="AO198" i="1"/>
  <c r="AN198" i="1"/>
  <c r="AM198" i="1"/>
  <c r="AO197" i="1"/>
  <c r="AN197" i="1"/>
  <c r="AM197" i="1"/>
  <c r="AO196" i="1"/>
  <c r="AN196" i="1"/>
  <c r="AM196" i="1"/>
  <c r="AO195" i="1"/>
  <c r="AN195" i="1"/>
  <c r="AM195" i="1"/>
  <c r="AG218" i="1"/>
  <c r="AH242" i="1" s="1"/>
  <c r="AG217" i="1"/>
  <c r="AH241" i="1" s="1"/>
  <c r="AG216" i="1"/>
  <c r="AH240" i="1" s="1"/>
  <c r="AG215" i="1"/>
  <c r="AH239" i="1" s="1"/>
  <c r="AG214" i="1"/>
  <c r="AH238" i="1" s="1"/>
  <c r="AG213" i="1"/>
  <c r="AH237" i="1" s="1"/>
  <c r="AG212" i="1"/>
  <c r="AH236" i="1" s="1"/>
  <c r="AG211" i="1"/>
  <c r="AH235" i="1" s="1"/>
  <c r="AG210" i="1"/>
  <c r="AG209" i="1"/>
  <c r="AG208" i="1"/>
  <c r="AG207" i="1"/>
  <c r="AG206" i="1"/>
  <c r="AH230" i="1" s="1"/>
  <c r="AG205" i="1"/>
  <c r="AH229" i="1" s="1"/>
  <c r="AG204" i="1"/>
  <c r="AH228" i="1" s="1"/>
  <c r="AG203" i="1"/>
  <c r="AH227" i="1" s="1"/>
  <c r="AG202" i="1"/>
  <c r="AH226" i="1" s="1"/>
  <c r="AG201" i="1"/>
  <c r="AH225" i="1" s="1"/>
  <c r="AG200" i="1"/>
  <c r="AH224" i="1" s="1"/>
  <c r="AG199" i="1"/>
  <c r="AH223" i="1" s="1"/>
  <c r="AG198" i="1"/>
  <c r="AH222" i="1" s="1"/>
  <c r="AG197" i="1"/>
  <c r="AH221" i="1" s="1"/>
  <c r="AG196" i="1"/>
  <c r="AH220" i="1" s="1"/>
  <c r="AG195" i="1"/>
  <c r="AH219" i="1" s="1"/>
  <c r="AA218" i="1"/>
  <c r="Z218" i="1"/>
  <c r="Y218" i="1"/>
  <c r="X218" i="1"/>
  <c r="AA217" i="1"/>
  <c r="Z217" i="1"/>
  <c r="Y217" i="1"/>
  <c r="X217" i="1"/>
  <c r="AA216" i="1"/>
  <c r="Z216" i="1"/>
  <c r="Y216" i="1"/>
  <c r="X216" i="1"/>
  <c r="AA215" i="1"/>
  <c r="Z215" i="1"/>
  <c r="Y215" i="1"/>
  <c r="X215" i="1"/>
  <c r="AA214" i="1"/>
  <c r="Z214" i="1"/>
  <c r="Y214" i="1"/>
  <c r="X214" i="1"/>
  <c r="AA213" i="1"/>
  <c r="Z213" i="1"/>
  <c r="Y213" i="1"/>
  <c r="X213" i="1"/>
  <c r="AA212" i="1"/>
  <c r="Z212" i="1"/>
  <c r="Y212" i="1"/>
  <c r="X212" i="1"/>
  <c r="AA211" i="1"/>
  <c r="Z211" i="1"/>
  <c r="Y211" i="1"/>
  <c r="X211" i="1"/>
  <c r="AA210" i="1"/>
  <c r="Z210" i="1"/>
  <c r="X210" i="1"/>
  <c r="AA209" i="1"/>
  <c r="Z209" i="1"/>
  <c r="Y209" i="1"/>
  <c r="X209" i="1"/>
  <c r="AA208" i="1"/>
  <c r="Z208" i="1"/>
  <c r="Y208" i="1"/>
  <c r="X208" i="1"/>
  <c r="AA207" i="1"/>
  <c r="Z207" i="1"/>
  <c r="Y207" i="1"/>
  <c r="X207" i="1"/>
  <c r="AA206" i="1"/>
  <c r="Z206" i="1"/>
  <c r="Y206" i="1"/>
  <c r="X206" i="1"/>
  <c r="AA205" i="1"/>
  <c r="Z205" i="1"/>
  <c r="Y205" i="1"/>
  <c r="X205" i="1"/>
  <c r="AA204" i="1"/>
  <c r="Z204" i="1"/>
  <c r="Y204" i="1"/>
  <c r="X204" i="1"/>
  <c r="AA203" i="1"/>
  <c r="Z203" i="1"/>
  <c r="Y203" i="1"/>
  <c r="X203" i="1"/>
  <c r="AA202" i="1"/>
  <c r="Z202" i="1"/>
  <c r="Y202" i="1"/>
  <c r="X202" i="1"/>
  <c r="AA201" i="1"/>
  <c r="Z201" i="1"/>
  <c r="Y201" i="1"/>
  <c r="X201" i="1"/>
  <c r="AA200" i="1"/>
  <c r="Z200" i="1"/>
  <c r="Y200" i="1"/>
  <c r="X200" i="1"/>
  <c r="AA199" i="1"/>
  <c r="Z199" i="1"/>
  <c r="Y199" i="1"/>
  <c r="X199" i="1"/>
  <c r="AA198" i="1"/>
  <c r="Z198" i="1"/>
  <c r="Y198" i="1"/>
  <c r="X198" i="1"/>
  <c r="AA197" i="1"/>
  <c r="Z197" i="1"/>
  <c r="Y197" i="1"/>
  <c r="X197" i="1"/>
  <c r="AA196" i="1"/>
  <c r="Z196" i="1"/>
  <c r="Y196" i="1"/>
  <c r="X196" i="1"/>
  <c r="AA195" i="1"/>
  <c r="Z195" i="1"/>
  <c r="Y195" i="1"/>
  <c r="X195" i="1"/>
  <c r="AH231" i="1" l="1"/>
  <c r="AH266" i="1"/>
  <c r="AH265" i="1"/>
  <c r="AH258" i="1"/>
  <c r="AH257" i="1"/>
  <c r="AH232" i="1"/>
  <c r="AH233" i="1"/>
  <c r="AH256" i="1"/>
  <c r="AH234" i="1"/>
  <c r="AP233" i="1"/>
  <c r="AP287" i="1"/>
  <c r="AP197" i="1"/>
  <c r="AP274" i="1"/>
  <c r="AP249" i="1"/>
  <c r="AP261" i="1"/>
  <c r="AP220" i="1"/>
  <c r="AP286" i="1"/>
  <c r="AP234" i="1"/>
  <c r="AP206" i="1"/>
  <c r="AP284" i="1"/>
  <c r="AP210" i="1"/>
  <c r="AP273" i="1"/>
  <c r="AP288" i="1"/>
  <c r="AP272" i="1"/>
  <c r="AP223" i="1"/>
  <c r="AP271" i="1"/>
  <c r="AP207" i="1"/>
  <c r="AP219" i="1"/>
  <c r="AP275" i="1"/>
  <c r="AP245" i="1"/>
  <c r="AP235" i="1"/>
  <c r="AP209" i="1"/>
  <c r="AP258" i="1"/>
  <c r="AP247" i="1"/>
  <c r="AP222" i="1"/>
  <c r="AP246" i="1"/>
  <c r="AP285" i="1"/>
  <c r="AP232" i="1"/>
  <c r="AP259" i="1"/>
  <c r="AP262" i="1"/>
  <c r="AP248" i="1"/>
  <c r="AP260" i="1"/>
  <c r="AP221" i="1"/>
  <c r="AP236" i="1"/>
  <c r="AP196" i="1"/>
  <c r="AP195" i="1"/>
  <c r="AP208" i="1"/>
  <c r="I167" i="3"/>
  <c r="C3" i="7"/>
  <c r="G1" i="7" s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2" i="7"/>
  <c r="E1" i="7"/>
  <c r="BD3" i="4"/>
  <c r="BF3" i="4" s="1"/>
  <c r="BD8" i="4"/>
  <c r="BF8" i="4" s="1"/>
  <c r="BD13" i="4"/>
  <c r="BF13" i="4" s="1"/>
  <c r="BD18" i="4"/>
  <c r="BF18" i="4" s="1"/>
  <c r="BD24" i="4"/>
  <c r="BF24" i="4" s="1"/>
  <c r="BD26" i="4"/>
  <c r="BF26" i="4" s="1"/>
  <c r="BD27" i="4"/>
  <c r="BF27" i="4" s="1"/>
  <c r="BD28" i="4"/>
  <c r="BF28" i="4" s="1"/>
  <c r="BD29" i="4"/>
  <c r="BF29" i="4" s="1"/>
  <c r="BD30" i="4"/>
  <c r="BF30" i="4" s="1"/>
  <c r="BD31" i="4"/>
  <c r="BF31" i="4" s="1"/>
  <c r="BD32" i="4"/>
  <c r="BF32" i="4" s="1"/>
  <c r="BD33" i="4"/>
  <c r="BF33" i="4" s="1"/>
  <c r="BD34" i="4"/>
  <c r="BF34" i="4" s="1"/>
  <c r="BD35" i="4"/>
  <c r="BF35" i="4" s="1"/>
  <c r="BD36" i="4"/>
  <c r="BF36" i="4" s="1"/>
  <c r="BD37" i="4"/>
  <c r="BF37" i="4" s="1"/>
  <c r="BD38" i="4"/>
  <c r="BF38" i="4" s="1"/>
  <c r="BD39" i="4"/>
  <c r="BF39" i="4" s="1"/>
  <c r="BD40" i="4"/>
  <c r="BF40" i="4" s="1"/>
  <c r="BD41" i="4"/>
  <c r="BF41" i="4" s="1"/>
  <c r="BD42" i="4"/>
  <c r="BF42" i="4" s="1"/>
  <c r="BD43" i="4"/>
  <c r="BF43" i="4" s="1"/>
  <c r="BD44" i="4"/>
  <c r="BF44" i="4" s="1"/>
  <c r="BD45" i="4"/>
  <c r="BF45" i="4" s="1"/>
  <c r="BD46" i="4"/>
  <c r="BF46" i="4" s="1"/>
  <c r="BD47" i="4"/>
  <c r="BF47" i="4" s="1"/>
  <c r="BD48" i="4"/>
  <c r="BF48" i="4" s="1"/>
  <c r="BD49" i="4"/>
  <c r="BF49" i="4" s="1"/>
  <c r="BD50" i="4"/>
  <c r="BF50" i="4" s="1"/>
  <c r="BD51" i="4"/>
  <c r="BF51" i="4" s="1"/>
  <c r="BD52" i="4"/>
  <c r="BF52" i="4" s="1"/>
  <c r="BD53" i="4"/>
  <c r="BF53" i="4" s="1"/>
  <c r="BD54" i="4"/>
  <c r="BF54" i="4" s="1"/>
  <c r="BD55" i="4"/>
  <c r="BF55" i="4" s="1"/>
  <c r="BD56" i="4"/>
  <c r="BF56" i="4" s="1"/>
  <c r="BD57" i="4"/>
  <c r="BF57" i="4" s="1"/>
  <c r="BD58" i="4"/>
  <c r="BF58" i="4" s="1"/>
  <c r="BD59" i="4"/>
  <c r="BF59" i="4" s="1"/>
  <c r="BD60" i="4"/>
  <c r="BF60" i="4" s="1"/>
  <c r="BD61" i="4"/>
  <c r="BF61" i="4" s="1"/>
  <c r="BD62" i="4"/>
  <c r="BF62" i="4" s="1"/>
  <c r="BD63" i="4"/>
  <c r="BF63" i="4" s="1"/>
  <c r="BD64" i="4"/>
  <c r="BF64" i="4" s="1"/>
  <c r="BD65" i="4"/>
  <c r="BF65" i="4" s="1"/>
  <c r="BD66" i="4"/>
  <c r="BF66" i="4" s="1"/>
  <c r="BD67" i="4"/>
  <c r="BF67" i="4" s="1"/>
  <c r="BD68" i="4"/>
  <c r="BF68" i="4" s="1"/>
  <c r="BD69" i="4"/>
  <c r="BF69" i="4" s="1"/>
  <c r="BD70" i="4"/>
  <c r="BF70" i="4" s="1"/>
  <c r="BD71" i="4"/>
  <c r="BF71" i="4" s="1"/>
  <c r="BD72" i="4"/>
  <c r="BF72" i="4" s="1"/>
  <c r="BD73" i="4"/>
  <c r="BF73" i="4" s="1"/>
  <c r="BD74" i="4"/>
  <c r="BF74" i="4" s="1"/>
  <c r="BD75" i="4"/>
  <c r="BF75" i="4" s="1"/>
  <c r="BD76" i="4"/>
  <c r="BF76" i="4" s="1"/>
  <c r="BD77" i="4"/>
  <c r="BF77" i="4" s="1"/>
  <c r="BD78" i="4"/>
  <c r="BF78" i="4" s="1"/>
  <c r="BD79" i="4"/>
  <c r="BF79" i="4" s="1"/>
  <c r="BD80" i="4"/>
  <c r="BF80" i="4" s="1"/>
  <c r="BD81" i="4"/>
  <c r="BF81" i="4" s="1"/>
  <c r="BD82" i="4"/>
  <c r="BF82" i="4" s="1"/>
  <c r="BD83" i="4"/>
  <c r="BF83" i="4" s="1"/>
  <c r="BD84" i="4"/>
  <c r="BF84" i="4" s="1"/>
  <c r="BD85" i="4"/>
  <c r="BF85" i="4" s="1"/>
  <c r="BD86" i="4"/>
  <c r="BF86" i="4" s="1"/>
  <c r="BD87" i="4"/>
  <c r="BF87" i="4" s="1"/>
  <c r="BD88" i="4"/>
  <c r="BF88" i="4" s="1"/>
  <c r="BD89" i="4"/>
  <c r="BF89" i="4" s="1"/>
  <c r="BD90" i="4"/>
  <c r="BF90" i="4" s="1"/>
  <c r="BD91" i="4"/>
  <c r="BF91" i="4" s="1"/>
  <c r="BD92" i="4"/>
  <c r="BF92" i="4" s="1"/>
  <c r="BD93" i="4"/>
  <c r="BF93" i="4" s="1"/>
  <c r="BD94" i="4"/>
  <c r="BF94" i="4" s="1"/>
  <c r="BD95" i="4"/>
  <c r="BF95" i="4" s="1"/>
  <c r="BD96" i="4"/>
  <c r="BF96" i="4" s="1"/>
  <c r="BD97" i="4"/>
  <c r="BF97" i="4" s="1"/>
  <c r="BD98" i="4"/>
  <c r="BF98" i="4" s="1"/>
  <c r="BD99" i="4"/>
  <c r="BF99" i="4" s="1"/>
  <c r="BD100" i="4"/>
  <c r="BF100" i="4" s="1"/>
  <c r="BD101" i="4"/>
  <c r="BF101" i="4" s="1"/>
  <c r="BD102" i="4"/>
  <c r="BF102" i="4" s="1"/>
  <c r="BD103" i="4"/>
  <c r="BF103" i="4" s="1"/>
  <c r="BD104" i="4"/>
  <c r="BF104" i="4" s="1"/>
  <c r="BD105" i="4"/>
  <c r="BF105" i="4" s="1"/>
  <c r="BD106" i="4"/>
  <c r="BF106" i="4" s="1"/>
  <c r="BD107" i="4"/>
  <c r="BF107" i="4" s="1"/>
  <c r="BD108" i="4"/>
  <c r="BF108" i="4" s="1"/>
  <c r="BD109" i="4"/>
  <c r="BF109" i="4" s="1"/>
  <c r="BD110" i="4"/>
  <c r="BF110" i="4" s="1"/>
  <c r="BD111" i="4"/>
  <c r="BF111" i="4" s="1"/>
  <c r="BD112" i="4"/>
  <c r="BF112" i="4" s="1"/>
  <c r="BD113" i="4"/>
  <c r="BF113" i="4" s="1"/>
  <c r="BD114" i="4"/>
  <c r="BF114" i="4" s="1"/>
  <c r="BD115" i="4"/>
  <c r="BF115" i="4" s="1"/>
  <c r="BD116" i="4"/>
  <c r="BF116" i="4" s="1"/>
  <c r="BD117" i="4"/>
  <c r="BF117" i="4" s="1"/>
  <c r="BD118" i="4"/>
  <c r="BF118" i="4" s="1"/>
  <c r="BD119" i="4"/>
  <c r="BF119" i="4" s="1"/>
  <c r="BD120" i="4"/>
  <c r="BF120" i="4" s="1"/>
  <c r="BD121" i="4"/>
  <c r="BF121" i="4" s="1"/>
  <c r="BC3" i="4"/>
  <c r="BC5" i="4"/>
  <c r="BD5" i="4" s="1"/>
  <c r="BF5" i="4" s="1"/>
  <c r="BC6" i="4"/>
  <c r="BD6" i="4" s="1"/>
  <c r="BF6" i="4" s="1"/>
  <c r="BC7" i="4"/>
  <c r="BD7" i="4" s="1"/>
  <c r="BF7" i="4" s="1"/>
  <c r="BC8" i="4"/>
  <c r="BC9" i="4"/>
  <c r="BD9" i="4" s="1"/>
  <c r="BF9" i="4" s="1"/>
  <c r="BC11" i="4"/>
  <c r="BD11" i="4" s="1"/>
  <c r="BF11" i="4" s="1"/>
  <c r="BC12" i="4"/>
  <c r="BD12" i="4" s="1"/>
  <c r="BF12" i="4" s="1"/>
  <c r="BC13" i="4"/>
  <c r="BC15" i="4"/>
  <c r="BD15" i="4" s="1"/>
  <c r="BF15" i="4" s="1"/>
  <c r="BC17" i="4"/>
  <c r="BD17" i="4" s="1"/>
  <c r="BF17" i="4" s="1"/>
  <c r="BC18" i="4"/>
  <c r="BC20" i="4"/>
  <c r="BD20" i="4" s="1"/>
  <c r="BF20" i="4" s="1"/>
  <c r="BC21" i="4"/>
  <c r="BD21" i="4" s="1"/>
  <c r="BF21" i="4" s="1"/>
  <c r="BC22" i="4"/>
  <c r="BD22" i="4" s="1"/>
  <c r="BF22" i="4" s="1"/>
  <c r="BC23" i="4"/>
  <c r="BD23" i="4" s="1"/>
  <c r="BF23" i="4" s="1"/>
  <c r="BC24" i="4"/>
  <c r="BC25" i="4"/>
  <c r="BD25" i="4" s="1"/>
  <c r="BF25" i="4" s="1"/>
  <c r="BA3" i="4"/>
  <c r="BA4" i="4"/>
  <c r="BC4" i="4" s="1"/>
  <c r="BD4" i="4" s="1"/>
  <c r="BF4" i="4" s="1"/>
  <c r="BA5" i="4"/>
  <c r="BA6" i="4"/>
  <c r="BA7" i="4"/>
  <c r="BA8" i="4"/>
  <c r="BA9" i="4"/>
  <c r="BA10" i="4"/>
  <c r="BC10" i="4" s="1"/>
  <c r="BD10" i="4" s="1"/>
  <c r="BF10" i="4" s="1"/>
  <c r="BA11" i="4"/>
  <c r="BA12" i="4"/>
  <c r="BA13" i="4"/>
  <c r="BA14" i="4"/>
  <c r="BC14" i="4" s="1"/>
  <c r="BD14" i="4" s="1"/>
  <c r="BF14" i="4" s="1"/>
  <c r="BA15" i="4"/>
  <c r="BA16" i="4"/>
  <c r="BC16" i="4" s="1"/>
  <c r="BD16" i="4" s="1"/>
  <c r="BF16" i="4" s="1"/>
  <c r="BA17" i="4"/>
  <c r="BA18" i="4"/>
  <c r="BA19" i="4"/>
  <c r="BC19" i="4" s="1"/>
  <c r="BD19" i="4" s="1"/>
  <c r="BF19" i="4" s="1"/>
  <c r="BA20" i="4"/>
  <c r="BA21" i="4"/>
  <c r="BA22" i="4"/>
  <c r="BA23" i="4"/>
  <c r="BA24" i="4"/>
  <c r="BA25" i="4"/>
  <c r="AY3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" i="4"/>
  <c r="BA2" i="4"/>
  <c r="BC2" i="4"/>
  <c r="BD2" i="4" s="1"/>
  <c r="BF2" i="4" s="1"/>
  <c r="AM171" i="1"/>
  <c r="AN171" i="1"/>
  <c r="AO171" i="1"/>
  <c r="AM172" i="1"/>
  <c r="AN172" i="1"/>
  <c r="AO172" i="1"/>
  <c r="AM173" i="1"/>
  <c r="AN173" i="1"/>
  <c r="AO173" i="1"/>
  <c r="AM174" i="1"/>
  <c r="AN174" i="1"/>
  <c r="AO174" i="1"/>
  <c r="AM175" i="1"/>
  <c r="AN175" i="1"/>
  <c r="AO175" i="1"/>
  <c r="AM176" i="1"/>
  <c r="AN176" i="1"/>
  <c r="AO176" i="1"/>
  <c r="AM177" i="1"/>
  <c r="AN177" i="1"/>
  <c r="AO177" i="1"/>
  <c r="AM178" i="1"/>
  <c r="AN178" i="1"/>
  <c r="AO178" i="1"/>
  <c r="AM179" i="1"/>
  <c r="AN179" i="1"/>
  <c r="AO179" i="1"/>
  <c r="AM180" i="1"/>
  <c r="AN180" i="1"/>
  <c r="AO180" i="1"/>
  <c r="AM181" i="1"/>
  <c r="AN181" i="1"/>
  <c r="AO181" i="1"/>
  <c r="AM182" i="1"/>
  <c r="AN182" i="1"/>
  <c r="AO182" i="1"/>
  <c r="AM183" i="1"/>
  <c r="AN183" i="1"/>
  <c r="AO183" i="1"/>
  <c r="AM184" i="1"/>
  <c r="AN184" i="1"/>
  <c r="AO184" i="1"/>
  <c r="AM185" i="1"/>
  <c r="AN185" i="1"/>
  <c r="AO185" i="1"/>
  <c r="AM186" i="1"/>
  <c r="AN186" i="1"/>
  <c r="AO186" i="1"/>
  <c r="AM187" i="1"/>
  <c r="AN187" i="1"/>
  <c r="AO187" i="1"/>
  <c r="AM188" i="1"/>
  <c r="AN188" i="1"/>
  <c r="AP231" i="1" s="1"/>
  <c r="AO188" i="1"/>
  <c r="AM189" i="1"/>
  <c r="AN189" i="1"/>
  <c r="AP244" i="1" s="1"/>
  <c r="AO189" i="1"/>
  <c r="AM190" i="1"/>
  <c r="AN190" i="1"/>
  <c r="AP257" i="1" s="1"/>
  <c r="AO190" i="1"/>
  <c r="AM191" i="1"/>
  <c r="AN191" i="1"/>
  <c r="AO191" i="1"/>
  <c r="AM192" i="1"/>
  <c r="AN192" i="1"/>
  <c r="AO192" i="1"/>
  <c r="AM193" i="1"/>
  <c r="AN193" i="1"/>
  <c r="AO193" i="1"/>
  <c r="AM194" i="1"/>
  <c r="AN194" i="1"/>
  <c r="AO194" i="1"/>
  <c r="AG171" i="1"/>
  <c r="AH195" i="1" s="1"/>
  <c r="AG172" i="1"/>
  <c r="AH196" i="1" s="1"/>
  <c r="AG173" i="1"/>
  <c r="AH197" i="1" s="1"/>
  <c r="AG174" i="1"/>
  <c r="AH198" i="1" s="1"/>
  <c r="AG175" i="1"/>
  <c r="AH199" i="1" s="1"/>
  <c r="AG176" i="1"/>
  <c r="AH200" i="1" s="1"/>
  <c r="AG177" i="1"/>
  <c r="AH201" i="1" s="1"/>
  <c r="AG178" i="1"/>
  <c r="AH202" i="1" s="1"/>
  <c r="AG179" i="1"/>
  <c r="AH203" i="1" s="1"/>
  <c r="AG180" i="1"/>
  <c r="AH204" i="1" s="1"/>
  <c r="AG181" i="1"/>
  <c r="AH205" i="1" s="1"/>
  <c r="AG182" i="1"/>
  <c r="AH206" i="1" s="1"/>
  <c r="AG183" i="1"/>
  <c r="AH207" i="1" s="1"/>
  <c r="AG184" i="1"/>
  <c r="AH208" i="1" s="1"/>
  <c r="AG185" i="1"/>
  <c r="AH209" i="1" s="1"/>
  <c r="AG186" i="1"/>
  <c r="AH210" i="1" s="1"/>
  <c r="AG187" i="1"/>
  <c r="AH211" i="1" s="1"/>
  <c r="AG188" i="1"/>
  <c r="AH212" i="1" s="1"/>
  <c r="AG189" i="1"/>
  <c r="AH213" i="1" s="1"/>
  <c r="AG190" i="1"/>
  <c r="AH214" i="1" s="1"/>
  <c r="AG191" i="1"/>
  <c r="AH215" i="1" s="1"/>
  <c r="AG192" i="1"/>
  <c r="AH216" i="1" s="1"/>
  <c r="AG193" i="1"/>
  <c r="AH217" i="1" s="1"/>
  <c r="AG194" i="1"/>
  <c r="AH218" i="1" s="1"/>
  <c r="X171" i="1"/>
  <c r="Y171" i="1"/>
  <c r="Z171" i="1"/>
  <c r="AA171" i="1"/>
  <c r="X172" i="1"/>
  <c r="Y172" i="1"/>
  <c r="Z172" i="1"/>
  <c r="AA172" i="1"/>
  <c r="X173" i="1"/>
  <c r="Y173" i="1"/>
  <c r="Z173" i="1"/>
  <c r="AA173" i="1"/>
  <c r="X174" i="1"/>
  <c r="Y174" i="1"/>
  <c r="Z174" i="1"/>
  <c r="AA174" i="1"/>
  <c r="X175" i="1"/>
  <c r="Y175" i="1"/>
  <c r="Z175" i="1"/>
  <c r="AA175" i="1"/>
  <c r="X176" i="1"/>
  <c r="Y176" i="1"/>
  <c r="Z176" i="1"/>
  <c r="AA176" i="1"/>
  <c r="X177" i="1"/>
  <c r="Y177" i="1"/>
  <c r="Z177" i="1"/>
  <c r="AA177" i="1"/>
  <c r="X178" i="1"/>
  <c r="Y178" i="1"/>
  <c r="Z178" i="1"/>
  <c r="AA178" i="1"/>
  <c r="X179" i="1"/>
  <c r="Y179" i="1"/>
  <c r="Z179" i="1"/>
  <c r="AA179" i="1"/>
  <c r="X180" i="1"/>
  <c r="Y180" i="1"/>
  <c r="Z180" i="1"/>
  <c r="AA180" i="1"/>
  <c r="X181" i="1"/>
  <c r="Y181" i="1"/>
  <c r="Z181" i="1"/>
  <c r="AA181" i="1"/>
  <c r="X182" i="1"/>
  <c r="Y182" i="1"/>
  <c r="Z182" i="1"/>
  <c r="AA182" i="1"/>
  <c r="X183" i="1"/>
  <c r="Y183" i="1"/>
  <c r="Z183" i="1"/>
  <c r="AA183" i="1"/>
  <c r="X184" i="1"/>
  <c r="Y184" i="1"/>
  <c r="Z184" i="1"/>
  <c r="AA184" i="1"/>
  <c r="X185" i="1"/>
  <c r="Y185" i="1"/>
  <c r="Z185" i="1"/>
  <c r="AA185" i="1"/>
  <c r="X186" i="1"/>
  <c r="Y186" i="1"/>
  <c r="Z186" i="1"/>
  <c r="AA186" i="1"/>
  <c r="X187" i="1"/>
  <c r="Y187" i="1"/>
  <c r="Z187" i="1"/>
  <c r="AA187" i="1"/>
  <c r="X188" i="1"/>
  <c r="Y188" i="1"/>
  <c r="Z188" i="1"/>
  <c r="AA188" i="1"/>
  <c r="X189" i="1"/>
  <c r="Y189" i="1"/>
  <c r="Z189" i="1"/>
  <c r="AA189" i="1"/>
  <c r="X190" i="1"/>
  <c r="Y190" i="1"/>
  <c r="Z190" i="1"/>
  <c r="AA190" i="1"/>
  <c r="X191" i="1"/>
  <c r="Y191" i="1"/>
  <c r="Z191" i="1"/>
  <c r="AA191" i="1"/>
  <c r="X192" i="1"/>
  <c r="Y192" i="1"/>
  <c r="Z192" i="1"/>
  <c r="AA192" i="1"/>
  <c r="X193" i="1"/>
  <c r="Y193" i="1"/>
  <c r="Z193" i="1"/>
  <c r="AA193" i="1"/>
  <c r="X194" i="1"/>
  <c r="Y194" i="1"/>
  <c r="Z194" i="1"/>
  <c r="AA194" i="1"/>
  <c r="AN155" i="1"/>
  <c r="AU6" i="4"/>
  <c r="AU11" i="4"/>
  <c r="AU26" i="4"/>
  <c r="AU42" i="4"/>
  <c r="AU56" i="4"/>
  <c r="AU74" i="4"/>
  <c r="AU90" i="4"/>
  <c r="AU106" i="4"/>
  <c r="AU122" i="4"/>
  <c r="AU124" i="4"/>
  <c r="AU138" i="4"/>
  <c r="AS26" i="4"/>
  <c r="AS27" i="4"/>
  <c r="AU27" i="4" s="1"/>
  <c r="AS28" i="4"/>
  <c r="AU28" i="4" s="1"/>
  <c r="AS29" i="4"/>
  <c r="AU29" i="4" s="1"/>
  <c r="AS30" i="4"/>
  <c r="AU30" i="4" s="1"/>
  <c r="AS31" i="4"/>
  <c r="AU31" i="4" s="1"/>
  <c r="AS32" i="4"/>
  <c r="AU32" i="4" s="1"/>
  <c r="AS33" i="4"/>
  <c r="AU33" i="4" s="1"/>
  <c r="AS34" i="4"/>
  <c r="AU34" i="4" s="1"/>
  <c r="AS35" i="4"/>
  <c r="AU35" i="4" s="1"/>
  <c r="AS36" i="4"/>
  <c r="AU36" i="4" s="1"/>
  <c r="AS37" i="4"/>
  <c r="AU37" i="4" s="1"/>
  <c r="AS38" i="4"/>
  <c r="AU38" i="4" s="1"/>
  <c r="AS39" i="4"/>
  <c r="AU39" i="4" s="1"/>
  <c r="AS40" i="4"/>
  <c r="AU40" i="4" s="1"/>
  <c r="AS41" i="4"/>
  <c r="AU41" i="4" s="1"/>
  <c r="AS42" i="4"/>
  <c r="AS43" i="4"/>
  <c r="AU43" i="4" s="1"/>
  <c r="AS44" i="4"/>
  <c r="AU44" i="4" s="1"/>
  <c r="AS45" i="4"/>
  <c r="AU45" i="4" s="1"/>
  <c r="AS46" i="4"/>
  <c r="AU46" i="4" s="1"/>
  <c r="AS47" i="4"/>
  <c r="AU47" i="4" s="1"/>
  <c r="AS48" i="4"/>
  <c r="AU48" i="4" s="1"/>
  <c r="AS49" i="4"/>
  <c r="AU49" i="4" s="1"/>
  <c r="AS50" i="4"/>
  <c r="AU50" i="4" s="1"/>
  <c r="AS51" i="4"/>
  <c r="AU51" i="4" s="1"/>
  <c r="AS52" i="4"/>
  <c r="AU52" i="4" s="1"/>
  <c r="AS53" i="4"/>
  <c r="AU53" i="4" s="1"/>
  <c r="AS54" i="4"/>
  <c r="AU54" i="4" s="1"/>
  <c r="AS55" i="4"/>
  <c r="AU55" i="4" s="1"/>
  <c r="AS56" i="4"/>
  <c r="AS57" i="4"/>
  <c r="AU57" i="4" s="1"/>
  <c r="AS58" i="4"/>
  <c r="AU58" i="4" s="1"/>
  <c r="AS59" i="4"/>
  <c r="AU59" i="4" s="1"/>
  <c r="AS60" i="4"/>
  <c r="AU60" i="4" s="1"/>
  <c r="AS61" i="4"/>
  <c r="AU61" i="4" s="1"/>
  <c r="AS62" i="4"/>
  <c r="AU62" i="4" s="1"/>
  <c r="AS63" i="4"/>
  <c r="AU63" i="4" s="1"/>
  <c r="AS64" i="4"/>
  <c r="AU64" i="4" s="1"/>
  <c r="AS65" i="4"/>
  <c r="AU65" i="4" s="1"/>
  <c r="AS66" i="4"/>
  <c r="AU66" i="4" s="1"/>
  <c r="AS67" i="4"/>
  <c r="AU67" i="4" s="1"/>
  <c r="AS68" i="4"/>
  <c r="AU68" i="4" s="1"/>
  <c r="AS69" i="4"/>
  <c r="AU69" i="4" s="1"/>
  <c r="AS70" i="4"/>
  <c r="AU70" i="4" s="1"/>
  <c r="AS71" i="4"/>
  <c r="AU71" i="4" s="1"/>
  <c r="AS72" i="4"/>
  <c r="AU72" i="4" s="1"/>
  <c r="AS73" i="4"/>
  <c r="AU73" i="4" s="1"/>
  <c r="AS74" i="4"/>
  <c r="AS75" i="4"/>
  <c r="AU75" i="4" s="1"/>
  <c r="AS76" i="4"/>
  <c r="AU76" i="4" s="1"/>
  <c r="AS77" i="4"/>
  <c r="AU77" i="4" s="1"/>
  <c r="AS78" i="4"/>
  <c r="AU78" i="4" s="1"/>
  <c r="AS79" i="4"/>
  <c r="AU79" i="4" s="1"/>
  <c r="AS80" i="4"/>
  <c r="AU80" i="4" s="1"/>
  <c r="AS81" i="4"/>
  <c r="AU81" i="4" s="1"/>
  <c r="AS82" i="4"/>
  <c r="AU82" i="4" s="1"/>
  <c r="AS83" i="4"/>
  <c r="AU83" i="4" s="1"/>
  <c r="AS84" i="4"/>
  <c r="AU84" i="4" s="1"/>
  <c r="AS85" i="4"/>
  <c r="AU85" i="4" s="1"/>
  <c r="AS86" i="4"/>
  <c r="AU86" i="4" s="1"/>
  <c r="AS87" i="4"/>
  <c r="AU87" i="4" s="1"/>
  <c r="AS88" i="4"/>
  <c r="AU88" i="4" s="1"/>
  <c r="AS89" i="4"/>
  <c r="AU89" i="4" s="1"/>
  <c r="AS90" i="4"/>
  <c r="AS91" i="4"/>
  <c r="AU91" i="4" s="1"/>
  <c r="AS92" i="4"/>
  <c r="AU92" i="4" s="1"/>
  <c r="AS93" i="4"/>
  <c r="AU93" i="4" s="1"/>
  <c r="AS94" i="4"/>
  <c r="AU94" i="4" s="1"/>
  <c r="AS95" i="4"/>
  <c r="AU95" i="4" s="1"/>
  <c r="AS96" i="4"/>
  <c r="AU96" i="4" s="1"/>
  <c r="AS97" i="4"/>
  <c r="AU97" i="4" s="1"/>
  <c r="AS98" i="4"/>
  <c r="AU98" i="4" s="1"/>
  <c r="AS99" i="4"/>
  <c r="AU99" i="4" s="1"/>
  <c r="AS100" i="4"/>
  <c r="AU100" i="4" s="1"/>
  <c r="AS101" i="4"/>
  <c r="AU101" i="4" s="1"/>
  <c r="AS102" i="4"/>
  <c r="AU102" i="4" s="1"/>
  <c r="AS103" i="4"/>
  <c r="AU103" i="4" s="1"/>
  <c r="AS104" i="4"/>
  <c r="AU104" i="4" s="1"/>
  <c r="AS105" i="4"/>
  <c r="AU105" i="4" s="1"/>
  <c r="AS106" i="4"/>
  <c r="AS107" i="4"/>
  <c r="AU107" i="4" s="1"/>
  <c r="AS108" i="4"/>
  <c r="AU108" i="4" s="1"/>
  <c r="AS109" i="4"/>
  <c r="AU109" i="4" s="1"/>
  <c r="AS110" i="4"/>
  <c r="AU110" i="4" s="1"/>
  <c r="AS111" i="4"/>
  <c r="AU111" i="4" s="1"/>
  <c r="AS112" i="4"/>
  <c r="AU112" i="4" s="1"/>
  <c r="AS113" i="4"/>
  <c r="AU113" i="4" s="1"/>
  <c r="AS114" i="4"/>
  <c r="AU114" i="4" s="1"/>
  <c r="AS115" i="4"/>
  <c r="AU115" i="4" s="1"/>
  <c r="AS116" i="4"/>
  <c r="AU116" i="4" s="1"/>
  <c r="AS117" i="4"/>
  <c r="AU117" i="4" s="1"/>
  <c r="AS118" i="4"/>
  <c r="AU118" i="4" s="1"/>
  <c r="AS119" i="4"/>
  <c r="AU119" i="4" s="1"/>
  <c r="AS120" i="4"/>
  <c r="AU120" i="4" s="1"/>
  <c r="AS121" i="4"/>
  <c r="AU121" i="4" s="1"/>
  <c r="AS122" i="4"/>
  <c r="AS123" i="4"/>
  <c r="AU123" i="4" s="1"/>
  <c r="AS124" i="4"/>
  <c r="AS125" i="4"/>
  <c r="AU125" i="4" s="1"/>
  <c r="AS126" i="4"/>
  <c r="AU126" i="4" s="1"/>
  <c r="AS127" i="4"/>
  <c r="AU127" i="4" s="1"/>
  <c r="AS128" i="4"/>
  <c r="AU128" i="4" s="1"/>
  <c r="AS129" i="4"/>
  <c r="AU129" i="4" s="1"/>
  <c r="AS130" i="4"/>
  <c r="AU130" i="4" s="1"/>
  <c r="AS131" i="4"/>
  <c r="AU131" i="4" s="1"/>
  <c r="AS132" i="4"/>
  <c r="AU132" i="4" s="1"/>
  <c r="AS133" i="4"/>
  <c r="AU133" i="4" s="1"/>
  <c r="AS134" i="4"/>
  <c r="AU134" i="4" s="1"/>
  <c r="AS135" i="4"/>
  <c r="AU135" i="4" s="1"/>
  <c r="AS136" i="4"/>
  <c r="AU136" i="4" s="1"/>
  <c r="AS137" i="4"/>
  <c r="AU137" i="4" s="1"/>
  <c r="AS138" i="4"/>
  <c r="AS139" i="4"/>
  <c r="AU139" i="4" s="1"/>
  <c r="AS140" i="4"/>
  <c r="AU140" i="4" s="1"/>
  <c r="AS141" i="4"/>
  <c r="AU141" i="4" s="1"/>
  <c r="AS142" i="4"/>
  <c r="AU142" i="4" s="1"/>
  <c r="AS143" i="4"/>
  <c r="AU143" i="4" s="1"/>
  <c r="AS144" i="4"/>
  <c r="AU144" i="4" s="1"/>
  <c r="AS145" i="4"/>
  <c r="AU145" i="4" s="1"/>
  <c r="AR3" i="4"/>
  <c r="AS3" i="4" s="1"/>
  <c r="AU3" i="4" s="1"/>
  <c r="AR5" i="4"/>
  <c r="AS5" i="4" s="1"/>
  <c r="AU5" i="4" s="1"/>
  <c r="AR8" i="4"/>
  <c r="AS8" i="4" s="1"/>
  <c r="AU8" i="4" s="1"/>
  <c r="AR9" i="4"/>
  <c r="AS9" i="4" s="1"/>
  <c r="AU9" i="4" s="1"/>
  <c r="AR11" i="4"/>
  <c r="AS11" i="4" s="1"/>
  <c r="AR12" i="4"/>
  <c r="AS12" i="4" s="1"/>
  <c r="AU12" i="4" s="1"/>
  <c r="AR13" i="4"/>
  <c r="AS13" i="4" s="1"/>
  <c r="AU13" i="4" s="1"/>
  <c r="AR15" i="4"/>
  <c r="AS15" i="4" s="1"/>
  <c r="AU15" i="4" s="1"/>
  <c r="AR17" i="4"/>
  <c r="AS17" i="4" s="1"/>
  <c r="AU17" i="4" s="1"/>
  <c r="AR18" i="4"/>
  <c r="AS18" i="4" s="1"/>
  <c r="AU18" i="4" s="1"/>
  <c r="AR20" i="4"/>
  <c r="AS20" i="4" s="1"/>
  <c r="AU20" i="4" s="1"/>
  <c r="AR22" i="4"/>
  <c r="AS22" i="4" s="1"/>
  <c r="AU22" i="4" s="1"/>
  <c r="AR23" i="4"/>
  <c r="AS23" i="4" s="1"/>
  <c r="AU23" i="4" s="1"/>
  <c r="AR24" i="4"/>
  <c r="AS24" i="4" s="1"/>
  <c r="AU24" i="4" s="1"/>
  <c r="AR25" i="4"/>
  <c r="AS25" i="4" s="1"/>
  <c r="AU25" i="4" s="1"/>
  <c r="AP3" i="4"/>
  <c r="AP4" i="4"/>
  <c r="AR4" i="4" s="1"/>
  <c r="AS4" i="4" s="1"/>
  <c r="AU4" i="4" s="1"/>
  <c r="AP5" i="4"/>
  <c r="AP6" i="4"/>
  <c r="AR6" i="4" s="1"/>
  <c r="AS6" i="4" s="1"/>
  <c r="AP7" i="4"/>
  <c r="AR7" i="4" s="1"/>
  <c r="AS7" i="4" s="1"/>
  <c r="AU7" i="4" s="1"/>
  <c r="AP8" i="4"/>
  <c r="AP9" i="4"/>
  <c r="AP10" i="4"/>
  <c r="AR10" i="4" s="1"/>
  <c r="AS10" i="4" s="1"/>
  <c r="AU10" i="4" s="1"/>
  <c r="AP11" i="4"/>
  <c r="AP12" i="4"/>
  <c r="AP13" i="4"/>
  <c r="AP14" i="4"/>
  <c r="AR14" i="4" s="1"/>
  <c r="AS14" i="4" s="1"/>
  <c r="AU14" i="4" s="1"/>
  <c r="AP15" i="4"/>
  <c r="AP16" i="4"/>
  <c r="AR16" i="4" s="1"/>
  <c r="AS16" i="4" s="1"/>
  <c r="AU16" i="4" s="1"/>
  <c r="AP17" i="4"/>
  <c r="AP18" i="4"/>
  <c r="AP19" i="4"/>
  <c r="AR19" i="4" s="1"/>
  <c r="AS19" i="4" s="1"/>
  <c r="AU19" i="4" s="1"/>
  <c r="AP20" i="4"/>
  <c r="AP21" i="4"/>
  <c r="AR21" i="4" s="1"/>
  <c r="AS21" i="4" s="1"/>
  <c r="AU21" i="4" s="1"/>
  <c r="AP22" i="4"/>
  <c r="AP23" i="4"/>
  <c r="AP24" i="4"/>
  <c r="AP25" i="4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J140" i="3"/>
  <c r="H140" i="3"/>
  <c r="AN2" i="4"/>
  <c r="AP2" i="4"/>
  <c r="AR2" i="4"/>
  <c r="AS2" i="4" s="1"/>
  <c r="AU2" i="4" s="1"/>
  <c r="J137" i="3"/>
  <c r="H137" i="3"/>
  <c r="J134" i="3"/>
  <c r="H134" i="3"/>
  <c r="E151" i="3"/>
  <c r="D151" i="3"/>
  <c r="C151" i="3"/>
  <c r="B151" i="3"/>
  <c r="E150" i="3"/>
  <c r="D150" i="3"/>
  <c r="C150" i="3"/>
  <c r="B150" i="3"/>
  <c r="E149" i="3"/>
  <c r="D149" i="3"/>
  <c r="C149" i="3"/>
  <c r="B149" i="3"/>
  <c r="E148" i="3"/>
  <c r="D148" i="3"/>
  <c r="C148" i="3"/>
  <c r="B148" i="3"/>
  <c r="E147" i="3"/>
  <c r="D147" i="3"/>
  <c r="C147" i="3"/>
  <c r="B147" i="3"/>
  <c r="E146" i="3"/>
  <c r="D146" i="3"/>
  <c r="C146" i="3"/>
  <c r="B146" i="3"/>
  <c r="E145" i="3"/>
  <c r="D145" i="3"/>
  <c r="C145" i="3"/>
  <c r="B145" i="3"/>
  <c r="E144" i="3"/>
  <c r="D144" i="3"/>
  <c r="C144" i="3"/>
  <c r="B144" i="3"/>
  <c r="E143" i="3"/>
  <c r="D143" i="3"/>
  <c r="C143" i="3"/>
  <c r="B143" i="3"/>
  <c r="E142" i="3"/>
  <c r="D142" i="3"/>
  <c r="C142" i="3"/>
  <c r="B142" i="3"/>
  <c r="E141" i="3"/>
  <c r="D141" i="3"/>
  <c r="C141" i="3"/>
  <c r="B141" i="3"/>
  <c r="E140" i="3"/>
  <c r="D140" i="3"/>
  <c r="C140" i="3"/>
  <c r="B140" i="3"/>
  <c r="E139" i="3"/>
  <c r="D139" i="3"/>
  <c r="C139" i="3"/>
  <c r="B139" i="3"/>
  <c r="E138" i="3"/>
  <c r="D138" i="3"/>
  <c r="C138" i="3"/>
  <c r="B138" i="3"/>
  <c r="E137" i="3"/>
  <c r="D137" i="3"/>
  <c r="C137" i="3"/>
  <c r="B137" i="3"/>
  <c r="E136" i="3"/>
  <c r="D136" i="3"/>
  <c r="C136" i="3"/>
  <c r="B136" i="3"/>
  <c r="E135" i="3"/>
  <c r="D135" i="3"/>
  <c r="C135" i="3"/>
  <c r="B135" i="3"/>
  <c r="E134" i="3"/>
  <c r="D134" i="3"/>
  <c r="C134" i="3"/>
  <c r="B134" i="3"/>
  <c r="E133" i="3"/>
  <c r="D133" i="3"/>
  <c r="C133" i="3"/>
  <c r="B133" i="3"/>
  <c r="E132" i="3"/>
  <c r="D132" i="3"/>
  <c r="C132" i="3"/>
  <c r="B132" i="3"/>
  <c r="E131" i="3"/>
  <c r="D131" i="3"/>
  <c r="C131" i="3"/>
  <c r="B131" i="3"/>
  <c r="E130" i="3"/>
  <c r="D130" i="3"/>
  <c r="C130" i="3"/>
  <c r="B130" i="3"/>
  <c r="E129" i="3"/>
  <c r="D129" i="3"/>
  <c r="C129" i="3"/>
  <c r="B129" i="3"/>
  <c r="E128" i="3"/>
  <c r="D128" i="3"/>
  <c r="C128" i="3"/>
  <c r="B128" i="3"/>
  <c r="E127" i="3"/>
  <c r="D127" i="3"/>
  <c r="C127" i="3"/>
  <c r="B127" i="3"/>
  <c r="E126" i="3"/>
  <c r="D126" i="3"/>
  <c r="C126" i="3"/>
  <c r="B126" i="3"/>
  <c r="E125" i="3"/>
  <c r="D125" i="3"/>
  <c r="C125" i="3"/>
  <c r="B125" i="3"/>
  <c r="E124" i="3"/>
  <c r="D124" i="3"/>
  <c r="C124" i="3"/>
  <c r="B124" i="3"/>
  <c r="E123" i="3"/>
  <c r="D123" i="3"/>
  <c r="C123" i="3"/>
  <c r="B123" i="3"/>
  <c r="E122" i="3"/>
  <c r="D122" i="3"/>
  <c r="C122" i="3"/>
  <c r="B122" i="3"/>
  <c r="AO170" i="1"/>
  <c r="AN170" i="1"/>
  <c r="AM170" i="1"/>
  <c r="AO169" i="1"/>
  <c r="AN169" i="1"/>
  <c r="AM169" i="1"/>
  <c r="AO168" i="1"/>
  <c r="AN168" i="1"/>
  <c r="AM168" i="1"/>
  <c r="AO167" i="1"/>
  <c r="AN167" i="1"/>
  <c r="AM167" i="1"/>
  <c r="AO166" i="1"/>
  <c r="AN166" i="1"/>
  <c r="AM166" i="1"/>
  <c r="AO165" i="1"/>
  <c r="AN165" i="1"/>
  <c r="AM165" i="1"/>
  <c r="AO164" i="1"/>
  <c r="AN164" i="1"/>
  <c r="AM164" i="1"/>
  <c r="AO163" i="1"/>
  <c r="AN163" i="1"/>
  <c r="AP217" i="1" s="1"/>
  <c r="AM163" i="1"/>
  <c r="AO162" i="1"/>
  <c r="AN162" i="1"/>
  <c r="AM162" i="1"/>
  <c r="AO161" i="1"/>
  <c r="AN161" i="1"/>
  <c r="AM161" i="1"/>
  <c r="AO160" i="1"/>
  <c r="AN160" i="1"/>
  <c r="AM160" i="1"/>
  <c r="AO159" i="1"/>
  <c r="AN159" i="1"/>
  <c r="AM159" i="1"/>
  <c r="AO158" i="1"/>
  <c r="AN158" i="1"/>
  <c r="AM158" i="1"/>
  <c r="AO157" i="1"/>
  <c r="AN157" i="1"/>
  <c r="AM157" i="1"/>
  <c r="AO156" i="1"/>
  <c r="AN156" i="1"/>
  <c r="AM156" i="1"/>
  <c r="AO155" i="1"/>
  <c r="AM155" i="1"/>
  <c r="AO154" i="1"/>
  <c r="AN154" i="1"/>
  <c r="AM154" i="1"/>
  <c r="AO153" i="1"/>
  <c r="AN153" i="1"/>
  <c r="AM153" i="1"/>
  <c r="AO152" i="1"/>
  <c r="AN152" i="1"/>
  <c r="AM152" i="1"/>
  <c r="AO151" i="1"/>
  <c r="AN151" i="1"/>
  <c r="AM151" i="1"/>
  <c r="AO150" i="1"/>
  <c r="AN150" i="1"/>
  <c r="AM150" i="1"/>
  <c r="AO149" i="1"/>
  <c r="AN149" i="1"/>
  <c r="AM149" i="1"/>
  <c r="AO148" i="1"/>
  <c r="AN148" i="1"/>
  <c r="AM148" i="1"/>
  <c r="AO147" i="1"/>
  <c r="AN147" i="1"/>
  <c r="AM147" i="1"/>
  <c r="AG170" i="1"/>
  <c r="AH194" i="1" s="1"/>
  <c r="AG169" i="1"/>
  <c r="AH193" i="1" s="1"/>
  <c r="AG168" i="1"/>
  <c r="AH192" i="1" s="1"/>
  <c r="AG167" i="1"/>
  <c r="AH191" i="1" s="1"/>
  <c r="AG166" i="1"/>
  <c r="AH190" i="1" s="1"/>
  <c r="AG165" i="1"/>
  <c r="AH189" i="1" s="1"/>
  <c r="AG164" i="1"/>
  <c r="AH188" i="1" s="1"/>
  <c r="AG163" i="1"/>
  <c r="AH187" i="1" s="1"/>
  <c r="AG162" i="1"/>
  <c r="AH186" i="1" s="1"/>
  <c r="AG161" i="1"/>
  <c r="AH185" i="1" s="1"/>
  <c r="AG160" i="1"/>
  <c r="AH184" i="1" s="1"/>
  <c r="AG159" i="1"/>
  <c r="AH183" i="1" s="1"/>
  <c r="AG158" i="1"/>
  <c r="AH182" i="1" s="1"/>
  <c r="AG157" i="1"/>
  <c r="AH181" i="1" s="1"/>
  <c r="AG156" i="1"/>
  <c r="AH180" i="1" s="1"/>
  <c r="AG155" i="1"/>
  <c r="AH179" i="1" s="1"/>
  <c r="AG154" i="1"/>
  <c r="AH178" i="1" s="1"/>
  <c r="AG153" i="1"/>
  <c r="AH177" i="1" s="1"/>
  <c r="AG152" i="1"/>
  <c r="AH176" i="1" s="1"/>
  <c r="AG151" i="1"/>
  <c r="AH175" i="1" s="1"/>
  <c r="AG150" i="1"/>
  <c r="AH174" i="1" s="1"/>
  <c r="AG149" i="1"/>
  <c r="AH173" i="1" s="1"/>
  <c r="AG148" i="1"/>
  <c r="AH172" i="1" s="1"/>
  <c r="AG147" i="1"/>
  <c r="AH171" i="1" s="1"/>
  <c r="AA170" i="1"/>
  <c r="Z170" i="1"/>
  <c r="Y170" i="1"/>
  <c r="X170" i="1"/>
  <c r="AA169" i="1"/>
  <c r="Z169" i="1"/>
  <c r="Y169" i="1"/>
  <c r="X169" i="1"/>
  <c r="AA168" i="1"/>
  <c r="Z168" i="1"/>
  <c r="Y168" i="1"/>
  <c r="X168" i="1"/>
  <c r="AA167" i="1"/>
  <c r="Z167" i="1"/>
  <c r="Y167" i="1"/>
  <c r="X167" i="1"/>
  <c r="AA166" i="1"/>
  <c r="Z166" i="1"/>
  <c r="Y166" i="1"/>
  <c r="X166" i="1"/>
  <c r="AA165" i="1"/>
  <c r="Z165" i="1"/>
  <c r="Y165" i="1"/>
  <c r="X165" i="1"/>
  <c r="AA164" i="1"/>
  <c r="Z164" i="1"/>
  <c r="Y164" i="1"/>
  <c r="X164" i="1"/>
  <c r="AA163" i="1"/>
  <c r="Z163" i="1"/>
  <c r="Y163" i="1"/>
  <c r="X163" i="1"/>
  <c r="AA162" i="1"/>
  <c r="Z162" i="1"/>
  <c r="Y162" i="1"/>
  <c r="X162" i="1"/>
  <c r="AA161" i="1"/>
  <c r="Z161" i="1"/>
  <c r="Y161" i="1"/>
  <c r="X161" i="1"/>
  <c r="AA160" i="1"/>
  <c r="Z160" i="1"/>
  <c r="Y160" i="1"/>
  <c r="X160" i="1"/>
  <c r="AA159" i="1"/>
  <c r="Z159" i="1"/>
  <c r="Y159" i="1"/>
  <c r="X159" i="1"/>
  <c r="AA158" i="1"/>
  <c r="Z158" i="1"/>
  <c r="Y158" i="1"/>
  <c r="X158" i="1"/>
  <c r="AA157" i="1"/>
  <c r="Z157" i="1"/>
  <c r="Y157" i="1"/>
  <c r="X157" i="1"/>
  <c r="AA156" i="1"/>
  <c r="Z156" i="1"/>
  <c r="Y156" i="1"/>
  <c r="X156" i="1"/>
  <c r="AA155" i="1"/>
  <c r="Z155" i="1"/>
  <c r="Y155" i="1"/>
  <c r="X155" i="1"/>
  <c r="AA154" i="1"/>
  <c r="Z154" i="1"/>
  <c r="Y154" i="1"/>
  <c r="X154" i="1"/>
  <c r="AA153" i="1"/>
  <c r="Z153" i="1"/>
  <c r="Y153" i="1"/>
  <c r="X153" i="1"/>
  <c r="AA152" i="1"/>
  <c r="Z152" i="1"/>
  <c r="Y152" i="1"/>
  <c r="X152" i="1"/>
  <c r="AA151" i="1"/>
  <c r="Z151" i="1"/>
  <c r="Y151" i="1"/>
  <c r="X151" i="1"/>
  <c r="AA150" i="1"/>
  <c r="Z150" i="1"/>
  <c r="Y150" i="1"/>
  <c r="X150" i="1"/>
  <c r="AA149" i="1"/>
  <c r="Z149" i="1"/>
  <c r="Y149" i="1"/>
  <c r="X149" i="1"/>
  <c r="AA148" i="1"/>
  <c r="Z148" i="1"/>
  <c r="Y148" i="1"/>
  <c r="X148" i="1"/>
  <c r="AA147" i="1"/>
  <c r="Z147" i="1"/>
  <c r="Y147" i="1"/>
  <c r="X147" i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2" i="6"/>
  <c r="J41" i="6"/>
  <c r="J40" i="6"/>
  <c r="J27" i="6"/>
  <c r="J26" i="6"/>
  <c r="J28" i="6"/>
  <c r="J29" i="6"/>
  <c r="J30" i="6"/>
  <c r="J31" i="6"/>
  <c r="J32" i="6"/>
  <c r="J33" i="6"/>
  <c r="J34" i="6"/>
  <c r="J35" i="6"/>
  <c r="J36" i="6"/>
  <c r="J37" i="6"/>
  <c r="J38" i="6"/>
  <c r="J39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AG4" i="1"/>
  <c r="AH28" i="1" s="1"/>
  <c r="AG5" i="1"/>
  <c r="AG6" i="1"/>
  <c r="AG7" i="1"/>
  <c r="AG8" i="1"/>
  <c r="AG9" i="1"/>
  <c r="AG10" i="1"/>
  <c r="AH34" i="1" s="1"/>
  <c r="AG11" i="1"/>
  <c r="AG12" i="1"/>
  <c r="AG13" i="1"/>
  <c r="AH278" i="1" s="1"/>
  <c r="AG14" i="1"/>
  <c r="AH279" i="1" s="1"/>
  <c r="AG15" i="1"/>
  <c r="AH280" i="1" s="1"/>
  <c r="AG16" i="1"/>
  <c r="AG17" i="1"/>
  <c r="AG18" i="1"/>
  <c r="AH283" i="1" s="1"/>
  <c r="AG19" i="1"/>
  <c r="AH284" i="1" s="1"/>
  <c r="AG20" i="1"/>
  <c r="AG21" i="1"/>
  <c r="AG22" i="1"/>
  <c r="AH287" i="1" s="1"/>
  <c r="AG23" i="1"/>
  <c r="AG24" i="1"/>
  <c r="AG25" i="1"/>
  <c r="AG26" i="1"/>
  <c r="AH50" i="1" s="1"/>
  <c r="AG27" i="1"/>
  <c r="AH51" i="1" s="1"/>
  <c r="AG28" i="1"/>
  <c r="AH52" i="1" s="1"/>
  <c r="AG29" i="1"/>
  <c r="AH294" i="1" s="1"/>
  <c r="AG30" i="1"/>
  <c r="AH295" i="1" s="1"/>
  <c r="AG31" i="1"/>
  <c r="AG32" i="1"/>
  <c r="AH297" i="1" s="1"/>
  <c r="AG33" i="1"/>
  <c r="AH298" i="1" s="1"/>
  <c r="AG34" i="1"/>
  <c r="AH299" i="1" s="1"/>
  <c r="AG35" i="1"/>
  <c r="AH300" i="1" s="1"/>
  <c r="AG36" i="1"/>
  <c r="AG37" i="1"/>
  <c r="AG38" i="1"/>
  <c r="AG39" i="1"/>
  <c r="AG40" i="1"/>
  <c r="AH64" i="1" s="1"/>
  <c r="AG41" i="1"/>
  <c r="AG42" i="1"/>
  <c r="AH66" i="1" s="1"/>
  <c r="AG43" i="1"/>
  <c r="AG44" i="1"/>
  <c r="AG45" i="1"/>
  <c r="AH310" i="1" s="1"/>
  <c r="AG46" i="1"/>
  <c r="AH311" i="1" s="1"/>
  <c r="AG47" i="1"/>
  <c r="AG48" i="1"/>
  <c r="AH313" i="1" s="1"/>
  <c r="AG49" i="1"/>
  <c r="AG50" i="1"/>
  <c r="AG51" i="1"/>
  <c r="AH75" i="1" s="1"/>
  <c r="AG52" i="1"/>
  <c r="AH76" i="1" s="1"/>
  <c r="AG53" i="1"/>
  <c r="AG54" i="1"/>
  <c r="AG55" i="1"/>
  <c r="AG56" i="1"/>
  <c r="AG57" i="1"/>
  <c r="AG58" i="1"/>
  <c r="AH82" i="1" s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H96" i="1" s="1"/>
  <c r="AG73" i="1"/>
  <c r="AG74" i="1"/>
  <c r="AH98" i="1" s="1"/>
  <c r="AG75" i="1"/>
  <c r="AH99" i="1" s="1"/>
  <c r="AG76" i="1"/>
  <c r="AH100" i="1" s="1"/>
  <c r="AG77" i="1"/>
  <c r="AG78" i="1"/>
  <c r="AG79" i="1"/>
  <c r="AG80" i="1"/>
  <c r="AG81" i="1"/>
  <c r="AH105" i="1" s="1"/>
  <c r="AG82" i="1"/>
  <c r="AG83" i="1"/>
  <c r="AH107" i="1" s="1"/>
  <c r="AG84" i="1"/>
  <c r="AH108" i="1" s="1"/>
  <c r="AG85" i="1"/>
  <c r="AG86" i="1"/>
  <c r="AH110" i="1" s="1"/>
  <c r="AG87" i="1"/>
  <c r="AG88" i="1"/>
  <c r="AG89" i="1"/>
  <c r="AG90" i="1"/>
  <c r="AH114" i="1" s="1"/>
  <c r="AG91" i="1"/>
  <c r="AH115" i="1" s="1"/>
  <c r="AG92" i="1"/>
  <c r="AH116" i="1" s="1"/>
  <c r="AG93" i="1"/>
  <c r="AG94" i="1"/>
  <c r="AG95" i="1"/>
  <c r="AG96" i="1"/>
  <c r="AG97" i="1"/>
  <c r="AG98" i="1"/>
  <c r="AG99" i="1"/>
  <c r="AH123" i="1" s="1"/>
  <c r="AG100" i="1"/>
  <c r="AH124" i="1" s="1"/>
  <c r="AG101" i="1"/>
  <c r="AG102" i="1"/>
  <c r="AH126" i="1" s="1"/>
  <c r="AG103" i="1"/>
  <c r="AG104" i="1"/>
  <c r="AH128" i="1" s="1"/>
  <c r="AG105" i="1"/>
  <c r="AG106" i="1"/>
  <c r="AH130" i="1" s="1"/>
  <c r="AG107" i="1"/>
  <c r="AH131" i="1" s="1"/>
  <c r="AG108" i="1"/>
  <c r="AG109" i="1"/>
  <c r="AG110" i="1"/>
  <c r="AH134" i="1" s="1"/>
  <c r="AG111" i="1"/>
  <c r="AH135" i="1" s="1"/>
  <c r="AG112" i="1"/>
  <c r="AG113" i="1"/>
  <c r="AH137" i="1" s="1"/>
  <c r="AG114" i="1"/>
  <c r="AH138" i="1" s="1"/>
  <c r="AG115" i="1"/>
  <c r="AH139" i="1" s="1"/>
  <c r="AG116" i="1"/>
  <c r="AG117" i="1"/>
  <c r="AG118" i="1"/>
  <c r="AH142" i="1" s="1"/>
  <c r="AG119" i="1"/>
  <c r="AG120" i="1"/>
  <c r="AH144" i="1" s="1"/>
  <c r="AG121" i="1"/>
  <c r="AG122" i="1"/>
  <c r="AG123" i="1"/>
  <c r="AH147" i="1" s="1"/>
  <c r="AG124" i="1"/>
  <c r="AH148" i="1" s="1"/>
  <c r="AG125" i="1"/>
  <c r="AH149" i="1" s="1"/>
  <c r="AG126" i="1"/>
  <c r="AH150" i="1" s="1"/>
  <c r="AG127" i="1"/>
  <c r="AH151" i="1" s="1"/>
  <c r="AG128" i="1"/>
  <c r="AH152" i="1" s="1"/>
  <c r="AG129" i="1"/>
  <c r="AH153" i="1" s="1"/>
  <c r="AG130" i="1"/>
  <c r="AH154" i="1" s="1"/>
  <c r="AG131" i="1"/>
  <c r="AH155" i="1" s="1"/>
  <c r="AG132" i="1"/>
  <c r="AH156" i="1" s="1"/>
  <c r="AG133" i="1"/>
  <c r="AH157" i="1" s="1"/>
  <c r="AG134" i="1"/>
  <c r="AH158" i="1" s="1"/>
  <c r="AG135" i="1"/>
  <c r="AH159" i="1" s="1"/>
  <c r="AG136" i="1"/>
  <c r="AH160" i="1" s="1"/>
  <c r="AG137" i="1"/>
  <c r="AH161" i="1" s="1"/>
  <c r="AG138" i="1"/>
  <c r="AH162" i="1" s="1"/>
  <c r="AG139" i="1"/>
  <c r="AH163" i="1" s="1"/>
  <c r="AG140" i="1"/>
  <c r="AH164" i="1" s="1"/>
  <c r="AG141" i="1"/>
  <c r="AH165" i="1" s="1"/>
  <c r="AG142" i="1"/>
  <c r="AH166" i="1" s="1"/>
  <c r="AG143" i="1"/>
  <c r="AH167" i="1" s="1"/>
  <c r="AG144" i="1"/>
  <c r="AH168" i="1" s="1"/>
  <c r="AG145" i="1"/>
  <c r="AH169" i="1" s="1"/>
  <c r="AG146" i="1"/>
  <c r="AH170" i="1" s="1"/>
  <c r="AG3" i="1"/>
  <c r="AH27" i="1" s="1"/>
  <c r="K3" i="5"/>
  <c r="K4" i="5"/>
  <c r="K5" i="5"/>
  <c r="K6" i="5"/>
  <c r="K7" i="5"/>
  <c r="K8" i="5"/>
  <c r="K9" i="5"/>
  <c r="K10" i="5"/>
  <c r="K11" i="5"/>
  <c r="K12" i="5"/>
  <c r="K13" i="5"/>
  <c r="K2" i="5"/>
  <c r="I3" i="5"/>
  <c r="I4" i="5"/>
  <c r="I5" i="5"/>
  <c r="I6" i="5"/>
  <c r="I7" i="5"/>
  <c r="I8" i="5"/>
  <c r="I9" i="5"/>
  <c r="I10" i="5"/>
  <c r="I11" i="5"/>
  <c r="I12" i="5"/>
  <c r="I13" i="5"/>
  <c r="I2" i="5"/>
  <c r="G3" i="5"/>
  <c r="G4" i="5"/>
  <c r="G5" i="5"/>
  <c r="G6" i="5"/>
  <c r="G7" i="5"/>
  <c r="G8" i="5"/>
  <c r="G9" i="5"/>
  <c r="G10" i="5"/>
  <c r="G11" i="5"/>
  <c r="G12" i="5"/>
  <c r="G13" i="5"/>
  <c r="G2" i="5"/>
  <c r="AH26" i="4"/>
  <c r="AJ26" i="4" s="1"/>
  <c r="AH27" i="4"/>
  <c r="AJ27" i="4" s="1"/>
  <c r="AH28" i="4"/>
  <c r="AJ28" i="4" s="1"/>
  <c r="AH29" i="4"/>
  <c r="AJ29" i="4" s="1"/>
  <c r="AH30" i="4"/>
  <c r="AJ30" i="4" s="1"/>
  <c r="AH31" i="4"/>
  <c r="AJ31" i="4" s="1"/>
  <c r="AH32" i="4"/>
  <c r="AJ32" i="4" s="1"/>
  <c r="AH33" i="4"/>
  <c r="AJ33" i="4" s="1"/>
  <c r="AH34" i="4"/>
  <c r="AJ34" i="4" s="1"/>
  <c r="AH35" i="4"/>
  <c r="AJ35" i="4" s="1"/>
  <c r="AH36" i="4"/>
  <c r="AJ36" i="4" s="1"/>
  <c r="AH37" i="4"/>
  <c r="AJ37" i="4" s="1"/>
  <c r="AH38" i="4"/>
  <c r="AJ38" i="4" s="1"/>
  <c r="AH39" i="4"/>
  <c r="AJ39" i="4" s="1"/>
  <c r="AH40" i="4"/>
  <c r="AJ40" i="4" s="1"/>
  <c r="AH41" i="4"/>
  <c r="AJ41" i="4" s="1"/>
  <c r="AH42" i="4"/>
  <c r="AJ42" i="4" s="1"/>
  <c r="AH43" i="4"/>
  <c r="AJ43" i="4" s="1"/>
  <c r="AH44" i="4"/>
  <c r="AJ44" i="4" s="1"/>
  <c r="AH45" i="4"/>
  <c r="AJ45" i="4" s="1"/>
  <c r="AH46" i="4"/>
  <c r="AJ46" i="4" s="1"/>
  <c r="AH47" i="4"/>
  <c r="AJ47" i="4" s="1"/>
  <c r="AH48" i="4"/>
  <c r="AJ48" i="4" s="1"/>
  <c r="AH49" i="4"/>
  <c r="AJ49" i="4" s="1"/>
  <c r="AH50" i="4"/>
  <c r="AJ50" i="4" s="1"/>
  <c r="AH51" i="4"/>
  <c r="AJ51" i="4" s="1"/>
  <c r="AH52" i="4"/>
  <c r="AJ52" i="4" s="1"/>
  <c r="AH53" i="4"/>
  <c r="AJ53" i="4" s="1"/>
  <c r="AH54" i="4"/>
  <c r="AJ54" i="4" s="1"/>
  <c r="AH55" i="4"/>
  <c r="AJ55" i="4" s="1"/>
  <c r="AH56" i="4"/>
  <c r="AJ56" i="4" s="1"/>
  <c r="AH57" i="4"/>
  <c r="AJ57" i="4" s="1"/>
  <c r="AH58" i="4"/>
  <c r="AJ58" i="4" s="1"/>
  <c r="AH59" i="4"/>
  <c r="AJ59" i="4" s="1"/>
  <c r="AH60" i="4"/>
  <c r="AJ60" i="4" s="1"/>
  <c r="AH61" i="4"/>
  <c r="AJ61" i="4" s="1"/>
  <c r="AH62" i="4"/>
  <c r="AJ62" i="4" s="1"/>
  <c r="AH63" i="4"/>
  <c r="AJ63" i="4" s="1"/>
  <c r="AH64" i="4"/>
  <c r="AJ64" i="4" s="1"/>
  <c r="AH65" i="4"/>
  <c r="AJ65" i="4" s="1"/>
  <c r="AH66" i="4"/>
  <c r="AJ66" i="4" s="1"/>
  <c r="AH67" i="4"/>
  <c r="AJ67" i="4" s="1"/>
  <c r="AH68" i="4"/>
  <c r="AJ68" i="4" s="1"/>
  <c r="AH69" i="4"/>
  <c r="AJ69" i="4" s="1"/>
  <c r="AH70" i="4"/>
  <c r="AJ70" i="4" s="1"/>
  <c r="AH71" i="4"/>
  <c r="AJ71" i="4" s="1"/>
  <c r="AH72" i="4"/>
  <c r="AJ72" i="4" s="1"/>
  <c r="AH73" i="4"/>
  <c r="AJ73" i="4" s="1"/>
  <c r="AH74" i="4"/>
  <c r="AJ74" i="4" s="1"/>
  <c r="AH75" i="4"/>
  <c r="AJ75" i="4" s="1"/>
  <c r="AH76" i="4"/>
  <c r="AJ76" i="4" s="1"/>
  <c r="AH77" i="4"/>
  <c r="AJ77" i="4" s="1"/>
  <c r="AH78" i="4"/>
  <c r="AJ78" i="4" s="1"/>
  <c r="AH79" i="4"/>
  <c r="AJ79" i="4" s="1"/>
  <c r="AH80" i="4"/>
  <c r="AJ80" i="4" s="1"/>
  <c r="AH81" i="4"/>
  <c r="AJ81" i="4" s="1"/>
  <c r="AH82" i="4"/>
  <c r="AJ82" i="4" s="1"/>
  <c r="AH83" i="4"/>
  <c r="AJ83" i="4" s="1"/>
  <c r="AH84" i="4"/>
  <c r="AJ84" i="4" s="1"/>
  <c r="AH85" i="4"/>
  <c r="AJ85" i="4" s="1"/>
  <c r="AH86" i="4"/>
  <c r="AJ86" i="4" s="1"/>
  <c r="AH87" i="4"/>
  <c r="AJ87" i="4" s="1"/>
  <c r="AH88" i="4"/>
  <c r="AJ88" i="4" s="1"/>
  <c r="AH89" i="4"/>
  <c r="AJ89" i="4" s="1"/>
  <c r="AH90" i="4"/>
  <c r="AJ90" i="4" s="1"/>
  <c r="AH91" i="4"/>
  <c r="AJ91" i="4" s="1"/>
  <c r="AH92" i="4"/>
  <c r="AJ92" i="4" s="1"/>
  <c r="AH93" i="4"/>
  <c r="AJ93" i="4" s="1"/>
  <c r="AH94" i="4"/>
  <c r="AJ94" i="4" s="1"/>
  <c r="AH95" i="4"/>
  <c r="AJ95" i="4" s="1"/>
  <c r="AH96" i="4"/>
  <c r="AJ96" i="4" s="1"/>
  <c r="AH97" i="4"/>
  <c r="AJ97" i="4" s="1"/>
  <c r="AH98" i="4"/>
  <c r="AJ98" i="4" s="1"/>
  <c r="AH99" i="4"/>
  <c r="AJ99" i="4" s="1"/>
  <c r="AH100" i="4"/>
  <c r="AJ100" i="4" s="1"/>
  <c r="AH101" i="4"/>
  <c r="AJ101" i="4" s="1"/>
  <c r="AH102" i="4"/>
  <c r="AJ102" i="4" s="1"/>
  <c r="AH103" i="4"/>
  <c r="AJ103" i="4" s="1"/>
  <c r="AH104" i="4"/>
  <c r="AJ104" i="4" s="1"/>
  <c r="AH105" i="4"/>
  <c r="AJ105" i="4" s="1"/>
  <c r="AH106" i="4"/>
  <c r="AJ106" i="4" s="1"/>
  <c r="AH107" i="4"/>
  <c r="AJ107" i="4" s="1"/>
  <c r="AH108" i="4"/>
  <c r="AJ108" i="4" s="1"/>
  <c r="AH109" i="4"/>
  <c r="AJ109" i="4" s="1"/>
  <c r="AH110" i="4"/>
  <c r="AJ110" i="4" s="1"/>
  <c r="AH111" i="4"/>
  <c r="AJ111" i="4" s="1"/>
  <c r="AH112" i="4"/>
  <c r="AJ112" i="4" s="1"/>
  <c r="AH113" i="4"/>
  <c r="AJ113" i="4" s="1"/>
  <c r="AH114" i="4"/>
  <c r="AJ114" i="4" s="1"/>
  <c r="AH115" i="4"/>
  <c r="AJ115" i="4" s="1"/>
  <c r="AH116" i="4"/>
  <c r="AJ116" i="4" s="1"/>
  <c r="AH117" i="4"/>
  <c r="AJ117" i="4" s="1"/>
  <c r="AH118" i="4"/>
  <c r="AJ118" i="4" s="1"/>
  <c r="AH119" i="4"/>
  <c r="AJ119" i="4" s="1"/>
  <c r="AH120" i="4"/>
  <c r="AJ120" i="4" s="1"/>
  <c r="AH121" i="4"/>
  <c r="AJ121" i="4" s="1"/>
  <c r="AH122" i="4"/>
  <c r="AJ122" i="4" s="1"/>
  <c r="AH123" i="4"/>
  <c r="AJ123" i="4" s="1"/>
  <c r="AH124" i="4"/>
  <c r="AJ124" i="4" s="1"/>
  <c r="AH125" i="4"/>
  <c r="AJ125" i="4" s="1"/>
  <c r="AH126" i="4"/>
  <c r="AJ126" i="4" s="1"/>
  <c r="AH127" i="4"/>
  <c r="AJ127" i="4" s="1"/>
  <c r="AH128" i="4"/>
  <c r="AJ128" i="4" s="1"/>
  <c r="AH129" i="4"/>
  <c r="AJ129" i="4" s="1"/>
  <c r="AH130" i="4"/>
  <c r="AJ130" i="4" s="1"/>
  <c r="AH131" i="4"/>
  <c r="AJ131" i="4" s="1"/>
  <c r="AH132" i="4"/>
  <c r="AJ132" i="4" s="1"/>
  <c r="AH133" i="4"/>
  <c r="AJ133" i="4" s="1"/>
  <c r="AH134" i="4"/>
  <c r="AJ134" i="4" s="1"/>
  <c r="AH135" i="4"/>
  <c r="AJ135" i="4" s="1"/>
  <c r="AH136" i="4"/>
  <c r="AJ136" i="4" s="1"/>
  <c r="AH137" i="4"/>
  <c r="AJ137" i="4" s="1"/>
  <c r="AH138" i="4"/>
  <c r="AJ138" i="4" s="1"/>
  <c r="AH139" i="4"/>
  <c r="AJ139" i="4" s="1"/>
  <c r="AH140" i="4"/>
  <c r="AJ140" i="4" s="1"/>
  <c r="AH141" i="4"/>
  <c r="AJ141" i="4" s="1"/>
  <c r="AH142" i="4"/>
  <c r="AJ142" i="4" s="1"/>
  <c r="AH143" i="4"/>
  <c r="AJ143" i="4" s="1"/>
  <c r="AH144" i="4"/>
  <c r="AJ144" i="4" s="1"/>
  <c r="AH145" i="4"/>
  <c r="AJ145" i="4" s="1"/>
  <c r="AH146" i="4"/>
  <c r="AJ146" i="4" s="1"/>
  <c r="AH147" i="4"/>
  <c r="AJ147" i="4" s="1"/>
  <c r="AH148" i="4"/>
  <c r="AJ148" i="4" s="1"/>
  <c r="AH149" i="4"/>
  <c r="AJ149" i="4" s="1"/>
  <c r="AH150" i="4"/>
  <c r="AJ150" i="4" s="1"/>
  <c r="AH151" i="4"/>
  <c r="AJ151" i="4" s="1"/>
  <c r="AH152" i="4"/>
  <c r="AJ152" i="4" s="1"/>
  <c r="AH153" i="4"/>
  <c r="AJ153" i="4" s="1"/>
  <c r="AH154" i="4"/>
  <c r="AJ154" i="4" s="1"/>
  <c r="AH155" i="4"/>
  <c r="AJ155" i="4" s="1"/>
  <c r="AH156" i="4"/>
  <c r="AJ156" i="4" s="1"/>
  <c r="AH157" i="4"/>
  <c r="AJ157" i="4" s="1"/>
  <c r="AH158" i="4"/>
  <c r="AJ158" i="4" s="1"/>
  <c r="AH159" i="4"/>
  <c r="AJ159" i="4" s="1"/>
  <c r="AH160" i="4"/>
  <c r="AJ160" i="4" s="1"/>
  <c r="AH161" i="4"/>
  <c r="AJ161" i="4" s="1"/>
  <c r="AH162" i="4"/>
  <c r="AJ162" i="4" s="1"/>
  <c r="AH163" i="4"/>
  <c r="AJ163" i="4" s="1"/>
  <c r="AH164" i="4"/>
  <c r="AJ164" i="4" s="1"/>
  <c r="AH165" i="4"/>
  <c r="AJ165" i="4" s="1"/>
  <c r="AH166" i="4"/>
  <c r="AJ166" i="4" s="1"/>
  <c r="AH167" i="4"/>
  <c r="AJ167" i="4" s="1"/>
  <c r="AH168" i="4"/>
  <c r="AJ168" i="4" s="1"/>
  <c r="AH169" i="4"/>
  <c r="AJ169" i="4" s="1"/>
  <c r="AG3" i="4"/>
  <c r="AH3" i="4" s="1"/>
  <c r="AJ3" i="4" s="1"/>
  <c r="AG5" i="4"/>
  <c r="AH5" i="4" s="1"/>
  <c r="AJ5" i="4" s="1"/>
  <c r="AG8" i="4"/>
  <c r="AH8" i="4" s="1"/>
  <c r="AJ8" i="4" s="1"/>
  <c r="AG9" i="4"/>
  <c r="AH9" i="4" s="1"/>
  <c r="AJ9" i="4" s="1"/>
  <c r="AG11" i="4"/>
  <c r="AH11" i="4" s="1"/>
  <c r="AJ11" i="4" s="1"/>
  <c r="AG12" i="4"/>
  <c r="AH12" i="4" s="1"/>
  <c r="AJ12" i="4" s="1"/>
  <c r="AG13" i="4"/>
  <c r="AH13" i="4" s="1"/>
  <c r="AJ13" i="4" s="1"/>
  <c r="AG15" i="4"/>
  <c r="AH15" i="4" s="1"/>
  <c r="AJ15" i="4" s="1"/>
  <c r="AG17" i="4"/>
  <c r="AH17" i="4" s="1"/>
  <c r="AJ17" i="4" s="1"/>
  <c r="AG18" i="4"/>
  <c r="AH18" i="4" s="1"/>
  <c r="AJ18" i="4" s="1"/>
  <c r="AG20" i="4"/>
  <c r="AH20" i="4" s="1"/>
  <c r="AJ20" i="4" s="1"/>
  <c r="AG22" i="4"/>
  <c r="AH22" i="4" s="1"/>
  <c r="AJ22" i="4" s="1"/>
  <c r="AG23" i="4"/>
  <c r="AH23" i="4" s="1"/>
  <c r="AJ23" i="4" s="1"/>
  <c r="AG24" i="4"/>
  <c r="AH24" i="4" s="1"/>
  <c r="AJ24" i="4" s="1"/>
  <c r="AG25" i="4"/>
  <c r="AH25" i="4" s="1"/>
  <c r="AJ25" i="4" s="1"/>
  <c r="AE3" i="4"/>
  <c r="AE4" i="4"/>
  <c r="AG4" i="4" s="1"/>
  <c r="AH4" i="4" s="1"/>
  <c r="AJ4" i="4" s="1"/>
  <c r="AE5" i="4"/>
  <c r="AE6" i="4"/>
  <c r="AG6" i="4" s="1"/>
  <c r="AH6" i="4" s="1"/>
  <c r="AJ6" i="4" s="1"/>
  <c r="AE7" i="4"/>
  <c r="AG7" i="4" s="1"/>
  <c r="AH7" i="4" s="1"/>
  <c r="AJ7" i="4" s="1"/>
  <c r="AE8" i="4"/>
  <c r="AE9" i="4"/>
  <c r="AE10" i="4"/>
  <c r="AG10" i="4" s="1"/>
  <c r="AH10" i="4" s="1"/>
  <c r="AJ10" i="4" s="1"/>
  <c r="AE11" i="4"/>
  <c r="AE12" i="4"/>
  <c r="AE13" i="4"/>
  <c r="AE14" i="4"/>
  <c r="AG14" i="4" s="1"/>
  <c r="AH14" i="4" s="1"/>
  <c r="AJ14" i="4" s="1"/>
  <c r="AE15" i="4"/>
  <c r="AE16" i="4"/>
  <c r="AG16" i="4" s="1"/>
  <c r="AH16" i="4" s="1"/>
  <c r="AJ16" i="4" s="1"/>
  <c r="AE17" i="4"/>
  <c r="AE18" i="4"/>
  <c r="AE19" i="4"/>
  <c r="AG19" i="4" s="1"/>
  <c r="AH19" i="4" s="1"/>
  <c r="AJ19" i="4" s="1"/>
  <c r="AE20" i="4"/>
  <c r="AE21" i="4"/>
  <c r="AG21" i="4" s="1"/>
  <c r="AH21" i="4" s="1"/>
  <c r="AJ21" i="4" s="1"/>
  <c r="AE22" i="4"/>
  <c r="AE23" i="4"/>
  <c r="AE24" i="4"/>
  <c r="AE25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" i="4"/>
  <c r="AE2" i="4"/>
  <c r="AG2" i="4"/>
  <c r="AH2" i="4" s="1"/>
  <c r="AJ2" i="4" s="1"/>
  <c r="AM123" i="1"/>
  <c r="AN123" i="1"/>
  <c r="AO123" i="1"/>
  <c r="AM124" i="1"/>
  <c r="AN124" i="1"/>
  <c r="AO124" i="1"/>
  <c r="AM125" i="1"/>
  <c r="AN125" i="1"/>
  <c r="AO125" i="1"/>
  <c r="AM126" i="1"/>
  <c r="AN126" i="1"/>
  <c r="AO126" i="1"/>
  <c r="AM127" i="1"/>
  <c r="AN127" i="1"/>
  <c r="AO127" i="1"/>
  <c r="AM128" i="1"/>
  <c r="AN128" i="1"/>
  <c r="AO128" i="1"/>
  <c r="AM129" i="1"/>
  <c r="AN129" i="1"/>
  <c r="AO129" i="1"/>
  <c r="AM130" i="1"/>
  <c r="AN130" i="1"/>
  <c r="AO130" i="1"/>
  <c r="AM131" i="1"/>
  <c r="AN131" i="1"/>
  <c r="AO131" i="1"/>
  <c r="AM132" i="1"/>
  <c r="AN132" i="1"/>
  <c r="AO132" i="1"/>
  <c r="AM133" i="1"/>
  <c r="AN133" i="1"/>
  <c r="AO133" i="1"/>
  <c r="AM134" i="1"/>
  <c r="AN134" i="1"/>
  <c r="AO134" i="1"/>
  <c r="AM135" i="1"/>
  <c r="AN135" i="1"/>
  <c r="AO135" i="1"/>
  <c r="AM136" i="1"/>
  <c r="AN136" i="1"/>
  <c r="AO136" i="1"/>
  <c r="AM137" i="1"/>
  <c r="AN137" i="1"/>
  <c r="AO137" i="1"/>
  <c r="AM138" i="1"/>
  <c r="AN138" i="1"/>
  <c r="AO138" i="1"/>
  <c r="AM139" i="1"/>
  <c r="AN139" i="1"/>
  <c r="AO139" i="1"/>
  <c r="AM140" i="1"/>
  <c r="AN140" i="1"/>
  <c r="AO140" i="1"/>
  <c r="AM141" i="1"/>
  <c r="AN141" i="1"/>
  <c r="AO141" i="1"/>
  <c r="AM142" i="1"/>
  <c r="AN142" i="1"/>
  <c r="AO142" i="1"/>
  <c r="AM143" i="1"/>
  <c r="AN143" i="1"/>
  <c r="AO143" i="1"/>
  <c r="AM144" i="1"/>
  <c r="AN144" i="1"/>
  <c r="AO144" i="1"/>
  <c r="AM145" i="1"/>
  <c r="AN145" i="1"/>
  <c r="AO145" i="1"/>
  <c r="AM146" i="1"/>
  <c r="AN146" i="1"/>
  <c r="AO146" i="1"/>
  <c r="X123" i="1"/>
  <c r="Y123" i="1"/>
  <c r="Z123" i="1"/>
  <c r="AA123" i="1"/>
  <c r="X124" i="1"/>
  <c r="Y124" i="1"/>
  <c r="Z124" i="1"/>
  <c r="AA124" i="1"/>
  <c r="X125" i="1"/>
  <c r="Y125" i="1"/>
  <c r="Z125" i="1"/>
  <c r="AA125" i="1"/>
  <c r="X126" i="1"/>
  <c r="Y126" i="1"/>
  <c r="Z126" i="1"/>
  <c r="AA126" i="1"/>
  <c r="X127" i="1"/>
  <c r="Y127" i="1"/>
  <c r="Z127" i="1"/>
  <c r="AA127" i="1"/>
  <c r="X128" i="1"/>
  <c r="Y128" i="1"/>
  <c r="Z128" i="1"/>
  <c r="AA128" i="1"/>
  <c r="X129" i="1"/>
  <c r="Y129" i="1"/>
  <c r="Z129" i="1"/>
  <c r="AA129" i="1"/>
  <c r="X130" i="1"/>
  <c r="Y130" i="1"/>
  <c r="Z130" i="1"/>
  <c r="AA130" i="1"/>
  <c r="X131" i="1"/>
  <c r="Y131" i="1"/>
  <c r="Z131" i="1"/>
  <c r="AA131" i="1"/>
  <c r="X132" i="1"/>
  <c r="Y132" i="1"/>
  <c r="Z132" i="1"/>
  <c r="AA132" i="1"/>
  <c r="X133" i="1"/>
  <c r="Y133" i="1"/>
  <c r="Z133" i="1"/>
  <c r="AA133" i="1"/>
  <c r="X134" i="1"/>
  <c r="Y134" i="1"/>
  <c r="Z134" i="1"/>
  <c r="AA134" i="1"/>
  <c r="X135" i="1"/>
  <c r="Y135" i="1"/>
  <c r="Z135" i="1"/>
  <c r="AA135" i="1"/>
  <c r="X136" i="1"/>
  <c r="Y136" i="1"/>
  <c r="Z136" i="1"/>
  <c r="AA136" i="1"/>
  <c r="X137" i="1"/>
  <c r="Y137" i="1"/>
  <c r="Z137" i="1"/>
  <c r="AA137" i="1"/>
  <c r="X138" i="1"/>
  <c r="Y138" i="1"/>
  <c r="Z138" i="1"/>
  <c r="AA138" i="1"/>
  <c r="X139" i="1"/>
  <c r="Y139" i="1"/>
  <c r="Z139" i="1"/>
  <c r="AA139" i="1"/>
  <c r="X140" i="1"/>
  <c r="Y140" i="1"/>
  <c r="Z140" i="1"/>
  <c r="AA140" i="1"/>
  <c r="X141" i="1"/>
  <c r="Y141" i="1"/>
  <c r="Z141" i="1"/>
  <c r="AA141" i="1"/>
  <c r="X142" i="1"/>
  <c r="Y142" i="1"/>
  <c r="Z142" i="1"/>
  <c r="AA142" i="1"/>
  <c r="X143" i="1"/>
  <c r="Y143" i="1"/>
  <c r="Z143" i="1"/>
  <c r="AA143" i="1"/>
  <c r="X144" i="1"/>
  <c r="Y144" i="1"/>
  <c r="Z144" i="1"/>
  <c r="AA144" i="1"/>
  <c r="X145" i="1"/>
  <c r="Y145" i="1"/>
  <c r="Z145" i="1"/>
  <c r="AA145" i="1"/>
  <c r="X146" i="1"/>
  <c r="Y146" i="1"/>
  <c r="Z146" i="1"/>
  <c r="AA146" i="1"/>
  <c r="AM99" i="1"/>
  <c r="AN99" i="1"/>
  <c r="AO99" i="1"/>
  <c r="AM100" i="1"/>
  <c r="AN100" i="1"/>
  <c r="AO100" i="1"/>
  <c r="AM101" i="1"/>
  <c r="AN101" i="1"/>
  <c r="AO101" i="1"/>
  <c r="AM102" i="1"/>
  <c r="AN102" i="1"/>
  <c r="AO102" i="1"/>
  <c r="AM103" i="1"/>
  <c r="AN103" i="1"/>
  <c r="AO103" i="1"/>
  <c r="AM104" i="1"/>
  <c r="AN104" i="1"/>
  <c r="AO104" i="1"/>
  <c r="AM105" i="1"/>
  <c r="AN105" i="1"/>
  <c r="AO105" i="1"/>
  <c r="AM106" i="1"/>
  <c r="AN106" i="1"/>
  <c r="AO106" i="1"/>
  <c r="AM107" i="1"/>
  <c r="AN107" i="1"/>
  <c r="AO107" i="1"/>
  <c r="AM108" i="1"/>
  <c r="AN108" i="1"/>
  <c r="AO108" i="1"/>
  <c r="AM109" i="1"/>
  <c r="AN109" i="1"/>
  <c r="AO109" i="1"/>
  <c r="AM110" i="1"/>
  <c r="AN110" i="1"/>
  <c r="AO110" i="1"/>
  <c r="AM111" i="1"/>
  <c r="AN111" i="1"/>
  <c r="AO111" i="1"/>
  <c r="AM112" i="1"/>
  <c r="AN112" i="1"/>
  <c r="AO112" i="1"/>
  <c r="AM113" i="1"/>
  <c r="AN113" i="1"/>
  <c r="AO113" i="1"/>
  <c r="AM114" i="1"/>
  <c r="AN114" i="1"/>
  <c r="AO114" i="1"/>
  <c r="AM115" i="1"/>
  <c r="AN115" i="1"/>
  <c r="AO115" i="1"/>
  <c r="AM116" i="1"/>
  <c r="AN116" i="1"/>
  <c r="AO116" i="1"/>
  <c r="AM117" i="1"/>
  <c r="AN117" i="1"/>
  <c r="AO117" i="1"/>
  <c r="AM118" i="1"/>
  <c r="AN118" i="1"/>
  <c r="AP254" i="1" s="1"/>
  <c r="AO118" i="1"/>
  <c r="AM119" i="1"/>
  <c r="AN119" i="1"/>
  <c r="AO119" i="1"/>
  <c r="AM120" i="1"/>
  <c r="AN120" i="1"/>
  <c r="AO120" i="1"/>
  <c r="AM121" i="1"/>
  <c r="AN121" i="1"/>
  <c r="AO121" i="1"/>
  <c r="AM122" i="1"/>
  <c r="AN122" i="1"/>
  <c r="AO12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2" i="3"/>
  <c r="H101" i="3"/>
  <c r="J101" i="3"/>
  <c r="H104" i="3"/>
  <c r="J104" i="3"/>
  <c r="I104" i="3" s="1"/>
  <c r="H107" i="3"/>
  <c r="J107" i="3"/>
  <c r="B92" i="3"/>
  <c r="C92" i="3"/>
  <c r="D92" i="3"/>
  <c r="B93" i="3"/>
  <c r="C93" i="3"/>
  <c r="D93" i="3"/>
  <c r="B94" i="3"/>
  <c r="C94" i="3"/>
  <c r="D94" i="3"/>
  <c r="B95" i="3"/>
  <c r="C95" i="3"/>
  <c r="D95" i="3"/>
  <c r="B96" i="3"/>
  <c r="C96" i="3"/>
  <c r="D96" i="3"/>
  <c r="B97" i="3"/>
  <c r="C97" i="3"/>
  <c r="D97" i="3"/>
  <c r="B98" i="3"/>
  <c r="C98" i="3"/>
  <c r="D98" i="3"/>
  <c r="B99" i="3"/>
  <c r="C99" i="3"/>
  <c r="D99" i="3"/>
  <c r="B100" i="3"/>
  <c r="C100" i="3"/>
  <c r="D100" i="3"/>
  <c r="B101" i="3"/>
  <c r="C101" i="3"/>
  <c r="D101" i="3"/>
  <c r="B102" i="3"/>
  <c r="C102" i="3"/>
  <c r="D102" i="3"/>
  <c r="B103" i="3"/>
  <c r="C103" i="3"/>
  <c r="D103" i="3"/>
  <c r="B104" i="3"/>
  <c r="C104" i="3"/>
  <c r="D104" i="3"/>
  <c r="B105" i="3"/>
  <c r="C105" i="3"/>
  <c r="D105" i="3"/>
  <c r="B106" i="3"/>
  <c r="C106" i="3"/>
  <c r="D106" i="3"/>
  <c r="B107" i="3"/>
  <c r="C107" i="3"/>
  <c r="D107" i="3"/>
  <c r="B108" i="3"/>
  <c r="C108" i="3"/>
  <c r="D108" i="3"/>
  <c r="B109" i="3"/>
  <c r="C109" i="3"/>
  <c r="D109" i="3"/>
  <c r="B110" i="3"/>
  <c r="C110" i="3"/>
  <c r="D110" i="3"/>
  <c r="B111" i="3"/>
  <c r="C111" i="3"/>
  <c r="D111" i="3"/>
  <c r="B112" i="3"/>
  <c r="C112" i="3"/>
  <c r="D112" i="3"/>
  <c r="B113" i="3"/>
  <c r="C113" i="3"/>
  <c r="D113" i="3"/>
  <c r="B114" i="3"/>
  <c r="C114" i="3"/>
  <c r="D114" i="3"/>
  <c r="B115" i="3"/>
  <c r="C115" i="3"/>
  <c r="D115" i="3"/>
  <c r="B116" i="3"/>
  <c r="C116" i="3"/>
  <c r="D116" i="3"/>
  <c r="B117" i="3"/>
  <c r="C117" i="3"/>
  <c r="D117" i="3"/>
  <c r="B118" i="3"/>
  <c r="C118" i="3"/>
  <c r="D118" i="3"/>
  <c r="B119" i="3"/>
  <c r="C119" i="3"/>
  <c r="D119" i="3"/>
  <c r="B120" i="3"/>
  <c r="C120" i="3"/>
  <c r="D120" i="3"/>
  <c r="B121" i="3"/>
  <c r="C121" i="3"/>
  <c r="D121" i="3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X3" i="4"/>
  <c r="Y3" i="4" s="1"/>
  <c r="X5" i="4"/>
  <c r="Y5" i="4" s="1"/>
  <c r="X8" i="4"/>
  <c r="Y8" i="4" s="1"/>
  <c r="X9" i="4"/>
  <c r="Y9" i="4" s="1"/>
  <c r="X11" i="4"/>
  <c r="Y11" i="4" s="1"/>
  <c r="X12" i="4"/>
  <c r="Y12" i="4" s="1"/>
  <c r="X13" i="4"/>
  <c r="Y13" i="4" s="1"/>
  <c r="X15" i="4"/>
  <c r="Y15" i="4" s="1"/>
  <c r="X17" i="4"/>
  <c r="Y17" i="4" s="1"/>
  <c r="X18" i="4"/>
  <c r="Y18" i="4" s="1"/>
  <c r="X20" i="4"/>
  <c r="Y20" i="4" s="1"/>
  <c r="X22" i="4"/>
  <c r="Y22" i="4" s="1"/>
  <c r="X23" i="4"/>
  <c r="Y23" i="4" s="1"/>
  <c r="X24" i="4"/>
  <c r="Y24" i="4" s="1"/>
  <c r="X25" i="4"/>
  <c r="Y25" i="4" s="1"/>
  <c r="X2" i="4"/>
  <c r="Y2" i="4" s="1"/>
  <c r="V3" i="4"/>
  <c r="V4" i="4"/>
  <c r="X4" i="4" s="1"/>
  <c r="Y4" i="4" s="1"/>
  <c r="V5" i="4"/>
  <c r="V6" i="4"/>
  <c r="X6" i="4" s="1"/>
  <c r="Y6" i="4" s="1"/>
  <c r="V7" i="4"/>
  <c r="X7" i="4" s="1"/>
  <c r="Y7" i="4" s="1"/>
  <c r="V8" i="4"/>
  <c r="V9" i="4"/>
  <c r="V10" i="4"/>
  <c r="X10" i="4" s="1"/>
  <c r="Y10" i="4" s="1"/>
  <c r="V11" i="4"/>
  <c r="V12" i="4"/>
  <c r="V13" i="4"/>
  <c r="V14" i="4"/>
  <c r="X14" i="4" s="1"/>
  <c r="Y14" i="4" s="1"/>
  <c r="V15" i="4"/>
  <c r="V16" i="4"/>
  <c r="X16" i="4" s="1"/>
  <c r="Y16" i="4" s="1"/>
  <c r="V17" i="4"/>
  <c r="V18" i="4"/>
  <c r="V19" i="4"/>
  <c r="X19" i="4" s="1"/>
  <c r="Y19" i="4" s="1"/>
  <c r="V20" i="4"/>
  <c r="V21" i="4"/>
  <c r="X21" i="4" s="1"/>
  <c r="Y21" i="4" s="1"/>
  <c r="V22" i="4"/>
  <c r="V23" i="4"/>
  <c r="V24" i="4"/>
  <c r="V25" i="4"/>
  <c r="V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" i="4"/>
  <c r="X99" i="1"/>
  <c r="Y99" i="1"/>
  <c r="Z99" i="1"/>
  <c r="AA99" i="1"/>
  <c r="X100" i="1"/>
  <c r="Y100" i="1"/>
  <c r="Z100" i="1"/>
  <c r="AA100" i="1"/>
  <c r="X101" i="1"/>
  <c r="Y101" i="1"/>
  <c r="Z101" i="1"/>
  <c r="AA101" i="1"/>
  <c r="X102" i="1"/>
  <c r="Y102" i="1"/>
  <c r="Z102" i="1"/>
  <c r="AA102" i="1"/>
  <c r="X103" i="1"/>
  <c r="Y103" i="1"/>
  <c r="Z103" i="1"/>
  <c r="AA103" i="1"/>
  <c r="X104" i="1"/>
  <c r="Y104" i="1"/>
  <c r="Z104" i="1"/>
  <c r="AA104" i="1"/>
  <c r="X105" i="1"/>
  <c r="Y105" i="1"/>
  <c r="Z105" i="1"/>
  <c r="AA105" i="1"/>
  <c r="X106" i="1"/>
  <c r="Y106" i="1"/>
  <c r="Z106" i="1"/>
  <c r="AA106" i="1"/>
  <c r="X107" i="1"/>
  <c r="Y107" i="1"/>
  <c r="Z107" i="1"/>
  <c r="AA107" i="1"/>
  <c r="X108" i="1"/>
  <c r="Y108" i="1"/>
  <c r="Z108" i="1"/>
  <c r="AA108" i="1"/>
  <c r="X109" i="1"/>
  <c r="Y109" i="1"/>
  <c r="Z109" i="1"/>
  <c r="AA109" i="1"/>
  <c r="X110" i="1"/>
  <c r="Y110" i="1"/>
  <c r="Z110" i="1"/>
  <c r="AA110" i="1"/>
  <c r="X111" i="1"/>
  <c r="Y111" i="1"/>
  <c r="Z111" i="1"/>
  <c r="AA111" i="1"/>
  <c r="X112" i="1"/>
  <c r="Y112" i="1"/>
  <c r="Z112" i="1"/>
  <c r="AA112" i="1"/>
  <c r="Y113" i="1"/>
  <c r="Z113" i="1"/>
  <c r="AA113" i="1"/>
  <c r="X114" i="1"/>
  <c r="Y114" i="1"/>
  <c r="Z114" i="1"/>
  <c r="AA114" i="1"/>
  <c r="X115" i="1"/>
  <c r="Y115" i="1"/>
  <c r="Z115" i="1"/>
  <c r="AA115" i="1"/>
  <c r="X116" i="1"/>
  <c r="Y116" i="1"/>
  <c r="Z116" i="1"/>
  <c r="AA116" i="1"/>
  <c r="X117" i="1"/>
  <c r="Y117" i="1"/>
  <c r="Z117" i="1"/>
  <c r="AA117" i="1"/>
  <c r="X118" i="1"/>
  <c r="Y118" i="1"/>
  <c r="Z118" i="1"/>
  <c r="AA118" i="1"/>
  <c r="X119" i="1"/>
  <c r="Y119" i="1"/>
  <c r="Z119" i="1"/>
  <c r="AA119" i="1"/>
  <c r="X120" i="1"/>
  <c r="Y120" i="1"/>
  <c r="Z120" i="1"/>
  <c r="AA120" i="1"/>
  <c r="X121" i="1"/>
  <c r="Y121" i="1"/>
  <c r="Z121" i="1"/>
  <c r="AA121" i="1"/>
  <c r="X122" i="1"/>
  <c r="Y122" i="1"/>
  <c r="Z122" i="1"/>
  <c r="AA122" i="1"/>
  <c r="M27" i="4"/>
  <c r="O27" i="4" s="1"/>
  <c r="M28" i="4"/>
  <c r="O28" i="4" s="1"/>
  <c r="M29" i="4"/>
  <c r="O29" i="4" s="1"/>
  <c r="M30" i="4"/>
  <c r="O30" i="4" s="1"/>
  <c r="M31" i="4"/>
  <c r="O31" i="4" s="1"/>
  <c r="M32" i="4"/>
  <c r="O32" i="4" s="1"/>
  <c r="M33" i="4"/>
  <c r="O33" i="4" s="1"/>
  <c r="M34" i="4"/>
  <c r="O34" i="4" s="1"/>
  <c r="M35" i="4"/>
  <c r="O35" i="4" s="1"/>
  <c r="M36" i="4"/>
  <c r="O36" i="4" s="1"/>
  <c r="M37" i="4"/>
  <c r="O37" i="4" s="1"/>
  <c r="M38" i="4"/>
  <c r="O38" i="4" s="1"/>
  <c r="M39" i="4"/>
  <c r="O39" i="4" s="1"/>
  <c r="M40" i="4"/>
  <c r="O40" i="4" s="1"/>
  <c r="M41" i="4"/>
  <c r="O41" i="4" s="1"/>
  <c r="M42" i="4"/>
  <c r="O42" i="4" s="1"/>
  <c r="M43" i="4"/>
  <c r="O43" i="4" s="1"/>
  <c r="M44" i="4"/>
  <c r="O44" i="4" s="1"/>
  <c r="M45" i="4"/>
  <c r="O45" i="4" s="1"/>
  <c r="M46" i="4"/>
  <c r="O46" i="4" s="1"/>
  <c r="M47" i="4"/>
  <c r="O47" i="4" s="1"/>
  <c r="M48" i="4"/>
  <c r="O48" i="4" s="1"/>
  <c r="M49" i="4"/>
  <c r="O49" i="4" s="1"/>
  <c r="M26" i="4"/>
  <c r="O26" i="4" s="1"/>
  <c r="AM75" i="1"/>
  <c r="AN75" i="1"/>
  <c r="AO75" i="1"/>
  <c r="AM76" i="1"/>
  <c r="AN76" i="1"/>
  <c r="AO76" i="1"/>
  <c r="AM77" i="1"/>
  <c r="AN77" i="1"/>
  <c r="AO77" i="1"/>
  <c r="AM78" i="1"/>
  <c r="AN78" i="1"/>
  <c r="AO78" i="1"/>
  <c r="AM79" i="1"/>
  <c r="AN79" i="1"/>
  <c r="AO79" i="1"/>
  <c r="AM80" i="1"/>
  <c r="AN80" i="1"/>
  <c r="AO80" i="1"/>
  <c r="AM81" i="1"/>
  <c r="AN81" i="1"/>
  <c r="AO81" i="1"/>
  <c r="AM82" i="1"/>
  <c r="AN82" i="1"/>
  <c r="AO82" i="1"/>
  <c r="AM83" i="1"/>
  <c r="AN83" i="1"/>
  <c r="AO83" i="1"/>
  <c r="AM84" i="1"/>
  <c r="AN84" i="1"/>
  <c r="AO84" i="1"/>
  <c r="AM85" i="1"/>
  <c r="AN85" i="1"/>
  <c r="AO85" i="1"/>
  <c r="AM86" i="1"/>
  <c r="AN86" i="1"/>
  <c r="AO86" i="1"/>
  <c r="AM87" i="1"/>
  <c r="AN87" i="1"/>
  <c r="AO87" i="1"/>
  <c r="AM88" i="1"/>
  <c r="AN88" i="1"/>
  <c r="AO88" i="1"/>
  <c r="AM89" i="1"/>
  <c r="AN89" i="1"/>
  <c r="AO89" i="1"/>
  <c r="AM90" i="1"/>
  <c r="AN90" i="1"/>
  <c r="AO90" i="1"/>
  <c r="AM91" i="1"/>
  <c r="AN91" i="1"/>
  <c r="AO91" i="1"/>
  <c r="AM92" i="1"/>
  <c r="AN92" i="1"/>
  <c r="AP227" i="1" s="1"/>
  <c r="AO92" i="1"/>
  <c r="AM93" i="1"/>
  <c r="AN93" i="1"/>
  <c r="AP240" i="1" s="1"/>
  <c r="AO93" i="1"/>
  <c r="AM94" i="1"/>
  <c r="AN94" i="1"/>
  <c r="AP253" i="1" s="1"/>
  <c r="AO94" i="1"/>
  <c r="AM95" i="1"/>
  <c r="AN95" i="1"/>
  <c r="AO95" i="1"/>
  <c r="AM96" i="1"/>
  <c r="AN96" i="1"/>
  <c r="AP279" i="1" s="1"/>
  <c r="AO96" i="1"/>
  <c r="AM97" i="1"/>
  <c r="AN97" i="1"/>
  <c r="AO97" i="1"/>
  <c r="AM98" i="1"/>
  <c r="AN98" i="1"/>
  <c r="AO98" i="1"/>
  <c r="H68" i="3"/>
  <c r="J68" i="3"/>
  <c r="I68" i="3" s="1"/>
  <c r="H71" i="3"/>
  <c r="J71" i="3"/>
  <c r="H74" i="3"/>
  <c r="J74" i="3"/>
  <c r="B62" i="3"/>
  <c r="C62" i="3"/>
  <c r="D62" i="3"/>
  <c r="B63" i="3"/>
  <c r="C63" i="3"/>
  <c r="D63" i="3"/>
  <c r="B64" i="3"/>
  <c r="C64" i="3"/>
  <c r="D64" i="3"/>
  <c r="B65" i="3"/>
  <c r="C65" i="3"/>
  <c r="D65" i="3"/>
  <c r="B66" i="3"/>
  <c r="C66" i="3"/>
  <c r="D66" i="3"/>
  <c r="B67" i="3"/>
  <c r="C67" i="3"/>
  <c r="D67" i="3"/>
  <c r="B68" i="3"/>
  <c r="C68" i="3"/>
  <c r="D68" i="3"/>
  <c r="B69" i="3"/>
  <c r="C69" i="3"/>
  <c r="D69" i="3"/>
  <c r="B70" i="3"/>
  <c r="C70" i="3"/>
  <c r="D70" i="3"/>
  <c r="B71" i="3"/>
  <c r="C71" i="3"/>
  <c r="D71" i="3"/>
  <c r="B72" i="3"/>
  <c r="C72" i="3"/>
  <c r="D72" i="3"/>
  <c r="B73" i="3"/>
  <c r="C73" i="3"/>
  <c r="D73" i="3"/>
  <c r="B74" i="3"/>
  <c r="C74" i="3"/>
  <c r="D74" i="3"/>
  <c r="B75" i="3"/>
  <c r="C75" i="3"/>
  <c r="D75" i="3"/>
  <c r="B76" i="3"/>
  <c r="C76" i="3"/>
  <c r="D76" i="3"/>
  <c r="B77" i="3"/>
  <c r="C77" i="3"/>
  <c r="D77" i="3"/>
  <c r="B78" i="3"/>
  <c r="C78" i="3"/>
  <c r="D78" i="3"/>
  <c r="B79" i="3"/>
  <c r="C79" i="3"/>
  <c r="D79" i="3"/>
  <c r="B80" i="3"/>
  <c r="C80" i="3"/>
  <c r="D80" i="3"/>
  <c r="B81" i="3"/>
  <c r="C81" i="3"/>
  <c r="D81" i="3"/>
  <c r="B82" i="3"/>
  <c r="C82" i="3"/>
  <c r="D82" i="3"/>
  <c r="B83" i="3"/>
  <c r="C83" i="3"/>
  <c r="D83" i="3"/>
  <c r="B84" i="3"/>
  <c r="C84" i="3"/>
  <c r="D84" i="3"/>
  <c r="B85" i="3"/>
  <c r="C85" i="3"/>
  <c r="D85" i="3"/>
  <c r="B86" i="3"/>
  <c r="C86" i="3"/>
  <c r="D86" i="3"/>
  <c r="B87" i="3"/>
  <c r="C87" i="3"/>
  <c r="D87" i="3"/>
  <c r="B88" i="3"/>
  <c r="C88" i="3"/>
  <c r="D88" i="3"/>
  <c r="B89" i="3"/>
  <c r="C89" i="3"/>
  <c r="D89" i="3"/>
  <c r="B90" i="3"/>
  <c r="C90" i="3"/>
  <c r="D90" i="3"/>
  <c r="B91" i="3"/>
  <c r="C91" i="3"/>
  <c r="D91" i="3"/>
  <c r="AH146" i="1" l="1"/>
  <c r="AP205" i="1"/>
  <c r="AP203" i="1"/>
  <c r="AH121" i="1"/>
  <c r="AH132" i="1"/>
  <c r="AP281" i="1"/>
  <c r="AH112" i="1"/>
  <c r="AH48" i="1"/>
  <c r="AP204" i="1"/>
  <c r="AP215" i="1"/>
  <c r="AP202" i="1"/>
  <c r="AP266" i="1"/>
  <c r="AP229" i="1"/>
  <c r="AP283" i="1"/>
  <c r="AH83" i="1"/>
  <c r="AH67" i="1"/>
  <c r="AH35" i="1"/>
  <c r="AH111" i="1"/>
  <c r="AP255" i="1"/>
  <c r="AP242" i="1"/>
  <c r="AH119" i="1"/>
  <c r="AP243" i="1"/>
  <c r="AH84" i="1"/>
  <c r="AH68" i="1"/>
  <c r="AH36" i="1"/>
  <c r="AH80" i="1"/>
  <c r="AH32" i="1"/>
  <c r="AP268" i="1"/>
  <c r="AP241" i="1"/>
  <c r="AH143" i="1"/>
  <c r="AH127" i="1"/>
  <c r="AH95" i="1"/>
  <c r="AH79" i="1"/>
  <c r="AH63" i="1"/>
  <c r="AH47" i="1"/>
  <c r="AH31" i="1"/>
  <c r="AP269" i="1"/>
  <c r="AH109" i="1"/>
  <c r="AP228" i="1"/>
  <c r="AH140" i="1"/>
  <c r="AH92" i="1"/>
  <c r="AH60" i="1"/>
  <c r="AH44" i="1"/>
  <c r="AP282" i="1"/>
  <c r="AH122" i="1"/>
  <c r="AH106" i="1"/>
  <c r="AP214" i="1"/>
  <c r="AP280" i="1"/>
  <c r="AH136" i="1"/>
  <c r="AP230" i="1"/>
  <c r="AH118" i="1"/>
  <c r="AH102" i="1"/>
  <c r="AP201" i="1"/>
  <c r="AP267" i="1"/>
  <c r="AP218" i="1"/>
  <c r="AH289" i="1"/>
  <c r="AP256" i="1"/>
  <c r="AP216" i="1"/>
  <c r="AH145" i="1"/>
  <c r="AH129" i="1"/>
  <c r="AH113" i="1"/>
  <c r="AH97" i="1"/>
  <c r="AH81" i="1"/>
  <c r="AH65" i="1"/>
  <c r="AH49" i="1"/>
  <c r="AH33" i="1"/>
  <c r="AP270" i="1"/>
  <c r="AH309" i="1"/>
  <c r="AH276" i="1"/>
  <c r="AH293" i="1"/>
  <c r="AH305" i="1"/>
  <c r="AH272" i="1"/>
  <c r="AH268" i="1"/>
  <c r="AH288" i="1"/>
  <c r="AH94" i="1"/>
  <c r="AH78" i="1"/>
  <c r="AH62" i="1"/>
  <c r="AH46" i="1"/>
  <c r="AH30" i="1"/>
  <c r="AH306" i="1"/>
  <c r="AH141" i="1"/>
  <c r="AH125" i="1"/>
  <c r="AH93" i="1"/>
  <c r="AH77" i="1"/>
  <c r="AH61" i="1"/>
  <c r="AH45" i="1"/>
  <c r="AH29" i="1"/>
  <c r="AH269" i="1"/>
  <c r="AH273" i="1"/>
  <c r="AH301" i="1"/>
  <c r="AH91" i="1"/>
  <c r="AH59" i="1"/>
  <c r="AH43" i="1"/>
  <c r="AH307" i="1"/>
  <c r="AH285" i="1"/>
  <c r="AH90" i="1"/>
  <c r="AH74" i="1"/>
  <c r="AH58" i="1"/>
  <c r="AH42" i="1"/>
  <c r="AH270" i="1"/>
  <c r="AH277" i="1"/>
  <c r="AH89" i="1"/>
  <c r="AH73" i="1"/>
  <c r="AH57" i="1"/>
  <c r="AH41" i="1"/>
  <c r="AH286" i="1"/>
  <c r="AH274" i="1"/>
  <c r="AH302" i="1"/>
  <c r="AH120" i="1"/>
  <c r="AH104" i="1"/>
  <c r="AH88" i="1"/>
  <c r="AH72" i="1"/>
  <c r="AH56" i="1"/>
  <c r="AH40" i="1"/>
  <c r="AH314" i="1"/>
  <c r="AH290" i="1"/>
  <c r="AH281" i="1"/>
  <c r="AH103" i="1"/>
  <c r="AH87" i="1"/>
  <c r="AH71" i="1"/>
  <c r="AH55" i="1"/>
  <c r="AH39" i="1"/>
  <c r="AH292" i="1"/>
  <c r="AH296" i="1"/>
  <c r="AH303" i="1"/>
  <c r="AH86" i="1"/>
  <c r="AH70" i="1"/>
  <c r="AH54" i="1"/>
  <c r="AH38" i="1"/>
  <c r="AH308" i="1"/>
  <c r="AH312" i="1"/>
  <c r="AH282" i="1"/>
  <c r="AH133" i="1"/>
  <c r="AH117" i="1"/>
  <c r="AH101" i="1"/>
  <c r="AH85" i="1"/>
  <c r="AH69" i="1"/>
  <c r="AH53" i="1"/>
  <c r="AH37" i="1"/>
  <c r="AH271" i="1"/>
  <c r="AH275" i="1"/>
  <c r="AH304" i="1"/>
  <c r="AP189" i="1"/>
  <c r="AP112" i="1"/>
  <c r="AP136" i="1"/>
  <c r="AP156" i="1"/>
  <c r="AP183" i="1"/>
  <c r="AP190" i="1"/>
  <c r="AP184" i="1"/>
  <c r="AP182" i="1"/>
  <c r="AP192" i="1"/>
  <c r="AP153" i="1"/>
  <c r="AP164" i="1"/>
  <c r="AP166" i="1"/>
  <c r="AP92" i="1"/>
  <c r="AP86" i="1"/>
  <c r="AP193" i="1"/>
  <c r="AP151" i="1"/>
  <c r="AP162" i="1"/>
  <c r="AP155" i="1"/>
  <c r="AP128" i="1"/>
  <c r="AP167" i="1"/>
  <c r="AP149" i="1"/>
  <c r="AP132" i="1"/>
  <c r="AP102" i="1"/>
  <c r="AP188" i="1"/>
  <c r="AP154" i="1"/>
  <c r="AP111" i="1"/>
  <c r="AP170" i="1"/>
  <c r="AP157" i="1"/>
  <c r="AP116" i="1"/>
  <c r="AP100" i="1"/>
  <c r="AP191" i="1"/>
  <c r="AP179" i="1"/>
  <c r="AP165" i="1"/>
  <c r="AP194" i="1"/>
  <c r="AP113" i="1"/>
  <c r="AP181" i="1"/>
  <c r="AP176" i="1"/>
  <c r="AP150" i="1"/>
  <c r="AP101" i="1"/>
  <c r="AP125" i="1"/>
  <c r="AP175" i="1"/>
  <c r="AP106" i="1"/>
  <c r="AP168" i="1"/>
  <c r="AP163" i="1"/>
  <c r="AP145" i="1"/>
  <c r="AP158" i="1"/>
  <c r="AP169" i="1"/>
  <c r="AP152" i="1"/>
  <c r="AP178" i="1"/>
  <c r="AP114" i="1"/>
  <c r="AP138" i="1"/>
  <c r="AP177" i="1"/>
  <c r="I140" i="3"/>
  <c r="I134" i="3"/>
  <c r="I137" i="3"/>
  <c r="I71" i="3"/>
  <c r="I101" i="3"/>
  <c r="AP180" i="1"/>
  <c r="AP171" i="1"/>
  <c r="AP97" i="1"/>
  <c r="AP129" i="1"/>
  <c r="AP87" i="1"/>
  <c r="AP118" i="1"/>
  <c r="AP127" i="1"/>
  <c r="AP117" i="1"/>
  <c r="AP99" i="1"/>
  <c r="AP141" i="1"/>
  <c r="AP91" i="1"/>
  <c r="AP140" i="1"/>
  <c r="AP75" i="1"/>
  <c r="AP119" i="1"/>
  <c r="AP143" i="1"/>
  <c r="AP131" i="1"/>
  <c r="AP124" i="1"/>
  <c r="AP130" i="1"/>
  <c r="AP123" i="1"/>
  <c r="AP126" i="1"/>
  <c r="AP144" i="1"/>
  <c r="AP139" i="1"/>
  <c r="AP105" i="1"/>
  <c r="AP77" i="1"/>
  <c r="AP110" i="1"/>
  <c r="AP104" i="1"/>
  <c r="AP115" i="1"/>
  <c r="AP76" i="1"/>
  <c r="AP137" i="1"/>
  <c r="AP142" i="1"/>
  <c r="AP103" i="1"/>
  <c r="I74" i="3"/>
  <c r="I107" i="3"/>
  <c r="AP89" i="1"/>
  <c r="AP78" i="1"/>
  <c r="AP90" i="1"/>
  <c r="AP85" i="1"/>
  <c r="AP79" i="1"/>
  <c r="AP98" i="1"/>
  <c r="AP80" i="1"/>
  <c r="AP93" i="1"/>
  <c r="AP88" i="1"/>
  <c r="AP84" i="1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F3" i="4"/>
  <c r="H3" i="4" s="1"/>
  <c r="I3" i="4" s="1"/>
  <c r="F4" i="4"/>
  <c r="H4" i="4" s="1"/>
  <c r="I4" i="4" s="1"/>
  <c r="F5" i="4"/>
  <c r="H5" i="4" s="1"/>
  <c r="I5" i="4" s="1"/>
  <c r="F6" i="4"/>
  <c r="H6" i="4" s="1"/>
  <c r="I6" i="4" s="1"/>
  <c r="F7" i="4"/>
  <c r="H7" i="4" s="1"/>
  <c r="I7" i="4" s="1"/>
  <c r="F8" i="4"/>
  <c r="H8" i="4" s="1"/>
  <c r="I8" i="4" s="1"/>
  <c r="F9" i="4"/>
  <c r="H9" i="4" s="1"/>
  <c r="I9" i="4" s="1"/>
  <c r="F10" i="4"/>
  <c r="H10" i="4" s="1"/>
  <c r="I10" i="4" s="1"/>
  <c r="F11" i="4"/>
  <c r="H11" i="4" s="1"/>
  <c r="I11" i="4" s="1"/>
  <c r="F12" i="4"/>
  <c r="H12" i="4" s="1"/>
  <c r="I12" i="4" s="1"/>
  <c r="F13" i="4"/>
  <c r="H13" i="4" s="1"/>
  <c r="I13" i="4" s="1"/>
  <c r="F14" i="4"/>
  <c r="H14" i="4" s="1"/>
  <c r="I14" i="4" s="1"/>
  <c r="F15" i="4"/>
  <c r="H15" i="4" s="1"/>
  <c r="I15" i="4" s="1"/>
  <c r="F16" i="4"/>
  <c r="H16" i="4" s="1"/>
  <c r="I16" i="4" s="1"/>
  <c r="F17" i="4"/>
  <c r="H17" i="4" s="1"/>
  <c r="I17" i="4" s="1"/>
  <c r="F18" i="4"/>
  <c r="H18" i="4" s="1"/>
  <c r="I18" i="4" s="1"/>
  <c r="F19" i="4"/>
  <c r="H19" i="4" s="1"/>
  <c r="I19" i="4" s="1"/>
  <c r="F20" i="4"/>
  <c r="H20" i="4" s="1"/>
  <c r="I20" i="4" s="1"/>
  <c r="F21" i="4"/>
  <c r="H21" i="4" s="1"/>
  <c r="I21" i="4" s="1"/>
  <c r="F22" i="4"/>
  <c r="H22" i="4" s="1"/>
  <c r="I22" i="4" s="1"/>
  <c r="F23" i="4"/>
  <c r="H23" i="4" s="1"/>
  <c r="I23" i="4" s="1"/>
  <c r="F24" i="4"/>
  <c r="H24" i="4" s="1"/>
  <c r="I24" i="4" s="1"/>
  <c r="F25" i="4"/>
  <c r="H25" i="4" s="1"/>
  <c r="I25" i="4" s="1"/>
  <c r="F2" i="4"/>
  <c r="H2" i="4" s="1"/>
  <c r="I2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" i="4"/>
  <c r="X75" i="1"/>
  <c r="Y75" i="1"/>
  <c r="Z75" i="1"/>
  <c r="AA75" i="1"/>
  <c r="X76" i="1"/>
  <c r="Y76" i="1"/>
  <c r="Z76" i="1"/>
  <c r="AA76" i="1"/>
  <c r="X77" i="1"/>
  <c r="Y77" i="1"/>
  <c r="Z77" i="1"/>
  <c r="AA77" i="1"/>
  <c r="X78" i="1"/>
  <c r="Y78" i="1"/>
  <c r="Z78" i="1"/>
  <c r="AA78" i="1"/>
  <c r="X79" i="1"/>
  <c r="Y79" i="1"/>
  <c r="Z79" i="1"/>
  <c r="AA79" i="1"/>
  <c r="X80" i="1"/>
  <c r="Y80" i="1"/>
  <c r="Z80" i="1"/>
  <c r="AA80" i="1"/>
  <c r="X81" i="1"/>
  <c r="Y81" i="1"/>
  <c r="Z81" i="1"/>
  <c r="AA81" i="1"/>
  <c r="X82" i="1"/>
  <c r="Y82" i="1"/>
  <c r="Z82" i="1"/>
  <c r="AA82" i="1"/>
  <c r="X83" i="1"/>
  <c r="Y83" i="1"/>
  <c r="Z83" i="1"/>
  <c r="AA83" i="1"/>
  <c r="X84" i="1"/>
  <c r="Y84" i="1"/>
  <c r="Z84" i="1"/>
  <c r="AA84" i="1"/>
  <c r="X85" i="1"/>
  <c r="Y85" i="1"/>
  <c r="Z85" i="1"/>
  <c r="AA85" i="1"/>
  <c r="X86" i="1"/>
  <c r="Y86" i="1"/>
  <c r="Z86" i="1"/>
  <c r="AA86" i="1"/>
  <c r="X87" i="1"/>
  <c r="Y87" i="1"/>
  <c r="Z87" i="1"/>
  <c r="AA87" i="1"/>
  <c r="X88" i="1"/>
  <c r="Y88" i="1"/>
  <c r="Z88" i="1"/>
  <c r="AA88" i="1"/>
  <c r="X89" i="1"/>
  <c r="Y89" i="1"/>
  <c r="Z89" i="1"/>
  <c r="AA89" i="1"/>
  <c r="X90" i="1"/>
  <c r="Y90" i="1"/>
  <c r="Z90" i="1"/>
  <c r="AA90" i="1"/>
  <c r="X91" i="1"/>
  <c r="Y91" i="1"/>
  <c r="Z91" i="1"/>
  <c r="AA91" i="1"/>
  <c r="X92" i="1"/>
  <c r="Y92" i="1"/>
  <c r="Z92" i="1"/>
  <c r="AA92" i="1"/>
  <c r="X93" i="1"/>
  <c r="Y93" i="1"/>
  <c r="Z93" i="1"/>
  <c r="AA93" i="1"/>
  <c r="X94" i="1"/>
  <c r="Y94" i="1"/>
  <c r="Z94" i="1"/>
  <c r="AA94" i="1"/>
  <c r="X95" i="1"/>
  <c r="Y95" i="1"/>
  <c r="Z95" i="1"/>
  <c r="AA95" i="1"/>
  <c r="X96" i="1"/>
  <c r="Y96" i="1"/>
  <c r="Z96" i="1"/>
  <c r="AA96" i="1"/>
  <c r="X97" i="1"/>
  <c r="Y97" i="1"/>
  <c r="Z97" i="1"/>
  <c r="AA97" i="1"/>
  <c r="X98" i="1"/>
  <c r="Y98" i="1"/>
  <c r="Z98" i="1"/>
  <c r="AA98" i="1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2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2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26" i="2"/>
  <c r="AM51" i="1"/>
  <c r="AN51" i="1"/>
  <c r="AO51" i="1"/>
  <c r="AM52" i="1"/>
  <c r="AN52" i="1"/>
  <c r="AO52" i="1"/>
  <c r="AM53" i="1"/>
  <c r="AN53" i="1"/>
  <c r="AO53" i="1"/>
  <c r="AM54" i="1"/>
  <c r="AN54" i="1"/>
  <c r="AO54" i="1"/>
  <c r="AM55" i="1"/>
  <c r="AN55" i="1"/>
  <c r="AO55" i="1"/>
  <c r="AM56" i="1"/>
  <c r="AN56" i="1"/>
  <c r="AO56" i="1"/>
  <c r="AM57" i="1"/>
  <c r="AN57" i="1"/>
  <c r="AO57" i="1"/>
  <c r="AM58" i="1"/>
  <c r="AN58" i="1"/>
  <c r="AP96" i="1" s="1"/>
  <c r="AO58" i="1"/>
  <c r="AM59" i="1"/>
  <c r="AN59" i="1"/>
  <c r="AO59" i="1"/>
  <c r="AM60" i="1"/>
  <c r="AN60" i="1"/>
  <c r="AO60" i="1"/>
  <c r="AM61" i="1"/>
  <c r="AN61" i="1"/>
  <c r="AO61" i="1"/>
  <c r="AM62" i="1"/>
  <c r="AN62" i="1"/>
  <c r="AO62" i="1"/>
  <c r="AM63" i="1"/>
  <c r="AN63" i="1"/>
  <c r="AP161" i="1" s="1"/>
  <c r="AO63" i="1"/>
  <c r="AM64" i="1"/>
  <c r="AP174" i="1" s="1"/>
  <c r="AN64" i="1"/>
  <c r="AO64" i="1"/>
  <c r="AM65" i="1"/>
  <c r="AN65" i="1"/>
  <c r="AP187" i="1" s="1"/>
  <c r="AO65" i="1"/>
  <c r="AM66" i="1"/>
  <c r="AN66" i="1"/>
  <c r="AO66" i="1"/>
  <c r="AM67" i="1"/>
  <c r="AN67" i="1"/>
  <c r="AO67" i="1"/>
  <c r="AM68" i="1"/>
  <c r="AN68" i="1"/>
  <c r="AP226" i="1" s="1"/>
  <c r="AO68" i="1"/>
  <c r="AM69" i="1"/>
  <c r="AN69" i="1"/>
  <c r="AO69" i="1"/>
  <c r="AM70" i="1"/>
  <c r="AN70" i="1"/>
  <c r="AO70" i="1"/>
  <c r="AM71" i="1"/>
  <c r="AN71" i="1"/>
  <c r="AO71" i="1"/>
  <c r="AM72" i="1"/>
  <c r="AN72" i="1"/>
  <c r="AO72" i="1"/>
  <c r="AM73" i="1"/>
  <c r="AN73" i="1"/>
  <c r="AO73" i="1"/>
  <c r="AM74" i="1"/>
  <c r="AN74" i="1"/>
  <c r="AO74" i="1"/>
  <c r="H41" i="3"/>
  <c r="J41" i="3"/>
  <c r="H38" i="3"/>
  <c r="J38" i="3"/>
  <c r="H35" i="3"/>
  <c r="J35" i="3"/>
  <c r="B32" i="3"/>
  <c r="C32" i="3"/>
  <c r="D32" i="3"/>
  <c r="B33" i="3"/>
  <c r="C33" i="3"/>
  <c r="D33" i="3"/>
  <c r="B34" i="3"/>
  <c r="C34" i="3"/>
  <c r="D34" i="3"/>
  <c r="B35" i="3"/>
  <c r="C35" i="3"/>
  <c r="D35" i="3"/>
  <c r="B36" i="3"/>
  <c r="C36" i="3"/>
  <c r="D36" i="3"/>
  <c r="B37" i="3"/>
  <c r="C37" i="3"/>
  <c r="D37" i="3"/>
  <c r="B38" i="3"/>
  <c r="C38" i="3"/>
  <c r="D38" i="3"/>
  <c r="B39" i="3"/>
  <c r="C39" i="3"/>
  <c r="D39" i="3"/>
  <c r="B40" i="3"/>
  <c r="C40" i="3"/>
  <c r="D40" i="3"/>
  <c r="B41" i="3"/>
  <c r="C41" i="3"/>
  <c r="D41" i="3"/>
  <c r="B42" i="3"/>
  <c r="C42" i="3"/>
  <c r="D42" i="3"/>
  <c r="B43" i="3"/>
  <c r="C43" i="3"/>
  <c r="D43" i="3"/>
  <c r="B44" i="3"/>
  <c r="C44" i="3"/>
  <c r="D44" i="3"/>
  <c r="B45" i="3"/>
  <c r="C45" i="3"/>
  <c r="D45" i="3"/>
  <c r="B46" i="3"/>
  <c r="C46" i="3"/>
  <c r="D46" i="3"/>
  <c r="B47" i="3"/>
  <c r="C47" i="3"/>
  <c r="D47" i="3"/>
  <c r="B48" i="3"/>
  <c r="C48" i="3"/>
  <c r="D48" i="3"/>
  <c r="B49" i="3"/>
  <c r="C49" i="3"/>
  <c r="D49" i="3"/>
  <c r="B50" i="3"/>
  <c r="C50" i="3"/>
  <c r="D50" i="3"/>
  <c r="B51" i="3"/>
  <c r="C51" i="3"/>
  <c r="D51" i="3"/>
  <c r="B52" i="3"/>
  <c r="C52" i="3"/>
  <c r="D52" i="3"/>
  <c r="B53" i="3"/>
  <c r="C53" i="3"/>
  <c r="D53" i="3"/>
  <c r="B54" i="3"/>
  <c r="C54" i="3"/>
  <c r="D54" i="3"/>
  <c r="B55" i="3"/>
  <c r="C55" i="3"/>
  <c r="D55" i="3"/>
  <c r="B56" i="3"/>
  <c r="C56" i="3"/>
  <c r="D56" i="3"/>
  <c r="B57" i="3"/>
  <c r="C57" i="3"/>
  <c r="D57" i="3"/>
  <c r="B58" i="3"/>
  <c r="C58" i="3"/>
  <c r="D58" i="3"/>
  <c r="B59" i="3"/>
  <c r="C59" i="3"/>
  <c r="D59" i="3"/>
  <c r="B60" i="3"/>
  <c r="C60" i="3"/>
  <c r="D60" i="3"/>
  <c r="B61" i="3"/>
  <c r="C61" i="3"/>
  <c r="D61" i="3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26" i="2"/>
  <c r="X3" i="2"/>
  <c r="Y3" i="2" s="1"/>
  <c r="X5" i="2"/>
  <c r="Y5" i="2" s="1"/>
  <c r="X8" i="2"/>
  <c r="Y8" i="2" s="1"/>
  <c r="X9" i="2"/>
  <c r="Y9" i="2" s="1"/>
  <c r="X20" i="2"/>
  <c r="Y20" i="2" s="1"/>
  <c r="X22" i="2"/>
  <c r="Y22" i="2" s="1"/>
  <c r="X23" i="2"/>
  <c r="Y23" i="2" s="1"/>
  <c r="X24" i="2"/>
  <c r="Y24" i="2" s="1"/>
  <c r="X25" i="2"/>
  <c r="Y25" i="2" s="1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T17" i="2"/>
  <c r="X17" i="2" s="1"/>
  <c r="Y17" i="2" s="1"/>
  <c r="T18" i="2"/>
  <c r="X18" i="2" s="1"/>
  <c r="Y18" i="2" s="1"/>
  <c r="F142" i="2"/>
  <c r="F143" i="2"/>
  <c r="F144" i="2"/>
  <c r="F145" i="2"/>
  <c r="F146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23" i="2"/>
  <c r="S3" i="2"/>
  <c r="S5" i="2"/>
  <c r="S8" i="2"/>
  <c r="S9" i="2"/>
  <c r="S11" i="2"/>
  <c r="S12" i="2"/>
  <c r="S13" i="2"/>
  <c r="S15" i="2"/>
  <c r="S17" i="2"/>
  <c r="S18" i="2"/>
  <c r="S20" i="2"/>
  <c r="S22" i="2"/>
  <c r="S23" i="2"/>
  <c r="S24" i="2"/>
  <c r="S25" i="2"/>
  <c r="S2" i="2"/>
  <c r="Q3" i="2"/>
  <c r="T3" i="2" s="1"/>
  <c r="Q4" i="2"/>
  <c r="S4" i="2" s="1"/>
  <c r="Q5" i="2"/>
  <c r="T5" i="2" s="1"/>
  <c r="Q6" i="2"/>
  <c r="S6" i="2" s="1"/>
  <c r="Q7" i="2"/>
  <c r="S7" i="2" s="1"/>
  <c r="Q8" i="2"/>
  <c r="T8" i="2" s="1"/>
  <c r="Q9" i="2"/>
  <c r="T9" i="2" s="1"/>
  <c r="Q10" i="2"/>
  <c r="S10" i="2" s="1"/>
  <c r="Q11" i="2"/>
  <c r="T11" i="2" s="1"/>
  <c r="X11" i="2" s="1"/>
  <c r="Y11" i="2" s="1"/>
  <c r="Q12" i="2"/>
  <c r="T12" i="2" s="1"/>
  <c r="X12" i="2" s="1"/>
  <c r="Y12" i="2" s="1"/>
  <c r="Q13" i="2"/>
  <c r="T13" i="2" s="1"/>
  <c r="X13" i="2" s="1"/>
  <c r="Y13" i="2" s="1"/>
  <c r="Q14" i="2"/>
  <c r="S14" i="2" s="1"/>
  <c r="Q15" i="2"/>
  <c r="T15" i="2" s="1"/>
  <c r="X15" i="2" s="1"/>
  <c r="Y15" i="2" s="1"/>
  <c r="Q16" i="2"/>
  <c r="S16" i="2" s="1"/>
  <c r="Q17" i="2"/>
  <c r="Q18" i="2"/>
  <c r="Q19" i="2"/>
  <c r="S19" i="2" s="1"/>
  <c r="Q20" i="2"/>
  <c r="T20" i="2" s="1"/>
  <c r="Q21" i="2"/>
  <c r="S21" i="2" s="1"/>
  <c r="Q22" i="2"/>
  <c r="T22" i="2" s="1"/>
  <c r="Q23" i="2"/>
  <c r="T23" i="2" s="1"/>
  <c r="Q24" i="2"/>
  <c r="T24" i="2" s="1"/>
  <c r="Q25" i="2"/>
  <c r="T25" i="2" s="1"/>
  <c r="Q2" i="2"/>
  <c r="T2" i="2" s="1"/>
  <c r="X2" i="2" s="1"/>
  <c r="Y2" i="2" s="1"/>
  <c r="Y51" i="1"/>
  <c r="X51" i="1"/>
  <c r="Z51" i="1"/>
  <c r="AA51" i="1"/>
  <c r="X52" i="1"/>
  <c r="Y52" i="1"/>
  <c r="Z52" i="1"/>
  <c r="AA52" i="1"/>
  <c r="X53" i="1"/>
  <c r="Y53" i="1"/>
  <c r="Z53" i="1"/>
  <c r="AA53" i="1"/>
  <c r="X54" i="1"/>
  <c r="Y54" i="1"/>
  <c r="Z54" i="1"/>
  <c r="AA54" i="1"/>
  <c r="X55" i="1"/>
  <c r="Y55" i="1"/>
  <c r="Z55" i="1"/>
  <c r="AA55" i="1"/>
  <c r="X56" i="1"/>
  <c r="Y56" i="1"/>
  <c r="Z56" i="1"/>
  <c r="AA56" i="1"/>
  <c r="X57" i="1"/>
  <c r="Y57" i="1"/>
  <c r="Z57" i="1"/>
  <c r="AA57" i="1"/>
  <c r="X58" i="1"/>
  <c r="Y58" i="1"/>
  <c r="Z58" i="1"/>
  <c r="AA58" i="1"/>
  <c r="X59" i="1"/>
  <c r="Y59" i="1"/>
  <c r="Z59" i="1"/>
  <c r="AA59" i="1"/>
  <c r="X60" i="1"/>
  <c r="Y60" i="1"/>
  <c r="Z60" i="1"/>
  <c r="AA60" i="1"/>
  <c r="X61" i="1"/>
  <c r="Y61" i="1"/>
  <c r="Z61" i="1"/>
  <c r="AA61" i="1"/>
  <c r="X62" i="1"/>
  <c r="Y62" i="1"/>
  <c r="Z62" i="1"/>
  <c r="AA62" i="1"/>
  <c r="X63" i="1"/>
  <c r="Y63" i="1"/>
  <c r="Z63" i="1"/>
  <c r="AA63" i="1"/>
  <c r="X64" i="1"/>
  <c r="Y64" i="1"/>
  <c r="Z64" i="1"/>
  <c r="AA64" i="1"/>
  <c r="X65" i="1"/>
  <c r="Y65" i="1"/>
  <c r="Z65" i="1"/>
  <c r="AA65" i="1"/>
  <c r="X66" i="1"/>
  <c r="Y66" i="1"/>
  <c r="Z66" i="1"/>
  <c r="AA66" i="1"/>
  <c r="X67" i="1"/>
  <c r="Y67" i="1"/>
  <c r="Z67" i="1"/>
  <c r="AA67" i="1"/>
  <c r="X68" i="1"/>
  <c r="Y68" i="1"/>
  <c r="Z68" i="1"/>
  <c r="AA68" i="1"/>
  <c r="X69" i="1"/>
  <c r="Y69" i="1"/>
  <c r="Z69" i="1"/>
  <c r="AA69" i="1"/>
  <c r="X70" i="1"/>
  <c r="Y70" i="1"/>
  <c r="Z70" i="1"/>
  <c r="AA70" i="1"/>
  <c r="X71" i="1"/>
  <c r="Y71" i="1"/>
  <c r="Z71" i="1"/>
  <c r="AA71" i="1"/>
  <c r="X72" i="1"/>
  <c r="Y72" i="1"/>
  <c r="Z72" i="1"/>
  <c r="AA72" i="1"/>
  <c r="X73" i="1"/>
  <c r="Y73" i="1"/>
  <c r="Z73" i="1"/>
  <c r="AA73" i="1"/>
  <c r="X74" i="1"/>
  <c r="Y74" i="1"/>
  <c r="Z74" i="1"/>
  <c r="AA74" i="1"/>
  <c r="X27" i="1"/>
  <c r="AO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3" i="1"/>
  <c r="AM4" i="1"/>
  <c r="AM5" i="1"/>
  <c r="AM6" i="1"/>
  <c r="AM7" i="1"/>
  <c r="AM8" i="1"/>
  <c r="AM9" i="1"/>
  <c r="AM10" i="1"/>
  <c r="AM11" i="1"/>
  <c r="AM12" i="1"/>
  <c r="AM13" i="1"/>
  <c r="AM14" i="1"/>
  <c r="AP146" i="1" s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3" i="1"/>
  <c r="J5" i="3"/>
  <c r="J2" i="3"/>
  <c r="J8" i="3"/>
  <c r="H8" i="3"/>
  <c r="H5" i="3"/>
  <c r="H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Y32" i="1"/>
  <c r="Z32" i="1"/>
  <c r="AA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Y38" i="1"/>
  <c r="Z38" i="1"/>
  <c r="AA38" i="1"/>
  <c r="Y39" i="1"/>
  <c r="Z39" i="1"/>
  <c r="AA39" i="1"/>
  <c r="Y40" i="1"/>
  <c r="Z40" i="1"/>
  <c r="AA40" i="1"/>
  <c r="Y41" i="1"/>
  <c r="Z41" i="1"/>
  <c r="AA41" i="1"/>
  <c r="Y42" i="1"/>
  <c r="Z42" i="1"/>
  <c r="AA42" i="1"/>
  <c r="Y43" i="1"/>
  <c r="Z43" i="1"/>
  <c r="AA43" i="1"/>
  <c r="Y44" i="1"/>
  <c r="Z44" i="1"/>
  <c r="AA44" i="1"/>
  <c r="Y45" i="1"/>
  <c r="Z45" i="1"/>
  <c r="AA45" i="1"/>
  <c r="Y46" i="1"/>
  <c r="Z46" i="1"/>
  <c r="AA46" i="1"/>
  <c r="Y47" i="1"/>
  <c r="Z47" i="1"/>
  <c r="AA47" i="1"/>
  <c r="Y48" i="1"/>
  <c r="Z48" i="1"/>
  <c r="AA48" i="1"/>
  <c r="Y49" i="1"/>
  <c r="Z49" i="1"/>
  <c r="AA49" i="1"/>
  <c r="Y50" i="1"/>
  <c r="Z50" i="1"/>
  <c r="AA50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3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" i="2"/>
  <c r="B3" i="2"/>
  <c r="C3" i="2" s="1"/>
  <c r="E3" i="2" s="1"/>
  <c r="B4" i="2"/>
  <c r="C4" i="2" s="1"/>
  <c r="E4" i="2" s="1"/>
  <c r="B5" i="2"/>
  <c r="C5" i="2" s="1"/>
  <c r="E5" i="2" s="1"/>
  <c r="B6" i="2"/>
  <c r="C6" i="2" s="1"/>
  <c r="E6" i="2" s="1"/>
  <c r="B7" i="2"/>
  <c r="C7" i="2" s="1"/>
  <c r="E7" i="2" s="1"/>
  <c r="B8" i="2"/>
  <c r="C8" i="2" s="1"/>
  <c r="E8" i="2" s="1"/>
  <c r="B9" i="2"/>
  <c r="C9" i="2" s="1"/>
  <c r="E9" i="2" s="1"/>
  <c r="B10" i="2"/>
  <c r="C10" i="2" s="1"/>
  <c r="E10" i="2" s="1"/>
  <c r="B11" i="2"/>
  <c r="C11" i="2" s="1"/>
  <c r="E11" i="2" s="1"/>
  <c r="B12" i="2"/>
  <c r="C12" i="2" s="1"/>
  <c r="E12" i="2" s="1"/>
  <c r="B13" i="2"/>
  <c r="C13" i="2" s="1"/>
  <c r="E13" i="2" s="1"/>
  <c r="B14" i="2"/>
  <c r="C14" i="2" s="1"/>
  <c r="E14" i="2" s="1"/>
  <c r="B15" i="2"/>
  <c r="C15" i="2" s="1"/>
  <c r="E15" i="2" s="1"/>
  <c r="B16" i="2"/>
  <c r="C16" i="2" s="1"/>
  <c r="E16" i="2" s="1"/>
  <c r="B17" i="2"/>
  <c r="C17" i="2" s="1"/>
  <c r="E17" i="2" s="1"/>
  <c r="B18" i="2"/>
  <c r="C18" i="2" s="1"/>
  <c r="E18" i="2" s="1"/>
  <c r="B19" i="2"/>
  <c r="C19" i="2" s="1"/>
  <c r="E19" i="2" s="1"/>
  <c r="B20" i="2"/>
  <c r="C20" i="2" s="1"/>
  <c r="E20" i="2" s="1"/>
  <c r="B21" i="2"/>
  <c r="C21" i="2" s="1"/>
  <c r="E21" i="2" s="1"/>
  <c r="B22" i="2"/>
  <c r="C22" i="2" s="1"/>
  <c r="E22" i="2" s="1"/>
  <c r="B23" i="2"/>
  <c r="C23" i="2" s="1"/>
  <c r="E23" i="2" s="1"/>
  <c r="B24" i="2"/>
  <c r="C24" i="2" s="1"/>
  <c r="E24" i="2" s="1"/>
  <c r="B25" i="2"/>
  <c r="C25" i="2" s="1"/>
  <c r="E25" i="2" s="1"/>
  <c r="B2" i="2"/>
  <c r="C2" i="2" s="1"/>
  <c r="E2" i="2" s="1"/>
  <c r="AP278" i="1" l="1"/>
  <c r="AP265" i="1"/>
  <c r="AP148" i="1"/>
  <c r="AP160" i="1"/>
  <c r="AP252" i="1"/>
  <c r="AP135" i="1"/>
  <c r="AP200" i="1"/>
  <c r="AP159" i="1"/>
  <c r="AP120" i="1"/>
  <c r="AP212" i="1"/>
  <c r="AP107" i="1"/>
  <c r="AP94" i="1"/>
  <c r="AP83" i="1"/>
  <c r="AP186" i="1"/>
  <c r="AP81" i="1"/>
  <c r="AP173" i="1"/>
  <c r="AP213" i="1"/>
  <c r="AP147" i="1"/>
  <c r="AP133" i="1"/>
  <c r="AP134" i="1"/>
  <c r="AP121" i="1"/>
  <c r="AP108" i="1"/>
  <c r="AP122" i="1"/>
  <c r="AP95" i="1"/>
  <c r="AP82" i="1"/>
  <c r="AP185" i="1"/>
  <c r="AP172" i="1"/>
  <c r="AP109" i="1"/>
  <c r="AP225" i="1"/>
  <c r="AP199" i="1"/>
  <c r="AP289" i="1"/>
  <c r="AP276" i="1"/>
  <c r="AP263" i="1"/>
  <c r="AP250" i="1"/>
  <c r="AP224" i="1"/>
  <c r="AP211" i="1"/>
  <c r="AP237" i="1"/>
  <c r="AP198" i="1"/>
  <c r="AP290" i="1"/>
  <c r="AP277" i="1"/>
  <c r="AP264" i="1"/>
  <c r="AP251" i="1"/>
  <c r="AP239" i="1"/>
  <c r="AP238" i="1"/>
  <c r="AP28" i="1"/>
  <c r="AP57" i="1"/>
  <c r="AP30" i="1"/>
  <c r="AP50" i="1"/>
  <c r="AP9" i="1"/>
  <c r="AP29" i="1"/>
  <c r="AP62" i="1"/>
  <c r="AP6" i="1"/>
  <c r="AP45" i="1"/>
  <c r="AP25" i="1"/>
  <c r="AP44" i="1"/>
  <c r="AP24" i="1"/>
  <c r="AP4" i="1"/>
  <c r="AP26" i="1"/>
  <c r="AP17" i="1"/>
  <c r="AP35" i="1"/>
  <c r="AP43" i="1"/>
  <c r="AP23" i="1"/>
  <c r="AP49" i="1"/>
  <c r="AP37" i="1"/>
  <c r="AP5" i="1"/>
  <c r="AP34" i="1"/>
  <c r="AP14" i="1"/>
  <c r="AP42" i="1"/>
  <c r="AP22" i="1"/>
  <c r="AP67" i="1"/>
  <c r="AP10" i="1"/>
  <c r="AP58" i="1"/>
  <c r="AP51" i="1"/>
  <c r="AP70" i="1"/>
  <c r="AP13" i="1"/>
  <c r="AP41" i="1"/>
  <c r="AP21" i="1"/>
  <c r="AP20" i="1"/>
  <c r="AP39" i="1"/>
  <c r="AP19" i="1"/>
  <c r="AP60" i="1"/>
  <c r="AP38" i="1"/>
  <c r="AP18" i="1"/>
  <c r="AP7" i="1"/>
  <c r="I38" i="3"/>
  <c r="I35" i="3"/>
  <c r="I2" i="3"/>
  <c r="I5" i="3"/>
  <c r="I8" i="3"/>
  <c r="I41" i="3"/>
  <c r="AP15" i="1"/>
  <c r="AP68" i="1"/>
  <c r="AP32" i="1"/>
  <c r="AP12" i="1"/>
  <c r="AP73" i="1"/>
  <c r="AP16" i="1"/>
  <c r="AP11" i="1"/>
  <c r="AP69" i="1"/>
  <c r="AP3" i="1"/>
  <c r="AP64" i="1"/>
  <c r="AP48" i="1"/>
  <c r="AP8" i="1"/>
  <c r="AP47" i="1"/>
  <c r="AP27" i="1"/>
  <c r="AP31" i="1"/>
  <c r="AP46" i="1"/>
  <c r="AP33" i="1"/>
  <c r="AP63" i="1"/>
  <c r="AP56" i="1"/>
  <c r="AP61" i="1"/>
  <c r="AP55" i="1"/>
  <c r="AP54" i="1"/>
  <c r="AP40" i="1"/>
  <c r="AP53" i="1"/>
  <c r="AP66" i="1"/>
  <c r="AP74" i="1"/>
  <c r="AP52" i="1"/>
  <c r="AP59" i="1"/>
  <c r="AP72" i="1"/>
  <c r="AP36" i="1"/>
  <c r="AP65" i="1"/>
  <c r="AP71" i="1"/>
  <c r="T16" i="2"/>
  <c r="X16" i="2" s="1"/>
  <c r="Y16" i="2" s="1"/>
  <c r="T14" i="2"/>
  <c r="X14" i="2" s="1"/>
  <c r="Y14" i="2" s="1"/>
  <c r="T10" i="2"/>
  <c r="X10" i="2" s="1"/>
  <c r="Y10" i="2" s="1"/>
  <c r="T7" i="2"/>
  <c r="X7" i="2" s="1"/>
  <c r="Y7" i="2" s="1"/>
  <c r="T6" i="2"/>
  <c r="X6" i="2" s="1"/>
  <c r="Y6" i="2" s="1"/>
  <c r="T21" i="2"/>
  <c r="X21" i="2" s="1"/>
  <c r="Y21" i="2" s="1"/>
  <c r="T4" i="2"/>
  <c r="X4" i="2" s="1"/>
  <c r="Y4" i="2" s="1"/>
  <c r="T19" i="2"/>
  <c r="X19" i="2" s="1"/>
  <c r="Y19" i="2" s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Y3" i="1"/>
  <c r="Z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tc={9DBCAE4A-9027-4D75-A3BD-CC5DFC6E57D2}</author>
  </authors>
  <commentList>
    <comment ref="M28" authorId="0" shapeId="0" xr:uid="{9DBCAE4A-9027-4D75-A3BD-CC5DFC6E57D2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0.09. Removed for plotting</t>
      </text>
    </comment>
  </commentList>
</comments>
</file>

<file path=xl/sharedStrings.xml><?xml version="1.0" encoding="utf-8"?>
<sst xmlns="http://schemas.openxmlformats.org/spreadsheetml/2006/main" count="2539" uniqueCount="429">
  <si>
    <t>Batch Data</t>
  </si>
  <si>
    <t>Offline Data</t>
  </si>
  <si>
    <t>Online Data</t>
  </si>
  <si>
    <t>Online Setpoints</t>
  </si>
  <si>
    <t>Next Day MPC Calculation</t>
  </si>
  <si>
    <t>Batch</t>
  </si>
  <si>
    <t>Controller</t>
  </si>
  <si>
    <t>iVCC</t>
  </si>
  <si>
    <t>pH</t>
  </si>
  <si>
    <t>Temp</t>
  </si>
  <si>
    <t>Day</t>
  </si>
  <si>
    <t>Sample Time</t>
  </si>
  <si>
    <t>HPLC Titer</t>
  </si>
  <si>
    <t>IGG</t>
  </si>
  <si>
    <t>VCC</t>
  </si>
  <si>
    <t>Viability</t>
  </si>
  <si>
    <t>Lactate</t>
  </si>
  <si>
    <t>Osmo</t>
  </si>
  <si>
    <t>pCO2_at_temp</t>
  </si>
  <si>
    <t>Glucose</t>
  </si>
  <si>
    <t>pH_at_temp</t>
  </si>
  <si>
    <t>Cumulative_Feed</t>
  </si>
  <si>
    <t>Cumulative_Glucose</t>
  </si>
  <si>
    <t>Feed Flow Rate (mL/hour)</t>
  </si>
  <si>
    <t>Volume</t>
  </si>
  <si>
    <t>Cumulative Sample Volume</t>
  </si>
  <si>
    <t>Sample Volume</t>
  </si>
  <si>
    <t>Cumulative_Normalized_Feed_Python</t>
  </si>
  <si>
    <t>Cumulative_Normalized_Feed_Julia</t>
  </si>
  <si>
    <t>Cumulative_Normalized_Glucose_Julia</t>
  </si>
  <si>
    <t>Amount of Future Feed</t>
  </si>
  <si>
    <t>Temperature</t>
  </si>
  <si>
    <t>pH_setpoint</t>
  </si>
  <si>
    <t>DO</t>
  </si>
  <si>
    <t>CD96 CSFR Setpoint</t>
  </si>
  <si>
    <t>Feed Flow Rate based on CSFR</t>
  </si>
  <si>
    <t>Feed Fed based on CSFR</t>
  </si>
  <si>
    <t>Initial_Volume</t>
  </si>
  <si>
    <t>Model Feed Input Python</t>
  </si>
  <si>
    <t>Model Feed Input Julia</t>
  </si>
  <si>
    <t>Model Glucose Input Julia</t>
  </si>
  <si>
    <t>Feed Rate (mL/hour) Python</t>
  </si>
  <si>
    <t>Feed Rate (mL/hour) Julia</t>
  </si>
  <si>
    <t>Amount of Glucose (mL)</t>
  </si>
  <si>
    <t>Flow Rate Copy to System</t>
  </si>
  <si>
    <t>AR24-005-001</t>
  </si>
  <si>
    <t>Julia</t>
  </si>
  <si>
    <t>AR24-005-002</t>
  </si>
  <si>
    <t>AR24-005-003</t>
  </si>
  <si>
    <t>Python</t>
  </si>
  <si>
    <t>AR24-005-004</t>
  </si>
  <si>
    <t>No MPC</t>
  </si>
  <si>
    <t>AR24-005-005</t>
  </si>
  <si>
    <t>AR24-005-006</t>
  </si>
  <si>
    <t>AR24-005-007</t>
  </si>
  <si>
    <t>AR24-005-008</t>
  </si>
  <si>
    <t>AR24-005-009</t>
  </si>
  <si>
    <t>AR24-005-010</t>
  </si>
  <si>
    <t>AR24-005-011</t>
  </si>
  <si>
    <t>AR24-005-012</t>
  </si>
  <si>
    <t>AR24-005-013</t>
  </si>
  <si>
    <t>AR24-005-014</t>
  </si>
  <si>
    <t>AR24-005-015</t>
  </si>
  <si>
    <t>AR24-005-016</t>
  </si>
  <si>
    <t>AR24-005-017</t>
  </si>
  <si>
    <t>AR24-005-018</t>
  </si>
  <si>
    <t>AR24-005-019</t>
  </si>
  <si>
    <t>AR24-005-020</t>
  </si>
  <si>
    <t>AR24-005-021</t>
  </si>
  <si>
    <t>AR24-005-022</t>
  </si>
  <si>
    <t>AR24-005-023</t>
  </si>
  <si>
    <t>AR24-005-024</t>
  </si>
  <si>
    <t>Sample Name</t>
  </si>
  <si>
    <t>Study No.</t>
  </si>
  <si>
    <t>Reactor</t>
  </si>
  <si>
    <t>Sample Number</t>
  </si>
  <si>
    <t>Date Number</t>
  </si>
  <si>
    <t>Sample Date</t>
  </si>
  <si>
    <t>Titer Value (mg/L)</t>
  </si>
  <si>
    <t>Average</t>
  </si>
  <si>
    <t>STD % of Mean</t>
  </si>
  <si>
    <t>Std</t>
  </si>
  <si>
    <t>Mean STD % of Mean</t>
  </si>
  <si>
    <t>AR24-005-MPC002232FER2001-01</t>
  </si>
  <si>
    <t>AR24-005-MPC002232FER2001-02</t>
  </si>
  <si>
    <t>AR24-005-MPC002232FER2001-03</t>
  </si>
  <si>
    <t>AR24-005-MPC002232FER2002-01</t>
  </si>
  <si>
    <t>AR24-005-MPC002232FER2002-02</t>
  </si>
  <si>
    <t>AR24-005-MPC002232FER2002-03</t>
  </si>
  <si>
    <t>AR24-005-MPC002232FER2003-01</t>
  </si>
  <si>
    <t>AR24-005-MPC002232FER2003-02</t>
  </si>
  <si>
    <t>AR24-005-MPC002232FER2003-03</t>
  </si>
  <si>
    <t>AR24-005-MPC002232FER2004-01</t>
  </si>
  <si>
    <t>AR24-005-MPC002232FER2005-01</t>
  </si>
  <si>
    <t>AR24-005-MPC002232FER2006-01</t>
  </si>
  <si>
    <t>AR24-005-MPC002232FER2007-01</t>
  </si>
  <si>
    <t>AR24-005-MPC002232FER2008-01</t>
  </si>
  <si>
    <t>AR24-005-MPC002232FER2009-01</t>
  </si>
  <si>
    <t>AR24-005-MPC002232FER2010-01</t>
  </si>
  <si>
    <t>AR24-005-MPC002232FER2011-01</t>
  </si>
  <si>
    <t>AR24-005-MPC002232FER2012-01</t>
  </si>
  <si>
    <t>AR24-005-MPC002232FER2013-01</t>
  </si>
  <si>
    <t>AR24-005-MPC002232FER2014-01</t>
  </si>
  <si>
    <t>AR24-005-MPC002232FER2015-01</t>
  </si>
  <si>
    <t>AR24-005-MPC002232FER2016-01</t>
  </si>
  <si>
    <t>AR24-005-MPC002232FER2017-01</t>
  </si>
  <si>
    <t>AR24-005-MPC002232FER2018-01</t>
  </si>
  <si>
    <t>AR24-005-MPC002232FER2019-01</t>
  </si>
  <si>
    <t>AR24-005-MPC002232FER2020-01</t>
  </si>
  <si>
    <t>AR24-005-MPC002232FER2021-01</t>
  </si>
  <si>
    <t>AR24-005-MPC002232FER2022-01</t>
  </si>
  <si>
    <t>AR24-005-MPC002232FER2023-01</t>
  </si>
  <si>
    <t>AR24-005-MPC002232FER2024-01</t>
  </si>
  <si>
    <t>AR24-005-MPC002242FER2001-01</t>
  </si>
  <si>
    <t>AR24-005-MPC002242FER2002-01</t>
  </si>
  <si>
    <t>AR24-005-MPC002242FER2003-01</t>
  </si>
  <si>
    <t>AR24-005-MPC002242FER2004-01</t>
  </si>
  <si>
    <t>AR24-005-MPC002242FER2004-02</t>
  </si>
  <si>
    <t>AR24-005-MPC002242FER2004-03</t>
  </si>
  <si>
    <t>AR24-005-MPC002242FER2005-01</t>
  </si>
  <si>
    <t>AR24-005-MPC002242FER2005-02</t>
  </si>
  <si>
    <t>AR24-005-MPC002242FER2005-03</t>
  </si>
  <si>
    <t>AR24-005-MPC002242FER2006-01</t>
  </si>
  <si>
    <t>AR24-005-MPC002242FER2006-02</t>
  </si>
  <si>
    <t>AR24-005-MPC002242FER2006-03</t>
  </si>
  <si>
    <t>AR24-005-MPC002242FER2007-01</t>
  </si>
  <si>
    <t>AR24-005-MPC002242FER2008-01</t>
  </si>
  <si>
    <t>AR24-005-MPC002242FER2009-01</t>
  </si>
  <si>
    <t>AR24-005-MPC002242FER2010-01</t>
  </si>
  <si>
    <t>AR24-005-MPC002242FER2011-01</t>
  </si>
  <si>
    <t>AR24-005-MPC002242FER2012-01</t>
  </si>
  <si>
    <t>AR24-005-MPC002242FER2013-01</t>
  </si>
  <si>
    <t>AR24-005-MPC002242FER2014-01</t>
  </si>
  <si>
    <t>AR24-005-MPC002242FER2015-01</t>
  </si>
  <si>
    <t>AR24-005-MPC002242FER2016-01</t>
  </si>
  <si>
    <t>AR24-005-MPC002242FER2017-01</t>
  </si>
  <si>
    <t>AR24-005-MPC002242FER2018-01</t>
  </si>
  <si>
    <t>AR24-005-MPC002242FER2019-01</t>
  </si>
  <si>
    <t>AR24-005-MPC002242FER2020-01</t>
  </si>
  <si>
    <t>AR24-005-MPC002242FER2021-01</t>
  </si>
  <si>
    <t>AR24-005-MPC002242FER2022-01</t>
  </si>
  <si>
    <t>AR24-005-MPC002242FER2023-01</t>
  </si>
  <si>
    <t>AR24-005-MPC002242FER2024-01</t>
  </si>
  <si>
    <t>AR24-005-MPC002252FER2001-01</t>
  </si>
  <si>
    <t>AR24-005-MPC002252FER2002-01</t>
  </si>
  <si>
    <t>AR24-005-MPC002252FER2003-01</t>
  </si>
  <si>
    <t>AR24-005-MPC002252FER2004-01</t>
  </si>
  <si>
    <t>AR24-005-MPC002252FER2005-01</t>
  </si>
  <si>
    <t>AR24-005-MPC002252FER2006-01</t>
  </si>
  <si>
    <t>AR24-005-MPC002252FER2007-01</t>
  </si>
  <si>
    <t>AR24-005-MPC002252FER2007-02</t>
  </si>
  <si>
    <t>AR24-005-MPC002252FER2007-03</t>
  </si>
  <si>
    <t>AR24-005-MPC002252FER2008-01</t>
  </si>
  <si>
    <t>AR24-005-MPC002252FER2008-02</t>
  </si>
  <si>
    <t>AR24-005-MPC002252FER2008-03</t>
  </si>
  <si>
    <t>AR24-005-MPC002252FER2009-01</t>
  </si>
  <si>
    <t>AR24-005-MPC002252FER2009-02</t>
  </si>
  <si>
    <t>AR24-005-MPC002252FER2009-03</t>
  </si>
  <si>
    <t>AR24-005-MPC002252FER2010-01</t>
  </si>
  <si>
    <t>AR24-005-MPC002252FER2011-01</t>
  </si>
  <si>
    <t>AR24-005-MPC002252FER2012-01</t>
  </si>
  <si>
    <t>AR24-005-MPC002252FER2013-01</t>
  </si>
  <si>
    <t>AR24-005-MPC002252FER2014-01</t>
  </si>
  <si>
    <t>AR24-005-MPC002252FER2015-01</t>
  </si>
  <si>
    <t>AR24-005-MPC002252FER2016-01</t>
  </si>
  <si>
    <t>AR24-005-MPC002252FER2017-01</t>
  </si>
  <si>
    <t>AR24-005-MPC002252FER2018-01</t>
  </si>
  <si>
    <t>AR24-005-MPC002252FER2019-01</t>
  </si>
  <si>
    <t>AR24-005-MPC002252FER2020-01</t>
  </si>
  <si>
    <t>AR24-005-MPC002252FER2021-01</t>
  </si>
  <si>
    <t>AR24-005-MPC002252FER2022-01</t>
  </si>
  <si>
    <t>AR24-005-MPC002252FER2023-01</t>
  </si>
  <si>
    <t>AR24-005-MPC002252FER2024-01</t>
  </si>
  <si>
    <t>AR24-005-MPC002262FER2001-01</t>
  </si>
  <si>
    <t>AR24-005-MPC002262FER2002-01</t>
  </si>
  <si>
    <t>AR24-005-MPC002262FER2003-01</t>
  </si>
  <si>
    <t>AR24-005-MPC002262FER2004-01</t>
  </si>
  <si>
    <t>AR24-005-MPC002262FER2005-01</t>
  </si>
  <si>
    <t>AR24-005-MPC002262FER2006-01</t>
  </si>
  <si>
    <t>AR24-005-MPC002262FER2007-01</t>
  </si>
  <si>
    <t>AR24-005-MPC002262FER2008-01</t>
  </si>
  <si>
    <t>AR24-005-MPC002262FER2009-01</t>
  </si>
  <si>
    <t>AR24-005-MPC002262FER2010-01</t>
  </si>
  <si>
    <t>AR24-005-MPC002262FER2010-02</t>
  </si>
  <si>
    <t>AR24-005-MPC002262FER2010-03</t>
  </si>
  <si>
    <t>AR24-005-MPC002262FER2011-01</t>
  </si>
  <si>
    <t>AR24-005-MPC002262FER2011-02</t>
  </si>
  <si>
    <t>AR24-005-MPC002262FER2011-03</t>
  </si>
  <si>
    <t>AR24-005-MPC002262FER2012-01</t>
  </si>
  <si>
    <t>AR24-005-MPC002262FER2012-02</t>
  </si>
  <si>
    <t>AR24-005-MPC002262FER2012-03</t>
  </si>
  <si>
    <t>AR24-005-MPC002262FER2013-01</t>
  </si>
  <si>
    <t>AR24-005-MPC002262FER2014-01</t>
  </si>
  <si>
    <t>AR24-005-MPC002262FER2015-01</t>
  </si>
  <si>
    <t>AR24-005-MPC002262FER2016-01</t>
  </si>
  <si>
    <t>AR24-005-MPC002262FER2017-01</t>
  </si>
  <si>
    <t>AR24-005-MPC002262FER2018-01</t>
  </si>
  <si>
    <t>AR24-005-MPC002262FER2019-01</t>
  </si>
  <si>
    <t>AR24-005-MPC002262FER2020-01</t>
  </si>
  <si>
    <t>AR24-005-MPC002262FER2021-01</t>
  </si>
  <si>
    <t>AR24-005-MPC002262FER2022-01</t>
  </si>
  <si>
    <t>AR24-005-MPC002262FER2023-01</t>
  </si>
  <si>
    <t>AR24-005-MPC002262FER2024-01</t>
  </si>
  <si>
    <t>AR24-005-MPC002282FER2001-01</t>
  </si>
  <si>
    <t>AR24-005-MPC002282FER2002-01</t>
  </si>
  <si>
    <t>AR24-005-MPC002282FER2003-01</t>
  </si>
  <si>
    <t>AR24-005-MPC002282FER2004-01</t>
  </si>
  <si>
    <t>AR24-005-MPC002282FER2005-01</t>
  </si>
  <si>
    <t>AR24-005-MPC002282FER2006-01</t>
  </si>
  <si>
    <t>AR24-005-MPC002282FER2007-01</t>
  </si>
  <si>
    <t>AR24-005-MPC002282FER2008-01</t>
  </si>
  <si>
    <t>AR24-005-MPC002282FER2009-01</t>
  </si>
  <si>
    <t>AR24-005-MPC002282FER2010-01</t>
  </si>
  <si>
    <t>AR24-005-MPC002282FER2011-01</t>
  </si>
  <si>
    <t>AR24-005-MPC002282FER2012-01</t>
  </si>
  <si>
    <t>AR24-005-MPC002282FER2013-01</t>
  </si>
  <si>
    <t>AR24-005-MPC002282FER2013-02</t>
  </si>
  <si>
    <t>AR24-005-MPC002282FER2013-03</t>
  </si>
  <si>
    <t>AR24-005-MPC002282FER2014-01</t>
  </si>
  <si>
    <t>AR24-005-MPC002282FER2014-02</t>
  </si>
  <si>
    <t>AR24-005-MPC002282FER2014-03</t>
  </si>
  <si>
    <t>AR24-005-MPC002282FER2015-01</t>
  </si>
  <si>
    <t>AR24-005-MPC002282FER2015-02</t>
  </si>
  <si>
    <t>AR24-005-MPC002282FER2015-03</t>
  </si>
  <si>
    <t>AR24-005-MPC002282FER2016-01</t>
  </si>
  <si>
    <t>AR24-005-MPC002282FER2017-01</t>
  </si>
  <si>
    <t>AR24-005-MPC002282FER2018-01</t>
  </si>
  <si>
    <t>AR24-005-MPC002282FER2019-01</t>
  </si>
  <si>
    <t>AR24-005-MPC002282FER2020-01</t>
  </si>
  <si>
    <t>AR24-005-MPC002282FER2021-01</t>
  </si>
  <si>
    <t>AR24-005-MPC002282FER2022-01</t>
  </si>
  <si>
    <t>AR24-005-MPC002282FER2023-01</t>
  </si>
  <si>
    <t>AR24-005-MPC002282FER2024-01</t>
  </si>
  <si>
    <t>AR24-005-MPC003012FER2001-01</t>
  </si>
  <si>
    <t>AR24-005-MPC003012FER2002-01</t>
  </si>
  <si>
    <t>AR24-005-MPC003012FER2003-01</t>
  </si>
  <si>
    <t>AR24-005-MPC003012FER2004-01</t>
  </si>
  <si>
    <t>AR24-005-MPC003012FER2005-01</t>
  </si>
  <si>
    <t>AR24-005-MPC003012FER2006-01</t>
  </si>
  <si>
    <t>AR24-005-MPC003012FER2007-01</t>
  </si>
  <si>
    <t>AR24-005-MPC003012FER2008-01</t>
  </si>
  <si>
    <t>AR24-005-MPC003012FER2009-01</t>
  </si>
  <si>
    <t>AR24-005-MPC003012FER2010-01</t>
  </si>
  <si>
    <t>AR24-005-MPC003012FER2011-01</t>
  </si>
  <si>
    <t>AR24-005-MPC003012FER2012-01</t>
  </si>
  <si>
    <t>AR24-005-MPC003012FER2013-01</t>
  </si>
  <si>
    <t>AR24-005-MPC003012FER2014-01</t>
  </si>
  <si>
    <t>AR24-005-MPC003012FER2015-01</t>
  </si>
  <si>
    <t>AR24-005-MPC003012FER2016-01</t>
  </si>
  <si>
    <t>AR24-005-MPC003012FER2016-02</t>
  </si>
  <si>
    <t>AR24-005-MPC003012FER2016-03</t>
  </si>
  <si>
    <t>AR24-005-MPC003012FER2017-01</t>
  </si>
  <si>
    <t>AR24-005-MPC003012FER2017-02</t>
  </si>
  <si>
    <t>AR24-005-MPC003012FER2017-03</t>
  </si>
  <si>
    <t>AR24-005-MPC003012FER2018-01</t>
  </si>
  <si>
    <t>AR24-005-MPC003012FER2018-02</t>
  </si>
  <si>
    <t>AR24-005-MPC003012FER2018-03</t>
  </si>
  <si>
    <t>AR24-005-MPC003012FER2019-01</t>
  </si>
  <si>
    <t>AR24-005-MPC003012FER2020-01</t>
  </si>
  <si>
    <t>AR24-005-MPC003012FER2021-01</t>
  </si>
  <si>
    <t>AR24-005-MPC003012FER2022-01</t>
  </si>
  <si>
    <t>AR24-005-MPC003012FER2023-01</t>
  </si>
  <si>
    <t>AR24-005-MPC003012FER2024-01</t>
  </si>
  <si>
    <t>AR24-005-MPC003022FER2003-01</t>
  </si>
  <si>
    <t>AR24-005-MPC003022FER2005-01</t>
  </si>
  <si>
    <t>AR24-005-MPC003022FER2006-01</t>
  </si>
  <si>
    <t>AR24-005-MPC003022FER2009-01</t>
  </si>
  <si>
    <t>AR24-005-MPC003022FER2013-01</t>
  </si>
  <si>
    <t>AR24-005-MPC003022FER2015-01</t>
  </si>
  <si>
    <t>AR24-005-MPC003022FER2018-01</t>
  </si>
  <si>
    <t>AR24-005-MPC003022FER2020-01</t>
  </si>
  <si>
    <t>AR24-005-MPC003032FER2001-01</t>
  </si>
  <si>
    <t>AR24-005-MPC003032FER2002-01</t>
  </si>
  <si>
    <t>AR24-005-MPC003032FER2003-01</t>
  </si>
  <si>
    <t>AR24-005-MPC003032FER2004-01</t>
  </si>
  <si>
    <t>AR24-005-MPC003032FER2005-01</t>
  </si>
  <si>
    <t>AR24-005-MPC003032FER2006-01</t>
  </si>
  <si>
    <t>AR24-005-MPC003032FER2007-01</t>
  </si>
  <si>
    <t>AR24-005-MPC003032FER2008-01</t>
  </si>
  <si>
    <t>AR24-005-MPC003032FER2009-01</t>
  </si>
  <si>
    <t>AR24-005-MPC003032FER2010-01</t>
  </si>
  <si>
    <t>AR24-005-MPC003032FER2011-01</t>
  </si>
  <si>
    <t>AR24-005-MPC003032FER2012-01</t>
  </si>
  <si>
    <t>AR24-005-MPC003032FER2013-01</t>
  </si>
  <si>
    <t>AR24-005-MPC003032FER2014-01</t>
  </si>
  <si>
    <t>AR24-005-MPC003032FER2015-01</t>
  </si>
  <si>
    <t>AR24-005-MPC003032FER2016-01</t>
  </si>
  <si>
    <t>AR24-005-MPC003032FER2017-01</t>
  </si>
  <si>
    <t>AR24-005-MPC003032FER2018-01</t>
  </si>
  <si>
    <t>AR24-005-MPC003032FER2019-01</t>
  </si>
  <si>
    <t>AR24-005-MPC003032FER2019-02</t>
  </si>
  <si>
    <t>AR24-005-MPC003032FER2019-03</t>
  </si>
  <si>
    <t>AR24-005-MPC003032FER2020-01</t>
  </si>
  <si>
    <t>AR24-005-MPC003032FER2020-02</t>
  </si>
  <si>
    <t>AR24-005-MPC003032FER2020-03</t>
  </si>
  <si>
    <t>AR24-005-MPC003032FER2021-01</t>
  </si>
  <si>
    <t>AR24-005-MPC003032FER2021-02</t>
  </si>
  <si>
    <t>AR24-005-MPC003032FER2021-03</t>
  </si>
  <si>
    <t>AR24-005-MPC003032FER2022-01</t>
  </si>
  <si>
    <t>AR24-005-MPC003032FER2023-01</t>
  </si>
  <si>
    <t>AR24-005-MPC003032FER2024-01</t>
  </si>
  <si>
    <t>AR24-005-MPC003042FER2001-01</t>
  </si>
  <si>
    <t>AR24-005-MPC003042FER2001-02</t>
  </si>
  <si>
    <t>AR24-005-MPC003042FER2001-03</t>
  </si>
  <si>
    <t>AR24-005-MPC003042FER2002-01</t>
  </si>
  <si>
    <t>AR24-005-MPC003042FER2002-02</t>
  </si>
  <si>
    <t>AR24-005-MPC003042FER2002-03</t>
  </si>
  <si>
    <t>AR24-005-MPC003042FER2003-01</t>
  </si>
  <si>
    <t>AR24-005-MPC003042FER2003-02</t>
  </si>
  <si>
    <t>AR24-005-MPC003042FER2003-03</t>
  </si>
  <si>
    <t>AR24-005-MPC003042FER2004-01</t>
  </si>
  <si>
    <t>AR24-005-MPC003042FER2005-01</t>
  </si>
  <si>
    <t>AR24-005-MPC003042FER2006-01</t>
  </si>
  <si>
    <t>AR24-005-MPC003042FER2007-01</t>
  </si>
  <si>
    <t>AR24-005-MPC003042FER2008-01</t>
  </si>
  <si>
    <t>AR24-005-MPC003042FER2009-01</t>
  </si>
  <si>
    <t>AR24-005-MPC003042FER2010-01</t>
  </si>
  <si>
    <t>AR24-005-MPC003042FER2011-01</t>
  </si>
  <si>
    <t>AR24-005-MPC003042FER2012-01</t>
  </si>
  <si>
    <t>AR24-005-MPC003042FER2013-01</t>
  </si>
  <si>
    <t>AR24-005-MPC003042FER2014-01</t>
  </si>
  <si>
    <t>AR24-005-MPC003042FER2015-01</t>
  </si>
  <si>
    <t>AR24-005-MPC003042FER2016-01</t>
  </si>
  <si>
    <t>AR24-005-MPC003042FER2017-01</t>
  </si>
  <si>
    <t>AR24-005-MPC003042FER2018-01</t>
  </si>
  <si>
    <t>AR24-005-MPC003042FER2019-01</t>
  </si>
  <si>
    <t>AR24-005-MPC003042FER2020-01</t>
  </si>
  <si>
    <t>AR24-005-MPC003042FER2021-01</t>
  </si>
  <si>
    <t>AR24-005-MPC003042FER2022-01</t>
  </si>
  <si>
    <t>AR24-005-MPC003042FER2023-01</t>
  </si>
  <si>
    <t>AR24-005-MPC003042FER2024-01</t>
  </si>
  <si>
    <t>AR24-005-MPC003052FER2001-01</t>
  </si>
  <si>
    <t>AR24-005-MPC003052FER2002-01</t>
  </si>
  <si>
    <t>AR24-005-MPC003052FER2003-01</t>
  </si>
  <si>
    <t>AR24-005-MPC003052FER2004-01</t>
  </si>
  <si>
    <t>AR24-005-MPC003052FER2005-01</t>
  </si>
  <si>
    <t>AR24-005-MPC003052FER2006-01</t>
  </si>
  <si>
    <t>AR24-005-MPC003052FER2007-01</t>
  </si>
  <si>
    <t>AR24-005-MPC003052FER2008-01</t>
  </si>
  <si>
    <t>AR24-005-MPC003052FER2009-01</t>
  </si>
  <si>
    <t>AR24-005-MPC003052FER2010-01</t>
  </si>
  <si>
    <t>AR24-005-MPC003052FER2011-01</t>
  </si>
  <si>
    <t>AR24-005-MPC003052FER2012-01</t>
  </si>
  <si>
    <t>AR24-005-MPC003052FER2013-01</t>
  </si>
  <si>
    <t>AR24-005-MPC003052FER2014-01</t>
  </si>
  <si>
    <t>AR24-005-MPC003052FER2015-01</t>
  </si>
  <si>
    <t>AR24-005-MPC003052FER2016-01</t>
  </si>
  <si>
    <t>AR24-005-MPC003052FER2017-01</t>
  </si>
  <si>
    <t>AR24-005-MPC003052FER2018-01</t>
  </si>
  <si>
    <t>AR24-005-MPC003052FER2019-01</t>
  </si>
  <si>
    <t>AR24-005-MPC003052FER2020-01</t>
  </si>
  <si>
    <t>AR24-005-MPC003052FER2021-01</t>
  </si>
  <si>
    <t>AR24-005-MPC003052FER2022-01</t>
  </si>
  <si>
    <t>AR24-005-MPC003052FER2022-02</t>
  </si>
  <si>
    <t>AR24-005-MPC003052FER2022-03</t>
  </si>
  <si>
    <t>AR24-005-MPC003052FER2023-01</t>
  </si>
  <si>
    <t>AR24-005-MPC003052FER2023-02</t>
  </si>
  <si>
    <t>AR24-005-MPC003052FER2023-03</t>
  </si>
  <si>
    <t>AR24-005-MPC003052FER2024-01</t>
  </si>
  <si>
    <t>AR24-005-MPC003052FER2024-02</t>
  </si>
  <si>
    <t>AR24-005-MPC003052FER2024-03</t>
  </si>
  <si>
    <t>Temp/pH</t>
  </si>
  <si>
    <t>Measured</t>
  </si>
  <si>
    <t>Setpoint</t>
  </si>
  <si>
    <t>% Difference from Setpoint</t>
  </si>
  <si>
    <t>ABS</t>
  </si>
  <si>
    <t>34, 7.2</t>
  </si>
  <si>
    <t>35, 7.3</t>
  </si>
  <si>
    <t>33, 7.1</t>
  </si>
  <si>
    <t>Row Labels</t>
  </si>
  <si>
    <t>Average of % Difference from Setpoint</t>
  </si>
  <si>
    <t>Average of ABS</t>
  </si>
  <si>
    <t>(blank)</t>
  </si>
  <si>
    <t>Grand Total</t>
  </si>
  <si>
    <t>D1 daily mpc</t>
  </si>
  <si>
    <t>D1 total</t>
  </si>
  <si>
    <t>D2 total pred</t>
  </si>
  <si>
    <t>D2 total actual</t>
  </si>
  <si>
    <t>Pred/Actual</t>
  </si>
  <si>
    <t>Offset</t>
  </si>
  <si>
    <t>D3 onword</t>
  </si>
  <si>
    <t>Corrected total</t>
  </si>
  <si>
    <t>New D2 daily</t>
  </si>
  <si>
    <t>MPC D2 daily</t>
  </si>
  <si>
    <t>Daily actual</t>
  </si>
  <si>
    <t>Total actual</t>
  </si>
  <si>
    <t>Total MPC</t>
  </si>
  <si>
    <t>Corrected MPC</t>
  </si>
  <si>
    <t>None</t>
  </si>
  <si>
    <t>Bioreactor</t>
  </si>
  <si>
    <t>CUMULATIVE_NORMALIZED_FEED--INPUT_DATA</t>
  </si>
  <si>
    <t>Code</t>
  </si>
  <si>
    <t>D3 total MPC</t>
  </si>
  <si>
    <t>D3 total actual</t>
  </si>
  <si>
    <t>Ratio</t>
  </si>
  <si>
    <t>D3 daily MPC</t>
  </si>
  <si>
    <t>D4 total actual</t>
  </si>
  <si>
    <t>D4+ total MPC</t>
  </si>
  <si>
    <t>D4+ corrected</t>
  </si>
  <si>
    <t>Daily MPC</t>
  </si>
  <si>
    <t>Actual total</t>
  </si>
  <si>
    <t>MPC total</t>
  </si>
  <si>
    <t>D4 total MPC</t>
  </si>
  <si>
    <t>D4 daily MPC</t>
  </si>
  <si>
    <t>D5 total actual</t>
  </si>
  <si>
    <t>D5+ total MPC</t>
  </si>
  <si>
    <t>D5+ corrected</t>
  </si>
  <si>
    <t>Curr total MPC</t>
  </si>
  <si>
    <t>Curr total actual</t>
  </si>
  <si>
    <t>Curr daily MPC</t>
  </si>
  <si>
    <t>Next total actual</t>
  </si>
  <si>
    <t>Future total MPC</t>
  </si>
  <si>
    <t>Future corrected</t>
  </si>
  <si>
    <t>Future MPC</t>
  </si>
  <si>
    <t>Change</t>
  </si>
  <si>
    <t>Min daily</t>
  </si>
  <si>
    <t>Max daily</t>
  </si>
  <si>
    <t>D3 Daily (0225)</t>
  </si>
  <si>
    <t>D4 Daily (0226)</t>
  </si>
  <si>
    <t>D5 Daily (0227)</t>
  </si>
  <si>
    <t>D3 total (0225)</t>
  </si>
  <si>
    <t>D3 total diff</t>
  </si>
  <si>
    <t>D4 total (0226)</t>
  </si>
  <si>
    <t>D4 total diff</t>
  </si>
  <si>
    <t>D5 total (0227)</t>
  </si>
  <si>
    <t>D5 total diff</t>
  </si>
  <si>
    <t>Daily_Feed</t>
  </si>
  <si>
    <t>Average Std</t>
  </si>
  <si>
    <t>Reference Titer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</si>
</sst>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.5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22" fontId="0" fillId="0" borderId="0" xfId="0" applyNumberFormat="1"/>
    <xf numFmtId="0" fontId="0" fillId="0" borderId="13" xfId="0" applyBorder="1"/>
    <xf numFmtId="0" fontId="0" fillId="0" borderId="14" xfId="0" applyBorder="1"/>
    <xf numFmtId="0" fontId="0" fillId="38" borderId="0" xfId="0" applyFill="1"/>
    <xf numFmtId="0" fontId="0" fillId="38" borderId="14" xfId="0" applyFill="1" applyBorder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22" fontId="0" fillId="0" borderId="11" xfId="0" applyNumberFormat="1" applyBorder="1"/>
    <xf numFmtId="0" fontId="0" fillId="38" borderId="11" xfId="0" applyFill="1" applyBorder="1"/>
    <xf numFmtId="0" fontId="0" fillId="38" borderId="12" xfId="0" applyFill="1" applyBorder="1"/>
    <xf numFmtId="0" fontId="0" fillId="0" borderId="15" xfId="0" applyBorder="1"/>
    <xf numFmtId="0" fontId="0" fillId="0" borderId="16" xfId="0" applyBorder="1"/>
    <xf numFmtId="22" fontId="0" fillId="0" borderId="16" xfId="0" applyNumberFormat="1" applyBorder="1"/>
    <xf numFmtId="0" fontId="0" fillId="38" borderId="16" xfId="0" applyFill="1" applyBorder="1"/>
    <xf numFmtId="0" fontId="0" fillId="38" borderId="17" xfId="0" applyFill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3" xfId="0" applyNumberFormat="1" applyBorder="1"/>
    <xf numFmtId="2" fontId="0" fillId="0" borderId="0" xfId="0" applyNumberFormat="1"/>
    <xf numFmtId="2" fontId="14" fillId="0" borderId="0" xfId="0" applyNumberFormat="1" applyFont="1"/>
    <xf numFmtId="2" fontId="22" fillId="0" borderId="0" xfId="42" applyNumberFormat="1" applyFont="1" applyBorder="1"/>
    <xf numFmtId="2" fontId="0" fillId="0" borderId="15" xfId="0" applyNumberFormat="1" applyBorder="1"/>
    <xf numFmtId="2" fontId="0" fillId="0" borderId="16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39" borderId="11" xfId="0" applyNumberFormat="1" applyFill="1" applyBorder="1"/>
    <xf numFmtId="165" fontId="0" fillId="39" borderId="12" xfId="0" applyNumberFormat="1" applyFill="1" applyBorder="1"/>
    <xf numFmtId="165" fontId="0" fillId="33" borderId="12" xfId="0" applyNumberFormat="1" applyFill="1" applyBorder="1"/>
    <xf numFmtId="165" fontId="0" fillId="0" borderId="13" xfId="0" applyNumberFormat="1" applyBorder="1"/>
    <xf numFmtId="165" fontId="0" fillId="0" borderId="0" xfId="0" applyNumberFormat="1"/>
    <xf numFmtId="165" fontId="0" fillId="39" borderId="0" xfId="0" applyNumberFormat="1" applyFill="1"/>
    <xf numFmtId="165" fontId="0" fillId="39" borderId="14" xfId="0" applyNumberFormat="1" applyFill="1" applyBorder="1"/>
    <xf numFmtId="165" fontId="0" fillId="33" borderId="14" xfId="0" applyNumberFormat="1" applyFill="1" applyBorder="1"/>
    <xf numFmtId="165" fontId="0" fillId="0" borderId="15" xfId="0" applyNumberFormat="1" applyBorder="1"/>
    <xf numFmtId="165" fontId="0" fillId="0" borderId="16" xfId="0" applyNumberFormat="1" applyBorder="1"/>
    <xf numFmtId="165" fontId="0" fillId="39" borderId="16" xfId="0" applyNumberFormat="1" applyFill="1" applyBorder="1"/>
    <xf numFmtId="165" fontId="0" fillId="39" borderId="17" xfId="0" applyNumberFormat="1" applyFill="1" applyBorder="1"/>
    <xf numFmtId="165" fontId="0" fillId="33" borderId="17" xfId="0" applyNumberFormat="1" applyFill="1" applyBorder="1"/>
    <xf numFmtId="164" fontId="0" fillId="0" borderId="11" xfId="0" applyNumberFormat="1" applyBorder="1"/>
    <xf numFmtId="164" fontId="0" fillId="0" borderId="16" xfId="0" applyNumberFormat="1" applyBorder="1"/>
    <xf numFmtId="0" fontId="0" fillId="39" borderId="11" xfId="0" applyFill="1" applyBorder="1"/>
    <xf numFmtId="0" fontId="0" fillId="39" borderId="12" xfId="0" applyFill="1" applyBorder="1"/>
    <xf numFmtId="0" fontId="0" fillId="39" borderId="0" xfId="0" applyFill="1"/>
    <xf numFmtId="0" fontId="0" fillId="39" borderId="14" xfId="0" applyFill="1" applyBorder="1"/>
    <xf numFmtId="0" fontId="0" fillId="39" borderId="16" xfId="0" applyFill="1" applyBorder="1"/>
    <xf numFmtId="0" fontId="0" fillId="39" borderId="17" xfId="0" applyFill="1" applyBorder="1"/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164" fontId="21" fillId="0" borderId="19" xfId="0" applyNumberFormat="1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33" borderId="12" xfId="0" applyFill="1" applyBorder="1"/>
    <xf numFmtId="0" fontId="0" fillId="33" borderId="14" xfId="0" applyFill="1" applyBorder="1"/>
    <xf numFmtId="0" fontId="0" fillId="33" borderId="17" xfId="0" applyFill="1" applyBorder="1"/>
    <xf numFmtId="9" fontId="0" fillId="0" borderId="0" xfId="43" applyFont="1"/>
    <xf numFmtId="0" fontId="0" fillId="33" borderId="0" xfId="0" applyFill="1"/>
    <xf numFmtId="1" fontId="0" fillId="0" borderId="11" xfId="0" applyNumberFormat="1" applyBorder="1"/>
    <xf numFmtId="1" fontId="0" fillId="0" borderId="0" xfId="0" applyNumberFormat="1"/>
    <xf numFmtId="1" fontId="0" fillId="0" borderId="16" xfId="0" applyNumberFormat="1" applyBorder="1"/>
    <xf numFmtId="0" fontId="23" fillId="0" borderId="0" xfId="0" applyFont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0" fillId="40" borderId="11" xfId="0" applyFill="1" applyBorder="1"/>
    <xf numFmtId="0" fontId="0" fillId="40" borderId="12" xfId="0" applyFill="1" applyBorder="1"/>
    <xf numFmtId="0" fontId="0" fillId="40" borderId="0" xfId="0" applyFill="1"/>
    <xf numFmtId="0" fontId="0" fillId="40" borderId="14" xfId="0" applyFill="1" applyBorder="1"/>
    <xf numFmtId="0" fontId="0" fillId="40" borderId="16" xfId="0" applyFill="1" applyBorder="1"/>
    <xf numFmtId="0" fontId="0" fillId="40" borderId="17" xfId="0" applyFill="1" applyBorder="1"/>
    <xf numFmtId="11" fontId="0" fillId="0" borderId="0" xfId="0" applyNumberFormat="1"/>
    <xf numFmtId="0" fontId="0" fillId="0" borderId="12" xfId="0" applyBorder="1"/>
    <xf numFmtId="11" fontId="0" fillId="0" borderId="11" xfId="0" applyNumberFormat="1" applyBorder="1"/>
    <xf numFmtId="0" fontId="0" fillId="0" borderId="17" xfId="0" applyBorder="1"/>
    <xf numFmtId="0" fontId="14" fillId="0" borderId="0" xfId="0" applyFont="1"/>
    <xf numFmtId="0" fontId="14" fillId="0" borderId="16" xfId="0" applyFont="1" applyBorder="1"/>
    <xf numFmtId="0" fontId="14" fillId="0" borderId="13" xfId="0" applyFont="1" applyBorder="1"/>
    <xf numFmtId="0" fontId="14" fillId="0" borderId="14" xfId="0" applyFont="1" applyBorder="1"/>
    <xf numFmtId="2" fontId="0" fillId="0" borderId="12" xfId="0" applyNumberFormat="1" applyBorder="1"/>
    <xf numFmtId="2" fontId="0" fillId="0" borderId="14" xfId="0" applyNumberFormat="1" applyBorder="1"/>
    <xf numFmtId="2" fontId="0" fillId="0" borderId="17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9" fillId="34" borderId="21" xfId="0" applyFont="1" applyFill="1" applyBorder="1"/>
    <xf numFmtId="0" fontId="23" fillId="0" borderId="22" xfId="0" applyFont="1" applyBorder="1" applyAlignment="1">
      <alignment vertical="center" wrapText="1"/>
    </xf>
    <xf numFmtId="2" fontId="0" fillId="0" borderId="21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Border="1"/>
    <xf numFmtId="22" fontId="0" fillId="0" borderId="0" xfId="0" applyNumberFormat="1" applyBorder="1"/>
    <xf numFmtId="2" fontId="0" fillId="0" borderId="0" xfId="0" applyNumberFormat="1" applyBorder="1"/>
    <xf numFmtId="0" fontId="14" fillId="0" borderId="0" xfId="0" applyFont="1" applyBorder="1"/>
    <xf numFmtId="165" fontId="0" fillId="0" borderId="0" xfId="0" applyNumberFormat="1" applyBorder="1"/>
    <xf numFmtId="165" fontId="0" fillId="39" borderId="0" xfId="0" applyNumberFormat="1" applyFill="1" applyBorder="1"/>
    <xf numFmtId="0" fontId="0" fillId="39" borderId="0" xfId="0" applyFill="1" applyBorder="1"/>
    <xf numFmtId="1" fontId="0" fillId="0" borderId="0" xfId="0" applyNumberFormat="1" applyBorder="1"/>
    <xf numFmtId="11" fontId="0" fillId="0" borderId="0" xfId="0" applyNumberFormat="1" applyBorder="1"/>
    <xf numFmtId="0" fontId="21" fillId="0" borderId="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7" borderId="11" xfId="0" applyFont="1" applyFill="1" applyBorder="1" applyAlignment="1">
      <alignment horizontal="center"/>
    </xf>
    <xf numFmtId="0" fontId="19" fillId="37" borderId="12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0" fontId="19" fillId="36" borderId="11" xfId="0" applyFont="1" applyFill="1" applyBorder="1" applyAlignment="1">
      <alignment horizontal="center"/>
    </xf>
    <xf numFmtId="0" fontId="19" fillId="36" borderId="12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9" fillId="34" borderId="10" xfId="0" applyFont="1" applyFill="1" applyBorder="1"/>
    <xf numFmtId="0" fontId="23" fillId="0" borderId="0" xfId="0" applyFont="1" applyBorder="1" applyAlignment="1">
      <alignment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/>
              <a:t>Standard Deviation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Titer Results'!$J$1</c:f>
              <c:strCache>
                <c:ptCount val="1"/>
                <c:pt idx="0">
                  <c:v>Std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'All Titer Results'!$E$2:$E$279</c:f>
              <c:numCache>
                <c:formatCode>General</c:formatCode>
                <c:ptCount val="2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</c:numCache>
            </c:numRef>
          </c:xVal>
          <c:yVal>
            <c:numRef>
              <c:f>'All Titer Results'!$J$2:$J$279</c:f>
              <c:numCache>
                <c:formatCode>0.00</c:formatCode>
                <c:ptCount val="278"/>
                <c:pt idx="0">
                  <c:v>14.866457212126885</c:v>
                </c:pt>
                <c:pt idx="3">
                  <c:v>4.6918222945176904</c:v>
                </c:pt>
                <c:pt idx="6">
                  <c:v>13.0960806542772</c:v>
                </c:pt>
                <c:pt idx="33" formatCode="General">
                  <c:v>31.291077104077676</c:v>
                </c:pt>
                <c:pt idx="36" formatCode="General">
                  <c:v>4.2247444104150942</c:v>
                </c:pt>
                <c:pt idx="39" formatCode="General">
                  <c:v>10.590296645672078</c:v>
                </c:pt>
                <c:pt idx="66" formatCode="General">
                  <c:v>55.84676612242945</c:v>
                </c:pt>
                <c:pt idx="69" formatCode="General">
                  <c:v>12.554159748864123</c:v>
                </c:pt>
                <c:pt idx="72" formatCode="General">
                  <c:v>101.81728232639745</c:v>
                </c:pt>
                <c:pt idx="99" formatCode="General">
                  <c:v>68.381254558541059</c:v>
                </c:pt>
                <c:pt idx="102" formatCode="General">
                  <c:v>69.523960078522563</c:v>
                </c:pt>
                <c:pt idx="105" formatCode="General">
                  <c:v>62.746871996405723</c:v>
                </c:pt>
                <c:pt idx="132" formatCode="General">
                  <c:v>57.031591903084781</c:v>
                </c:pt>
                <c:pt idx="135" formatCode="General">
                  <c:v>15.067505599799965</c:v>
                </c:pt>
                <c:pt idx="138" formatCode="General">
                  <c:v>95.287967629706642</c:v>
                </c:pt>
                <c:pt idx="165" formatCode="General">
                  <c:v>70.496403631674681</c:v>
                </c:pt>
                <c:pt idx="168" formatCode="General">
                  <c:v>55.28557836362026</c:v>
                </c:pt>
                <c:pt idx="171" formatCode="General">
                  <c:v>29.891128700669601</c:v>
                </c:pt>
                <c:pt idx="206" formatCode="General">
                  <c:v>29.483477152466481</c:v>
                </c:pt>
                <c:pt idx="209" formatCode="General">
                  <c:v>55.770006051640046</c:v>
                </c:pt>
                <c:pt idx="212" formatCode="General">
                  <c:v>58.704999148284138</c:v>
                </c:pt>
                <c:pt idx="218" formatCode="General">
                  <c:v>55.014884576812427</c:v>
                </c:pt>
                <c:pt idx="221" formatCode="General">
                  <c:v>50.356937704749228</c:v>
                </c:pt>
                <c:pt idx="224" formatCode="General">
                  <c:v>83.848449448990721</c:v>
                </c:pt>
                <c:pt idx="269" formatCode="General">
                  <c:v>60.524547086285672</c:v>
                </c:pt>
                <c:pt idx="272" formatCode="General">
                  <c:v>91.693536713336314</c:v>
                </c:pt>
                <c:pt idx="275" formatCode="General">
                  <c:v>13.142947728725249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C8-438C-8617-DD4902BD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713736"/>
        <c:axId val="898715176"/>
      </c:scatterChart>
      <c:valAx>
        <c:axId val="898713736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5176"/>
        <c:crosses val="autoZero"/>
        <c:crossBetween val="midCat"/>
      </c:valAx>
      <c:valAx>
        <c:axId val="89871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Titer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/>
              <a:t>Std</a:t>
            </a:r>
            <a:r>
              <a:rPr lang="en-US" sz="1800" baseline="0"/>
              <a:t> % of Mean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Titer Results'!$I$1</c:f>
              <c:strCache>
                <c:ptCount val="1"/>
                <c:pt idx="0">
                  <c:v>STD % of 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Titer Results'!$E$2:$E$279</c:f>
              <c:numCache>
                <c:formatCode>General</c:formatCode>
                <c:ptCount val="2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</c:numCache>
            </c:numRef>
          </c:xVal>
          <c:yVal>
            <c:numRef>
              <c:f>'All Titer Results'!$I$2:$I$279</c:f>
              <c:numCache>
                <c:formatCode>General</c:formatCode>
                <c:ptCount val="278"/>
                <c:pt idx="0">
                  <c:v>2.4170082845145333</c:v>
                </c:pt>
                <c:pt idx="3">
                  <c:v>1.1137487812315519</c:v>
                </c:pt>
                <c:pt idx="6">
                  <c:v>3.0894966303660074</c:v>
                </c:pt>
                <c:pt idx="33">
                  <c:v>2.9008414626583368</c:v>
                </c:pt>
                <c:pt idx="36">
                  <c:v>0.39294854903287829</c:v>
                </c:pt>
                <c:pt idx="39">
                  <c:v>1.402488357709015</c:v>
                </c:pt>
                <c:pt idx="66">
                  <c:v>4.2795615505116702</c:v>
                </c:pt>
                <c:pt idx="69">
                  <c:v>0.8500914983714204</c:v>
                </c:pt>
                <c:pt idx="72">
                  <c:v>6.5885105220150759</c:v>
                </c:pt>
                <c:pt idx="99">
                  <c:v>3.960847214108945</c:v>
                </c:pt>
                <c:pt idx="102">
                  <c:v>3.1364003860964398</c:v>
                </c:pt>
                <c:pt idx="105">
                  <c:v>4.0925930046373553</c:v>
                </c:pt>
                <c:pt idx="132">
                  <c:v>1.6534706375261772</c:v>
                </c:pt>
                <c:pt idx="135">
                  <c:v>0.45071943379429685</c:v>
                </c:pt>
                <c:pt idx="138">
                  <c:v>2.5441128957077459</c:v>
                </c:pt>
                <c:pt idx="165">
                  <c:v>1.8035744225178079</c:v>
                </c:pt>
                <c:pt idx="168">
                  <c:v>1.35327743460399</c:v>
                </c:pt>
                <c:pt idx="171">
                  <c:v>0.64569365597362038</c:v>
                </c:pt>
                <c:pt idx="206">
                  <c:v>0.56114700208057611</c:v>
                </c:pt>
                <c:pt idx="209">
                  <c:v>1.1601494038376259</c:v>
                </c:pt>
                <c:pt idx="212">
                  <c:v>1.197958524948558</c:v>
                </c:pt>
                <c:pt idx="218">
                  <c:v>0.93745836172886043</c:v>
                </c:pt>
                <c:pt idx="221">
                  <c:v>0.90141293263872158</c:v>
                </c:pt>
                <c:pt idx="224">
                  <c:v>1.6304236544913946</c:v>
                </c:pt>
                <c:pt idx="269">
                  <c:v>0.98336587554801524</c:v>
                </c:pt>
                <c:pt idx="272">
                  <c:v>1.4311160403727456</c:v>
                </c:pt>
                <c:pt idx="275">
                  <c:v>0.21784426847055491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B-4018-AA5E-8689F2E1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713736"/>
        <c:axId val="898715176"/>
      </c:scatterChart>
      <c:valAx>
        <c:axId val="898713736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5176"/>
        <c:crosses val="autoZero"/>
        <c:crossBetween val="midCat"/>
      </c:valAx>
      <c:valAx>
        <c:axId val="89871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Titer % of Mean</a:t>
                </a:r>
              </a:p>
            </c:rich>
          </c:tx>
          <c:layout>
            <c:manualLayout>
              <c:xMode val="edge"/>
              <c:yMode val="edge"/>
              <c:x val="1.5661108411864955E-2"/>
              <c:y val="0.318534977009889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/>
              <a:t>Average (Std</a:t>
            </a:r>
            <a:r>
              <a:rPr lang="en-US" sz="1800" baseline="0"/>
              <a:t> % of Mean)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Titer Results'!$I$1</c:f>
              <c:strCache>
                <c:ptCount val="1"/>
                <c:pt idx="0">
                  <c:v>STD % of 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Titer Results'!$E$2:$E$279</c:f>
              <c:numCache>
                <c:formatCode>General</c:formatCode>
                <c:ptCount val="2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</c:numCache>
            </c:numRef>
          </c:xVal>
          <c:yVal>
            <c:numRef>
              <c:f>'All Titer Results'!$K$2:$K$279</c:f>
              <c:numCache>
                <c:formatCode>General</c:formatCode>
                <c:ptCount val="278"/>
                <c:pt idx="4">
                  <c:v>2.2067512320373641</c:v>
                </c:pt>
                <c:pt idx="37">
                  <c:v>1.5654261231334099</c:v>
                </c:pt>
                <c:pt idx="70">
                  <c:v>3.9060545236327222</c:v>
                </c:pt>
                <c:pt idx="103">
                  <c:v>3.7299468682809134</c:v>
                </c:pt>
                <c:pt idx="136">
                  <c:v>1.54943432234274</c:v>
                </c:pt>
                <c:pt idx="169">
                  <c:v>1.2675151710318062</c:v>
                </c:pt>
                <c:pt idx="210">
                  <c:v>0.97308497695558671</c:v>
                </c:pt>
                <c:pt idx="222">
                  <c:v>1.1564316496196589</c:v>
                </c:pt>
                <c:pt idx="273">
                  <c:v>0.87744206146377202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0-401D-A84C-EE03B7BF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713736"/>
        <c:axId val="898715176"/>
      </c:scatterChart>
      <c:valAx>
        <c:axId val="89871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5176"/>
        <c:crosses val="autoZero"/>
        <c:crossBetween val="midCat"/>
      </c:valAx>
      <c:valAx>
        <c:axId val="898715176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Average titer % of Mean</a:t>
                </a:r>
              </a:p>
            </c:rich>
          </c:tx>
          <c:layout>
            <c:manualLayout>
              <c:xMode val="edge"/>
              <c:yMode val="edge"/>
              <c:x val="1.5661108411864955E-2"/>
              <c:y val="0.318534977009889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/>
              <a:t>Average (Standard Deviation)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Titer Results'!$L$1</c:f>
              <c:strCache>
                <c:ptCount val="1"/>
                <c:pt idx="0">
                  <c:v>Average Std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'All Titer Results'!$E$2:$E$279</c:f>
              <c:numCache>
                <c:formatCode>General</c:formatCode>
                <c:ptCount val="2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</c:numCache>
            </c:numRef>
          </c:xVal>
          <c:yVal>
            <c:numRef>
              <c:f>'All Titer Results'!$L$2:$L$279</c:f>
              <c:numCache>
                <c:formatCode>General</c:formatCode>
                <c:ptCount val="278"/>
                <c:pt idx="4" formatCode="0.00">
                  <c:v>10.884786720307259</c:v>
                </c:pt>
                <c:pt idx="37">
                  <c:v>15.368706053388282</c:v>
                </c:pt>
                <c:pt idx="70">
                  <c:v>56.739402732563669</c:v>
                </c:pt>
                <c:pt idx="103">
                  <c:v>66.884028877823127</c:v>
                </c:pt>
                <c:pt idx="136">
                  <c:v>55.79568837753046</c:v>
                </c:pt>
                <c:pt idx="169">
                  <c:v>51.891036898654846</c:v>
                </c:pt>
                <c:pt idx="210">
                  <c:v>47.98616078413022</c:v>
                </c:pt>
                <c:pt idx="222">
                  <c:v>63.073423910184125</c:v>
                </c:pt>
                <c:pt idx="273">
                  <c:v>55.120343842782411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4-4518-B414-7C2FF400A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713736"/>
        <c:axId val="898715176"/>
      </c:scatterChart>
      <c:valAx>
        <c:axId val="898713736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5176"/>
        <c:crosses val="autoZero"/>
        <c:crossBetween val="midCat"/>
      </c:valAx>
      <c:valAx>
        <c:axId val="89871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Titer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497205</xdr:colOff>
      <xdr:row>0</xdr:row>
      <xdr:rowOff>258126</xdr:rowOff>
    </xdr:from>
    <xdr:to>
      <xdr:col>17</xdr:col>
      <xdr:colOff>752057</xdr:colOff>
      <xdr:row>18</xdr:row>
      <xdr:rowOff>40004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8F449C-DF2C-F128-44E4-AAFA9166F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401954</xdr:colOff>
      <xdr:row>19</xdr:row>
      <xdr:rowOff>41909</xdr:rowOff>
    </xdr:from>
    <xdr:to>
      <xdr:col>17</xdr:col>
      <xdr:colOff>689609</xdr:colOff>
      <xdr:row>38</xdr:row>
      <xdr:rowOff>55244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9819B068-25F8-4553-B43C-3BC60D474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426720</xdr:colOff>
      <xdr:row>39</xdr:row>
      <xdr:rowOff>66675</xdr:rowOff>
    </xdr:from>
    <xdr:to>
      <xdr:col>17</xdr:col>
      <xdr:colOff>725805</xdr:colOff>
      <xdr:row>58</xdr:row>
      <xdr:rowOff>91440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53AD91F3-698C-4744-8ED0-7C89E6460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114300</xdr:colOff>
      <xdr:row>0</xdr:row>
      <xdr:rowOff>257175</xdr:rowOff>
    </xdr:from>
    <xdr:to>
      <xdr:col>23</xdr:col>
      <xdr:colOff>363437</xdr:colOff>
      <xdr:row>18</xdr:row>
      <xdr:rowOff>39053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FB04C-2A06-49D4-A126-52D63C694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u Luo" id="{BF1EA4D7-5DAA-4852-AAC5-0F7B8A17B792}" userId="S::yu.8.luo@gsk.com::5e93f0cf-7e56-492e-afc9-2cfd7b5fd26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 Luo" refreshedDate="45357.317128009257" createdVersion="8" refreshedVersion="8" minRefreshableVersion="3" recordCount="297" xr:uid="{822F0A82-49BB-4A01-9BD9-1B5440EE18C3}">
  <cacheSource type="worksheet">
    <worksheetSource ref="A1:K1048576" sheet="Difference Plot Data"/>
  </cacheSource>
  <cacheFields count="11">
    <cacheField name="Batch" numFmtId="0">
      <sharedItems containsBlank="1" count="25">
        <s v="AR24-005-001"/>
        <s v="AR24-005-002"/>
        <s v="AR24-005-003"/>
        <s v="AR24-005-004"/>
        <s v="AR24-005-005"/>
        <s v="AR24-005-006"/>
        <s v="AR24-005-007"/>
        <s v="AR24-005-008"/>
        <s v="AR24-005-009"/>
        <s v="AR24-005-010"/>
        <s v="AR24-005-011"/>
        <s v="AR24-005-012"/>
        <s v="AR24-005-013"/>
        <s v="AR24-005-014"/>
        <s v="AR24-005-015"/>
        <s v="AR24-005-016"/>
        <s v="AR24-005-017"/>
        <s v="AR24-005-018"/>
        <s v="AR24-005-019"/>
        <s v="AR24-005-020"/>
        <s v="AR24-005-021"/>
        <s v="AR24-005-022"/>
        <s v="AR24-005-023"/>
        <s v="AR24-005-024"/>
        <m/>
      </sharedItems>
    </cacheField>
    <cacheField name="Controller" numFmtId="0">
      <sharedItems containsBlank="1" count="4">
        <s v="Julia"/>
        <s v="Python"/>
        <s v="No MPC"/>
        <m/>
      </sharedItems>
    </cacheField>
    <cacheField name="iVCC" numFmtId="0">
      <sharedItems containsString="0" containsBlank="1" containsNumber="1" containsInteger="1" minValue="12" maxValue="18"/>
    </cacheField>
    <cacheField name="pH" numFmtId="0">
      <sharedItems containsString="0" containsBlank="1" containsNumber="1" minValue="7.1" maxValue="7.3"/>
    </cacheField>
    <cacheField name="Temp" numFmtId="0">
      <sharedItems containsString="0" containsBlank="1" containsNumber="1" minValue="32.999999999999993" maxValue="35"/>
    </cacheField>
    <cacheField name="Temp/pH" numFmtId="0">
      <sharedItems containsBlank="1"/>
    </cacheField>
    <cacheField name="Day" numFmtId="0">
      <sharedItems containsString="0" containsBlank="1" containsNumber="1" containsInteger="1" minValue="0" maxValue="12"/>
    </cacheField>
    <cacheField name="Measured" numFmtId="0">
      <sharedItems containsString="0" containsBlank="1" containsNumber="1" minValue="406.33850000000001" maxValue="7113.93"/>
    </cacheField>
    <cacheField name="Setpoint" numFmtId="0">
      <sharedItems containsString="0" containsBlank="1" containsNumber="1" minValue="146.51" maxValue="6120"/>
    </cacheField>
    <cacheField name="% Difference from Setpoint" numFmtId="0">
      <sharedItems containsString="0" containsBlank="1" containsNumber="1" minValue="-28.755318615907242" maxValue="21.61842182688347"/>
    </cacheField>
    <cacheField name="ABS" numFmtId="0">
      <sharedItems containsBlank="1" containsMixedTypes="1" containsNumber="1" minValue="3.2343722300386339E-2" maxValue="28.755318615907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x v="0"/>
    <x v="0"/>
    <n v="18"/>
    <n v="7.1"/>
    <n v="32.999999999999993"/>
    <s v="33, 7.1"/>
    <n v="0"/>
    <m/>
    <n v="146.51"/>
    <m/>
    <s v=""/>
  </r>
  <r>
    <x v="1"/>
    <x v="0"/>
    <n v="12"/>
    <n v="7.3"/>
    <n v="35"/>
    <s v="35, 7.3"/>
    <n v="0"/>
    <m/>
    <n v="146.51"/>
    <m/>
    <s v=""/>
  </r>
  <r>
    <x v="2"/>
    <x v="1"/>
    <n v="12"/>
    <n v="7.2"/>
    <n v="34"/>
    <s v="34, 7.2"/>
    <n v="0"/>
    <m/>
    <n v="146.51"/>
    <m/>
    <s v=""/>
  </r>
  <r>
    <x v="3"/>
    <x v="2"/>
    <n v="18"/>
    <n v="7.3"/>
    <n v="35"/>
    <s v="35, 7.3"/>
    <n v="0"/>
    <m/>
    <n v="146.51"/>
    <m/>
    <s v=""/>
  </r>
  <r>
    <x v="4"/>
    <x v="1"/>
    <n v="18"/>
    <n v="7.3"/>
    <n v="35"/>
    <s v="35, 7.3"/>
    <n v="0"/>
    <m/>
    <n v="146.51"/>
    <m/>
    <s v=""/>
  </r>
  <r>
    <x v="5"/>
    <x v="1"/>
    <n v="12"/>
    <n v="7.3"/>
    <n v="35"/>
    <s v="35, 7.3"/>
    <n v="0"/>
    <m/>
    <n v="146.51"/>
    <m/>
    <s v=""/>
  </r>
  <r>
    <x v="6"/>
    <x v="0"/>
    <n v="18"/>
    <n v="7.3"/>
    <n v="35"/>
    <s v="35, 7.3"/>
    <n v="0"/>
    <m/>
    <n v="146.51"/>
    <m/>
    <s v=""/>
  </r>
  <r>
    <x v="7"/>
    <x v="2"/>
    <n v="15"/>
    <n v="7.2"/>
    <n v="34"/>
    <s v="34, 7.2"/>
    <n v="0"/>
    <m/>
    <n v="146.51"/>
    <m/>
    <s v=""/>
  </r>
  <r>
    <x v="8"/>
    <x v="1"/>
    <n v="18"/>
    <n v="7.1"/>
    <n v="32.999999999999993"/>
    <s v="33, 7.1"/>
    <n v="0"/>
    <m/>
    <n v="146.51"/>
    <m/>
    <s v=""/>
  </r>
  <r>
    <x v="9"/>
    <x v="0"/>
    <n v="18"/>
    <n v="7.2"/>
    <n v="34"/>
    <s v="34, 7.2"/>
    <n v="0"/>
    <m/>
    <n v="146.51"/>
    <m/>
    <s v=""/>
  </r>
  <r>
    <x v="10"/>
    <x v="2"/>
    <n v="18"/>
    <n v="7.1"/>
    <n v="32.999999999999993"/>
    <s v="33, 7.1"/>
    <n v="0"/>
    <m/>
    <n v="146.51"/>
    <m/>
    <s v=""/>
  </r>
  <r>
    <x v="11"/>
    <x v="0"/>
    <n v="15"/>
    <n v="7.1"/>
    <n v="32.999999999999993"/>
    <s v="33, 7.1"/>
    <n v="0"/>
    <m/>
    <n v="146.51"/>
    <m/>
    <s v=""/>
  </r>
  <r>
    <x v="12"/>
    <x v="1"/>
    <n v="15"/>
    <n v="7.1"/>
    <n v="32.999999999999993"/>
    <s v="33, 7.1"/>
    <n v="0"/>
    <m/>
    <n v="146.51"/>
    <m/>
    <s v=""/>
  </r>
  <r>
    <x v="13"/>
    <x v="0"/>
    <n v="15"/>
    <n v="7.3"/>
    <n v="35"/>
    <s v="35, 7.3"/>
    <n v="0"/>
    <m/>
    <n v="146.51"/>
    <m/>
    <s v=""/>
  </r>
  <r>
    <x v="14"/>
    <x v="1"/>
    <n v="18"/>
    <n v="7.2"/>
    <n v="34"/>
    <s v="34, 7.2"/>
    <n v="0"/>
    <m/>
    <n v="146.51"/>
    <m/>
    <s v=""/>
  </r>
  <r>
    <x v="15"/>
    <x v="2"/>
    <n v="12"/>
    <n v="7.1"/>
    <n v="32.999999999999993"/>
    <s v="33, 7.1"/>
    <n v="0"/>
    <m/>
    <n v="146.51"/>
    <m/>
    <s v=""/>
  </r>
  <r>
    <x v="16"/>
    <x v="0"/>
    <n v="12"/>
    <n v="7.1"/>
    <n v="32.999999999999993"/>
    <s v="33, 7.1"/>
    <n v="0"/>
    <m/>
    <n v="146.51"/>
    <m/>
    <s v=""/>
  </r>
  <r>
    <x v="17"/>
    <x v="1"/>
    <n v="15"/>
    <n v="7.3"/>
    <n v="35"/>
    <s v="35, 7.3"/>
    <n v="0"/>
    <m/>
    <n v="146.51"/>
    <m/>
    <s v=""/>
  </r>
  <r>
    <x v="18"/>
    <x v="0"/>
    <n v="12"/>
    <n v="7.2"/>
    <n v="34"/>
    <s v="34, 7.2"/>
    <n v="0"/>
    <m/>
    <n v="146.51"/>
    <m/>
    <s v=""/>
  </r>
  <r>
    <x v="19"/>
    <x v="1"/>
    <n v="12"/>
    <n v="7.1"/>
    <n v="32.999999999999993"/>
    <s v="33, 7.1"/>
    <n v="0"/>
    <m/>
    <n v="146.51"/>
    <m/>
    <s v=""/>
  </r>
  <r>
    <x v="20"/>
    <x v="2"/>
    <n v="12"/>
    <n v="7.3"/>
    <n v="35"/>
    <s v="35, 7.3"/>
    <n v="0"/>
    <m/>
    <n v="146.51"/>
    <m/>
    <s v=""/>
  </r>
  <r>
    <x v="21"/>
    <x v="2"/>
    <n v="15"/>
    <n v="7.2"/>
    <n v="34"/>
    <s v="34, 7.2"/>
    <n v="0"/>
    <m/>
    <n v="146.51"/>
    <m/>
    <s v=""/>
  </r>
  <r>
    <x v="22"/>
    <x v="2"/>
    <n v="15"/>
    <n v="7.2"/>
    <n v="34"/>
    <s v="34, 7.2"/>
    <n v="0"/>
    <m/>
    <n v="146.51"/>
    <m/>
    <s v=""/>
  </r>
  <r>
    <x v="23"/>
    <x v="2"/>
    <n v="15"/>
    <n v="7.2"/>
    <n v="34"/>
    <s v="34, 7.2"/>
    <n v="0"/>
    <m/>
    <n v="146.51"/>
    <m/>
    <s v=""/>
  </r>
  <r>
    <x v="0"/>
    <x v="0"/>
    <n v="18"/>
    <n v="7.1"/>
    <n v="32.999999999999993"/>
    <s v="33, 7.1"/>
    <n v="1"/>
    <n v="615.07679999999993"/>
    <n v="509.83"/>
    <n v="20.643508620520556"/>
    <n v="20.643508620520556"/>
  </r>
  <r>
    <x v="1"/>
    <x v="0"/>
    <n v="12"/>
    <n v="7.3"/>
    <n v="35"/>
    <s v="35, 7.3"/>
    <n v="1"/>
    <n v="421.26396666666665"/>
    <n v="509.83"/>
    <n v="-17.371679448705127"/>
    <n v="17.371679448705127"/>
  </r>
  <r>
    <x v="2"/>
    <x v="1"/>
    <n v="12"/>
    <n v="7.2"/>
    <n v="34"/>
    <s v="34, 7.2"/>
    <n v="1"/>
    <n v="423.89043333333331"/>
    <n v="509.83"/>
    <n v="-16.856514262924247"/>
    <n v="16.856514262924247"/>
  </r>
  <r>
    <x v="3"/>
    <x v="2"/>
    <n v="18"/>
    <n v="7.3"/>
    <n v="35"/>
    <s v="35, 7.3"/>
    <n v="1"/>
    <n v="609.57479999999998"/>
    <n v="509.83"/>
    <n v="19.564325363356414"/>
    <n v="19.564325363356414"/>
  </r>
  <r>
    <x v="4"/>
    <x v="1"/>
    <n v="18"/>
    <n v="7.3"/>
    <n v="35"/>
    <s v="35, 7.3"/>
    <n v="1"/>
    <n v="606.81020000000001"/>
    <n v="509.83"/>
    <n v="19.02206617892239"/>
    <n v="19.02206617892239"/>
  </r>
  <r>
    <x v="5"/>
    <x v="1"/>
    <n v="12"/>
    <n v="7.3"/>
    <n v="35"/>
    <s v="35, 7.3"/>
    <n v="1"/>
    <n v="419.69819999999999"/>
    <n v="509.83"/>
    <n v="-17.678794892415119"/>
    <n v="17.678794892415119"/>
  </r>
  <r>
    <x v="6"/>
    <x v="0"/>
    <n v="18"/>
    <n v="7.3"/>
    <n v="35"/>
    <s v="35, 7.3"/>
    <n v="1"/>
    <n v="620.04719999999998"/>
    <n v="509.83"/>
    <n v="21.61842182688347"/>
    <n v="21.61842182688347"/>
  </r>
  <r>
    <x v="7"/>
    <x v="2"/>
    <n v="15"/>
    <n v="7.2"/>
    <n v="34"/>
    <s v="34, 7.2"/>
    <n v="1"/>
    <n v="520.03769999999997"/>
    <n v="509.83"/>
    <n v="2.0021771963203401"/>
    <n v="2.0021771963203401"/>
  </r>
  <r>
    <x v="8"/>
    <x v="1"/>
    <n v="18"/>
    <n v="7.1"/>
    <n v="32.999999999999993"/>
    <s v="33, 7.1"/>
    <n v="1"/>
    <n v="609.16030000000001"/>
    <n v="509.83"/>
    <n v="19.483023753015715"/>
    <n v="19.483023753015715"/>
  </r>
  <r>
    <x v="9"/>
    <x v="0"/>
    <n v="18"/>
    <n v="7.2"/>
    <n v="34"/>
    <s v="34, 7.2"/>
    <n v="1"/>
    <n v="603.48019999999997"/>
    <n v="509.83"/>
    <n v="18.368907282819762"/>
    <n v="18.368907282819762"/>
  </r>
  <r>
    <x v="10"/>
    <x v="2"/>
    <n v="18"/>
    <n v="7.1"/>
    <n v="32.999999999999993"/>
    <s v="33, 7.1"/>
    <n v="1"/>
    <n v="597.38480000000004"/>
    <n v="509.83"/>
    <n v="17.173332287233009"/>
    <n v="17.173332287233009"/>
  </r>
  <r>
    <x v="11"/>
    <x v="0"/>
    <n v="15"/>
    <n v="7.1"/>
    <n v="32.999999999999993"/>
    <s v="33, 7.1"/>
    <n v="1"/>
    <n v="510.31060000000002"/>
    <n v="509.83"/>
    <n v="9.4266716356440017E-2"/>
    <n v="9.4266716356440017E-2"/>
  </r>
  <r>
    <x v="12"/>
    <x v="1"/>
    <n v="15"/>
    <n v="7.1"/>
    <n v="32.999999999999993"/>
    <s v="33, 7.1"/>
    <n v="1"/>
    <n v="507.12779999999998"/>
    <n v="509.83"/>
    <n v="-0.53001981052507796"/>
    <n v="0.53001981052507796"/>
  </r>
  <r>
    <x v="13"/>
    <x v="0"/>
    <n v="15"/>
    <n v="7.3"/>
    <n v="35"/>
    <s v="35, 7.3"/>
    <n v="1"/>
    <n v="529.27189999999996"/>
    <n v="509.83"/>
    <n v="3.8134083910323002"/>
    <n v="3.8134083910323002"/>
  </r>
  <r>
    <x v="14"/>
    <x v="1"/>
    <n v="18"/>
    <n v="7.2"/>
    <n v="34"/>
    <s v="34, 7.2"/>
    <n v="1"/>
    <n v="589.55160000000001"/>
    <n v="509.83"/>
    <n v="15.636898574034488"/>
    <n v="15.636898574034488"/>
  </r>
  <r>
    <x v="15"/>
    <x v="2"/>
    <n v="12"/>
    <n v="7.1"/>
    <n v="32.999999999999993"/>
    <s v="33, 7.1"/>
    <n v="1"/>
    <n v="422.70150000000001"/>
    <n v="509.83"/>
    <n v="-17.0897161799031"/>
    <n v="17.0897161799031"/>
  </r>
  <r>
    <x v="16"/>
    <x v="0"/>
    <n v="12"/>
    <n v="7.1"/>
    <n v="32.999999999999993"/>
    <s v="33, 7.1"/>
    <n v="1"/>
    <n v="406.33850000000001"/>
    <n v="509.83"/>
    <n v="-20.29921738618755"/>
    <n v="20.29921738618755"/>
  </r>
  <r>
    <x v="17"/>
    <x v="1"/>
    <n v="15"/>
    <n v="7.3"/>
    <n v="35"/>
    <s v="35, 7.3"/>
    <n v="1"/>
    <n v="520.61329999999998"/>
    <n v="509.83"/>
    <n v="2.1150775748778998"/>
    <n v="2.1150775748778998"/>
  </r>
  <r>
    <x v="18"/>
    <x v="0"/>
    <n v="12"/>
    <n v="7.2"/>
    <n v="34"/>
    <s v="34, 7.2"/>
    <n v="1"/>
    <n v="423.25850000000003"/>
    <n v="509.83"/>
    <n v="-16.980464076260706"/>
    <n v="16.980464076260706"/>
  </r>
  <r>
    <x v="19"/>
    <x v="1"/>
    <n v="12"/>
    <n v="7.1"/>
    <n v="32.999999999999993"/>
    <s v="33, 7.1"/>
    <n v="1"/>
    <n v="412.70909999999998"/>
    <n v="509.83"/>
    <n v="-19.049663613361318"/>
    <n v="19.049663613361318"/>
  </r>
  <r>
    <x v="20"/>
    <x v="2"/>
    <n v="12"/>
    <n v="7.3"/>
    <n v="35"/>
    <s v="35, 7.3"/>
    <n v="1"/>
    <n v="439.78859999999997"/>
    <n v="509.83"/>
    <n v="-13.738187238883553"/>
    <n v="13.738187238883553"/>
  </r>
  <r>
    <x v="21"/>
    <x v="2"/>
    <n v="15"/>
    <n v="7.2"/>
    <n v="34"/>
    <s v="34, 7.2"/>
    <n v="1"/>
    <n v="513.25040000000001"/>
    <n v="509.83"/>
    <n v="0.67089029676559431"/>
    <n v="0.67089029676559431"/>
  </r>
  <r>
    <x v="22"/>
    <x v="2"/>
    <n v="15"/>
    <n v="7.2"/>
    <n v="34"/>
    <s v="34, 7.2"/>
    <n v="1"/>
    <n v="515.30010000000004"/>
    <n v="509.83"/>
    <n v="1.072926269540839"/>
    <n v="1.072926269540839"/>
  </r>
  <r>
    <x v="23"/>
    <x v="2"/>
    <n v="15"/>
    <n v="7.2"/>
    <n v="34"/>
    <s v="34, 7.2"/>
    <n v="1"/>
    <n v="513.92849999999999"/>
    <n v="509.83"/>
    <n v="0.80389541611909887"/>
    <n v="0.80389541611909887"/>
  </r>
  <r>
    <x v="0"/>
    <x v="0"/>
    <n v="18"/>
    <n v="7.1"/>
    <n v="32.999999999999993"/>
    <s v="33, 7.1"/>
    <n v="2"/>
    <n v="1024.7850000000001"/>
    <n v="997.91"/>
    <n v="2.6931286388552187"/>
    <n v="2.6931286388552187"/>
  </r>
  <r>
    <x v="1"/>
    <x v="0"/>
    <n v="12"/>
    <n v="7.3"/>
    <n v="35"/>
    <s v="35, 7.3"/>
    <n v="2"/>
    <n v="782.49189999999999"/>
    <n v="997.91"/>
    <n v="-21.586926676754416"/>
    <n v="21.586926676754416"/>
  </r>
  <r>
    <x v="2"/>
    <x v="1"/>
    <n v="12"/>
    <n v="7.2"/>
    <n v="34"/>
    <s v="34, 7.2"/>
    <n v="2"/>
    <n v="787.00490000000002"/>
    <n v="997.91"/>
    <n v="-21.134681484302188"/>
    <n v="21.134681484302188"/>
  </r>
  <r>
    <x v="3"/>
    <x v="2"/>
    <n v="18"/>
    <n v="7.3"/>
    <n v="35"/>
    <s v="35, 7.3"/>
    <n v="2"/>
    <n v="1078.6896666666669"/>
    <n v="997.91"/>
    <n v="8.0948849762670889"/>
    <n v="8.0948849762670889"/>
  </r>
  <r>
    <x v="4"/>
    <x v="1"/>
    <n v="18"/>
    <n v="7.3"/>
    <n v="35"/>
    <s v="35, 7.3"/>
    <n v="2"/>
    <n v="1075.1393333333333"/>
    <n v="997.91"/>
    <n v="7.7391080691979566"/>
    <n v="7.7391080691979566"/>
  </r>
  <r>
    <x v="5"/>
    <x v="1"/>
    <n v="12"/>
    <n v="7.3"/>
    <n v="35"/>
    <s v="35, 7.3"/>
    <n v="2"/>
    <n v="755.10763333333341"/>
    <n v="997.91"/>
    <n v="-24.331088641928286"/>
    <n v="24.331088641928286"/>
  </r>
  <r>
    <x v="6"/>
    <x v="0"/>
    <n v="18"/>
    <n v="7.3"/>
    <n v="35"/>
    <s v="35, 7.3"/>
    <n v="2"/>
    <n v="1013.149"/>
    <n v="997.91"/>
    <n v="1.5270916214889152"/>
    <n v="1.5270916214889152"/>
  </r>
  <r>
    <x v="7"/>
    <x v="2"/>
    <n v="15"/>
    <n v="7.2"/>
    <n v="34"/>
    <s v="34, 7.2"/>
    <n v="2"/>
    <n v="964.61969999999997"/>
    <n v="997.91"/>
    <n v="-3.3360022446914055"/>
    <n v="3.3360022446914055"/>
  </r>
  <r>
    <x v="8"/>
    <x v="1"/>
    <n v="18"/>
    <n v="7.1"/>
    <n v="32.999999999999993"/>
    <s v="33, 7.1"/>
    <n v="2"/>
    <n v="1075.037"/>
    <n v="997.91"/>
    <n v="7.7288533034041214"/>
    <n v="7.7288533034041214"/>
  </r>
  <r>
    <x v="9"/>
    <x v="0"/>
    <n v="18"/>
    <n v="7.2"/>
    <n v="34"/>
    <s v="34, 7.2"/>
    <n v="2"/>
    <n v="887.16219999999998"/>
    <n v="997.91"/>
    <n v="-11.09797476726358"/>
    <n v="11.09797476726358"/>
  </r>
  <r>
    <x v="10"/>
    <x v="2"/>
    <n v="18"/>
    <n v="7.1"/>
    <n v="32.999999999999993"/>
    <s v="33, 7.1"/>
    <n v="2"/>
    <n v="1044.318"/>
    <n v="997.91"/>
    <n v="4.6505195859346049"/>
    <n v="4.6505195859346049"/>
  </r>
  <r>
    <x v="11"/>
    <x v="0"/>
    <n v="15"/>
    <n v="7.1"/>
    <n v="32.999999999999993"/>
    <s v="33, 7.1"/>
    <n v="2"/>
    <n v="906.48569999999995"/>
    <n v="997.91"/>
    <n v="-9.1615776973875427"/>
    <n v="9.1615776973875427"/>
  </r>
  <r>
    <x v="12"/>
    <x v="1"/>
    <n v="15"/>
    <n v="7.1"/>
    <n v="32.999999999999993"/>
    <s v="33, 7.1"/>
    <n v="2"/>
    <n v="952.45950000000005"/>
    <n v="997.91"/>
    <n v="-4.5545690493130566"/>
    <n v="4.5545690493130566"/>
  </r>
  <r>
    <x v="13"/>
    <x v="0"/>
    <n v="15"/>
    <n v="7.3"/>
    <n v="35"/>
    <s v="35, 7.3"/>
    <n v="2"/>
    <n v="775.64110000000005"/>
    <n v="997.91"/>
    <n v="-22.273441492719776"/>
    <n v="22.273441492719776"/>
  </r>
  <r>
    <x v="14"/>
    <x v="1"/>
    <n v="18"/>
    <n v="7.2"/>
    <n v="34"/>
    <s v="34, 7.2"/>
    <n v="2"/>
    <n v="1096.682"/>
    <n v="997.91"/>
    <n v="9.8978865829583871"/>
    <n v="9.8978865829583871"/>
  </r>
  <r>
    <x v="15"/>
    <x v="2"/>
    <n v="12"/>
    <n v="7.1"/>
    <n v="32.999999999999993"/>
    <s v="33, 7.1"/>
    <n v="2"/>
    <n v="795.92439999999999"/>
    <n v="997.91"/>
    <n v="-20.240863404515437"/>
    <n v="20.240863404515437"/>
  </r>
  <r>
    <x v="16"/>
    <x v="0"/>
    <n v="12"/>
    <n v="7.1"/>
    <n v="32.999999999999993"/>
    <s v="33, 7.1"/>
    <n v="2"/>
    <n v="763.04660000000001"/>
    <n v="997.91"/>
    <n v="-23.535529256145342"/>
    <n v="23.535529256145342"/>
  </r>
  <r>
    <x v="17"/>
    <x v="1"/>
    <n v="15"/>
    <n v="7.3"/>
    <n v="35"/>
    <s v="35, 7.3"/>
    <n v="2"/>
    <n v="933.90369999999996"/>
    <n v="997.91"/>
    <n v="-6.4140353338477434"/>
    <n v="6.4140353338477434"/>
  </r>
  <r>
    <x v="18"/>
    <x v="0"/>
    <n v="12"/>
    <n v="7.2"/>
    <n v="34"/>
    <s v="34, 7.2"/>
    <n v="2"/>
    <n v="710.95780000000002"/>
    <n v="997.91"/>
    <n v="-28.755318615907242"/>
    <n v="28.755318615907242"/>
  </r>
  <r>
    <x v="19"/>
    <x v="1"/>
    <n v="12"/>
    <n v="7.1"/>
    <n v="32.999999999999993"/>
    <s v="33, 7.1"/>
    <n v="2"/>
    <n v="760.81700000000001"/>
    <n v="997.91"/>
    <n v="-23.758956218496653"/>
    <n v="23.758956218496653"/>
  </r>
  <r>
    <x v="20"/>
    <x v="2"/>
    <n v="12"/>
    <n v="7.3"/>
    <n v="35"/>
    <s v="35, 7.3"/>
    <n v="2"/>
    <n v="788.78700000000003"/>
    <n v="997.91"/>
    <n v="-20.95609824533274"/>
    <n v="20.95609824533274"/>
  </r>
  <r>
    <x v="21"/>
    <x v="2"/>
    <n v="15"/>
    <n v="7.2"/>
    <n v="34"/>
    <s v="34, 7.2"/>
    <n v="2"/>
    <n v="934.42179999999996"/>
    <n v="997.91"/>
    <n v="-6.3621168241625004"/>
    <n v="6.3621168241625004"/>
  </r>
  <r>
    <x v="22"/>
    <x v="2"/>
    <n v="15"/>
    <n v="7.2"/>
    <n v="34"/>
    <s v="34, 7.2"/>
    <n v="2"/>
    <n v="946.42039999999997"/>
    <n v="997.91"/>
    <n v="-5.1597438646771749"/>
    <n v="5.1597438646771749"/>
  </r>
  <r>
    <x v="23"/>
    <x v="2"/>
    <n v="15"/>
    <n v="7.2"/>
    <n v="34"/>
    <s v="34, 7.2"/>
    <n v="2"/>
    <n v="926.63509999999997"/>
    <n v="997.91"/>
    <n v="-7.14241765289455"/>
    <n v="7.14241765289455"/>
  </r>
  <r>
    <x v="0"/>
    <x v="0"/>
    <n v="18"/>
    <n v="7.1"/>
    <n v="32.999999999999993"/>
    <s v="33, 7.1"/>
    <n v="3"/>
    <n v="1379.32"/>
    <n v="1505.08"/>
    <n v="-8.3557020224838556"/>
    <n v="8.3557020224838556"/>
  </r>
  <r>
    <x v="1"/>
    <x v="0"/>
    <n v="12"/>
    <n v="7.3"/>
    <n v="35"/>
    <s v="35, 7.3"/>
    <n v="3"/>
    <n v="1134.1420000000001"/>
    <n v="1505.08"/>
    <n v="-24.645733117176491"/>
    <n v="24.645733117176491"/>
  </r>
  <r>
    <x v="2"/>
    <x v="1"/>
    <n v="12"/>
    <n v="7.2"/>
    <n v="34"/>
    <s v="34, 7.2"/>
    <n v="3"/>
    <n v="1305.461"/>
    <n v="1505.08"/>
    <n v="-13.26301591941956"/>
    <n v="13.26301591941956"/>
  </r>
  <r>
    <x v="3"/>
    <x v="2"/>
    <n v="18"/>
    <n v="7.3"/>
    <n v="35"/>
    <s v="35, 7.3"/>
    <n v="3"/>
    <n v="1776.4649999999999"/>
    <n v="1505.08"/>
    <n v="18.031267440933373"/>
    <n v="18.031267440933373"/>
  </r>
  <r>
    <x v="4"/>
    <x v="1"/>
    <n v="18"/>
    <n v="7.3"/>
    <n v="35"/>
    <s v="35, 7.3"/>
    <n v="3"/>
    <n v="1728.075"/>
    <n v="1505.08"/>
    <n v="14.816155951843099"/>
    <n v="14.816155951843099"/>
  </r>
  <r>
    <x v="5"/>
    <x v="1"/>
    <n v="12"/>
    <n v="7.3"/>
    <n v="35"/>
    <s v="35, 7.3"/>
    <n v="3"/>
    <n v="1238.914"/>
    <n v="1505.08"/>
    <n v="-17.684508464666326"/>
    <n v="17.684508464666326"/>
  </r>
  <r>
    <x v="6"/>
    <x v="0"/>
    <n v="18"/>
    <n v="7.3"/>
    <n v="35"/>
    <s v="35, 7.3"/>
    <n v="3"/>
    <n v="1304.9646666666667"/>
    <n v="1505.08"/>
    <n v="-13.295993125503839"/>
    <n v="13.295993125503839"/>
  </r>
  <r>
    <x v="7"/>
    <x v="2"/>
    <n v="15"/>
    <n v="7.2"/>
    <n v="34"/>
    <s v="34, 7.2"/>
    <n v="3"/>
    <n v="1476.8010000000002"/>
    <n v="1505.08"/>
    <n v="-1.8789034469928356"/>
    <n v="1.8789034469928356"/>
  </r>
  <r>
    <x v="8"/>
    <x v="1"/>
    <n v="18"/>
    <n v="7.1"/>
    <n v="32.999999999999993"/>
    <s v="33, 7.1"/>
    <n v="3"/>
    <n v="1545.3763333333336"/>
    <n v="1505.08"/>
    <n v="2.6773549135815822"/>
    <n v="2.6773549135815822"/>
  </r>
  <r>
    <x v="9"/>
    <x v="0"/>
    <n v="18"/>
    <n v="7.2"/>
    <n v="34"/>
    <s v="34, 7.2"/>
    <n v="3"/>
    <n v="1230.4880000000001"/>
    <n v="1505.08"/>
    <n v="-18.244345815504815"/>
    <n v="18.244345815504815"/>
  </r>
  <r>
    <x v="10"/>
    <x v="2"/>
    <n v="18"/>
    <n v="7.1"/>
    <n v="32.999999999999993"/>
    <s v="33, 7.1"/>
    <n v="3"/>
    <n v="1818.135"/>
    <n v="1505.08"/>
    <n v="20.799891035692461"/>
    <n v="20.799891035692461"/>
  </r>
  <r>
    <x v="11"/>
    <x v="0"/>
    <n v="15"/>
    <n v="7.1"/>
    <n v="32.999999999999993"/>
    <s v="33, 7.1"/>
    <n v="3"/>
    <n v="1171.662"/>
    <n v="1505.08"/>
    <n v="-22.152842373827298"/>
    <n v="22.152842373827298"/>
  </r>
  <r>
    <x v="12"/>
    <x v="1"/>
    <n v="15"/>
    <n v="7.1"/>
    <n v="32.999999999999993"/>
    <s v="33, 7.1"/>
    <n v="3"/>
    <n v="1535.1"/>
    <n v="1505.08"/>
    <n v="1.99457836128312"/>
    <n v="1.99457836128312"/>
  </r>
  <r>
    <x v="13"/>
    <x v="0"/>
    <n v="15"/>
    <n v="7.3"/>
    <n v="35"/>
    <s v="35, 7.3"/>
    <n v="3"/>
    <n v="1182.278"/>
    <n v="1505.08"/>
    <n v="-21.447497807425513"/>
    <n v="21.447497807425513"/>
  </r>
  <r>
    <x v="14"/>
    <x v="1"/>
    <n v="18"/>
    <n v="7.2"/>
    <n v="34"/>
    <s v="34, 7.2"/>
    <n v="3"/>
    <n v="1711.11"/>
    <n v="1505.08"/>
    <n v="13.688973343609641"/>
    <n v="13.688973343609641"/>
  </r>
  <r>
    <x v="15"/>
    <x v="2"/>
    <n v="12"/>
    <n v="7.1"/>
    <n v="32.999999999999993"/>
    <s v="33, 7.1"/>
    <n v="3"/>
    <n v="1184.9459999999999"/>
    <n v="1505.08"/>
    <n v="-21.270231482711885"/>
    <n v="21.270231482711885"/>
  </r>
  <r>
    <x v="16"/>
    <x v="0"/>
    <n v="12"/>
    <n v="7.1"/>
    <n v="32.999999999999993"/>
    <s v="33, 7.1"/>
    <n v="3"/>
    <n v="1113.8920000000001"/>
    <n v="1505.08"/>
    <n v="-25.991176548754876"/>
    <n v="25.991176548754876"/>
  </r>
  <r>
    <x v="17"/>
    <x v="1"/>
    <n v="15"/>
    <n v="7.3"/>
    <n v="35"/>
    <s v="35, 7.3"/>
    <n v="3"/>
    <n v="1496.0509999999999"/>
    <n v="1505.08"/>
    <n v="-0.59990166635660547"/>
    <n v="0.59990166635660547"/>
  </r>
  <r>
    <x v="18"/>
    <x v="0"/>
    <n v="12"/>
    <n v="7.2"/>
    <n v="34"/>
    <s v="34, 7.2"/>
    <n v="3"/>
    <n v="1127.2059999999999"/>
    <n v="1505.08"/>
    <n v="-25.106572408111198"/>
    <n v="25.106572408111198"/>
  </r>
  <r>
    <x v="19"/>
    <x v="1"/>
    <n v="12"/>
    <n v="7.1"/>
    <n v="32.999999999999993"/>
    <s v="33, 7.1"/>
    <n v="3"/>
    <n v="1274.4849999999999"/>
    <n v="1505.08"/>
    <n v="-15.321112499003378"/>
    <n v="15.321112499003378"/>
  </r>
  <r>
    <x v="20"/>
    <x v="2"/>
    <n v="12"/>
    <n v="7.3"/>
    <n v="35"/>
    <s v="35, 7.3"/>
    <n v="3"/>
    <n v="1388.5509999999999"/>
    <n v="1505.08"/>
    <n v="-7.7423791426369366"/>
    <n v="7.7423791426369366"/>
  </r>
  <r>
    <x v="21"/>
    <x v="2"/>
    <n v="15"/>
    <n v="7.2"/>
    <n v="34"/>
    <s v="34, 7.2"/>
    <n v="3"/>
    <n v="1485.4960000000001"/>
    <n v="1505.08"/>
    <n v="-1.3011932920509097"/>
    <n v="1.3011932920509097"/>
  </r>
  <r>
    <x v="22"/>
    <x v="2"/>
    <n v="15"/>
    <n v="7.2"/>
    <n v="34"/>
    <s v="34, 7.2"/>
    <n v="3"/>
    <n v="1513.11"/>
    <n v="1505.08"/>
    <n v="0.53352645706540336"/>
    <n v="0.53352645706540336"/>
  </r>
  <r>
    <x v="23"/>
    <x v="2"/>
    <n v="15"/>
    <n v="7.2"/>
    <n v="34"/>
    <s v="34, 7.2"/>
    <n v="3"/>
    <n v="1478.4749999999999"/>
    <n v="1505.08"/>
    <n v="-1.7676801233157053"/>
    <n v="1.7676801233157053"/>
  </r>
  <r>
    <x v="0"/>
    <x v="0"/>
    <n v="18"/>
    <n v="7.1"/>
    <n v="32.999999999999993"/>
    <s v="33, 7.1"/>
    <n v="4"/>
    <n v="1903.9349999999999"/>
    <n v="2119.61"/>
    <n v="-10.175220913281224"/>
    <n v="10.175220913281224"/>
  </r>
  <r>
    <x v="1"/>
    <x v="0"/>
    <n v="12"/>
    <n v="7.3"/>
    <n v="35"/>
    <s v="35, 7.3"/>
    <n v="4"/>
    <n v="1766.7449999999999"/>
    <n v="2119.61"/>
    <n v="-16.647638008878999"/>
    <n v="16.647638008878999"/>
  </r>
  <r>
    <x v="2"/>
    <x v="1"/>
    <n v="12"/>
    <n v="7.2"/>
    <n v="34"/>
    <s v="34, 7.2"/>
    <n v="4"/>
    <n v="1858.6949999999999"/>
    <n v="2119.61"/>
    <n v="-12.309575818192977"/>
    <n v="12.309575818192977"/>
  </r>
  <r>
    <x v="3"/>
    <x v="2"/>
    <n v="18"/>
    <n v="7.3"/>
    <n v="35"/>
    <s v="35, 7.3"/>
    <n v="4"/>
    <n v="2381.2950000000001"/>
    <n v="2119.61"/>
    <n v="12.345903255787617"/>
    <n v="12.345903255787617"/>
  </r>
  <r>
    <x v="4"/>
    <x v="1"/>
    <n v="18"/>
    <n v="7.3"/>
    <n v="35"/>
    <s v="35, 7.3"/>
    <n v="4"/>
    <n v="2238.9299999999998"/>
    <n v="2119.61"/>
    <n v="5.6293374724595422"/>
    <n v="5.6293374724595422"/>
  </r>
  <r>
    <x v="5"/>
    <x v="1"/>
    <n v="12"/>
    <n v="7.3"/>
    <n v="35"/>
    <s v="35, 7.3"/>
    <n v="4"/>
    <n v="1936.47"/>
    <n v="2119.61"/>
    <n v="-8.6402687286812245"/>
    <n v="8.6402687286812245"/>
  </r>
  <r>
    <x v="6"/>
    <x v="0"/>
    <n v="18"/>
    <n v="7.3"/>
    <n v="35"/>
    <s v="35, 7.3"/>
    <n v="4"/>
    <n v="2102.79"/>
    <n v="2119.61"/>
    <n v="-0.79354220823642851"/>
    <n v="0.79354220823642851"/>
  </r>
  <r>
    <x v="7"/>
    <x v="2"/>
    <n v="15"/>
    <n v="7.2"/>
    <n v="34"/>
    <s v="34, 7.2"/>
    <n v="4"/>
    <n v="2073.375"/>
    <n v="2119.61"/>
    <n v="-2.1812975028425101"/>
    <n v="2.1812975028425101"/>
  </r>
  <r>
    <x v="8"/>
    <x v="1"/>
    <n v="18"/>
    <n v="7.1"/>
    <n v="32.999999999999993"/>
    <s v="33, 7.1"/>
    <n v="4"/>
    <n v="2108.64"/>
    <n v="2119.61"/>
    <n v="-0.51754803949784411"/>
    <n v="0.51754803949784411"/>
  </r>
  <r>
    <x v="9"/>
    <x v="0"/>
    <n v="18"/>
    <n v="7.2"/>
    <n v="34"/>
    <s v="34, 7.2"/>
    <n v="4"/>
    <n v="1726.43"/>
    <n v="2119.61"/>
    <n v="-18.549638848656123"/>
    <n v="18.549638848656123"/>
  </r>
  <r>
    <x v="10"/>
    <x v="2"/>
    <n v="18"/>
    <n v="7.1"/>
    <n v="32.999999999999993"/>
    <s v="33, 7.1"/>
    <n v="4"/>
    <n v="2216.6799999999998"/>
    <n v="2119.61"/>
    <n v="4.5796160614452521"/>
    <n v="4.5796160614452521"/>
  </r>
  <r>
    <x v="11"/>
    <x v="0"/>
    <n v="15"/>
    <n v="7.1"/>
    <n v="32.999999999999993"/>
    <s v="33, 7.1"/>
    <n v="4"/>
    <n v="1533.1813333333332"/>
    <n v="2119.61"/>
    <n v="-27.666819210452246"/>
    <n v="27.666819210452246"/>
  </r>
  <r>
    <x v="12"/>
    <x v="1"/>
    <n v="15"/>
    <n v="7.1"/>
    <n v="32.999999999999993"/>
    <s v="33, 7.1"/>
    <n v="4"/>
    <n v="2059.14"/>
    <n v="2119.61"/>
    <n v="-2.8528833134397482"/>
    <n v="2.8528833134397482"/>
  </r>
  <r>
    <x v="13"/>
    <x v="0"/>
    <n v="15"/>
    <n v="7.3"/>
    <n v="35"/>
    <s v="35, 7.3"/>
    <n v="4"/>
    <n v="1780.095"/>
    <n v="2119.61"/>
    <n v="-16.01780516227042"/>
    <n v="16.01780516227042"/>
  </r>
  <r>
    <x v="14"/>
    <x v="1"/>
    <n v="18"/>
    <n v="7.2"/>
    <n v="34"/>
    <s v="34, 7.2"/>
    <n v="4"/>
    <n v="2379.6750000000002"/>
    <n v="2119.61"/>
    <n v="12.269474101367708"/>
    <n v="12.269474101367708"/>
  </r>
  <r>
    <x v="15"/>
    <x v="2"/>
    <n v="12"/>
    <n v="7.1"/>
    <n v="32.999999999999993"/>
    <s v="33, 7.1"/>
    <n v="4"/>
    <n v="1695.9749999999999"/>
    <n v="2119.61"/>
    <n v="-19.986459773260183"/>
    <n v="19.986459773260183"/>
  </r>
  <r>
    <x v="16"/>
    <x v="0"/>
    <n v="12"/>
    <n v="7.1"/>
    <n v="32.999999999999993"/>
    <s v="33, 7.1"/>
    <n v="4"/>
    <n v="1544.19"/>
    <n v="2119.61"/>
    <n v="-27.147446935992942"/>
    <n v="27.147446935992942"/>
  </r>
  <r>
    <x v="17"/>
    <x v="1"/>
    <n v="15"/>
    <n v="7.3"/>
    <n v="35"/>
    <s v="35, 7.3"/>
    <n v="4"/>
    <n v="2189.4450000000002"/>
    <n v="2119.61"/>
    <n v="3.2947098758733935"/>
    <n v="3.2947098758733935"/>
  </r>
  <r>
    <x v="18"/>
    <x v="0"/>
    <n v="12"/>
    <n v="7.2"/>
    <n v="34"/>
    <s v="34, 7.2"/>
    <n v="4"/>
    <n v="1662.33"/>
    <n v="2119.61"/>
    <n v="-21.573780082184939"/>
    <n v="21.573780082184939"/>
  </r>
  <r>
    <x v="19"/>
    <x v="1"/>
    <n v="12"/>
    <n v="7.1"/>
    <n v="32.999999999999993"/>
    <s v="33, 7.1"/>
    <n v="4"/>
    <n v="1826.0550000000001"/>
    <n v="2119.61"/>
    <n v="-13.84948174428315"/>
    <n v="13.84948174428315"/>
  </r>
  <r>
    <x v="20"/>
    <x v="2"/>
    <n v="12"/>
    <n v="7.3"/>
    <n v="35"/>
    <s v="35, 7.3"/>
    <n v="4"/>
    <n v="1736.7"/>
    <n v="2119.61"/>
    <n v="-18.065115752426156"/>
    <n v="18.065115752426156"/>
  </r>
  <r>
    <x v="21"/>
    <x v="2"/>
    <n v="15"/>
    <n v="7.2"/>
    <n v="34"/>
    <s v="34, 7.2"/>
    <n v="4"/>
    <n v="2179.875"/>
    <n v="2119.61"/>
    <n v="2.8432117229112843"/>
    <n v="2.8432117229112843"/>
  </r>
  <r>
    <x v="22"/>
    <x v="2"/>
    <n v="15"/>
    <n v="7.2"/>
    <n v="34"/>
    <s v="34, 7.2"/>
    <n v="4"/>
    <n v="2113.875"/>
    <n v="2119.61"/>
    <n v="-0.27056864234458827"/>
    <n v="0.27056864234458827"/>
  </r>
  <r>
    <x v="23"/>
    <x v="2"/>
    <n v="15"/>
    <n v="7.2"/>
    <n v="34"/>
    <s v="34, 7.2"/>
    <n v="4"/>
    <n v="1874.79"/>
    <n v="2119.61"/>
    <n v="-11.550238015483986"/>
    <n v="11.550238015483986"/>
  </r>
  <r>
    <x v="0"/>
    <x v="0"/>
    <n v="18"/>
    <n v="7.1"/>
    <n v="32.999999999999993"/>
    <s v="33, 7.1"/>
    <n v="5"/>
    <n v="2537.7224999999999"/>
    <n v="2716.05"/>
    <n v="-6.5656928259789149"/>
    <n v="6.5656928259789149"/>
  </r>
  <r>
    <x v="1"/>
    <x v="0"/>
    <n v="12"/>
    <n v="7.3"/>
    <n v="35"/>
    <s v="35, 7.3"/>
    <n v="5"/>
    <n v="2356.5149999999999"/>
    <n v="2716.05"/>
    <n v="-13.237421991495012"/>
    <n v="13.237421991495012"/>
  </r>
  <r>
    <x v="2"/>
    <x v="1"/>
    <n v="12"/>
    <n v="7.2"/>
    <n v="34"/>
    <s v="34, 7.2"/>
    <n v="5"/>
    <n v="2569.9949999999999"/>
    <n v="2716.05"/>
    <n v="-5.3774783233003918"/>
    <n v="5.3774783233003918"/>
  </r>
  <r>
    <x v="3"/>
    <x v="2"/>
    <n v="18"/>
    <n v="7.3"/>
    <n v="35"/>
    <s v="35, 7.3"/>
    <n v="5"/>
    <n v="3115.41"/>
    <n v="2716.05"/>
    <n v="14.703705749157773"/>
    <n v="14.703705749157773"/>
  </r>
  <r>
    <x v="4"/>
    <x v="1"/>
    <n v="18"/>
    <n v="7.3"/>
    <n v="35"/>
    <s v="35, 7.3"/>
    <n v="5"/>
    <n v="2879.6025"/>
    <n v="2716.05"/>
    <n v="6.0217043132490113"/>
    <n v="6.0217043132490113"/>
  </r>
  <r>
    <x v="5"/>
    <x v="1"/>
    <n v="12"/>
    <n v="7.3"/>
    <n v="35"/>
    <s v="35, 7.3"/>
    <n v="5"/>
    <n v="2690.88"/>
    <n v="2716.05"/>
    <n v="-0.92671342574695126"/>
    <n v="0.92671342574695126"/>
  </r>
  <r>
    <x v="6"/>
    <x v="0"/>
    <n v="18"/>
    <n v="7.3"/>
    <n v="35"/>
    <s v="35, 7.3"/>
    <n v="5"/>
    <n v="2787.6"/>
    <n v="2716.05"/>
    <n v="2.6343403103771919"/>
    <n v="2.6343403103771919"/>
  </r>
  <r>
    <x v="7"/>
    <x v="2"/>
    <n v="15"/>
    <n v="7.2"/>
    <n v="34"/>
    <s v="34, 7.2"/>
    <n v="5"/>
    <n v="2688.585"/>
    <n v="2716.05"/>
    <n v="-1.0112111338156566"/>
    <n v="1.0112111338156566"/>
  </r>
  <r>
    <x v="8"/>
    <x v="1"/>
    <n v="18"/>
    <n v="7.1"/>
    <n v="32.999999999999993"/>
    <s v="33, 7.1"/>
    <n v="5"/>
    <n v="2855.3175000000001"/>
    <n v="2716.05"/>
    <n v="5.1275749710056857"/>
    <n v="5.1275749710056857"/>
  </r>
  <r>
    <x v="9"/>
    <x v="0"/>
    <n v="18"/>
    <n v="7.2"/>
    <n v="34"/>
    <s v="34, 7.2"/>
    <n v="5"/>
    <n v="2470.9900000000002"/>
    <n v="2716.05"/>
    <n v="-9.022661585758728"/>
    <n v="9.022661585758728"/>
  </r>
  <r>
    <x v="10"/>
    <x v="2"/>
    <n v="18"/>
    <n v="7.1"/>
    <n v="32.999999999999993"/>
    <s v="33, 7.1"/>
    <n v="5"/>
    <n v="2900.06"/>
    <n v="2716.05"/>
    <n v="6.7749120966108789"/>
    <n v="6.7749120966108789"/>
  </r>
  <r>
    <x v="11"/>
    <x v="0"/>
    <n v="15"/>
    <n v="7.1"/>
    <n v="32.999999999999993"/>
    <s v="33, 7.1"/>
    <n v="5"/>
    <n v="2171.8131666666668"/>
    <n v="2716.05"/>
    <n v="-20.037806127771333"/>
    <n v="20.037806127771333"/>
  </r>
  <r>
    <x v="12"/>
    <x v="1"/>
    <n v="15"/>
    <n v="7.1"/>
    <n v="32.999999999999993"/>
    <s v="33, 7.1"/>
    <n v="5"/>
    <n v="2754.1724999999997"/>
    <n v="2716.05"/>
    <n v="1.4036008173634318"/>
    <n v="1.4036008173634318"/>
  </r>
  <r>
    <x v="13"/>
    <x v="0"/>
    <n v="15"/>
    <n v="7.3"/>
    <n v="35"/>
    <s v="35, 7.3"/>
    <n v="5"/>
    <n v="2561.5425"/>
    <n v="2716.05"/>
    <n v="-5.6886839343900206"/>
    <n v="5.6886839343900206"/>
  </r>
  <r>
    <x v="14"/>
    <x v="1"/>
    <n v="18"/>
    <n v="7.2"/>
    <n v="34"/>
    <s v="34, 7.2"/>
    <n v="5"/>
    <n v="3062.5525000000002"/>
    <n v="2716.05"/>
    <n v="12.757589146002468"/>
    <n v="12.757589146002468"/>
  </r>
  <r>
    <x v="15"/>
    <x v="2"/>
    <n v="12"/>
    <n v="7.1"/>
    <n v="32.999999999999993"/>
    <s v="33, 7.1"/>
    <n v="5"/>
    <n v="2274.8175000000001"/>
    <n v="2716.05"/>
    <n v="-16.245374716960292"/>
    <n v="16.245374716960292"/>
  </r>
  <r>
    <x v="16"/>
    <x v="0"/>
    <n v="12"/>
    <n v="7.1"/>
    <n v="32.999999999999993"/>
    <s v="33, 7.1"/>
    <n v="5"/>
    <n v="2153.3775000000001"/>
    <n v="2716.05"/>
    <n v="-20.71657370077871"/>
    <n v="20.71657370077871"/>
  </r>
  <r>
    <x v="17"/>
    <x v="1"/>
    <n v="15"/>
    <n v="7.3"/>
    <n v="35"/>
    <s v="35, 7.3"/>
    <n v="5"/>
    <n v="2929.4850000000001"/>
    <n v="2716.05"/>
    <n v="7.8582868503893488"/>
    <n v="7.8582868503893488"/>
  </r>
  <r>
    <x v="18"/>
    <x v="0"/>
    <n v="12"/>
    <n v="7.2"/>
    <n v="34"/>
    <s v="34, 7.2"/>
    <n v="5"/>
    <n v="2360.7075"/>
    <n v="2716.05"/>
    <n v="-13.083061799304144"/>
    <n v="13.083061799304144"/>
  </r>
  <r>
    <x v="19"/>
    <x v="1"/>
    <n v="12"/>
    <n v="7.1"/>
    <n v="32.999999999999993"/>
    <s v="33, 7.1"/>
    <n v="5"/>
    <n v="2433.15"/>
    <n v="2716.05"/>
    <n v="-10.415861269122441"/>
    <n v="10.415861269122441"/>
  </r>
  <r>
    <x v="20"/>
    <x v="2"/>
    <n v="12"/>
    <n v="7.3"/>
    <n v="35"/>
    <s v="35, 7.3"/>
    <n v="5"/>
    <n v="2344.9949999999999"/>
    <n v="2716.05"/>
    <n v="-13.661567349643795"/>
    <n v="13.661567349643795"/>
  </r>
  <r>
    <x v="21"/>
    <x v="2"/>
    <n v="15"/>
    <n v="7.2"/>
    <n v="34"/>
    <s v="34, 7.2"/>
    <n v="5"/>
    <n v="2726.7224999999999"/>
    <n v="2716.05"/>
    <n v="0.39294195614954336"/>
    <n v="0.39294195614954336"/>
  </r>
  <r>
    <x v="22"/>
    <x v="2"/>
    <n v="15"/>
    <n v="7.2"/>
    <n v="34"/>
    <s v="34, 7.2"/>
    <n v="5"/>
    <n v="2768.1824999999999"/>
    <n v="2716.05"/>
    <n v="1.9194234274037556"/>
    <n v="1.9194234274037556"/>
  </r>
  <r>
    <x v="23"/>
    <x v="2"/>
    <n v="15"/>
    <n v="7.2"/>
    <n v="34"/>
    <s v="34, 7.2"/>
    <n v="5"/>
    <n v="2510.1"/>
    <n v="2716.05"/>
    <n v="-7.5827028221130055"/>
    <n v="7.5827028221130055"/>
  </r>
  <r>
    <x v="0"/>
    <x v="0"/>
    <n v="18"/>
    <n v="7.1"/>
    <n v="32.999999999999993"/>
    <s v="33, 7.1"/>
    <n v="6"/>
    <n v="3171.51"/>
    <n v="3307.9"/>
    <n v="-4.1231597085764342"/>
    <n v="4.1231597085764342"/>
  </r>
  <r>
    <x v="1"/>
    <x v="0"/>
    <n v="12"/>
    <n v="7.3"/>
    <n v="35"/>
    <s v="35, 7.3"/>
    <n v="6"/>
    <n v="2946.2849999999999"/>
    <n v="3307.9"/>
    <n v="-10.931860092505826"/>
    <n v="10.931860092505826"/>
  </r>
  <r>
    <x v="2"/>
    <x v="1"/>
    <n v="12"/>
    <n v="7.2"/>
    <n v="34"/>
    <s v="34, 7.2"/>
    <n v="6"/>
    <n v="3281.2950000000001"/>
    <n v="3307.9"/>
    <n v="-0.80428670757882692"/>
    <n v="0.80428670757882692"/>
  </r>
  <r>
    <x v="3"/>
    <x v="2"/>
    <n v="18"/>
    <n v="7.3"/>
    <n v="35"/>
    <s v="35, 7.3"/>
    <n v="6"/>
    <n v="3849.5250000000001"/>
    <n v="3307.9"/>
    <n v="16.373681187460321"/>
    <n v="16.373681187460321"/>
  </r>
  <r>
    <x v="4"/>
    <x v="1"/>
    <n v="18"/>
    <n v="7.3"/>
    <n v="35"/>
    <s v="35, 7.3"/>
    <n v="6"/>
    <n v="3520.2750000000001"/>
    <n v="3307.9"/>
    <n v="6.4202364037606943"/>
    <n v="6.4202364037606943"/>
  </r>
  <r>
    <x v="5"/>
    <x v="1"/>
    <n v="12"/>
    <n v="7.3"/>
    <n v="35"/>
    <s v="35, 7.3"/>
    <n v="6"/>
    <n v="3445.29"/>
    <n v="3307.9"/>
    <n v="4.153390368511741"/>
    <n v="4.153390368511741"/>
  </r>
  <r>
    <x v="6"/>
    <x v="0"/>
    <n v="18"/>
    <n v="7.3"/>
    <n v="35"/>
    <s v="35, 7.3"/>
    <n v="6"/>
    <n v="3472.41"/>
    <n v="3307.9"/>
    <n v="4.9732458659572467"/>
    <n v="4.9732458659572467"/>
  </r>
  <r>
    <x v="7"/>
    <x v="2"/>
    <n v="15"/>
    <n v="7.2"/>
    <n v="34"/>
    <s v="34, 7.2"/>
    <n v="6"/>
    <n v="3303.7950000000001"/>
    <n v="3307.9"/>
    <n v="-0.12409685903443327"/>
    <n v="0.12409685903443327"/>
  </r>
  <r>
    <x v="8"/>
    <x v="1"/>
    <n v="18"/>
    <n v="7.1"/>
    <n v="32.999999999999993"/>
    <s v="33, 7.1"/>
    <n v="6"/>
    <n v="3601.9949999999999"/>
    <n v="3307.9"/>
    <n v="8.8906859336739252"/>
    <n v="8.8906859336739252"/>
  </r>
  <r>
    <x v="9"/>
    <x v="0"/>
    <n v="18"/>
    <n v="7.2"/>
    <n v="34"/>
    <s v="34, 7.2"/>
    <n v="6"/>
    <n v="3215.55"/>
    <n v="3307.9"/>
    <n v="-2.7918014450255422"/>
    <n v="2.7918014450255422"/>
  </r>
  <r>
    <x v="10"/>
    <x v="2"/>
    <n v="18"/>
    <n v="7.1"/>
    <n v="32.999999999999993"/>
    <s v="33, 7.1"/>
    <n v="6"/>
    <n v="3583.44"/>
    <n v="3307.9"/>
    <n v="8.3297560385743203"/>
    <n v="8.3297560385743203"/>
  </r>
  <r>
    <x v="11"/>
    <x v="0"/>
    <n v="15"/>
    <n v="7.1"/>
    <n v="32.999999999999993"/>
    <s v="33, 7.1"/>
    <n v="6"/>
    <n v="2810.4450000000002"/>
    <n v="3307.9"/>
    <n v="-15.038392938117836"/>
    <n v="15.038392938117836"/>
  </r>
  <r>
    <x v="12"/>
    <x v="1"/>
    <n v="15"/>
    <n v="7.1"/>
    <n v="32.999999999999993"/>
    <s v="33, 7.1"/>
    <n v="6"/>
    <n v="3449.2049999999999"/>
    <n v="3307.9"/>
    <n v="4.2717434021584637"/>
    <n v="4.2717434021584637"/>
  </r>
  <r>
    <x v="13"/>
    <x v="0"/>
    <n v="15"/>
    <n v="7.3"/>
    <n v="35"/>
    <s v="35, 7.3"/>
    <n v="6"/>
    <n v="3342.9900000000002"/>
    <n v="3307.9"/>
    <n v="1.0607938571299056"/>
    <n v="1.0607938571299056"/>
  </r>
  <r>
    <x v="14"/>
    <x v="1"/>
    <n v="18"/>
    <n v="7.2"/>
    <n v="34"/>
    <s v="34, 7.2"/>
    <n v="6"/>
    <n v="3745.4300000000003"/>
    <n v="3307.9"/>
    <n v="13.22682064149461"/>
    <n v="13.22682064149461"/>
  </r>
  <r>
    <x v="15"/>
    <x v="2"/>
    <n v="12"/>
    <n v="7.1"/>
    <n v="32.999999999999993"/>
    <s v="33, 7.1"/>
    <n v="6"/>
    <n v="2853.66"/>
    <n v="3307.9"/>
    <n v="-13.73197496901358"/>
    <n v="13.73197496901358"/>
  </r>
  <r>
    <x v="16"/>
    <x v="0"/>
    <n v="12"/>
    <n v="7.1"/>
    <n v="32.999999999999993"/>
    <s v="33, 7.1"/>
    <n v="6"/>
    <n v="2762.5650000000001"/>
    <n v="3307.9"/>
    <n v="-16.485836935820309"/>
    <n v="16.485836935820309"/>
  </r>
  <r>
    <x v="17"/>
    <x v="1"/>
    <n v="15"/>
    <n v="7.3"/>
    <n v="35"/>
    <s v="35, 7.3"/>
    <n v="6"/>
    <n v="3669.5250000000001"/>
    <n v="3307.9"/>
    <n v="10.932162399105172"/>
    <n v="10.932162399105172"/>
  </r>
  <r>
    <x v="18"/>
    <x v="0"/>
    <n v="12"/>
    <n v="7.2"/>
    <n v="34"/>
    <s v="34, 7.2"/>
    <n v="6"/>
    <n v="3059.085"/>
    <n v="3307.9"/>
    <n v="-7.5218416518032605"/>
    <n v="7.5218416518032605"/>
  </r>
  <r>
    <x v="19"/>
    <x v="1"/>
    <n v="12"/>
    <n v="7.1"/>
    <n v="32.999999999999993"/>
    <s v="33, 7.1"/>
    <n v="6"/>
    <n v="3040.2449999999999"/>
    <n v="3307.9"/>
    <n v="-8.091387284984437"/>
    <n v="8.091387284984437"/>
  </r>
  <r>
    <x v="20"/>
    <x v="2"/>
    <n v="12"/>
    <n v="7.3"/>
    <n v="35"/>
    <s v="35, 7.3"/>
    <n v="6"/>
    <n v="2953.29"/>
    <n v="3307.9"/>
    <n v="-10.720094319659003"/>
    <n v="10.720094319659003"/>
  </r>
  <r>
    <x v="21"/>
    <x v="2"/>
    <n v="15"/>
    <n v="7.2"/>
    <n v="34"/>
    <s v="34, 7.2"/>
    <n v="6"/>
    <n v="3273.57"/>
    <n v="3307.9"/>
    <n v="-1.037818555579066"/>
    <n v="1.037818555579066"/>
  </r>
  <r>
    <x v="22"/>
    <x v="2"/>
    <n v="15"/>
    <n v="7.2"/>
    <n v="34"/>
    <s v="34, 7.2"/>
    <n v="6"/>
    <n v="3422.49"/>
    <n v="3307.9"/>
    <n v="3.4641313219867493"/>
    <n v="3.4641313219867493"/>
  </r>
  <r>
    <x v="23"/>
    <x v="2"/>
    <n v="15"/>
    <n v="7.2"/>
    <n v="34"/>
    <s v="34, 7.2"/>
    <n v="6"/>
    <n v="3145.41"/>
    <n v="3307.9"/>
    <n v="-4.9121799328879421"/>
    <n v="4.9121799328879421"/>
  </r>
  <r>
    <x v="0"/>
    <x v="0"/>
    <n v="18"/>
    <n v="7.1"/>
    <n v="32.999999999999993"/>
    <s v="33, 7.1"/>
    <n v="7"/>
    <n v="3789.7725"/>
    <n v="3888.32"/>
    <n v="-2.5344493251584264"/>
    <n v="2.5344493251584264"/>
  </r>
  <r>
    <x v="1"/>
    <x v="0"/>
    <n v="12"/>
    <n v="7.3"/>
    <n v="35"/>
    <s v="35, 7.3"/>
    <n v="7"/>
    <n v="3554.25"/>
    <n v="3888.32"/>
    <n v="-8.5916282610484771"/>
    <n v="8.5916282610484771"/>
  </r>
  <r>
    <x v="2"/>
    <x v="1"/>
    <n v="12"/>
    <n v="7.2"/>
    <n v="34"/>
    <s v="34, 7.2"/>
    <n v="7"/>
    <n v="3874.5974999999999"/>
    <n v="3888.32"/>
    <n v="-0.35291591227060293"/>
    <n v="0.35291591227060293"/>
  </r>
  <r>
    <x v="3"/>
    <x v="2"/>
    <n v="18"/>
    <n v="7.3"/>
    <n v="35"/>
    <s v="35, 7.3"/>
    <n v="7"/>
    <n v="4412.58"/>
    <n v="3888.32"/>
    <n v="13.48294379063451"/>
    <n v="13.48294379063451"/>
  </r>
  <r>
    <x v="4"/>
    <x v="1"/>
    <n v="18"/>
    <n v="7.3"/>
    <n v="35"/>
    <s v="35, 7.3"/>
    <n v="7"/>
    <n v="3978.2550000000001"/>
    <n v="3888.32"/>
    <n v="2.312952637642991"/>
    <n v="2.312952637642991"/>
  </r>
  <r>
    <x v="5"/>
    <x v="1"/>
    <n v="12"/>
    <n v="7.3"/>
    <n v="35"/>
    <s v="35, 7.3"/>
    <n v="7"/>
    <n v="4000.6349999999998"/>
    <n v="3888.32"/>
    <n v="2.888522549584386"/>
    <n v="2.888522549584386"/>
  </r>
  <r>
    <x v="6"/>
    <x v="0"/>
    <n v="18"/>
    <n v="7.3"/>
    <n v="35"/>
    <s v="35, 7.3"/>
    <n v="7"/>
    <n v="4151.4524999999994"/>
    <n v="3888.32"/>
    <n v="6.7672542383342744"/>
    <n v="6.7672542383342744"/>
  </r>
  <r>
    <x v="7"/>
    <x v="2"/>
    <n v="15"/>
    <n v="7.2"/>
    <n v="34"/>
    <s v="34, 7.2"/>
    <n v="7"/>
    <n v="3732.3975"/>
    <n v="3888.32"/>
    <n v="-4.0100223232655781"/>
    <n v="4.0100223232655781"/>
  </r>
  <r>
    <x v="8"/>
    <x v="1"/>
    <n v="18"/>
    <n v="7.1"/>
    <n v="32.999999999999993"/>
    <s v="33, 7.1"/>
    <n v="7"/>
    <n v="3982.0425"/>
    <n v="3888.32"/>
    <n v="2.4103597440539835"/>
    <n v="2.4103597440539835"/>
  </r>
  <r>
    <x v="9"/>
    <x v="0"/>
    <n v="18"/>
    <n v="7.2"/>
    <n v="34"/>
    <s v="34, 7.2"/>
    <n v="7"/>
    <n v="3859.3575000000001"/>
    <n v="3888.32"/>
    <n v="-0.74485896222533354"/>
    <n v="0.74485896222533354"/>
  </r>
  <r>
    <x v="10"/>
    <x v="2"/>
    <n v="18"/>
    <n v="7.1"/>
    <n v="32.999999999999993"/>
    <s v="33, 7.1"/>
    <n v="7"/>
    <n v="4154.7300000000005"/>
    <n v="3888.32"/>
    <n v="6.8515451403176764"/>
    <n v="6.8515451403176764"/>
  </r>
  <r>
    <x v="11"/>
    <x v="0"/>
    <n v="15"/>
    <n v="7.1"/>
    <n v="32.999999999999993"/>
    <s v="33, 7.1"/>
    <n v="7"/>
    <n v="3463.9575000000004"/>
    <n v="3888.32"/>
    <n v="-10.913775100814739"/>
    <n v="10.913775100814739"/>
  </r>
  <r>
    <x v="12"/>
    <x v="1"/>
    <n v="15"/>
    <n v="7.1"/>
    <n v="32.999999999999993"/>
    <s v="33, 7.1"/>
    <n v="7"/>
    <n v="4046.5275000000001"/>
    <n v="3888.32"/>
    <n v="4.0687880627108877"/>
    <n v="4.0687880627108877"/>
  </r>
  <r>
    <x v="13"/>
    <x v="0"/>
    <n v="15"/>
    <n v="7.3"/>
    <n v="35"/>
    <s v="35, 7.3"/>
    <n v="7"/>
    <n v="4007.5650000000005"/>
    <n v="3888.32"/>
    <n v="3.0667486215126414"/>
    <n v="3.0667486215126414"/>
  </r>
  <r>
    <x v="14"/>
    <x v="1"/>
    <n v="18"/>
    <n v="7.2"/>
    <n v="34"/>
    <s v="34, 7.2"/>
    <n v="7"/>
    <n v="4212.3924999999999"/>
    <n v="3888.32"/>
    <n v="8.3345120771952867"/>
    <n v="8.3345120771952867"/>
  </r>
  <r>
    <x v="15"/>
    <x v="2"/>
    <n v="12"/>
    <n v="7.1"/>
    <n v="32.999999999999993"/>
    <s v="33, 7.1"/>
    <n v="7"/>
    <n v="3381.1824999999999"/>
    <n v="3888.32"/>
    <n v="-13.042586515513133"/>
    <n v="13.042586515513133"/>
  </r>
  <r>
    <x v="16"/>
    <x v="0"/>
    <n v="12"/>
    <n v="7.1"/>
    <n v="32.999999999999993"/>
    <s v="33, 7.1"/>
    <n v="7"/>
    <n v="3423.9375"/>
    <n v="3888.32"/>
    <n v="-11.943011377664392"/>
    <n v="11.943011377664392"/>
  </r>
  <r>
    <x v="17"/>
    <x v="1"/>
    <n v="15"/>
    <n v="7.3"/>
    <n v="35"/>
    <s v="35, 7.3"/>
    <n v="7"/>
    <n v="4149.415"/>
    <n v="3888.32"/>
    <n v="6.7148537157435539"/>
    <n v="6.7148537157435539"/>
  </r>
  <r>
    <x v="18"/>
    <x v="0"/>
    <n v="12"/>
    <n v="7.2"/>
    <n v="34"/>
    <s v="34, 7.2"/>
    <n v="7"/>
    <n v="3710.4900000000002"/>
    <n v="3888.32"/>
    <n v="-4.5734404575755061"/>
    <n v="4.5734404575755061"/>
  </r>
  <r>
    <x v="19"/>
    <x v="1"/>
    <n v="12"/>
    <n v="7.1"/>
    <n v="32.999999999999993"/>
    <s v="33, 7.1"/>
    <n v="7"/>
    <n v="3687.3825000000002"/>
    <n v="3888.32"/>
    <n v="-5.1677202493621923"/>
    <n v="5.1677202493621923"/>
  </r>
  <r>
    <x v="20"/>
    <x v="2"/>
    <n v="12"/>
    <n v="7.3"/>
    <n v="35"/>
    <s v="35, 7.3"/>
    <n v="7"/>
    <n v="3449.8649999999998"/>
    <n v="3888.32"/>
    <n v="-11.276206690807349"/>
    <n v="11.276206690807349"/>
  </r>
  <r>
    <x v="21"/>
    <x v="2"/>
    <n v="15"/>
    <n v="7.2"/>
    <n v="34"/>
    <s v="34, 7.2"/>
    <n v="7"/>
    <n v="3819.45"/>
    <n v="3888.32"/>
    <n v="-1.7712019586865366"/>
    <n v="1.7712019586865366"/>
  </r>
  <r>
    <x v="22"/>
    <x v="2"/>
    <n v="15"/>
    <n v="7.2"/>
    <n v="34"/>
    <s v="34, 7.2"/>
    <n v="7"/>
    <n v="3901.665"/>
    <n v="3888.32"/>
    <n v="0.34320734918936197"/>
    <n v="0.34320734918936197"/>
  </r>
  <r>
    <x v="23"/>
    <x v="2"/>
    <n v="15"/>
    <n v="7.2"/>
    <n v="34"/>
    <s v="34, 7.2"/>
    <n v="7"/>
    <n v="3586.2674999999999"/>
    <n v="3888.32"/>
    <n v="-7.7682006624969189"/>
    <n v="7.7682006624969189"/>
  </r>
  <r>
    <x v="0"/>
    <x v="0"/>
    <n v="18"/>
    <n v="7.1"/>
    <n v="32.999999999999993"/>
    <s v="33, 7.1"/>
    <n v="8"/>
    <n v="4408.0349999999999"/>
    <n v="4309.7"/>
    <n v="2.2817133443163105"/>
    <n v="2.2817133443163105"/>
  </r>
  <r>
    <x v="1"/>
    <x v="0"/>
    <n v="12"/>
    <n v="7.3"/>
    <n v="35"/>
    <s v="35, 7.3"/>
    <n v="8"/>
    <n v="4162.2150000000001"/>
    <n v="4309.7"/>
    <n v="-3.4221639557277692"/>
    <n v="3.4221639557277692"/>
  </r>
  <r>
    <x v="2"/>
    <x v="1"/>
    <n v="12"/>
    <n v="7.2"/>
    <n v="34"/>
    <s v="34, 7.2"/>
    <n v="8"/>
    <n v="4467.8999999999996"/>
    <n v="4309.7"/>
    <n v="3.6707891500568444"/>
    <n v="3.6707891500568444"/>
  </r>
  <r>
    <x v="3"/>
    <x v="2"/>
    <n v="18"/>
    <n v="7.3"/>
    <n v="35"/>
    <s v="35, 7.3"/>
    <n v="8"/>
    <n v="4975.6350000000002"/>
    <n v="4309.7"/>
    <n v="15.452003619741523"/>
    <n v="15.452003619741523"/>
  </r>
  <r>
    <x v="4"/>
    <x v="1"/>
    <n v="18"/>
    <n v="7.3"/>
    <n v="35"/>
    <s v="35, 7.3"/>
    <n v="8"/>
    <n v="4436.2349999999997"/>
    <n v="4309.7"/>
    <n v="2.936051233264493"/>
    <n v="2.936051233264493"/>
  </r>
  <r>
    <x v="5"/>
    <x v="1"/>
    <n v="12"/>
    <n v="7.3"/>
    <n v="35"/>
    <s v="35, 7.3"/>
    <n v="8"/>
    <n v="4555.9799999999996"/>
    <n v="4309.7"/>
    <n v="5.7145508968141581"/>
    <n v="5.7145508968141581"/>
  </r>
  <r>
    <x v="6"/>
    <x v="0"/>
    <n v="18"/>
    <n v="7.3"/>
    <n v="35"/>
    <s v="35, 7.3"/>
    <n v="8"/>
    <n v="4830.4949999999999"/>
    <n v="4309.7"/>
    <n v="12.084251804069892"/>
    <n v="12.084251804069892"/>
  </r>
  <r>
    <x v="7"/>
    <x v="2"/>
    <n v="15"/>
    <n v="7.2"/>
    <n v="34"/>
    <s v="34, 7.2"/>
    <n v="8"/>
    <n v="4161"/>
    <n v="4309.7"/>
    <n v="-3.4503561732835193"/>
    <n v="3.4503561732835193"/>
  </r>
  <r>
    <x v="8"/>
    <x v="1"/>
    <n v="18"/>
    <n v="7.1"/>
    <n v="32.999999999999993"/>
    <s v="33, 7.1"/>
    <n v="8"/>
    <n v="4362.09"/>
    <n v="4309.7"/>
    <n v="1.2156298582267984"/>
    <n v="1.2156298582267984"/>
  </r>
  <r>
    <x v="9"/>
    <x v="0"/>
    <n v="18"/>
    <n v="7.2"/>
    <n v="34"/>
    <s v="34, 7.2"/>
    <n v="8"/>
    <n v="4503.165"/>
    <n v="4309.7"/>
    <n v="4.4890595633106747"/>
    <n v="4.4890595633106747"/>
  </r>
  <r>
    <x v="10"/>
    <x v="2"/>
    <n v="18"/>
    <n v="7.1"/>
    <n v="32.999999999999993"/>
    <s v="33, 7.1"/>
    <n v="8"/>
    <n v="4726.0200000000004"/>
    <n v="4309.7"/>
    <n v="9.6600691463443074"/>
    <n v="9.6600691463443074"/>
  </r>
  <r>
    <x v="11"/>
    <x v="0"/>
    <n v="15"/>
    <n v="7.1"/>
    <n v="32.999999999999993"/>
    <s v="33, 7.1"/>
    <n v="8"/>
    <n v="4117.47"/>
    <n v="4309.7"/>
    <n v="-4.4604032763301289"/>
    <n v="4.4604032763301289"/>
  </r>
  <r>
    <x v="12"/>
    <x v="1"/>
    <n v="15"/>
    <n v="7.1"/>
    <n v="32.999999999999993"/>
    <s v="33, 7.1"/>
    <n v="8"/>
    <n v="4643.8500000000004"/>
    <n v="4309.7"/>
    <n v="7.7534399146112394"/>
    <n v="7.7534399146112394"/>
  </r>
  <r>
    <x v="13"/>
    <x v="0"/>
    <n v="15"/>
    <n v="7.3"/>
    <n v="35"/>
    <s v="35, 7.3"/>
    <n v="8"/>
    <n v="4672.1400000000003"/>
    <n v="4309.7"/>
    <n v="8.4098661159709618"/>
    <n v="8.4098661159709618"/>
  </r>
  <r>
    <x v="14"/>
    <x v="1"/>
    <n v="18"/>
    <n v="7.2"/>
    <n v="34"/>
    <s v="34, 7.2"/>
    <n v="8"/>
    <n v="4679.3549999999996"/>
    <n v="4309.7"/>
    <n v="8.5772791609624743"/>
    <n v="8.5772791609624743"/>
  </r>
  <r>
    <x v="15"/>
    <x v="2"/>
    <n v="12"/>
    <n v="7.1"/>
    <n v="32.999999999999993"/>
    <s v="33, 7.1"/>
    <n v="8"/>
    <n v="3908.7049999999999"/>
    <n v="4309.7"/>
    <n v="-9.3044759496020575"/>
    <n v="9.3044759496020575"/>
  </r>
  <r>
    <x v="16"/>
    <x v="0"/>
    <n v="12"/>
    <n v="7.1"/>
    <n v="32.999999999999993"/>
    <s v="33, 7.1"/>
    <n v="8"/>
    <n v="4085.31"/>
    <n v="4309.7"/>
    <n v="-5.20662691138594"/>
    <n v="5.20662691138594"/>
  </r>
  <r>
    <x v="17"/>
    <x v="1"/>
    <n v="15"/>
    <n v="7.3"/>
    <n v="35"/>
    <s v="35, 7.3"/>
    <n v="8"/>
    <n v="4629.3049999999994"/>
    <n v="4309.7"/>
    <n v="7.415945425435635"/>
    <n v="7.415945425435635"/>
  </r>
  <r>
    <x v="18"/>
    <x v="0"/>
    <n v="12"/>
    <n v="7.2"/>
    <n v="34"/>
    <s v="34, 7.2"/>
    <n v="8"/>
    <n v="4361.8950000000004"/>
    <n v="4309.7"/>
    <n v="1.2111051813351421"/>
    <n v="1.2111051813351421"/>
  </r>
  <r>
    <x v="19"/>
    <x v="1"/>
    <n v="12"/>
    <n v="7.1"/>
    <n v="32.999999999999993"/>
    <s v="33, 7.1"/>
    <n v="8"/>
    <n v="4334.5200000000004"/>
    <n v="4309.7"/>
    <n v="0.5759101561593758"/>
    <n v="0.5759101561593758"/>
  </r>
  <r>
    <x v="20"/>
    <x v="2"/>
    <n v="12"/>
    <n v="7.3"/>
    <n v="35"/>
    <s v="35, 7.3"/>
    <n v="8"/>
    <n v="3946.44"/>
    <n v="4309.7"/>
    <n v="-8.4288929623871685"/>
    <n v="8.4288929623871685"/>
  </r>
  <r>
    <x v="21"/>
    <x v="2"/>
    <n v="15"/>
    <n v="7.2"/>
    <n v="34"/>
    <s v="34, 7.2"/>
    <n v="8"/>
    <n v="4365.33"/>
    <n v="4309.7"/>
    <n v="1.2908091050421169"/>
    <n v="1.2908091050421169"/>
  </r>
  <r>
    <x v="22"/>
    <x v="2"/>
    <n v="15"/>
    <n v="7.2"/>
    <n v="34"/>
    <s v="34, 7.2"/>
    <n v="8"/>
    <n v="4380.84"/>
    <n v="4309.7"/>
    <n v="1.6506949439636247"/>
    <n v="1.6506949439636247"/>
  </r>
  <r>
    <x v="23"/>
    <x v="2"/>
    <n v="15"/>
    <n v="7.2"/>
    <n v="34"/>
    <s v="34, 7.2"/>
    <n v="8"/>
    <n v="4027.125"/>
    <n v="4309.7"/>
    <n v="-6.5567208854444585"/>
    <n v="6.5567208854444585"/>
  </r>
  <r>
    <x v="2"/>
    <x v="1"/>
    <n v="12"/>
    <n v="7.2"/>
    <n v="34"/>
    <s v="34, 7.2"/>
    <n v="9"/>
    <n v="4742.07"/>
    <n v="4805.7299999999996"/>
    <n v="-1.3246686767671063"/>
    <n v="1.3246686767671063"/>
  </r>
  <r>
    <x v="4"/>
    <x v="1"/>
    <n v="18"/>
    <n v="7.3"/>
    <n v="35"/>
    <s v="35, 7.3"/>
    <n v="9"/>
    <n v="5114.58"/>
    <n v="4805.7299999999996"/>
    <n v="6.4267031231467513"/>
    <n v="6.4267031231467513"/>
  </r>
  <r>
    <x v="5"/>
    <x v="1"/>
    <n v="12"/>
    <n v="7.3"/>
    <n v="35"/>
    <s v="35, 7.3"/>
    <n v="9"/>
    <n v="4932.03"/>
    <n v="4805.7299999999996"/>
    <n v="2.6281126904757488"/>
    <n v="2.6281126904757488"/>
  </r>
  <r>
    <x v="8"/>
    <x v="1"/>
    <n v="18"/>
    <n v="7.1"/>
    <n v="32.999999999999993"/>
    <s v="33, 7.1"/>
    <n v="9"/>
    <n v="4746.5249999999996"/>
    <n v="4805.7299999999996"/>
    <n v="-1.2319668395852437"/>
    <n v="1.2319668395852437"/>
  </r>
  <r>
    <x v="12"/>
    <x v="1"/>
    <n v="15"/>
    <n v="7.1"/>
    <n v="32.999999999999993"/>
    <s v="33, 7.1"/>
    <n v="9"/>
    <n v="4920.6149999999998"/>
    <n v="4805.7299999999996"/>
    <n v="2.3905837406595922"/>
    <n v="2.3905837406595922"/>
  </r>
  <r>
    <x v="14"/>
    <x v="1"/>
    <n v="18"/>
    <n v="7.2"/>
    <n v="34"/>
    <s v="34, 7.2"/>
    <n v="9"/>
    <n v="4821.0749999999998"/>
    <n v="4805.7299999999996"/>
    <n v="0.31930632807087073"/>
    <n v="0.31930632807087073"/>
  </r>
  <r>
    <x v="17"/>
    <x v="1"/>
    <n v="15"/>
    <n v="7.3"/>
    <n v="35"/>
    <s v="35, 7.3"/>
    <n v="9"/>
    <n v="5012.13"/>
    <n v="4805.7299999999996"/>
    <n v="4.294872995361799"/>
    <n v="4.294872995361799"/>
  </r>
  <r>
    <x v="19"/>
    <x v="1"/>
    <n v="12"/>
    <n v="7.1"/>
    <n v="32.999999999999993"/>
    <s v="33, 7.1"/>
    <n v="9"/>
    <n v="4595.5050000000001"/>
    <n v="4805.7299999999996"/>
    <n v="-4.3744654818310531"/>
    <n v="4.3744654818310531"/>
  </r>
  <r>
    <x v="0"/>
    <x v="0"/>
    <n v="18"/>
    <n v="7.1"/>
    <n v="32.999999999999993"/>
    <s v="33, 7.1"/>
    <n v="10"/>
    <n v="5622.96"/>
    <n v="5302.42"/>
    <n v="6.0451642834781092"/>
    <n v="6.0451642834781092"/>
  </r>
  <r>
    <x v="1"/>
    <x v="0"/>
    <n v="12"/>
    <n v="7.3"/>
    <n v="35"/>
    <s v="35, 7.3"/>
    <n v="10"/>
    <n v="5341.95"/>
    <n v="5302.42"/>
    <n v="0.74550865453886617"/>
    <n v="0.74550865453886617"/>
  </r>
  <r>
    <x v="2"/>
    <x v="1"/>
    <n v="12"/>
    <n v="7.2"/>
    <n v="34"/>
    <s v="34, 7.2"/>
    <n v="10"/>
    <n v="4896.03"/>
    <n v="5302.42"/>
    <n v="-7.6642363298267639"/>
    <n v="7.6642363298267639"/>
  </r>
  <r>
    <x v="3"/>
    <x v="2"/>
    <n v="18"/>
    <n v="7.3"/>
    <n v="35"/>
    <s v="35, 7.3"/>
    <n v="10"/>
    <n v="6169.74"/>
    <n v="5302.42"/>
    <n v="16.357059606745594"/>
    <n v="16.357059606745594"/>
  </r>
  <r>
    <x v="4"/>
    <x v="1"/>
    <n v="18"/>
    <n v="7.3"/>
    <n v="35"/>
    <s v="35, 7.3"/>
    <n v="10"/>
    <n v="5562.1049999999996"/>
    <n v="5302.42"/>
    <n v="4.897480772930086"/>
    <n v="4.897480772930086"/>
  </r>
  <r>
    <x v="5"/>
    <x v="1"/>
    <n v="12"/>
    <n v="7.3"/>
    <n v="35"/>
    <s v="35, 7.3"/>
    <n v="10"/>
    <n v="5128.5749999999998"/>
    <n v="5302.42"/>
    <n v="-3.2785973197143994"/>
    <n v="3.2785973197143994"/>
  </r>
  <r>
    <x v="6"/>
    <x v="0"/>
    <n v="18"/>
    <n v="7.3"/>
    <n v="35"/>
    <s v="35, 7.3"/>
    <n v="10"/>
    <n v="5951.5349999999999"/>
    <n v="5302.42"/>
    <n v="12.241863149279004"/>
    <n v="12.241863149279004"/>
  </r>
  <r>
    <x v="7"/>
    <x v="2"/>
    <n v="15"/>
    <n v="7.2"/>
    <n v="34"/>
    <s v="34, 7.2"/>
    <n v="10"/>
    <n v="5132.82"/>
    <n v="5302.42"/>
    <n v="-3.1985395347784666"/>
    <n v="3.1985395347784666"/>
  </r>
  <r>
    <x v="8"/>
    <x v="1"/>
    <n v="18"/>
    <n v="7.1"/>
    <n v="32.999999999999993"/>
    <s v="33, 7.1"/>
    <n v="10"/>
    <n v="4706.1899999999996"/>
    <n v="5302.42"/>
    <n v="-11.244488365689637"/>
    <n v="11.244488365689637"/>
  </r>
  <r>
    <x v="9"/>
    <x v="0"/>
    <n v="18"/>
    <n v="7.2"/>
    <n v="34"/>
    <s v="34, 7.2"/>
    <n v="10"/>
    <n v="5582.79"/>
    <n v="5302.42"/>
    <n v="5.2875856684306388"/>
    <n v="5.2875856684306388"/>
  </r>
  <r>
    <x v="10"/>
    <x v="2"/>
    <n v="18"/>
    <n v="7.1"/>
    <n v="32.999999999999993"/>
    <s v="33, 7.1"/>
    <n v="10"/>
    <n v="5718.5249999999996"/>
    <n v="5302.42"/>
    <n v="7.8474545584846078"/>
    <n v="7.8474545584846078"/>
  </r>
  <r>
    <x v="11"/>
    <x v="0"/>
    <n v="15"/>
    <n v="7.1"/>
    <n v="32.999999999999993"/>
    <s v="33, 7.1"/>
    <n v="10"/>
    <n v="5017.2150000000001"/>
    <n v="5302.42"/>
    <n v="-5.3787704482104379"/>
    <n v="5.3787704482104379"/>
  </r>
  <r>
    <x v="12"/>
    <x v="1"/>
    <n v="15"/>
    <n v="7.1"/>
    <n v="32.999999999999993"/>
    <s v="33, 7.1"/>
    <n v="10"/>
    <n v="5154.4650000000001"/>
    <n v="5302.42"/>
    <n v="-2.7903296985150163"/>
    <n v="2.7903296985150163"/>
  </r>
  <r>
    <x v="13"/>
    <x v="0"/>
    <n v="15"/>
    <n v="7.3"/>
    <n v="35"/>
    <s v="35, 7.3"/>
    <n v="10"/>
    <n v="5750.13"/>
    <n v="5302.42"/>
    <n v="8.4435031551631141"/>
    <n v="8.4435031551631141"/>
  </r>
  <r>
    <x v="14"/>
    <x v="1"/>
    <n v="18"/>
    <n v="7.2"/>
    <n v="34"/>
    <s v="34, 7.2"/>
    <n v="10"/>
    <n v="5295.585"/>
    <n v="5302.42"/>
    <n v="-0.12890340636916797"/>
    <n v="0.12890340636916797"/>
  </r>
  <r>
    <x v="15"/>
    <x v="2"/>
    <n v="12"/>
    <n v="7.1"/>
    <n v="32.999999999999993"/>
    <s v="33, 7.1"/>
    <n v="10"/>
    <n v="4813.92"/>
    <n v="5302.42"/>
    <n v="-9.2127745444532874"/>
    <n v="9.2127745444532874"/>
  </r>
  <r>
    <x v="16"/>
    <x v="0"/>
    <n v="12"/>
    <n v="7.1"/>
    <n v="32.999999999999993"/>
    <s v="33, 7.1"/>
    <n v="10"/>
    <n v="4996.2449999999999"/>
    <n v="5302.42"/>
    <n v="-5.7742502479999729"/>
    <n v="5.7742502479999729"/>
  </r>
  <r>
    <x v="17"/>
    <x v="1"/>
    <n v="15"/>
    <n v="7.3"/>
    <n v="35"/>
    <s v="35, 7.3"/>
    <n v="10"/>
    <n v="5304.1350000000002"/>
    <n v="5302.42"/>
    <n v="3.2343722300386339E-2"/>
    <n v="3.2343722300386339E-2"/>
  </r>
  <r>
    <x v="18"/>
    <x v="0"/>
    <n v="12"/>
    <n v="7.2"/>
    <n v="34"/>
    <s v="34, 7.2"/>
    <n v="10"/>
    <n v="5254.1449999999995"/>
    <n v="5302.42"/>
    <n v="-0.91043334930089559"/>
    <n v="0.91043334930089559"/>
  </r>
  <r>
    <x v="19"/>
    <x v="1"/>
    <n v="12"/>
    <n v="7.1"/>
    <n v="32.999999999999993"/>
    <s v="33, 7.1"/>
    <n v="10"/>
    <n v="4807.1400000000003"/>
    <n v="5302.42"/>
    <n v="-9.3406406885912414"/>
    <n v="9.3406406885912414"/>
  </r>
  <r>
    <x v="20"/>
    <x v="2"/>
    <n v="12"/>
    <n v="7.3"/>
    <n v="35"/>
    <s v="35, 7.3"/>
    <n v="10"/>
    <n v="4900.420000000001"/>
    <n v="5302.42"/>
    <n v="-7.5814439444630777"/>
    <n v="7.5814439444630777"/>
  </r>
  <r>
    <x v="21"/>
    <x v="2"/>
    <n v="15"/>
    <n v="7.2"/>
    <n v="34"/>
    <s v="34, 7.2"/>
    <n v="10"/>
    <n v="5125.17"/>
    <n v="5302.42"/>
    <n v="-3.3428132814827944"/>
    <n v="3.3428132814827944"/>
  </r>
  <r>
    <x v="22"/>
    <x v="2"/>
    <n v="15"/>
    <n v="7.2"/>
    <n v="34"/>
    <s v="34, 7.2"/>
    <n v="10"/>
    <n v="5431.89"/>
    <n v="5302.42"/>
    <n v="2.4417152922627827"/>
    <n v="2.4417152922627827"/>
  </r>
  <r>
    <x v="23"/>
    <x v="2"/>
    <n v="15"/>
    <n v="7.2"/>
    <n v="34"/>
    <s v="34, 7.2"/>
    <n v="10"/>
    <n v="5166.96"/>
    <n v="5302.42"/>
    <n v="-2.5546825788979377"/>
    <n v="2.5546825788979377"/>
  </r>
  <r>
    <x v="0"/>
    <x v="0"/>
    <n v="18"/>
    <n v="7.1"/>
    <n v="32.999999999999993"/>
    <s v="33, 7.1"/>
    <n v="11"/>
    <n v="5868.5149999999994"/>
    <n v="5791.69"/>
    <n v="1.326469476094194"/>
    <n v="1.326469476094194"/>
  </r>
  <r>
    <x v="1"/>
    <x v="0"/>
    <n v="12"/>
    <n v="7.3"/>
    <n v="35"/>
    <s v="35, 7.3"/>
    <n v="11"/>
    <n v="5586.4449999999997"/>
    <n v="5791.69"/>
    <n v="-3.5437842840345377"/>
    <n v="3.5437842840345377"/>
  </r>
  <r>
    <x v="2"/>
    <x v="1"/>
    <n v="12"/>
    <n v="7.2"/>
    <n v="34"/>
    <s v="34, 7.2"/>
    <n v="11"/>
    <n v="5142.7399999999989"/>
    <n v="5791.69"/>
    <n v="-11.204846944501531"/>
    <n v="11.204846944501531"/>
  </r>
  <r>
    <x v="3"/>
    <x v="2"/>
    <n v="18"/>
    <n v="7.3"/>
    <n v="35"/>
    <s v="35, 7.3"/>
    <n v="11"/>
    <n v="6625.665"/>
    <n v="5791.69"/>
    <n v="14.399510332908017"/>
    <n v="14.399510332908017"/>
  </r>
  <r>
    <x v="4"/>
    <x v="1"/>
    <n v="18"/>
    <n v="7.3"/>
    <n v="35"/>
    <s v="35, 7.3"/>
    <n v="11"/>
    <n v="5769.87"/>
    <n v="5791.69"/>
    <n v="-0.37674668361047831"/>
    <n v="0.37674668361047831"/>
  </r>
  <r>
    <x v="5"/>
    <x v="1"/>
    <n v="12"/>
    <n v="7.3"/>
    <n v="35"/>
    <s v="35, 7.3"/>
    <n v="11"/>
    <n v="5432.3249999999998"/>
    <n v="5791.69"/>
    <n v="-6.2048383114427708"/>
    <n v="6.2048383114427708"/>
  </r>
  <r>
    <x v="6"/>
    <x v="0"/>
    <n v="18"/>
    <n v="7.3"/>
    <n v="35"/>
    <s v="35, 7.3"/>
    <n v="11"/>
    <n v="6253.95"/>
    <n v="5791.69"/>
    <n v="7.981435470475807"/>
    <n v="7.981435470475807"/>
  </r>
  <r>
    <x v="7"/>
    <x v="2"/>
    <n v="15"/>
    <n v="7.2"/>
    <n v="34"/>
    <s v="34, 7.2"/>
    <n v="11"/>
    <n v="5587.875"/>
    <n v="5791.69"/>
    <n v="-3.5190937360252295"/>
    <n v="3.5190937360252295"/>
  </r>
  <r>
    <x v="8"/>
    <x v="1"/>
    <n v="18"/>
    <n v="7.1"/>
    <n v="32.999999999999993"/>
    <s v="33, 7.1"/>
    <n v="11"/>
    <n v="5139.3149999999996"/>
    <n v="5791.69"/>
    <n v="-11.263983396901423"/>
    <n v="11.263983396901423"/>
  </r>
  <r>
    <x v="9"/>
    <x v="0"/>
    <n v="18"/>
    <n v="7.2"/>
    <n v="34"/>
    <s v="34, 7.2"/>
    <n v="11"/>
    <n v="6099.96"/>
    <n v="5791.69"/>
    <n v="5.3226260383411486"/>
    <n v="5.3226260383411486"/>
  </r>
  <r>
    <x v="10"/>
    <x v="2"/>
    <n v="18"/>
    <n v="7.1"/>
    <n v="32.999999999999993"/>
    <s v="33, 7.1"/>
    <n v="11"/>
    <n v="6220.125"/>
    <n v="5791.69"/>
    <n v="7.3974090464096056"/>
    <n v="7.3974090464096056"/>
  </r>
  <r>
    <x v="11"/>
    <x v="0"/>
    <n v="15"/>
    <n v="7.1"/>
    <n v="32.999999999999993"/>
    <s v="33, 7.1"/>
    <n v="11"/>
    <n v="5463.48"/>
    <n v="5791.69"/>
    <n v="-5.6669124210722606"/>
    <n v="5.6669124210722606"/>
  </r>
  <r>
    <x v="12"/>
    <x v="1"/>
    <n v="15"/>
    <n v="7.1"/>
    <n v="32.999999999999993"/>
    <s v="33, 7.1"/>
    <n v="11"/>
    <n v="5304"/>
    <n v="5791.69"/>
    <n v="-8.4205128382216525"/>
    <n v="8.4205128382216525"/>
  </r>
  <r>
    <x v="13"/>
    <x v="0"/>
    <n v="15"/>
    <n v="7.3"/>
    <n v="35"/>
    <s v="35, 7.3"/>
    <n v="11"/>
    <n v="6166.71"/>
    <n v="5791.69"/>
    <n v="6.4751393807334381"/>
    <n v="6.4751393807334381"/>
  </r>
  <r>
    <x v="14"/>
    <x v="1"/>
    <n v="18"/>
    <n v="7.2"/>
    <n v="34"/>
    <s v="34, 7.2"/>
    <n v="11"/>
    <n v="5412.2849999999999"/>
    <n v="5791.69"/>
    <n v="-6.5508513059227917"/>
    <n v="6.5508513059227917"/>
  </r>
  <r>
    <x v="15"/>
    <x v="2"/>
    <n v="12"/>
    <n v="7.1"/>
    <n v="32.999999999999993"/>
    <s v="33, 7.1"/>
    <n v="11"/>
    <n v="5049.3"/>
    <n v="5791.69"/>
    <n v="-12.818192962675825"/>
    <n v="12.818192962675825"/>
  </r>
  <r>
    <x v="16"/>
    <x v="0"/>
    <n v="12"/>
    <n v="7.1"/>
    <n v="32.999999999999993"/>
    <s v="33, 7.1"/>
    <n v="11"/>
    <n v="5408.34"/>
    <n v="5791.69"/>
    <n v="-6.6189661394169823"/>
    <n v="6.6189661394169823"/>
  </r>
  <r>
    <x v="17"/>
    <x v="1"/>
    <n v="15"/>
    <n v="7.3"/>
    <n v="35"/>
    <s v="35, 7.3"/>
    <n v="11"/>
    <n v="5488.6350000000002"/>
    <n v="5791.69"/>
    <n v="-5.2325832356358752"/>
    <n v="5.2325832356358752"/>
  </r>
  <r>
    <x v="18"/>
    <x v="0"/>
    <n v="12"/>
    <n v="7.2"/>
    <n v="34"/>
    <s v="34, 7.2"/>
    <n v="11"/>
    <n v="5789.5349999999999"/>
    <n v="5791.69"/>
    <n v="-3.7208483188840312E-2"/>
    <n v="3.7208483188840312E-2"/>
  </r>
  <r>
    <x v="19"/>
    <x v="1"/>
    <n v="12"/>
    <n v="7.1"/>
    <n v="32.999999999999993"/>
    <s v="33, 7.1"/>
    <n v="11"/>
    <n v="5017.08"/>
    <n v="5791.69"/>
    <n v="-13.374507268172152"/>
    <n v="13.374507268172152"/>
  </r>
  <r>
    <x v="20"/>
    <x v="2"/>
    <n v="12"/>
    <n v="7.3"/>
    <n v="35"/>
    <s v="35, 7.3"/>
    <n v="11"/>
    <n v="5327.82"/>
    <n v="5791.69"/>
    <n v="-8.009233919633127"/>
    <n v="8.009233919633127"/>
  </r>
  <r>
    <x v="21"/>
    <x v="2"/>
    <n v="15"/>
    <n v="7.2"/>
    <n v="34"/>
    <s v="34, 7.2"/>
    <n v="11"/>
    <n v="5730.09"/>
    <n v="5791.69"/>
    <n v="-1.0635928373238115"/>
    <n v="1.0635928373238115"/>
  </r>
  <r>
    <x v="22"/>
    <x v="2"/>
    <n v="15"/>
    <n v="7.2"/>
    <n v="34"/>
    <s v="34, 7.2"/>
    <n v="11"/>
    <n v="5927.2950000000001"/>
    <n v="5791.69"/>
    <n v="2.3413718620989812"/>
    <n v="2.3413718620989812"/>
  </r>
  <r>
    <x v="23"/>
    <x v="2"/>
    <n v="15"/>
    <n v="7.2"/>
    <n v="34"/>
    <s v="34, 7.2"/>
    <n v="11"/>
    <n v="5436.5550000000003"/>
    <n v="5791.69"/>
    <n v="-6.1318026344641945"/>
    <n v="6.1318026344641945"/>
  </r>
  <r>
    <x v="0"/>
    <x v="0"/>
    <n v="18"/>
    <n v="7.1"/>
    <n v="32.999999999999993"/>
    <s v="33, 7.1"/>
    <n v="12"/>
    <n v="6341.88"/>
    <n v="6120"/>
    <n v="3.6254901960784331"/>
    <n v="3.6254901960784331"/>
  </r>
  <r>
    <x v="1"/>
    <x v="0"/>
    <n v="12"/>
    <n v="7.3"/>
    <n v="35"/>
    <s v="35, 7.3"/>
    <n v="12"/>
    <n v="6153.24"/>
    <n v="6120"/>
    <n v="0.54313725490195719"/>
    <n v="0.54313725490195719"/>
  </r>
  <r>
    <x v="2"/>
    <x v="1"/>
    <n v="12"/>
    <n v="7.2"/>
    <n v="34"/>
    <s v="34, 7.2"/>
    <n v="12"/>
    <n v="5439.2550000000001"/>
    <n v="6120"/>
    <n v="-11.123284313725488"/>
    <n v="11.123284313725488"/>
  </r>
  <r>
    <x v="3"/>
    <x v="2"/>
    <n v="18"/>
    <n v="7.3"/>
    <n v="35"/>
    <s v="35, 7.3"/>
    <n v="12"/>
    <n v="7113.93"/>
    <n v="6120"/>
    <n v="16.240686274509809"/>
    <n v="16.240686274509809"/>
  </r>
  <r>
    <x v="4"/>
    <x v="1"/>
    <n v="18"/>
    <n v="7.3"/>
    <n v="35"/>
    <s v="35, 7.3"/>
    <n v="12"/>
    <n v="5989.05"/>
    <n v="6120"/>
    <n v="-2.139705882352938"/>
    <n v="2.139705882352938"/>
  </r>
  <r>
    <x v="5"/>
    <x v="1"/>
    <n v="12"/>
    <n v="7.3"/>
    <n v="35"/>
    <s v="35, 7.3"/>
    <n v="12"/>
    <n v="6056.7449999999999"/>
    <n v="6120"/>
    <n v="-1.0335784313725509"/>
    <n v="1.0335784313725509"/>
  </r>
  <r>
    <x v="6"/>
    <x v="0"/>
    <n v="18"/>
    <n v="7.3"/>
    <n v="35"/>
    <s v="35, 7.3"/>
    <n v="12"/>
    <n v="6573.6450000000004"/>
    <n v="6120"/>
    <n v="7.4125000000000068"/>
    <n v="7.4125000000000068"/>
  </r>
  <r>
    <x v="7"/>
    <x v="2"/>
    <n v="15"/>
    <n v="7.2"/>
    <n v="34"/>
    <s v="34, 7.2"/>
    <n v="12"/>
    <n v="5604.9750000000004"/>
    <n v="6120"/>
    <n v="-8.4154411764705817"/>
    <n v="8.4154411764705817"/>
  </r>
  <r>
    <x v="8"/>
    <x v="1"/>
    <n v="18"/>
    <n v="7.1"/>
    <n v="32.999999999999993"/>
    <s v="33, 7.1"/>
    <n v="12"/>
    <n v="5804.3549999999996"/>
    <n v="6120"/>
    <n v="-5.157598039215693"/>
    <n v="5.157598039215693"/>
  </r>
  <r>
    <x v="9"/>
    <x v="0"/>
    <n v="18"/>
    <n v="7.2"/>
    <n v="34"/>
    <s v="34, 7.2"/>
    <n v="12"/>
    <n v="6366.1949999999997"/>
    <n v="6120"/>
    <n v="4.0227941176470541"/>
    <n v="4.0227941176470541"/>
  </r>
  <r>
    <x v="10"/>
    <x v="2"/>
    <n v="18"/>
    <n v="7.1"/>
    <n v="32.999999999999993"/>
    <s v="33, 7.1"/>
    <n v="12"/>
    <n v="6578.1149999999998"/>
    <n v="6120"/>
    <n v="7.4855392156862708"/>
    <n v="7.4855392156862708"/>
  </r>
  <r>
    <x v="11"/>
    <x v="0"/>
    <n v="15"/>
    <n v="7.1"/>
    <n v="32.999999999999993"/>
    <s v="33, 7.1"/>
    <n v="12"/>
    <n v="6067.92"/>
    <n v="6120"/>
    <n v="-0.85098039215686161"/>
    <n v="0.85098039215686161"/>
  </r>
  <r>
    <x v="12"/>
    <x v="1"/>
    <n v="15"/>
    <n v="7.1"/>
    <n v="32.999999999999993"/>
    <s v="33, 7.1"/>
    <n v="12"/>
    <n v="5831.76"/>
    <n v="6120"/>
    <n v="-4.709803921568624"/>
    <n v="4.709803921568624"/>
  </r>
  <r>
    <x v="13"/>
    <x v="0"/>
    <n v="15"/>
    <n v="7.3"/>
    <n v="35"/>
    <s v="35, 7.3"/>
    <n v="12"/>
    <n v="6554.5649999999996"/>
    <n v="6120"/>
    <n v="7.1007352941176398"/>
    <n v="7.1007352941176398"/>
  </r>
  <r>
    <x v="14"/>
    <x v="1"/>
    <n v="18"/>
    <n v="7.2"/>
    <n v="34"/>
    <s v="34, 7.2"/>
    <n v="12"/>
    <n v="5775.24"/>
    <n v="6120"/>
    <n v="-5.6333333333333373"/>
    <n v="5.6333333333333373"/>
  </r>
  <r>
    <x v="15"/>
    <x v="2"/>
    <n v="12"/>
    <n v="7.1"/>
    <n v="32.999999999999993"/>
    <s v="33, 7.1"/>
    <n v="12"/>
    <n v="5679.03"/>
    <n v="6120"/>
    <n v="-7.2053921568627501"/>
    <n v="7.2053921568627501"/>
  </r>
  <r>
    <x v="16"/>
    <x v="0"/>
    <n v="12"/>
    <n v="7.1"/>
    <n v="32.999999999999993"/>
    <s v="33, 7.1"/>
    <n v="12"/>
    <n v="5975.7749999999996"/>
    <n v="6120"/>
    <n v="-2.3566176470588296"/>
    <n v="2.3566176470588296"/>
  </r>
  <r>
    <x v="17"/>
    <x v="1"/>
    <n v="15"/>
    <n v="7.3"/>
    <n v="35"/>
    <s v="35, 7.3"/>
    <n v="12"/>
    <n v="5841.4049999999997"/>
    <n v="6120"/>
    <n v="-4.5522058823529452"/>
    <n v="4.5522058823529452"/>
  </r>
  <r>
    <x v="18"/>
    <x v="0"/>
    <n v="12"/>
    <n v="7.2"/>
    <n v="34"/>
    <s v="34, 7.2"/>
    <n v="12"/>
    <n v="6066.15"/>
    <n v="6120"/>
    <n v="-0.8799019607843197"/>
    <n v="0.8799019607843197"/>
  </r>
  <r>
    <x v="19"/>
    <x v="1"/>
    <n v="12"/>
    <n v="7.1"/>
    <n v="32.999999999999993"/>
    <s v="33, 7.1"/>
    <n v="12"/>
    <n v="5475.4049999999997"/>
    <n v="6120"/>
    <n v="-10.53259803921569"/>
    <n v="10.53259803921569"/>
  </r>
  <r>
    <x v="20"/>
    <x v="2"/>
    <n v="12"/>
    <n v="7.3"/>
    <n v="35"/>
    <s v="35, 7.3"/>
    <n v="12"/>
    <n v="5705.1149999999998"/>
    <n v="6120"/>
    <n v="-6.7791666666666703"/>
    <n v="6.7791666666666703"/>
  </r>
  <r>
    <x v="21"/>
    <x v="2"/>
    <n v="15"/>
    <n v="7.2"/>
    <n v="34"/>
    <s v="34, 7.2"/>
    <n v="12"/>
    <n v="6154.8349999999991"/>
    <n v="6120"/>
    <n v="0.56919934640521452"/>
    <n v="0.56919934640521452"/>
  </r>
  <r>
    <x v="22"/>
    <x v="2"/>
    <n v="15"/>
    <n v="7.2"/>
    <n v="34"/>
    <s v="34, 7.2"/>
    <n v="12"/>
    <n v="6407.1349999999993"/>
    <n v="6120"/>
    <n v="4.6917483660130603"/>
    <n v="4.6917483660130603"/>
  </r>
  <r>
    <x v="23"/>
    <x v="2"/>
    <n v="15"/>
    <n v="7.2"/>
    <n v="34"/>
    <s v="34, 7.2"/>
    <n v="12"/>
    <n v="6033.1850000000004"/>
    <n v="6120"/>
    <n v="-1.4185457516339803"/>
    <n v="1.4185457516339803"/>
  </r>
  <r>
    <x v="24"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FC455-2A14-4981-A6FE-680E0626D6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9" firstHeaderRow="0" firstDataRow="1" firstDataCol="1"/>
  <pivotFields count="11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Difference from Setpoint" fld="9" subtotal="average" baseField="0" baseItem="0"/>
    <dataField name="Average of ABS" fld="10" subtotal="average" baseField="0" baseItem="0"/>
  </dataFields>
  <formats count="2"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8" dT="2024-03-07T17:44:58.12" personId="{BF1EA4D7-5DAA-4852-AAC5-0F7B8A17B792}" id="{9DBCAE4A-9027-4D75-A3BD-CC5DFC6E57D2}">
    <text>Was 0.09. Removed for plotting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29"/>
  <sheetViews>
    <sheetView tabSelected="1" zoomScaleNormal="100" workbookViewId="0">
      <pane xSplit="7" ySplit="2" topLeftCell="H275" activePane="bottomRight" state="frozen"/>
      <selection pane="topRight" activeCell="H1" sqref="H1"/>
      <selection pane="bottomLeft" activeCell="A3" sqref="A3"/>
      <selection pane="bottomRight" activeCell="E298" sqref="E298"/>
    </sheetView>
  </sheetViews>
  <sheetFormatPr defaultColWidth="14.7109375" defaultRowHeight="15" x14ac:dyDescent="0.25"/>
  <cols>
    <col min="2" max="6" width="10.7109375" customWidth="1"/>
    <col min="8" max="8" width="10.7109375" style="94" customWidth="1"/>
    <col min="9" max="9" width="10.7109375" style="96" customWidth="1"/>
    <col min="10" max="16" width="10.7109375" customWidth="1"/>
    <col min="17" max="17" width="10.7109375" style="3" customWidth="1"/>
    <col min="18" max="18" width="10.7109375" style="2" customWidth="1"/>
    <col min="19" max="19" width="10.7109375" style="96" customWidth="1"/>
    <col min="20" max="20" width="10.7109375" customWidth="1"/>
    <col min="21" max="21" width="20.5703125" bestFit="1" customWidth="1"/>
    <col min="22" max="27" width="10.7109375" customWidth="1"/>
    <col min="28" max="28" width="10.7109375" style="3" customWidth="1"/>
    <col min="29" max="31" width="10.7109375" customWidth="1"/>
    <col min="32" max="34" width="10.7109375" style="31" customWidth="1"/>
    <col min="35" max="35" width="10.7109375" customWidth="1"/>
    <col min="36" max="36" width="10.7109375" style="2" customWidth="1"/>
    <col min="37" max="40" width="10.7109375" customWidth="1"/>
    <col min="41" max="42" width="10.7109375" style="3" customWidth="1"/>
  </cols>
  <sheetData>
    <row r="1" spans="1:42" ht="21" x14ac:dyDescent="0.35">
      <c r="A1" s="106" t="s">
        <v>0</v>
      </c>
      <c r="B1" s="106"/>
      <c r="C1" s="106"/>
      <c r="D1" s="106"/>
      <c r="E1" s="106"/>
      <c r="F1" s="106"/>
      <c r="G1" s="106"/>
      <c r="H1" s="88"/>
      <c r="I1" s="127"/>
      <c r="J1" s="116" t="s">
        <v>1</v>
      </c>
      <c r="K1" s="117"/>
      <c r="L1" s="117"/>
      <c r="M1" s="117"/>
      <c r="N1" s="117"/>
      <c r="O1" s="117"/>
      <c r="P1" s="117"/>
      <c r="Q1" s="118"/>
      <c r="R1" s="113" t="s">
        <v>2</v>
      </c>
      <c r="S1" s="114"/>
      <c r="T1" s="114"/>
      <c r="U1" s="114"/>
      <c r="V1" s="114"/>
      <c r="W1" s="114"/>
      <c r="X1" s="114"/>
      <c r="Y1" s="114"/>
      <c r="Z1" s="114"/>
      <c r="AA1" s="114"/>
      <c r="AB1" s="115"/>
      <c r="AC1" s="110" t="s">
        <v>3</v>
      </c>
      <c r="AD1" s="111"/>
      <c r="AE1" s="111"/>
      <c r="AF1" s="111"/>
      <c r="AG1" s="111"/>
      <c r="AH1" s="111"/>
      <c r="AI1" s="112"/>
      <c r="AJ1" s="107" t="s">
        <v>4</v>
      </c>
      <c r="AK1" s="108"/>
      <c r="AL1" s="108"/>
      <c r="AM1" s="108"/>
      <c r="AN1" s="108"/>
      <c r="AO1" s="108"/>
      <c r="AP1" s="109"/>
    </row>
    <row r="2" spans="1:42" s="63" customFormat="1" ht="60.75" thickBot="1" x14ac:dyDescent="0.3">
      <c r="A2" s="63" t="s">
        <v>5</v>
      </c>
      <c r="B2" s="63" t="s">
        <v>6</v>
      </c>
      <c r="C2" s="63" t="s">
        <v>7</v>
      </c>
      <c r="D2" s="63" t="s">
        <v>8</v>
      </c>
      <c r="E2" s="63" t="s">
        <v>9</v>
      </c>
      <c r="F2" s="63" t="s">
        <v>10</v>
      </c>
      <c r="G2" s="63" t="s">
        <v>11</v>
      </c>
      <c r="H2" s="89" t="s">
        <v>12</v>
      </c>
      <c r="I2" s="128" t="s">
        <v>428</v>
      </c>
      <c r="J2" s="63" t="s">
        <v>13</v>
      </c>
      <c r="K2" s="63" t="s">
        <v>14</v>
      </c>
      <c r="L2" s="63" t="s">
        <v>15</v>
      </c>
      <c r="M2" s="63" t="s">
        <v>16</v>
      </c>
      <c r="N2" s="63" t="s">
        <v>17</v>
      </c>
      <c r="O2" s="63" t="s">
        <v>18</v>
      </c>
      <c r="P2" s="63" t="s">
        <v>19</v>
      </c>
      <c r="Q2" s="66" t="s">
        <v>20</v>
      </c>
      <c r="R2" s="63" t="s">
        <v>21</v>
      </c>
      <c r="S2" s="63" t="s">
        <v>426</v>
      </c>
      <c r="T2" s="63" t="s">
        <v>22</v>
      </c>
      <c r="U2" s="63" t="s">
        <v>23</v>
      </c>
      <c r="V2" s="63" t="s">
        <v>24</v>
      </c>
      <c r="W2" s="63" t="s">
        <v>25</v>
      </c>
      <c r="X2" s="63" t="s">
        <v>26</v>
      </c>
      <c r="Y2" s="63" t="s">
        <v>27</v>
      </c>
      <c r="Z2" s="63" t="s">
        <v>28</v>
      </c>
      <c r="AA2" s="63" t="s">
        <v>29</v>
      </c>
      <c r="AB2" s="65" t="s">
        <v>30</v>
      </c>
      <c r="AC2" s="63" t="s">
        <v>31</v>
      </c>
      <c r="AD2" s="63" t="s">
        <v>32</v>
      </c>
      <c r="AE2" s="63" t="s">
        <v>33</v>
      </c>
      <c r="AF2" s="63" t="s">
        <v>34</v>
      </c>
      <c r="AG2" s="63" t="s">
        <v>35</v>
      </c>
      <c r="AH2" s="63" t="s">
        <v>36</v>
      </c>
      <c r="AI2" s="63" t="s">
        <v>37</v>
      </c>
      <c r="AJ2" s="64" t="s">
        <v>38</v>
      </c>
      <c r="AK2" s="63" t="s">
        <v>39</v>
      </c>
      <c r="AL2" s="63" t="s">
        <v>40</v>
      </c>
      <c r="AM2" s="63" t="s">
        <v>41</v>
      </c>
      <c r="AN2" s="63" t="s">
        <v>42</v>
      </c>
      <c r="AO2" s="66" t="s">
        <v>43</v>
      </c>
      <c r="AP2" s="66" t="s">
        <v>44</v>
      </c>
    </row>
    <row r="3" spans="1:42" x14ac:dyDescent="0.25">
      <c r="A3" s="7" t="s">
        <v>45</v>
      </c>
      <c r="B3" s="8" t="s">
        <v>46</v>
      </c>
      <c r="C3" s="8">
        <v>18</v>
      </c>
      <c r="D3" s="8">
        <v>7.1</v>
      </c>
      <c r="E3" s="8">
        <v>32.999999999999993</v>
      </c>
      <c r="F3" s="8">
        <v>0</v>
      </c>
      <c r="G3" s="9">
        <v>45344.511111111096</v>
      </c>
      <c r="H3" s="90"/>
      <c r="I3" s="18">
        <v>146.51</v>
      </c>
      <c r="J3" s="18"/>
      <c r="K3" s="18">
        <v>17.45</v>
      </c>
      <c r="L3" s="18">
        <v>98.38</v>
      </c>
      <c r="M3" s="18">
        <v>0.85</v>
      </c>
      <c r="N3" s="18">
        <v>313</v>
      </c>
      <c r="O3" s="18">
        <v>29.6</v>
      </c>
      <c r="P3" s="18">
        <v>5.69</v>
      </c>
      <c r="Q3" s="82">
        <v>7.38</v>
      </c>
      <c r="R3" s="26">
        <v>0</v>
      </c>
      <c r="S3" s="26">
        <v>1.02</v>
      </c>
      <c r="T3" s="26">
        <v>0</v>
      </c>
      <c r="U3" s="26">
        <v>0.06</v>
      </c>
      <c r="V3" s="26">
        <v>197.36</v>
      </c>
      <c r="W3" s="26">
        <v>14.58</v>
      </c>
      <c r="X3" s="27">
        <f t="shared" ref="X3:X26" si="0">AI3-V3</f>
        <v>2.6399999999999864</v>
      </c>
      <c r="Y3" s="27">
        <f t="shared" ref="Y3:Y66" si="1">R3/AI3</f>
        <v>0</v>
      </c>
      <c r="Z3" s="27">
        <f t="shared" ref="Z3:Z66" si="2">R3/V3</f>
        <v>0</v>
      </c>
      <c r="AA3" s="27">
        <f t="shared" ref="AA3:AA66" si="3">T3/V3</f>
        <v>0</v>
      </c>
      <c r="AB3" s="28">
        <f t="shared" ref="AB3:AB26" si="4">U3*12</f>
        <v>0.72</v>
      </c>
      <c r="AC3" s="18">
        <v>34</v>
      </c>
      <c r="AD3" s="18">
        <v>7.2</v>
      </c>
      <c r="AE3" s="18">
        <v>50</v>
      </c>
      <c r="AF3" s="26">
        <v>2.9999999999999997E-4</v>
      </c>
      <c r="AG3" s="26">
        <f t="shared" ref="AG3:AG66" si="5">AF3*K3*V3*0.06</f>
        <v>6.1990775999999997E-2</v>
      </c>
      <c r="AH3" s="26">
        <v>0</v>
      </c>
      <c r="AI3" s="60">
        <v>200</v>
      </c>
      <c r="AJ3" s="25">
        <v>4.3192622934591996E-3</v>
      </c>
      <c r="AK3" s="26">
        <v>9.9999999999999995E-8</v>
      </c>
      <c r="AL3" s="26">
        <v>1.24670643525984E-2</v>
      </c>
      <c r="AM3" s="27">
        <f t="shared" ref="AM3:AM66" si="6">IF(B3="Python",AJ3*AI3/24,0)</f>
        <v>0</v>
      </c>
      <c r="AN3" s="27">
        <f t="shared" ref="AN3:AN66" si="7">IF(B3="Julia",AK3*V3/24,0)</f>
        <v>8.2233333333333346E-7</v>
      </c>
      <c r="AO3" s="28">
        <f t="shared" ref="AO3:AO66" si="8">AL3*V3</f>
        <v>2.4604998206288204</v>
      </c>
      <c r="AP3" s="29">
        <f t="shared" ref="AP3:AP34" si="9">IF(IF(AND(AN3=0, AM3=0),0, IF(AN3&gt;0,AN3,AM3))=0,0,IF(AND(AN3=0, AM3=0),0, IF(AN3&gt;0,AN3,AM3)))</f>
        <v>8.2233333333333346E-7</v>
      </c>
    </row>
    <row r="4" spans="1:42" x14ac:dyDescent="0.25">
      <c r="A4" s="2" t="s">
        <v>47</v>
      </c>
      <c r="B4" t="s">
        <v>46</v>
      </c>
      <c r="C4">
        <v>12</v>
      </c>
      <c r="D4">
        <v>7.3</v>
      </c>
      <c r="E4">
        <v>35</v>
      </c>
      <c r="F4">
        <v>0</v>
      </c>
      <c r="G4" s="1">
        <v>45344.515277777798</v>
      </c>
      <c r="H4" s="91"/>
      <c r="I4" s="98">
        <v>146.51</v>
      </c>
      <c r="J4" s="20"/>
      <c r="K4" s="20">
        <v>10.8</v>
      </c>
      <c r="L4" s="20">
        <v>98.45</v>
      </c>
      <c r="M4" s="20">
        <v>0.63</v>
      </c>
      <c r="N4" s="20">
        <v>318</v>
      </c>
      <c r="O4" s="20">
        <v>21.6</v>
      </c>
      <c r="P4" s="20">
        <v>6.65</v>
      </c>
      <c r="Q4" s="83">
        <v>7.49</v>
      </c>
      <c r="R4" s="31">
        <v>0</v>
      </c>
      <c r="S4" s="31">
        <v>0.88</v>
      </c>
      <c r="T4" s="31">
        <v>0</v>
      </c>
      <c r="U4" s="31">
        <v>0.04</v>
      </c>
      <c r="V4" s="31">
        <v>197.51</v>
      </c>
      <c r="W4" s="31">
        <v>2.58</v>
      </c>
      <c r="X4" s="32">
        <f t="shared" si="0"/>
        <v>2.4900000000000091</v>
      </c>
      <c r="Y4" s="32">
        <f t="shared" si="1"/>
        <v>0</v>
      </c>
      <c r="Z4" s="32">
        <f t="shared" si="2"/>
        <v>0</v>
      </c>
      <c r="AA4" s="32">
        <f t="shared" si="3"/>
        <v>0</v>
      </c>
      <c r="AB4" s="33">
        <f t="shared" si="4"/>
        <v>0.48</v>
      </c>
      <c r="AC4" s="20">
        <v>34</v>
      </c>
      <c r="AD4" s="20">
        <v>7.2</v>
      </c>
      <c r="AE4" s="20">
        <v>50</v>
      </c>
      <c r="AF4" s="31">
        <v>2.9999999999999997E-4</v>
      </c>
      <c r="AG4" s="31">
        <f t="shared" si="5"/>
        <v>3.8395943999999994E-2</v>
      </c>
      <c r="AH4" s="31">
        <v>0</v>
      </c>
      <c r="AI4" s="61">
        <v>200</v>
      </c>
      <c r="AJ4" s="30">
        <v>2.1494601329139001E-3</v>
      </c>
      <c r="AK4" s="31">
        <v>2.4E-2</v>
      </c>
      <c r="AL4" s="31">
        <v>0</v>
      </c>
      <c r="AM4" s="32">
        <f t="shared" si="6"/>
        <v>0</v>
      </c>
      <c r="AN4" s="32">
        <f t="shared" si="7"/>
        <v>0.19750999999999999</v>
      </c>
      <c r="AO4" s="33">
        <f t="shared" si="8"/>
        <v>0</v>
      </c>
      <c r="AP4" s="34">
        <f t="shared" si="9"/>
        <v>0.19750999999999999</v>
      </c>
    </row>
    <row r="5" spans="1:42" x14ac:dyDescent="0.25">
      <c r="A5" s="2" t="s">
        <v>48</v>
      </c>
      <c r="B5" t="s">
        <v>49</v>
      </c>
      <c r="C5">
        <v>12</v>
      </c>
      <c r="D5">
        <v>7.2</v>
      </c>
      <c r="E5">
        <v>34</v>
      </c>
      <c r="F5">
        <v>0</v>
      </c>
      <c r="G5" s="1">
        <v>45344.519444444399</v>
      </c>
      <c r="H5" s="91"/>
      <c r="I5" s="98">
        <v>146.51</v>
      </c>
      <c r="J5" s="20"/>
      <c r="K5" s="20">
        <v>10.029999999999999</v>
      </c>
      <c r="L5" s="20">
        <v>98.72</v>
      </c>
      <c r="M5" s="20">
        <v>0.66</v>
      </c>
      <c r="N5" s="20">
        <v>316</v>
      </c>
      <c r="O5" s="20">
        <v>21.9</v>
      </c>
      <c r="P5" s="20">
        <v>6.55</v>
      </c>
      <c r="Q5" s="83">
        <v>7.48</v>
      </c>
      <c r="R5" s="31">
        <v>0</v>
      </c>
      <c r="S5" s="31">
        <v>0.63</v>
      </c>
      <c r="T5" s="31">
        <v>0</v>
      </c>
      <c r="U5" s="31">
        <v>0.04</v>
      </c>
      <c r="V5" s="31">
        <v>197.44</v>
      </c>
      <c r="W5" s="31">
        <v>2.58</v>
      </c>
      <c r="X5" s="32">
        <f t="shared" si="0"/>
        <v>2.5600000000000023</v>
      </c>
      <c r="Y5" s="32">
        <f t="shared" si="1"/>
        <v>0</v>
      </c>
      <c r="Z5" s="32">
        <f t="shared" si="2"/>
        <v>0</v>
      </c>
      <c r="AA5" s="32">
        <f t="shared" si="3"/>
        <v>0</v>
      </c>
      <c r="AB5" s="33">
        <f t="shared" si="4"/>
        <v>0.48</v>
      </c>
      <c r="AC5" s="20">
        <v>34</v>
      </c>
      <c r="AD5" s="20">
        <v>7.2</v>
      </c>
      <c r="AE5" s="20">
        <v>50</v>
      </c>
      <c r="AF5" s="31">
        <v>2.9999999999999997E-4</v>
      </c>
      <c r="AG5" s="31">
        <f t="shared" si="5"/>
        <v>3.564581759999999E-2</v>
      </c>
      <c r="AH5" s="31">
        <v>0</v>
      </c>
      <c r="AI5" s="61">
        <v>200</v>
      </c>
      <c r="AJ5" s="30">
        <v>2.3167468980121002E-3</v>
      </c>
      <c r="AK5" s="31"/>
      <c r="AL5" s="31"/>
      <c r="AM5" s="32">
        <f t="shared" si="6"/>
        <v>1.9306224150100835E-2</v>
      </c>
      <c r="AN5" s="32">
        <f t="shared" si="7"/>
        <v>0</v>
      </c>
      <c r="AO5" s="33">
        <f t="shared" si="8"/>
        <v>0</v>
      </c>
      <c r="AP5" s="34">
        <f t="shared" si="9"/>
        <v>1.9306224150100835E-2</v>
      </c>
    </row>
    <row r="6" spans="1:42" x14ac:dyDescent="0.25">
      <c r="A6" s="2" t="s">
        <v>50</v>
      </c>
      <c r="B6" t="s">
        <v>51</v>
      </c>
      <c r="C6">
        <v>18</v>
      </c>
      <c r="D6">
        <v>7.3</v>
      </c>
      <c r="E6">
        <v>35</v>
      </c>
      <c r="F6">
        <v>0</v>
      </c>
      <c r="G6" s="1">
        <v>45344.523611111101</v>
      </c>
      <c r="H6" s="91"/>
      <c r="I6" s="98">
        <v>146.51</v>
      </c>
      <c r="J6" s="20"/>
      <c r="K6" s="20">
        <v>16.52</v>
      </c>
      <c r="L6" s="20">
        <v>98.17</v>
      </c>
      <c r="M6" s="20">
        <v>0.94</v>
      </c>
      <c r="N6" s="20">
        <v>315</v>
      </c>
      <c r="O6" s="20">
        <v>31.3</v>
      </c>
      <c r="P6" s="20">
        <v>5.61</v>
      </c>
      <c r="Q6" s="83">
        <v>7.34</v>
      </c>
      <c r="R6" s="31">
        <v>0</v>
      </c>
      <c r="S6" s="31">
        <v>1.02</v>
      </c>
      <c r="T6" s="31">
        <v>0</v>
      </c>
      <c r="U6" s="31">
        <v>0.06</v>
      </c>
      <c r="V6" s="31">
        <v>197.33</v>
      </c>
      <c r="W6" s="31">
        <v>14.58</v>
      </c>
      <c r="X6" s="32">
        <f t="shared" si="0"/>
        <v>2.6699999999999875</v>
      </c>
      <c r="Y6" s="32">
        <f t="shared" si="1"/>
        <v>0</v>
      </c>
      <c r="Z6" s="32">
        <f t="shared" si="2"/>
        <v>0</v>
      </c>
      <c r="AA6" s="32">
        <f t="shared" si="3"/>
        <v>0</v>
      </c>
      <c r="AB6" s="33">
        <f t="shared" si="4"/>
        <v>0.72</v>
      </c>
      <c r="AC6" s="20">
        <v>34</v>
      </c>
      <c r="AD6" s="20">
        <v>7.2</v>
      </c>
      <c r="AE6" s="20">
        <v>50</v>
      </c>
      <c r="AF6" s="31">
        <v>2.9999999999999997E-4</v>
      </c>
      <c r="AG6" s="31">
        <f t="shared" si="5"/>
        <v>5.86780488E-2</v>
      </c>
      <c r="AH6" s="31">
        <v>0</v>
      </c>
      <c r="AI6" s="61">
        <v>200</v>
      </c>
      <c r="AJ6" s="30">
        <v>4.5571495036696996E-3</v>
      </c>
      <c r="AK6" s="31"/>
      <c r="AL6" s="31"/>
      <c r="AM6" s="32">
        <f t="shared" si="6"/>
        <v>0</v>
      </c>
      <c r="AN6" s="32">
        <f t="shared" si="7"/>
        <v>0</v>
      </c>
      <c r="AO6" s="33">
        <f t="shared" si="8"/>
        <v>0</v>
      </c>
      <c r="AP6" s="34">
        <f t="shared" si="9"/>
        <v>0</v>
      </c>
    </row>
    <row r="7" spans="1:42" x14ac:dyDescent="0.25">
      <c r="A7" s="2" t="s">
        <v>52</v>
      </c>
      <c r="B7" t="s">
        <v>49</v>
      </c>
      <c r="C7">
        <v>18</v>
      </c>
      <c r="D7">
        <v>7.3</v>
      </c>
      <c r="E7">
        <v>35</v>
      </c>
      <c r="F7">
        <v>0</v>
      </c>
      <c r="G7" s="1">
        <v>45344.527777777803</v>
      </c>
      <c r="H7" s="91"/>
      <c r="I7" s="98">
        <v>146.51</v>
      </c>
      <c r="J7" s="20"/>
      <c r="K7" s="20">
        <v>16.07</v>
      </c>
      <c r="L7" s="20">
        <v>98.34</v>
      </c>
      <c r="M7" s="20">
        <v>0.93</v>
      </c>
      <c r="N7" s="20">
        <v>315</v>
      </c>
      <c r="O7" s="20">
        <v>32.6</v>
      </c>
      <c r="P7" s="20">
        <v>5.56</v>
      </c>
      <c r="Q7" s="83">
        <v>7.32</v>
      </c>
      <c r="R7" s="31">
        <v>0</v>
      </c>
      <c r="S7" s="31">
        <v>1.01</v>
      </c>
      <c r="T7" s="31">
        <v>0</v>
      </c>
      <c r="U7" s="31">
        <v>0.06</v>
      </c>
      <c r="V7" s="31">
        <v>197.36</v>
      </c>
      <c r="W7" s="31">
        <v>14.58</v>
      </c>
      <c r="X7" s="32">
        <f t="shared" si="0"/>
        <v>2.6399999999999864</v>
      </c>
      <c r="Y7" s="32">
        <f t="shared" si="1"/>
        <v>0</v>
      </c>
      <c r="Z7" s="32">
        <f t="shared" si="2"/>
        <v>0</v>
      </c>
      <c r="AA7" s="32">
        <f t="shared" si="3"/>
        <v>0</v>
      </c>
      <c r="AB7" s="33">
        <f t="shared" si="4"/>
        <v>0.72</v>
      </c>
      <c r="AC7" s="20">
        <v>34</v>
      </c>
      <c r="AD7" s="20">
        <v>7.2</v>
      </c>
      <c r="AE7" s="20">
        <v>50</v>
      </c>
      <c r="AF7" s="31">
        <v>2.9999999999999997E-4</v>
      </c>
      <c r="AG7" s="31">
        <f t="shared" si="5"/>
        <v>5.7088353600000002E-2</v>
      </c>
      <c r="AH7" s="31">
        <v>0</v>
      </c>
      <c r="AI7" s="61">
        <v>200</v>
      </c>
      <c r="AJ7" s="30">
        <v>4.6320973997467001E-3</v>
      </c>
      <c r="AK7" s="31"/>
      <c r="AL7" s="31"/>
      <c r="AM7" s="32">
        <f t="shared" si="6"/>
        <v>3.8600811664555833E-2</v>
      </c>
      <c r="AN7" s="32">
        <f t="shared" si="7"/>
        <v>0</v>
      </c>
      <c r="AO7" s="33">
        <f t="shared" si="8"/>
        <v>0</v>
      </c>
      <c r="AP7" s="34">
        <f t="shared" si="9"/>
        <v>3.8600811664555833E-2</v>
      </c>
    </row>
    <row r="8" spans="1:42" x14ac:dyDescent="0.25">
      <c r="A8" s="2" t="s">
        <v>53</v>
      </c>
      <c r="B8" t="s">
        <v>49</v>
      </c>
      <c r="C8">
        <v>12</v>
      </c>
      <c r="D8">
        <v>7.3</v>
      </c>
      <c r="E8">
        <v>35</v>
      </c>
      <c r="F8">
        <v>0</v>
      </c>
      <c r="G8" s="1">
        <v>45344.53125</v>
      </c>
      <c r="H8" s="91"/>
      <c r="I8" s="98">
        <v>146.51</v>
      </c>
      <c r="J8" s="20"/>
      <c r="K8" s="20">
        <v>9.9499999999999993</v>
      </c>
      <c r="L8" s="20">
        <v>98.71</v>
      </c>
      <c r="M8" s="20">
        <v>0.71</v>
      </c>
      <c r="N8" s="20">
        <v>318</v>
      </c>
      <c r="O8" s="20">
        <v>25.5</v>
      </c>
      <c r="P8" s="20">
        <v>6.47</v>
      </c>
      <c r="Q8" s="83">
        <v>7.42</v>
      </c>
      <c r="R8" s="31">
        <v>0</v>
      </c>
      <c r="S8" s="31">
        <v>0.61</v>
      </c>
      <c r="T8" s="31">
        <v>0</v>
      </c>
      <c r="U8" s="31">
        <v>0.04</v>
      </c>
      <c r="V8" s="31">
        <v>197.4</v>
      </c>
      <c r="W8" s="31">
        <v>2.58</v>
      </c>
      <c r="X8" s="32">
        <f t="shared" si="0"/>
        <v>2.5999999999999943</v>
      </c>
      <c r="Y8" s="32">
        <f t="shared" si="1"/>
        <v>0</v>
      </c>
      <c r="Z8" s="32">
        <f t="shared" si="2"/>
        <v>0</v>
      </c>
      <c r="AA8" s="32">
        <f t="shared" si="3"/>
        <v>0</v>
      </c>
      <c r="AB8" s="33">
        <f t="shared" si="4"/>
        <v>0.48</v>
      </c>
      <c r="AC8" s="20">
        <v>34</v>
      </c>
      <c r="AD8" s="20">
        <v>7.2</v>
      </c>
      <c r="AE8" s="20">
        <v>50</v>
      </c>
      <c r="AF8" s="31">
        <v>2.9999999999999997E-4</v>
      </c>
      <c r="AG8" s="31">
        <f t="shared" si="5"/>
        <v>3.5354339999999991E-2</v>
      </c>
      <c r="AH8" s="31">
        <v>0</v>
      </c>
      <c r="AI8" s="61">
        <v>200</v>
      </c>
      <c r="AJ8" s="30">
        <v>2.7068542113845E-3</v>
      </c>
      <c r="AK8" s="31"/>
      <c r="AL8" s="31"/>
      <c r="AM8" s="32">
        <f t="shared" si="6"/>
        <v>2.2557118428204168E-2</v>
      </c>
      <c r="AN8" s="32">
        <f t="shared" si="7"/>
        <v>0</v>
      </c>
      <c r="AO8" s="33">
        <f t="shared" si="8"/>
        <v>0</v>
      </c>
      <c r="AP8" s="34">
        <f t="shared" si="9"/>
        <v>2.2557118428204168E-2</v>
      </c>
    </row>
    <row r="9" spans="1:42" x14ac:dyDescent="0.25">
      <c r="A9" s="2" t="s">
        <v>54</v>
      </c>
      <c r="B9" t="s">
        <v>46</v>
      </c>
      <c r="C9">
        <v>18</v>
      </c>
      <c r="D9">
        <v>7.3</v>
      </c>
      <c r="E9">
        <v>35</v>
      </c>
      <c r="F9">
        <v>0</v>
      </c>
      <c r="G9" s="1">
        <v>45344.536111111098</v>
      </c>
      <c r="H9" s="91"/>
      <c r="I9" s="98">
        <v>146.51</v>
      </c>
      <c r="J9" s="20"/>
      <c r="K9" s="20">
        <v>16.07</v>
      </c>
      <c r="L9" s="20">
        <v>98.58</v>
      </c>
      <c r="M9" s="20">
        <v>1</v>
      </c>
      <c r="N9" s="20">
        <v>314</v>
      </c>
      <c r="O9" s="20">
        <v>34.5</v>
      </c>
      <c r="P9" s="20">
        <v>5.48</v>
      </c>
      <c r="Q9" s="83">
        <v>7.29</v>
      </c>
      <c r="R9" s="31">
        <v>0</v>
      </c>
      <c r="S9" s="31">
        <v>0.95</v>
      </c>
      <c r="T9" s="31">
        <v>0</v>
      </c>
      <c r="U9" s="31">
        <v>0.06</v>
      </c>
      <c r="V9" s="31">
        <v>197.38</v>
      </c>
      <c r="W9" s="31">
        <v>14.58</v>
      </c>
      <c r="X9" s="32">
        <f t="shared" si="0"/>
        <v>2.6200000000000045</v>
      </c>
      <c r="Y9" s="32">
        <f t="shared" si="1"/>
        <v>0</v>
      </c>
      <c r="Z9" s="32">
        <f t="shared" si="2"/>
        <v>0</v>
      </c>
      <c r="AA9" s="32">
        <f t="shared" si="3"/>
        <v>0</v>
      </c>
      <c r="AB9" s="33">
        <f t="shared" si="4"/>
        <v>0.72</v>
      </c>
      <c r="AC9" s="20">
        <v>34</v>
      </c>
      <c r="AD9" s="20">
        <v>7.2</v>
      </c>
      <c r="AE9" s="20">
        <v>50</v>
      </c>
      <c r="AF9" s="31">
        <v>2.9999999999999997E-4</v>
      </c>
      <c r="AG9" s="31">
        <f t="shared" si="5"/>
        <v>5.7094138799999992E-2</v>
      </c>
      <c r="AH9" s="31">
        <v>0</v>
      </c>
      <c r="AI9" s="61">
        <v>200</v>
      </c>
      <c r="AJ9" s="30">
        <v>5.0078741380993001E-3</v>
      </c>
      <c r="AK9" s="31">
        <v>9.9999999999999995E-8</v>
      </c>
      <c r="AL9" s="31">
        <v>7.1379117386933602E-3</v>
      </c>
      <c r="AM9" s="32">
        <f t="shared" si="6"/>
        <v>0</v>
      </c>
      <c r="AN9" s="32">
        <f t="shared" si="7"/>
        <v>8.2241666666666666E-7</v>
      </c>
      <c r="AO9" s="33">
        <f t="shared" si="8"/>
        <v>1.4088810189832954</v>
      </c>
      <c r="AP9" s="34">
        <f t="shared" si="9"/>
        <v>8.2241666666666666E-7</v>
      </c>
    </row>
    <row r="10" spans="1:42" x14ac:dyDescent="0.25">
      <c r="A10" s="2" t="s">
        <v>55</v>
      </c>
      <c r="B10" t="s">
        <v>51</v>
      </c>
      <c r="C10">
        <v>15</v>
      </c>
      <c r="D10">
        <v>7.2</v>
      </c>
      <c r="E10">
        <v>34</v>
      </c>
      <c r="F10">
        <v>0</v>
      </c>
      <c r="G10" s="1">
        <v>45344.540972222203</v>
      </c>
      <c r="H10" s="91"/>
      <c r="I10" s="98">
        <v>146.51</v>
      </c>
      <c r="J10" s="20"/>
      <c r="K10" s="20">
        <v>13.48</v>
      </c>
      <c r="L10" s="20">
        <v>98.58</v>
      </c>
      <c r="M10" s="20">
        <v>0.87</v>
      </c>
      <c r="N10" s="20">
        <v>317</v>
      </c>
      <c r="O10" s="20">
        <v>32</v>
      </c>
      <c r="P10" s="20">
        <v>5.81</v>
      </c>
      <c r="Q10" s="83">
        <v>7.32</v>
      </c>
      <c r="R10" s="31">
        <v>0</v>
      </c>
      <c r="S10" s="31">
        <v>0.85</v>
      </c>
      <c r="T10" s="31">
        <v>0</v>
      </c>
      <c r="U10" s="31">
        <v>0.05</v>
      </c>
      <c r="V10" s="31">
        <v>197.37</v>
      </c>
      <c r="W10" s="31">
        <v>2.58</v>
      </c>
      <c r="X10" s="32">
        <f t="shared" si="0"/>
        <v>2.6299999999999955</v>
      </c>
      <c r="Y10" s="32">
        <f t="shared" si="1"/>
        <v>0</v>
      </c>
      <c r="Z10" s="32">
        <f t="shared" si="2"/>
        <v>0</v>
      </c>
      <c r="AA10" s="32">
        <f t="shared" si="3"/>
        <v>0</v>
      </c>
      <c r="AB10" s="33">
        <f t="shared" si="4"/>
        <v>0.60000000000000009</v>
      </c>
      <c r="AC10" s="20">
        <v>34</v>
      </c>
      <c r="AD10" s="20">
        <v>7.2</v>
      </c>
      <c r="AE10" s="20">
        <v>50</v>
      </c>
      <c r="AF10" s="31">
        <v>2.9999999999999997E-4</v>
      </c>
      <c r="AG10" s="31">
        <f t="shared" si="5"/>
        <v>4.7889856799999998E-2</v>
      </c>
      <c r="AH10" s="31">
        <v>0</v>
      </c>
      <c r="AI10" s="61">
        <v>200</v>
      </c>
      <c r="AJ10" s="30">
        <v>4.1324567222609998E-3</v>
      </c>
      <c r="AK10" s="31"/>
      <c r="AL10" s="31"/>
      <c r="AM10" s="32">
        <f t="shared" si="6"/>
        <v>0</v>
      </c>
      <c r="AN10" s="32">
        <f t="shared" si="7"/>
        <v>0</v>
      </c>
      <c r="AO10" s="33">
        <f t="shared" si="8"/>
        <v>0</v>
      </c>
      <c r="AP10" s="34">
        <f t="shared" si="9"/>
        <v>0</v>
      </c>
    </row>
    <row r="11" spans="1:42" x14ac:dyDescent="0.25">
      <c r="A11" s="2" t="s">
        <v>56</v>
      </c>
      <c r="B11" t="s">
        <v>49</v>
      </c>
      <c r="C11">
        <v>18</v>
      </c>
      <c r="D11">
        <v>7.1</v>
      </c>
      <c r="E11">
        <v>32.999999999999993</v>
      </c>
      <c r="F11">
        <v>0</v>
      </c>
      <c r="G11" s="1">
        <v>45344.545138888898</v>
      </c>
      <c r="H11" s="91"/>
      <c r="I11" s="98">
        <v>146.51</v>
      </c>
      <c r="J11" s="20"/>
      <c r="K11" s="20">
        <v>15.5</v>
      </c>
      <c r="L11" s="20">
        <v>98.86</v>
      </c>
      <c r="M11" s="20">
        <v>1</v>
      </c>
      <c r="N11" s="20">
        <v>317</v>
      </c>
      <c r="O11" s="20">
        <v>35.6</v>
      </c>
      <c r="P11" s="20">
        <v>5.35</v>
      </c>
      <c r="Q11" s="83">
        <v>7.26</v>
      </c>
      <c r="R11" s="31">
        <v>0</v>
      </c>
      <c r="S11" s="31">
        <v>0.97</v>
      </c>
      <c r="T11" s="31">
        <v>0</v>
      </c>
      <c r="U11" s="31">
        <v>0.06</v>
      </c>
      <c r="V11" s="31">
        <v>198.23</v>
      </c>
      <c r="W11" s="31">
        <v>13.78</v>
      </c>
      <c r="X11" s="32">
        <f t="shared" si="0"/>
        <v>1.7700000000000102</v>
      </c>
      <c r="Y11" s="32">
        <f t="shared" si="1"/>
        <v>0</v>
      </c>
      <c r="Z11" s="32">
        <f t="shared" si="2"/>
        <v>0</v>
      </c>
      <c r="AA11" s="32">
        <f t="shared" si="3"/>
        <v>0</v>
      </c>
      <c r="AB11" s="33">
        <f t="shared" si="4"/>
        <v>0.72</v>
      </c>
      <c r="AC11" s="20">
        <v>34</v>
      </c>
      <c r="AD11" s="20">
        <v>7.2</v>
      </c>
      <c r="AE11" s="20">
        <v>50</v>
      </c>
      <c r="AF11" s="31">
        <v>2.9999999999999997E-4</v>
      </c>
      <c r="AG11" s="31">
        <f t="shared" si="5"/>
        <v>5.5306169999999995E-2</v>
      </c>
      <c r="AH11" s="31">
        <v>0</v>
      </c>
      <c r="AI11" s="61">
        <v>200</v>
      </c>
      <c r="AJ11" s="30">
        <v>4.4978755922213997E-3</v>
      </c>
      <c r="AK11" s="31"/>
      <c r="AL11" s="31"/>
      <c r="AM11" s="32">
        <f t="shared" si="6"/>
        <v>3.7482296601844996E-2</v>
      </c>
      <c r="AN11" s="32">
        <f t="shared" si="7"/>
        <v>0</v>
      </c>
      <c r="AO11" s="33">
        <f t="shared" si="8"/>
        <v>0</v>
      </c>
      <c r="AP11" s="34">
        <f t="shared" si="9"/>
        <v>3.7482296601844996E-2</v>
      </c>
    </row>
    <row r="12" spans="1:42" x14ac:dyDescent="0.25">
      <c r="A12" s="2" t="s">
        <v>57</v>
      </c>
      <c r="B12" t="s">
        <v>46</v>
      </c>
      <c r="C12">
        <v>18</v>
      </c>
      <c r="D12">
        <v>7.2</v>
      </c>
      <c r="E12">
        <v>34</v>
      </c>
      <c r="F12">
        <v>0</v>
      </c>
      <c r="G12" s="1">
        <v>45344.548611111102</v>
      </c>
      <c r="H12" s="91"/>
      <c r="I12" s="98">
        <v>146.51</v>
      </c>
      <c r="J12" s="20"/>
      <c r="K12" s="20">
        <v>16.39</v>
      </c>
      <c r="L12" s="20">
        <v>98.9</v>
      </c>
      <c r="M12" s="20">
        <v>1.03</v>
      </c>
      <c r="N12" s="20">
        <v>315</v>
      </c>
      <c r="O12" s="20">
        <v>36</v>
      </c>
      <c r="P12" s="20">
        <v>5.33</v>
      </c>
      <c r="Q12" s="83">
        <v>7.25</v>
      </c>
      <c r="R12" s="31">
        <v>0</v>
      </c>
      <c r="S12" s="31">
        <v>0.96</v>
      </c>
      <c r="T12" s="31">
        <v>0</v>
      </c>
      <c r="U12" s="31">
        <v>0.06</v>
      </c>
      <c r="V12" s="31">
        <v>198.21</v>
      </c>
      <c r="W12" s="31">
        <v>13.78</v>
      </c>
      <c r="X12" s="32">
        <f t="shared" si="0"/>
        <v>1.789999999999992</v>
      </c>
      <c r="Y12" s="32">
        <f t="shared" si="1"/>
        <v>0</v>
      </c>
      <c r="Z12" s="32">
        <f t="shared" si="2"/>
        <v>0</v>
      </c>
      <c r="AA12" s="32">
        <f t="shared" si="3"/>
        <v>0</v>
      </c>
      <c r="AB12" s="33">
        <f t="shared" si="4"/>
        <v>0.72</v>
      </c>
      <c r="AC12" s="20">
        <v>34</v>
      </c>
      <c r="AD12" s="20">
        <v>7.2</v>
      </c>
      <c r="AE12" s="20">
        <v>50</v>
      </c>
      <c r="AF12" s="31">
        <v>2.9999999999999997E-4</v>
      </c>
      <c r="AG12" s="31">
        <f t="shared" si="5"/>
        <v>5.8475914199999993E-2</v>
      </c>
      <c r="AH12" s="31">
        <v>0</v>
      </c>
      <c r="AI12" s="61">
        <v>200</v>
      </c>
      <c r="AJ12" s="30">
        <v>4.8980335412377998E-3</v>
      </c>
      <c r="AK12" s="31">
        <v>9.9999999999999995E-8</v>
      </c>
      <c r="AL12" s="31">
        <v>2.99345330333329E-3</v>
      </c>
      <c r="AM12" s="32">
        <f t="shared" si="6"/>
        <v>0</v>
      </c>
      <c r="AN12" s="32">
        <f t="shared" si="7"/>
        <v>8.2587499999999995E-7</v>
      </c>
      <c r="AO12" s="33">
        <f t="shared" si="8"/>
        <v>0.59333237925369142</v>
      </c>
      <c r="AP12" s="34">
        <f t="shared" si="9"/>
        <v>8.2587499999999995E-7</v>
      </c>
    </row>
    <row r="13" spans="1:42" x14ac:dyDescent="0.25">
      <c r="A13" s="2" t="s">
        <v>58</v>
      </c>
      <c r="B13" t="s">
        <v>51</v>
      </c>
      <c r="C13">
        <v>18</v>
      </c>
      <c r="D13">
        <v>7.1</v>
      </c>
      <c r="E13">
        <v>32.999999999999993</v>
      </c>
      <c r="F13">
        <v>0</v>
      </c>
      <c r="G13" s="1">
        <v>45344.5534722222</v>
      </c>
      <c r="H13" s="91"/>
      <c r="I13" s="98">
        <v>146.51</v>
      </c>
      <c r="J13" s="20"/>
      <c r="K13" s="20">
        <v>15.23</v>
      </c>
      <c r="L13" s="20">
        <v>98.71</v>
      </c>
      <c r="M13" s="20">
        <v>1.03</v>
      </c>
      <c r="N13" s="20">
        <v>315</v>
      </c>
      <c r="O13" s="20">
        <v>35.6</v>
      </c>
      <c r="P13" s="20">
        <v>5.29</v>
      </c>
      <c r="Q13" s="83">
        <v>7.25</v>
      </c>
      <c r="R13" s="31">
        <v>0</v>
      </c>
      <c r="S13" s="31">
        <v>1</v>
      </c>
      <c r="T13" s="31">
        <v>0</v>
      </c>
      <c r="U13" s="31">
        <v>0.05</v>
      </c>
      <c r="V13" s="31">
        <v>198.44</v>
      </c>
      <c r="W13" s="31">
        <v>13.78</v>
      </c>
      <c r="X13" s="32">
        <f t="shared" si="0"/>
        <v>1.5600000000000023</v>
      </c>
      <c r="Y13" s="32">
        <f t="shared" si="1"/>
        <v>0</v>
      </c>
      <c r="Z13" s="32">
        <f t="shared" si="2"/>
        <v>0</v>
      </c>
      <c r="AA13" s="32">
        <f t="shared" si="3"/>
        <v>0</v>
      </c>
      <c r="AB13" s="33">
        <f t="shared" si="4"/>
        <v>0.60000000000000009</v>
      </c>
      <c r="AC13" s="20">
        <v>34</v>
      </c>
      <c r="AD13" s="20">
        <v>7.2</v>
      </c>
      <c r="AE13" s="20">
        <v>50</v>
      </c>
      <c r="AF13" s="31">
        <v>2.9999999999999997E-4</v>
      </c>
      <c r="AG13" s="31">
        <f t="shared" si="5"/>
        <v>5.4400341599999999E-2</v>
      </c>
      <c r="AH13" s="31">
        <v>0</v>
      </c>
      <c r="AI13" s="61">
        <v>200</v>
      </c>
      <c r="AJ13" s="30">
        <v>5.1847870673230999E-3</v>
      </c>
      <c r="AK13" s="31"/>
      <c r="AL13" s="31"/>
      <c r="AM13" s="32">
        <f t="shared" si="6"/>
        <v>0</v>
      </c>
      <c r="AN13" s="32">
        <f t="shared" si="7"/>
        <v>0</v>
      </c>
      <c r="AO13" s="33">
        <f t="shared" si="8"/>
        <v>0</v>
      </c>
      <c r="AP13" s="34">
        <f t="shared" si="9"/>
        <v>0</v>
      </c>
    </row>
    <row r="14" spans="1:42" x14ac:dyDescent="0.25">
      <c r="A14" s="2" t="s">
        <v>59</v>
      </c>
      <c r="B14" s="96" t="s">
        <v>46</v>
      </c>
      <c r="C14" s="96">
        <v>15</v>
      </c>
      <c r="D14" s="96">
        <v>7.1</v>
      </c>
      <c r="E14" s="96">
        <v>32.999999999999993</v>
      </c>
      <c r="F14" s="96">
        <v>0</v>
      </c>
      <c r="G14" s="97">
        <v>45344.559027777803</v>
      </c>
      <c r="H14" s="91"/>
      <c r="I14" s="98">
        <v>146.51</v>
      </c>
      <c r="J14" s="98"/>
      <c r="K14" s="98">
        <v>13.03</v>
      </c>
      <c r="L14" s="98">
        <v>98.77</v>
      </c>
      <c r="M14" s="98">
        <v>0.95</v>
      </c>
      <c r="N14" s="98">
        <v>317</v>
      </c>
      <c r="O14" s="98">
        <v>33.700000000000003</v>
      </c>
      <c r="P14" s="98">
        <v>5.75</v>
      </c>
      <c r="Q14" s="83">
        <v>7.28</v>
      </c>
      <c r="R14" s="100">
        <v>0</v>
      </c>
      <c r="S14" s="100">
        <v>0.78</v>
      </c>
      <c r="T14" s="100">
        <v>0</v>
      </c>
      <c r="U14" s="100">
        <v>0.05</v>
      </c>
      <c r="V14" s="100">
        <v>198.17</v>
      </c>
      <c r="W14" s="100">
        <v>1.78</v>
      </c>
      <c r="X14" s="101">
        <f t="shared" si="0"/>
        <v>1.8300000000000125</v>
      </c>
      <c r="Y14" s="101">
        <f t="shared" si="1"/>
        <v>0</v>
      </c>
      <c r="Z14" s="101">
        <f t="shared" si="2"/>
        <v>0</v>
      </c>
      <c r="AA14" s="101">
        <f t="shared" si="3"/>
        <v>0</v>
      </c>
      <c r="AB14" s="33">
        <f t="shared" si="4"/>
        <v>0.60000000000000009</v>
      </c>
      <c r="AC14" s="98">
        <v>34</v>
      </c>
      <c r="AD14" s="98">
        <v>7.2</v>
      </c>
      <c r="AE14" s="98">
        <v>50</v>
      </c>
      <c r="AF14" s="100">
        <v>2.9999999999999997E-4</v>
      </c>
      <c r="AG14" s="100">
        <f t="shared" si="5"/>
        <v>4.6478791799999988E-2</v>
      </c>
      <c r="AH14" s="100">
        <v>0</v>
      </c>
      <c r="AI14" s="103">
        <v>200</v>
      </c>
      <c r="AJ14" s="30">
        <v>4.3581694877125E-3</v>
      </c>
      <c r="AK14" s="100">
        <v>9.9999999999999995E-8</v>
      </c>
      <c r="AL14" s="100">
        <v>7.2523559173813604E-3</v>
      </c>
      <c r="AM14" s="101">
        <f t="shared" si="6"/>
        <v>0</v>
      </c>
      <c r="AN14" s="101">
        <f t="shared" si="7"/>
        <v>8.2570833333333323E-7</v>
      </c>
      <c r="AO14" s="33">
        <f t="shared" si="8"/>
        <v>1.4371993721474641</v>
      </c>
      <c r="AP14" s="34">
        <f t="shared" si="9"/>
        <v>8.2570833333333323E-7</v>
      </c>
    </row>
    <row r="15" spans="1:42" x14ac:dyDescent="0.25">
      <c r="A15" s="2" t="s">
        <v>60</v>
      </c>
      <c r="B15" t="s">
        <v>49</v>
      </c>
      <c r="C15">
        <v>15</v>
      </c>
      <c r="D15">
        <v>7.1</v>
      </c>
      <c r="E15">
        <v>32.999999999999993</v>
      </c>
      <c r="F15">
        <v>0</v>
      </c>
      <c r="G15" s="1">
        <v>45344.5625</v>
      </c>
      <c r="H15" s="91"/>
      <c r="I15" s="98">
        <v>146.51</v>
      </c>
      <c r="J15" s="20"/>
      <c r="K15" s="20">
        <v>13.6</v>
      </c>
      <c r="L15" s="20">
        <v>98.59</v>
      </c>
      <c r="M15" s="20">
        <v>0.92</v>
      </c>
      <c r="N15" s="20">
        <v>318</v>
      </c>
      <c r="O15" s="20">
        <v>39.200000000000003</v>
      </c>
      <c r="P15" s="20">
        <v>5.75</v>
      </c>
      <c r="Q15" s="83">
        <v>7.24</v>
      </c>
      <c r="R15" s="31">
        <v>0</v>
      </c>
      <c r="S15" s="31">
        <v>0.85</v>
      </c>
      <c r="T15" s="31">
        <v>0</v>
      </c>
      <c r="U15" s="31">
        <v>0.05</v>
      </c>
      <c r="V15" s="31">
        <v>198.16</v>
      </c>
      <c r="W15" s="31">
        <v>1.78</v>
      </c>
      <c r="X15" s="32">
        <f t="shared" si="0"/>
        <v>1.8400000000000034</v>
      </c>
      <c r="Y15" s="32">
        <f t="shared" si="1"/>
        <v>0</v>
      </c>
      <c r="Z15" s="32">
        <f t="shared" si="2"/>
        <v>0</v>
      </c>
      <c r="AA15" s="32">
        <f t="shared" si="3"/>
        <v>0</v>
      </c>
      <c r="AB15" s="33">
        <f t="shared" si="4"/>
        <v>0.60000000000000009</v>
      </c>
      <c r="AC15" s="20">
        <v>34</v>
      </c>
      <c r="AD15" s="20">
        <v>7.2</v>
      </c>
      <c r="AE15" s="20">
        <v>50</v>
      </c>
      <c r="AF15" s="31">
        <v>2.9999999999999997E-4</v>
      </c>
      <c r="AG15" s="31">
        <f t="shared" si="5"/>
        <v>4.8509567999999989E-2</v>
      </c>
      <c r="AH15" s="31">
        <v>0</v>
      </c>
      <c r="AI15" s="61">
        <v>200</v>
      </c>
      <c r="AJ15" s="30">
        <v>5.3027539903110999E-3</v>
      </c>
      <c r="AK15" s="31"/>
      <c r="AL15" s="31"/>
      <c r="AM15" s="32">
        <f t="shared" si="6"/>
        <v>4.418961658592583E-2</v>
      </c>
      <c r="AN15" s="32">
        <f t="shared" si="7"/>
        <v>0</v>
      </c>
      <c r="AO15" s="33">
        <f t="shared" si="8"/>
        <v>0</v>
      </c>
      <c r="AP15" s="34">
        <f t="shared" si="9"/>
        <v>4.418961658592583E-2</v>
      </c>
    </row>
    <row r="16" spans="1:42" x14ac:dyDescent="0.25">
      <c r="A16" s="2" t="s">
        <v>61</v>
      </c>
      <c r="B16" t="s">
        <v>46</v>
      </c>
      <c r="C16">
        <v>15</v>
      </c>
      <c r="D16">
        <v>7.3</v>
      </c>
      <c r="E16">
        <v>35</v>
      </c>
      <c r="F16">
        <v>0</v>
      </c>
      <c r="G16" s="1">
        <v>45344.579166666699</v>
      </c>
      <c r="H16" s="91"/>
      <c r="I16" s="98">
        <v>146.51</v>
      </c>
      <c r="J16" s="20"/>
      <c r="K16" s="20">
        <v>12.55</v>
      </c>
      <c r="L16" s="20">
        <v>98.6</v>
      </c>
      <c r="M16" s="20">
        <v>1</v>
      </c>
      <c r="N16" s="20">
        <v>315</v>
      </c>
      <c r="O16" s="20">
        <v>38.299999999999997</v>
      </c>
      <c r="P16" s="20">
        <v>5.63</v>
      </c>
      <c r="Q16" s="83">
        <v>7.22</v>
      </c>
      <c r="R16" s="31">
        <v>0</v>
      </c>
      <c r="S16" s="31">
        <v>0.74</v>
      </c>
      <c r="T16" s="31">
        <v>0</v>
      </c>
      <c r="U16" s="31">
        <v>0.04</v>
      </c>
      <c r="V16" s="31">
        <v>198.17</v>
      </c>
      <c r="W16" s="31">
        <v>1.78</v>
      </c>
      <c r="X16" s="32">
        <f t="shared" si="0"/>
        <v>1.8300000000000125</v>
      </c>
      <c r="Y16" s="32">
        <f t="shared" si="1"/>
        <v>0</v>
      </c>
      <c r="Z16" s="32">
        <f t="shared" si="2"/>
        <v>0</v>
      </c>
      <c r="AA16" s="32">
        <f t="shared" si="3"/>
        <v>0</v>
      </c>
      <c r="AB16" s="33">
        <f t="shared" si="4"/>
        <v>0.48</v>
      </c>
      <c r="AC16" s="20">
        <v>34</v>
      </c>
      <c r="AD16" s="20">
        <v>7.2</v>
      </c>
      <c r="AE16" s="20">
        <v>50</v>
      </c>
      <c r="AF16" s="31">
        <v>2.9999999999999997E-4</v>
      </c>
      <c r="AG16" s="31">
        <f t="shared" si="5"/>
        <v>4.4766602999999988E-2</v>
      </c>
      <c r="AH16" s="31">
        <v>0</v>
      </c>
      <c r="AI16" s="61">
        <v>200</v>
      </c>
      <c r="AJ16" s="30">
        <v>5.8980635151682998E-3</v>
      </c>
      <c r="AK16" s="31">
        <v>9.9999999999999995E-8</v>
      </c>
      <c r="AL16" s="31">
        <v>2.1395665191534302E-3</v>
      </c>
      <c r="AM16" s="32">
        <f t="shared" si="6"/>
        <v>0</v>
      </c>
      <c r="AN16" s="32">
        <f t="shared" si="7"/>
        <v>8.2570833333333323E-7</v>
      </c>
      <c r="AO16" s="33">
        <f t="shared" si="8"/>
        <v>0.42399789710063523</v>
      </c>
      <c r="AP16" s="34">
        <f t="shared" si="9"/>
        <v>8.2570833333333323E-7</v>
      </c>
    </row>
    <row r="17" spans="1:42" x14ac:dyDescent="0.25">
      <c r="A17" s="2" t="s">
        <v>62</v>
      </c>
      <c r="B17" t="s">
        <v>49</v>
      </c>
      <c r="C17">
        <v>18</v>
      </c>
      <c r="D17">
        <v>7.2</v>
      </c>
      <c r="E17">
        <v>34</v>
      </c>
      <c r="F17">
        <v>0</v>
      </c>
      <c r="G17" s="1">
        <v>45344.586805555598</v>
      </c>
      <c r="H17" s="91"/>
      <c r="I17" s="98">
        <v>146.51</v>
      </c>
      <c r="J17" s="20"/>
      <c r="K17" s="20">
        <v>16.670000000000002</v>
      </c>
      <c r="L17" s="20">
        <v>98.77</v>
      </c>
      <c r="M17" s="20">
        <v>1.1299999999999999</v>
      </c>
      <c r="N17" s="20">
        <v>314</v>
      </c>
      <c r="O17" s="20">
        <v>39.1</v>
      </c>
      <c r="P17" s="20">
        <v>5.08</v>
      </c>
      <c r="Q17" s="83">
        <v>7.18</v>
      </c>
      <c r="R17" s="31">
        <v>0</v>
      </c>
      <c r="S17" s="31">
        <v>1.02</v>
      </c>
      <c r="T17" s="31">
        <v>0</v>
      </c>
      <c r="U17" s="31">
        <v>0.06</v>
      </c>
      <c r="V17" s="31">
        <v>198.14</v>
      </c>
      <c r="W17" s="31">
        <v>13.78</v>
      </c>
      <c r="X17" s="32">
        <f t="shared" si="0"/>
        <v>1.8600000000000136</v>
      </c>
      <c r="Y17" s="32">
        <f t="shared" si="1"/>
        <v>0</v>
      </c>
      <c r="Z17" s="32">
        <f t="shared" si="2"/>
        <v>0</v>
      </c>
      <c r="AA17" s="32">
        <f t="shared" si="3"/>
        <v>0</v>
      </c>
      <c r="AB17" s="33">
        <f t="shared" si="4"/>
        <v>0.72</v>
      </c>
      <c r="AC17" s="20">
        <v>34</v>
      </c>
      <c r="AD17" s="20">
        <v>7.2</v>
      </c>
      <c r="AE17" s="20">
        <v>50</v>
      </c>
      <c r="AF17" s="31">
        <v>2.9999999999999997E-4</v>
      </c>
      <c r="AG17" s="31">
        <f t="shared" si="5"/>
        <v>5.9453888399999995E-2</v>
      </c>
      <c r="AH17" s="31">
        <v>0</v>
      </c>
      <c r="AI17" s="61">
        <v>200</v>
      </c>
      <c r="AJ17" s="30">
        <v>5.8250680884825001E-3</v>
      </c>
      <c r="AK17" s="31"/>
      <c r="AL17" s="31"/>
      <c r="AM17" s="32">
        <f t="shared" si="6"/>
        <v>4.8542234070687501E-2</v>
      </c>
      <c r="AN17" s="32">
        <f t="shared" si="7"/>
        <v>0</v>
      </c>
      <c r="AO17" s="33">
        <f t="shared" si="8"/>
        <v>0</v>
      </c>
      <c r="AP17" s="34">
        <f t="shared" si="9"/>
        <v>4.8542234070687501E-2</v>
      </c>
    </row>
    <row r="18" spans="1:42" x14ac:dyDescent="0.25">
      <c r="A18" s="2" t="s">
        <v>63</v>
      </c>
      <c r="B18" t="s">
        <v>51</v>
      </c>
      <c r="C18">
        <v>12</v>
      </c>
      <c r="D18">
        <v>7.1</v>
      </c>
      <c r="E18">
        <v>32.999999999999993</v>
      </c>
      <c r="F18">
        <v>0</v>
      </c>
      <c r="G18" s="1">
        <v>45344.591666666704</v>
      </c>
      <c r="H18" s="91"/>
      <c r="I18" s="98">
        <v>146.51</v>
      </c>
      <c r="J18" s="20"/>
      <c r="K18" s="20">
        <v>12.1</v>
      </c>
      <c r="L18" s="20">
        <v>98.22</v>
      </c>
      <c r="M18" s="20">
        <v>0.85</v>
      </c>
      <c r="N18" s="20">
        <v>321</v>
      </c>
      <c r="O18" s="20">
        <v>38.200000000000003</v>
      </c>
      <c r="P18" s="20">
        <v>6.15</v>
      </c>
      <c r="Q18" s="83">
        <v>7.24</v>
      </c>
      <c r="R18" s="31">
        <v>0</v>
      </c>
      <c r="S18" s="31">
        <v>0.75</v>
      </c>
      <c r="T18" s="31">
        <v>0</v>
      </c>
      <c r="U18" s="31">
        <v>0.04</v>
      </c>
      <c r="V18" s="31">
        <v>198.2</v>
      </c>
      <c r="W18" s="31">
        <v>1.78</v>
      </c>
      <c r="X18" s="32">
        <f t="shared" si="0"/>
        <v>1.8000000000000114</v>
      </c>
      <c r="Y18" s="32">
        <f t="shared" si="1"/>
        <v>0</v>
      </c>
      <c r="Z18" s="32">
        <f t="shared" si="2"/>
        <v>0</v>
      </c>
      <c r="AA18" s="32">
        <f t="shared" si="3"/>
        <v>0</v>
      </c>
      <c r="AB18" s="33">
        <f t="shared" si="4"/>
        <v>0.48</v>
      </c>
      <c r="AC18" s="20">
        <v>34</v>
      </c>
      <c r="AD18" s="20">
        <v>7.2</v>
      </c>
      <c r="AE18" s="20">
        <v>50</v>
      </c>
      <c r="AF18" s="31">
        <v>2.9999999999999997E-4</v>
      </c>
      <c r="AG18" s="31">
        <f t="shared" si="5"/>
        <v>4.3167959999999991E-2</v>
      </c>
      <c r="AH18" s="31">
        <v>0</v>
      </c>
      <c r="AI18" s="61">
        <v>200</v>
      </c>
      <c r="AJ18" s="30">
        <v>5.0785567248770999E-3</v>
      </c>
      <c r="AK18" s="31"/>
      <c r="AL18" s="31"/>
      <c r="AM18" s="32">
        <f t="shared" si="6"/>
        <v>0</v>
      </c>
      <c r="AN18" s="32">
        <f t="shared" si="7"/>
        <v>0</v>
      </c>
      <c r="AO18" s="33">
        <f t="shared" si="8"/>
        <v>0</v>
      </c>
      <c r="AP18" s="34">
        <f t="shared" si="9"/>
        <v>0</v>
      </c>
    </row>
    <row r="19" spans="1:42" x14ac:dyDescent="0.25">
      <c r="A19" s="2" t="s">
        <v>64</v>
      </c>
      <c r="B19" t="s">
        <v>46</v>
      </c>
      <c r="C19">
        <v>12</v>
      </c>
      <c r="D19">
        <v>7.1</v>
      </c>
      <c r="E19">
        <v>32.999999999999993</v>
      </c>
      <c r="F19">
        <v>0</v>
      </c>
      <c r="G19" s="1">
        <v>45344.596527777801</v>
      </c>
      <c r="H19" s="91"/>
      <c r="I19" s="98">
        <v>146.51</v>
      </c>
      <c r="J19" s="20"/>
      <c r="K19" s="20">
        <v>10.79</v>
      </c>
      <c r="L19" s="20">
        <v>98.7</v>
      </c>
      <c r="M19" s="20">
        <v>0.86</v>
      </c>
      <c r="N19" s="20">
        <v>320</v>
      </c>
      <c r="O19" s="20">
        <v>38.6</v>
      </c>
      <c r="P19" s="20">
        <v>6.21</v>
      </c>
      <c r="Q19" s="83">
        <v>7.23</v>
      </c>
      <c r="R19" s="31">
        <v>0</v>
      </c>
      <c r="S19" s="31">
        <v>0.63</v>
      </c>
      <c r="T19" s="31">
        <v>0</v>
      </c>
      <c r="U19" s="31">
        <v>0.04</v>
      </c>
      <c r="V19" s="31">
        <v>198.2</v>
      </c>
      <c r="W19" s="31">
        <v>1.78</v>
      </c>
      <c r="X19" s="32">
        <f t="shared" si="0"/>
        <v>1.8000000000000114</v>
      </c>
      <c r="Y19" s="32">
        <f t="shared" si="1"/>
        <v>0</v>
      </c>
      <c r="Z19" s="32">
        <f t="shared" si="2"/>
        <v>0</v>
      </c>
      <c r="AA19" s="32">
        <f t="shared" si="3"/>
        <v>0</v>
      </c>
      <c r="AB19" s="33">
        <f t="shared" si="4"/>
        <v>0.48</v>
      </c>
      <c r="AC19" s="20">
        <v>34</v>
      </c>
      <c r="AD19" s="20">
        <v>7.2</v>
      </c>
      <c r="AE19" s="20">
        <v>50</v>
      </c>
      <c r="AF19" s="31">
        <v>2.9999999999999997E-4</v>
      </c>
      <c r="AG19" s="31">
        <f t="shared" si="5"/>
        <v>3.8494403999999989E-2</v>
      </c>
      <c r="AH19" s="31">
        <v>0</v>
      </c>
      <c r="AI19" s="61">
        <v>200</v>
      </c>
      <c r="AJ19" s="30">
        <v>4.9041757562187996E-3</v>
      </c>
      <c r="AK19" s="31">
        <v>9.9999999999999995E-8</v>
      </c>
      <c r="AL19" s="31">
        <v>3.1083185860598999E-3</v>
      </c>
      <c r="AM19" s="32">
        <f t="shared" si="6"/>
        <v>0</v>
      </c>
      <c r="AN19" s="32">
        <f t="shared" si="7"/>
        <v>8.2583333333333319E-7</v>
      </c>
      <c r="AO19" s="33">
        <f t="shared" si="8"/>
        <v>0.6160687437570721</v>
      </c>
      <c r="AP19" s="34">
        <f t="shared" si="9"/>
        <v>8.2583333333333319E-7</v>
      </c>
    </row>
    <row r="20" spans="1:42" x14ac:dyDescent="0.25">
      <c r="A20" s="2" t="s">
        <v>65</v>
      </c>
      <c r="B20" t="s">
        <v>49</v>
      </c>
      <c r="C20">
        <v>15</v>
      </c>
      <c r="D20">
        <v>7.3</v>
      </c>
      <c r="E20">
        <v>35</v>
      </c>
      <c r="F20">
        <v>0</v>
      </c>
      <c r="G20" s="1">
        <v>45344.601388888899</v>
      </c>
      <c r="H20" s="91"/>
      <c r="I20" s="98">
        <v>146.51</v>
      </c>
      <c r="J20" s="20"/>
      <c r="K20" s="20">
        <v>14.36</v>
      </c>
      <c r="L20" s="20">
        <v>98.77</v>
      </c>
      <c r="M20" s="20">
        <v>1.02</v>
      </c>
      <c r="N20" s="20">
        <v>318</v>
      </c>
      <c r="O20" s="20">
        <v>42</v>
      </c>
      <c r="P20" s="20">
        <v>5.61</v>
      </c>
      <c r="Q20" s="83">
        <v>7.17</v>
      </c>
      <c r="R20" s="31">
        <v>0</v>
      </c>
      <c r="S20" s="31">
        <v>0.88</v>
      </c>
      <c r="T20" s="31">
        <v>0</v>
      </c>
      <c r="U20" s="31">
        <v>0.05</v>
      </c>
      <c r="V20" s="31">
        <v>198.2</v>
      </c>
      <c r="W20" s="31">
        <v>1.78</v>
      </c>
      <c r="X20" s="32">
        <f t="shared" si="0"/>
        <v>1.8000000000000114</v>
      </c>
      <c r="Y20" s="32">
        <f t="shared" si="1"/>
        <v>0</v>
      </c>
      <c r="Z20" s="32">
        <f t="shared" si="2"/>
        <v>0</v>
      </c>
      <c r="AA20" s="32">
        <f t="shared" si="3"/>
        <v>0</v>
      </c>
      <c r="AB20" s="33">
        <f t="shared" si="4"/>
        <v>0.60000000000000009</v>
      </c>
      <c r="AC20" s="20">
        <v>34</v>
      </c>
      <c r="AD20" s="20">
        <v>7.2</v>
      </c>
      <c r="AE20" s="20">
        <v>50</v>
      </c>
      <c r="AF20" s="31">
        <v>2.9999999999999997E-4</v>
      </c>
      <c r="AG20" s="31">
        <f t="shared" si="5"/>
        <v>5.1230735999999992E-2</v>
      </c>
      <c r="AH20" s="31">
        <v>0</v>
      </c>
      <c r="AI20" s="61">
        <v>200</v>
      </c>
      <c r="AJ20" s="30">
        <v>5.7776026962747E-3</v>
      </c>
      <c r="AK20" s="31"/>
      <c r="AL20" s="31"/>
      <c r="AM20" s="32">
        <f t="shared" si="6"/>
        <v>4.8146689135622499E-2</v>
      </c>
      <c r="AN20" s="32">
        <f t="shared" si="7"/>
        <v>0</v>
      </c>
      <c r="AO20" s="33">
        <f t="shared" si="8"/>
        <v>0</v>
      </c>
      <c r="AP20" s="34">
        <f t="shared" si="9"/>
        <v>4.8146689135622499E-2</v>
      </c>
    </row>
    <row r="21" spans="1:42" x14ac:dyDescent="0.25">
      <c r="A21" s="2" t="s">
        <v>66</v>
      </c>
      <c r="B21" t="s">
        <v>46</v>
      </c>
      <c r="C21">
        <v>12</v>
      </c>
      <c r="D21">
        <v>7.2</v>
      </c>
      <c r="E21">
        <v>34</v>
      </c>
      <c r="F21">
        <v>0</v>
      </c>
      <c r="G21" s="1">
        <v>45344.606249999997</v>
      </c>
      <c r="H21" s="91"/>
      <c r="I21" s="98">
        <v>146.51</v>
      </c>
      <c r="J21" s="20"/>
      <c r="K21" s="20">
        <v>10.79</v>
      </c>
      <c r="L21" s="20">
        <v>98.37</v>
      </c>
      <c r="M21" s="20">
        <v>0.9</v>
      </c>
      <c r="N21" s="20">
        <v>321</v>
      </c>
      <c r="O21" s="20">
        <v>41.4</v>
      </c>
      <c r="P21" s="20">
        <v>6.2</v>
      </c>
      <c r="Q21" s="83">
        <v>7.2</v>
      </c>
      <c r="R21" s="31">
        <v>0</v>
      </c>
      <c r="S21" s="31">
        <v>0.63</v>
      </c>
      <c r="T21" s="31">
        <v>0</v>
      </c>
      <c r="U21" s="31">
        <v>0.04</v>
      </c>
      <c r="V21" s="31">
        <v>198.2</v>
      </c>
      <c r="W21" s="31">
        <v>1.78</v>
      </c>
      <c r="X21" s="32">
        <f t="shared" si="0"/>
        <v>1.8000000000000114</v>
      </c>
      <c r="Y21" s="32">
        <f t="shared" si="1"/>
        <v>0</v>
      </c>
      <c r="Z21" s="32">
        <f t="shared" si="2"/>
        <v>0</v>
      </c>
      <c r="AA21" s="32">
        <f t="shared" si="3"/>
        <v>0</v>
      </c>
      <c r="AB21" s="33">
        <f t="shared" si="4"/>
        <v>0.48</v>
      </c>
      <c r="AC21" s="20">
        <v>34</v>
      </c>
      <c r="AD21" s="20">
        <v>7.2</v>
      </c>
      <c r="AE21" s="20">
        <v>50</v>
      </c>
      <c r="AF21" s="31">
        <v>2.9999999999999997E-4</v>
      </c>
      <c r="AG21" s="31">
        <f t="shared" si="5"/>
        <v>3.8494403999999989E-2</v>
      </c>
      <c r="AH21" s="31">
        <v>0</v>
      </c>
      <c r="AI21" s="61">
        <v>200</v>
      </c>
      <c r="AJ21" s="30">
        <v>5.5540865631498E-3</v>
      </c>
      <c r="AK21" s="31">
        <v>9.9999999999999995E-8</v>
      </c>
      <c r="AL21" s="31">
        <v>1.70116297153131E-3</v>
      </c>
      <c r="AM21" s="32">
        <f t="shared" si="6"/>
        <v>0</v>
      </c>
      <c r="AN21" s="32">
        <f t="shared" si="7"/>
        <v>8.2583333333333319E-7</v>
      </c>
      <c r="AO21" s="33">
        <f t="shared" si="8"/>
        <v>0.33717050095750561</v>
      </c>
      <c r="AP21" s="34">
        <f t="shared" si="9"/>
        <v>8.2583333333333319E-7</v>
      </c>
    </row>
    <row r="22" spans="1:42" x14ac:dyDescent="0.25">
      <c r="A22" s="2" t="s">
        <v>67</v>
      </c>
      <c r="B22" t="s">
        <v>49</v>
      </c>
      <c r="C22">
        <v>12</v>
      </c>
      <c r="D22">
        <v>7.1</v>
      </c>
      <c r="E22">
        <v>32.999999999999993</v>
      </c>
      <c r="F22">
        <v>0</v>
      </c>
      <c r="G22" s="1">
        <v>45344.612500000003</v>
      </c>
      <c r="H22" s="91"/>
      <c r="I22" s="98">
        <v>146.51</v>
      </c>
      <c r="J22" s="20"/>
      <c r="K22" s="20">
        <v>11.86</v>
      </c>
      <c r="L22" s="20">
        <v>98.89</v>
      </c>
      <c r="M22" s="20">
        <v>0.91</v>
      </c>
      <c r="N22" s="20">
        <v>321</v>
      </c>
      <c r="O22" s="20">
        <v>41</v>
      </c>
      <c r="P22" s="20">
        <v>6.17</v>
      </c>
      <c r="Q22" s="83">
        <v>7.2</v>
      </c>
      <c r="R22" s="31">
        <v>0</v>
      </c>
      <c r="S22" s="31">
        <v>0.74</v>
      </c>
      <c r="T22" s="31">
        <v>0</v>
      </c>
      <c r="U22" s="31">
        <v>0.04</v>
      </c>
      <c r="V22" s="31">
        <v>198.2</v>
      </c>
      <c r="W22" s="31">
        <v>1.78</v>
      </c>
      <c r="X22" s="32">
        <f t="shared" si="0"/>
        <v>1.8000000000000114</v>
      </c>
      <c r="Y22" s="32">
        <f t="shared" si="1"/>
        <v>0</v>
      </c>
      <c r="Z22" s="32">
        <f t="shared" si="2"/>
        <v>0</v>
      </c>
      <c r="AA22" s="32">
        <f t="shared" si="3"/>
        <v>0</v>
      </c>
      <c r="AB22" s="33">
        <f t="shared" si="4"/>
        <v>0.48</v>
      </c>
      <c r="AC22" s="20">
        <v>34</v>
      </c>
      <c r="AD22" s="20">
        <v>7.2</v>
      </c>
      <c r="AE22" s="20">
        <v>50</v>
      </c>
      <c r="AF22" s="31">
        <v>2.9999999999999997E-4</v>
      </c>
      <c r="AG22" s="31">
        <f t="shared" si="5"/>
        <v>4.2311735999999989E-2</v>
      </c>
      <c r="AH22" s="31">
        <v>0</v>
      </c>
      <c r="AI22" s="61">
        <v>200</v>
      </c>
      <c r="AJ22" s="30">
        <v>5.0861492049608997E-3</v>
      </c>
      <c r="AK22" s="31"/>
      <c r="AL22" s="31"/>
      <c r="AM22" s="32">
        <f t="shared" si="6"/>
        <v>4.2384576708007493E-2</v>
      </c>
      <c r="AN22" s="32">
        <f t="shared" si="7"/>
        <v>0</v>
      </c>
      <c r="AO22" s="33">
        <f t="shared" si="8"/>
        <v>0</v>
      </c>
      <c r="AP22" s="34">
        <f t="shared" si="9"/>
        <v>4.2384576708007493E-2</v>
      </c>
    </row>
    <row r="23" spans="1:42" x14ac:dyDescent="0.25">
      <c r="A23" s="2" t="s">
        <v>68</v>
      </c>
      <c r="B23" t="s">
        <v>51</v>
      </c>
      <c r="C23">
        <v>12</v>
      </c>
      <c r="D23">
        <v>7.3</v>
      </c>
      <c r="E23">
        <v>35</v>
      </c>
      <c r="F23">
        <v>0</v>
      </c>
      <c r="G23" s="1">
        <v>45344.617361111101</v>
      </c>
      <c r="H23" s="91"/>
      <c r="I23" s="98">
        <v>146.51</v>
      </c>
      <c r="J23" s="20"/>
      <c r="K23" s="20">
        <v>10.78</v>
      </c>
      <c r="L23" s="20">
        <v>98.66</v>
      </c>
      <c r="M23" s="20">
        <v>0.94</v>
      </c>
      <c r="N23" s="20">
        <v>318</v>
      </c>
      <c r="O23" s="20">
        <v>40.4</v>
      </c>
      <c r="P23" s="20">
        <v>6.07</v>
      </c>
      <c r="Q23" s="83">
        <v>7.2</v>
      </c>
      <c r="R23" s="31">
        <v>0</v>
      </c>
      <c r="S23" s="31">
        <v>0.63</v>
      </c>
      <c r="T23" s="31">
        <v>0</v>
      </c>
      <c r="U23" s="31">
        <v>0.04</v>
      </c>
      <c r="V23" s="31">
        <v>198.19</v>
      </c>
      <c r="W23" s="31">
        <v>1.78</v>
      </c>
      <c r="X23" s="32">
        <f t="shared" si="0"/>
        <v>1.8100000000000023</v>
      </c>
      <c r="Y23" s="32">
        <f t="shared" si="1"/>
        <v>0</v>
      </c>
      <c r="Z23" s="32">
        <f t="shared" si="2"/>
        <v>0</v>
      </c>
      <c r="AA23" s="32">
        <f t="shared" si="3"/>
        <v>0</v>
      </c>
      <c r="AB23" s="33">
        <f t="shared" si="4"/>
        <v>0.48</v>
      </c>
      <c r="AC23" s="20">
        <v>34</v>
      </c>
      <c r="AD23" s="20">
        <v>7.2</v>
      </c>
      <c r="AE23" s="20">
        <v>50</v>
      </c>
      <c r="AF23" s="31">
        <v>2.9999999999999997E-4</v>
      </c>
      <c r="AG23" s="31">
        <f t="shared" si="5"/>
        <v>3.8456787599999993E-2</v>
      </c>
      <c r="AH23" s="31">
        <v>0</v>
      </c>
      <c r="AI23" s="61">
        <v>200</v>
      </c>
      <c r="AJ23" s="30">
        <v>5.6517979921942999E-3</v>
      </c>
      <c r="AK23" s="31"/>
      <c r="AL23" s="31"/>
      <c r="AM23" s="32">
        <f t="shared" si="6"/>
        <v>0</v>
      </c>
      <c r="AN23" s="32">
        <f t="shared" si="7"/>
        <v>0</v>
      </c>
      <c r="AO23" s="33">
        <f t="shared" si="8"/>
        <v>0</v>
      </c>
      <c r="AP23" s="34">
        <f t="shared" si="9"/>
        <v>0</v>
      </c>
    </row>
    <row r="24" spans="1:42" x14ac:dyDescent="0.25">
      <c r="A24" s="2" t="s">
        <v>69</v>
      </c>
      <c r="B24" t="s">
        <v>51</v>
      </c>
      <c r="C24">
        <v>15</v>
      </c>
      <c r="D24">
        <v>7.2</v>
      </c>
      <c r="E24">
        <v>34</v>
      </c>
      <c r="F24">
        <v>0</v>
      </c>
      <c r="G24" s="1">
        <v>45344.620833333298</v>
      </c>
      <c r="H24" s="91"/>
      <c r="I24" s="98">
        <v>146.51</v>
      </c>
      <c r="J24" s="20"/>
      <c r="K24" s="20">
        <v>13.47</v>
      </c>
      <c r="L24" s="20">
        <v>98.72</v>
      </c>
      <c r="M24" s="20">
        <v>1.08</v>
      </c>
      <c r="N24" s="20">
        <v>318</v>
      </c>
      <c r="O24" s="20">
        <v>38.5</v>
      </c>
      <c r="P24" s="20">
        <v>5.43</v>
      </c>
      <c r="Q24" s="83">
        <v>7.17</v>
      </c>
      <c r="R24" s="31">
        <v>0</v>
      </c>
      <c r="S24" s="31">
        <v>0.85</v>
      </c>
      <c r="T24" s="31">
        <v>0</v>
      </c>
      <c r="U24" s="31">
        <v>0.05</v>
      </c>
      <c r="V24" s="31">
        <v>198.16</v>
      </c>
      <c r="W24" s="31">
        <v>1.78</v>
      </c>
      <c r="X24" s="32">
        <f t="shared" si="0"/>
        <v>1.8400000000000034</v>
      </c>
      <c r="Y24" s="32">
        <f t="shared" si="1"/>
        <v>0</v>
      </c>
      <c r="Z24" s="32">
        <f t="shared" si="2"/>
        <v>0</v>
      </c>
      <c r="AA24" s="32">
        <f t="shared" si="3"/>
        <v>0</v>
      </c>
      <c r="AB24" s="33">
        <f t="shared" si="4"/>
        <v>0.60000000000000009</v>
      </c>
      <c r="AC24" s="20">
        <v>34</v>
      </c>
      <c r="AD24" s="20">
        <v>7.2</v>
      </c>
      <c r="AE24" s="20">
        <v>50</v>
      </c>
      <c r="AF24" s="31">
        <v>2.9999999999999997E-4</v>
      </c>
      <c r="AG24" s="31">
        <f t="shared" si="5"/>
        <v>4.804587359999999E-2</v>
      </c>
      <c r="AH24" s="31">
        <v>0</v>
      </c>
      <c r="AI24" s="61">
        <v>200</v>
      </c>
      <c r="AJ24" s="30">
        <v>5.2436999271545E-3</v>
      </c>
      <c r="AK24" s="31"/>
      <c r="AL24" s="31"/>
      <c r="AM24" s="32">
        <f t="shared" si="6"/>
        <v>0</v>
      </c>
      <c r="AN24" s="32">
        <f t="shared" si="7"/>
        <v>0</v>
      </c>
      <c r="AO24" s="33">
        <f t="shared" si="8"/>
        <v>0</v>
      </c>
      <c r="AP24" s="34">
        <f t="shared" si="9"/>
        <v>0</v>
      </c>
    </row>
    <row r="25" spans="1:42" x14ac:dyDescent="0.25">
      <c r="A25" s="2" t="s">
        <v>70</v>
      </c>
      <c r="B25" t="s">
        <v>51</v>
      </c>
      <c r="C25">
        <v>15</v>
      </c>
      <c r="D25">
        <v>7.2</v>
      </c>
      <c r="E25">
        <v>34</v>
      </c>
      <c r="F25">
        <v>0</v>
      </c>
      <c r="G25" s="1">
        <v>45344.625</v>
      </c>
      <c r="H25" s="91"/>
      <c r="I25" s="98">
        <v>146.51</v>
      </c>
      <c r="J25" s="20"/>
      <c r="K25" s="20">
        <v>13.96</v>
      </c>
      <c r="L25" s="20">
        <v>98.51</v>
      </c>
      <c r="M25" s="20">
        <v>1.0900000000000001</v>
      </c>
      <c r="N25" s="20">
        <v>316</v>
      </c>
      <c r="O25" s="20">
        <v>38.799999999999997</v>
      </c>
      <c r="P25" s="20">
        <v>5.4</v>
      </c>
      <c r="Q25" s="83">
        <v>7.17</v>
      </c>
      <c r="R25" s="31">
        <v>0</v>
      </c>
      <c r="S25" s="31">
        <v>0.91</v>
      </c>
      <c r="T25" s="31">
        <v>0</v>
      </c>
      <c r="U25" s="31">
        <v>0.05</v>
      </c>
      <c r="V25" s="31">
        <v>198.15</v>
      </c>
      <c r="W25" s="31">
        <v>1.78</v>
      </c>
      <c r="X25" s="32">
        <f t="shared" si="0"/>
        <v>1.8499999999999943</v>
      </c>
      <c r="Y25" s="32">
        <f t="shared" si="1"/>
        <v>0</v>
      </c>
      <c r="Z25" s="32">
        <f t="shared" si="2"/>
        <v>0</v>
      </c>
      <c r="AA25" s="32">
        <f t="shared" si="3"/>
        <v>0</v>
      </c>
      <c r="AB25" s="33">
        <f t="shared" si="4"/>
        <v>0.60000000000000009</v>
      </c>
      <c r="AC25" s="20">
        <v>34</v>
      </c>
      <c r="AD25" s="20">
        <v>7.2</v>
      </c>
      <c r="AE25" s="20">
        <v>50</v>
      </c>
      <c r="AF25" s="31">
        <v>2.9999999999999997E-4</v>
      </c>
      <c r="AG25" s="31">
        <f t="shared" si="5"/>
        <v>4.9791132000000002E-2</v>
      </c>
      <c r="AH25" s="31">
        <v>0</v>
      </c>
      <c r="AI25" s="61">
        <v>200</v>
      </c>
      <c r="AJ25" s="30">
        <v>5.7999995012502003E-3</v>
      </c>
      <c r="AK25" s="31"/>
      <c r="AL25" s="31"/>
      <c r="AM25" s="32">
        <f t="shared" si="6"/>
        <v>0</v>
      </c>
      <c r="AN25" s="32">
        <f t="shared" si="7"/>
        <v>0</v>
      </c>
      <c r="AO25" s="33">
        <f t="shared" si="8"/>
        <v>0</v>
      </c>
      <c r="AP25" s="34">
        <f t="shared" si="9"/>
        <v>0</v>
      </c>
    </row>
    <row r="26" spans="1:42" ht="15.75" thickBot="1" x14ac:dyDescent="0.3">
      <c r="A26" s="2" t="s">
        <v>71</v>
      </c>
      <c r="B26" t="s">
        <v>51</v>
      </c>
      <c r="C26">
        <v>15</v>
      </c>
      <c r="D26">
        <v>7.2</v>
      </c>
      <c r="E26">
        <v>34</v>
      </c>
      <c r="F26">
        <v>0</v>
      </c>
      <c r="G26" s="1">
        <v>45344.629861111098</v>
      </c>
      <c r="H26" s="91"/>
      <c r="I26" s="98">
        <v>146.51</v>
      </c>
      <c r="J26" s="20"/>
      <c r="K26" s="20">
        <v>14.02</v>
      </c>
      <c r="L26" s="20">
        <v>98.49</v>
      </c>
      <c r="M26" s="20">
        <v>1.1200000000000001</v>
      </c>
      <c r="N26" s="20">
        <v>318</v>
      </c>
      <c r="O26" s="20">
        <v>40.6</v>
      </c>
      <c r="P26" s="20">
        <v>5.5</v>
      </c>
      <c r="Q26" s="83">
        <v>7.15</v>
      </c>
      <c r="R26" s="31">
        <v>0</v>
      </c>
      <c r="S26" s="31">
        <v>0.87</v>
      </c>
      <c r="T26" s="31">
        <v>0</v>
      </c>
      <c r="U26" s="31">
        <v>0.05</v>
      </c>
      <c r="V26" s="31">
        <v>198.17</v>
      </c>
      <c r="W26" s="31">
        <v>1.78</v>
      </c>
      <c r="X26" s="32">
        <f t="shared" si="0"/>
        <v>1.8300000000000125</v>
      </c>
      <c r="Y26" s="32">
        <f t="shared" si="1"/>
        <v>0</v>
      </c>
      <c r="Z26" s="32">
        <f t="shared" si="2"/>
        <v>0</v>
      </c>
      <c r="AA26" s="32">
        <f t="shared" si="3"/>
        <v>0</v>
      </c>
      <c r="AB26" s="33">
        <f t="shared" si="4"/>
        <v>0.60000000000000009</v>
      </c>
      <c r="AC26" s="20">
        <v>34</v>
      </c>
      <c r="AD26" s="20">
        <v>7.2</v>
      </c>
      <c r="AE26" s="20">
        <v>50</v>
      </c>
      <c r="AF26" s="31">
        <v>2.9999999999999997E-4</v>
      </c>
      <c r="AG26" s="31">
        <f t="shared" si="5"/>
        <v>5.001018119999999E-2</v>
      </c>
      <c r="AH26" s="31">
        <v>0</v>
      </c>
      <c r="AI26" s="61">
        <v>200</v>
      </c>
      <c r="AJ26" s="30">
        <v>5.8561237651311698E-3</v>
      </c>
      <c r="AK26" s="31"/>
      <c r="AL26" s="31"/>
      <c r="AM26" s="32">
        <f t="shared" si="6"/>
        <v>0</v>
      </c>
      <c r="AN26" s="32">
        <f t="shared" si="7"/>
        <v>0</v>
      </c>
      <c r="AO26" s="33">
        <f t="shared" si="8"/>
        <v>0</v>
      </c>
      <c r="AP26" s="34">
        <f t="shared" si="9"/>
        <v>0</v>
      </c>
    </row>
    <row r="27" spans="1:42" x14ac:dyDescent="0.25">
      <c r="A27" s="7" t="s">
        <v>45</v>
      </c>
      <c r="B27" s="8" t="s">
        <v>46</v>
      </c>
      <c r="C27" s="8">
        <v>18</v>
      </c>
      <c r="D27" s="8">
        <v>7.1</v>
      </c>
      <c r="E27" s="8">
        <v>32.999999999999993</v>
      </c>
      <c r="F27" s="8">
        <v>1</v>
      </c>
      <c r="G27" s="9">
        <v>45345.261805555601</v>
      </c>
      <c r="H27" s="90"/>
      <c r="I27" s="18">
        <v>509.83</v>
      </c>
      <c r="J27" s="18">
        <v>615.07679999999993</v>
      </c>
      <c r="K27" s="18">
        <v>20.13</v>
      </c>
      <c r="L27" s="18">
        <v>98.16</v>
      </c>
      <c r="M27" s="18">
        <v>2.42</v>
      </c>
      <c r="N27" s="18">
        <v>305</v>
      </c>
      <c r="O27" s="18">
        <v>33.9</v>
      </c>
      <c r="P27" s="18">
        <v>0.78</v>
      </c>
      <c r="Q27" s="82">
        <v>7.06</v>
      </c>
      <c r="R27" s="26">
        <v>1.02</v>
      </c>
      <c r="S27" s="26">
        <v>0</v>
      </c>
      <c r="T27" s="26">
        <v>2.46</v>
      </c>
      <c r="U27" s="26">
        <v>0</v>
      </c>
      <c r="V27" s="26">
        <v>198.57</v>
      </c>
      <c r="W27" s="26">
        <v>16.350000000000001</v>
      </c>
      <c r="X27" s="27">
        <f t="shared" ref="X27:X90" si="10">W27-W3</f>
        <v>1.7700000000000014</v>
      </c>
      <c r="Y27" s="27">
        <f t="shared" si="1"/>
        <v>5.1000000000000004E-3</v>
      </c>
      <c r="Z27" s="27">
        <f t="shared" si="2"/>
        <v>5.1367276023568517E-3</v>
      </c>
      <c r="AA27" s="27">
        <f t="shared" si="3"/>
        <v>1.2388578335095936E-2</v>
      </c>
      <c r="AB27" s="28">
        <f t="shared" ref="AB27:AB90" si="11">U27*24</f>
        <v>0</v>
      </c>
      <c r="AC27" s="18">
        <v>34</v>
      </c>
      <c r="AD27" s="18">
        <v>7.2</v>
      </c>
      <c r="AE27" s="18">
        <v>50</v>
      </c>
      <c r="AF27" s="26">
        <v>2.9999999999999997E-4</v>
      </c>
      <c r="AG27" s="26">
        <f t="shared" si="5"/>
        <v>7.1949853799999991E-2</v>
      </c>
      <c r="AH27" s="26">
        <f>AG3*18</f>
        <v>1.115833968</v>
      </c>
      <c r="AI27" s="60">
        <v>200</v>
      </c>
      <c r="AJ27" s="25">
        <v>9.5249345973893E-3</v>
      </c>
      <c r="AK27" s="26">
        <v>9.9999999999999995E-8</v>
      </c>
      <c r="AL27" s="26">
        <v>1.2999999999999999E-3</v>
      </c>
      <c r="AM27" s="27">
        <f t="shared" si="6"/>
        <v>0</v>
      </c>
      <c r="AN27" s="27">
        <f t="shared" si="7"/>
        <v>8.2737499999999996E-7</v>
      </c>
      <c r="AO27" s="28">
        <f t="shared" si="8"/>
        <v>0.25814099999999995</v>
      </c>
      <c r="AP27" s="29">
        <f t="shared" si="9"/>
        <v>8.2737499999999996E-7</v>
      </c>
    </row>
    <row r="28" spans="1:42" x14ac:dyDescent="0.25">
      <c r="A28" s="2" t="s">
        <v>47</v>
      </c>
      <c r="B28" t="s">
        <v>46</v>
      </c>
      <c r="C28">
        <v>12</v>
      </c>
      <c r="D28">
        <v>7.3</v>
      </c>
      <c r="E28">
        <v>35</v>
      </c>
      <c r="F28">
        <v>1</v>
      </c>
      <c r="G28" s="1">
        <v>45345.266666666699</v>
      </c>
      <c r="H28" s="91"/>
      <c r="I28" s="98">
        <v>509.83</v>
      </c>
      <c r="J28" s="20">
        <v>421.26396666666665</v>
      </c>
      <c r="K28" s="20">
        <v>12.78</v>
      </c>
      <c r="L28" s="20">
        <v>97.92</v>
      </c>
      <c r="M28" s="21"/>
      <c r="N28" s="21">
        <v>0</v>
      </c>
      <c r="O28" s="20">
        <v>37.5</v>
      </c>
      <c r="P28" s="20">
        <v>0.14000000000000001</v>
      </c>
      <c r="Q28" s="83">
        <v>7.1</v>
      </c>
      <c r="R28" s="31">
        <v>0.88</v>
      </c>
      <c r="S28" s="31">
        <v>3.96</v>
      </c>
      <c r="T28" s="31">
        <v>0</v>
      </c>
      <c r="U28" s="31">
        <v>0.2</v>
      </c>
      <c r="V28" s="31">
        <v>197.11</v>
      </c>
      <c r="W28" s="31">
        <v>4.3499999999999996</v>
      </c>
      <c r="X28" s="32">
        <f t="shared" si="10"/>
        <v>1.7699999999999996</v>
      </c>
      <c r="Y28" s="32">
        <f t="shared" si="1"/>
        <v>4.4000000000000003E-3</v>
      </c>
      <c r="Z28" s="32">
        <f t="shared" si="2"/>
        <v>4.4645122013089135E-3</v>
      </c>
      <c r="AA28" s="32">
        <f t="shared" si="3"/>
        <v>0</v>
      </c>
      <c r="AB28" s="33">
        <f t="shared" si="11"/>
        <v>4.8000000000000007</v>
      </c>
      <c r="AC28" s="20">
        <v>34</v>
      </c>
      <c r="AD28" s="20">
        <v>7.2</v>
      </c>
      <c r="AE28" s="20">
        <v>50</v>
      </c>
      <c r="AF28" s="31">
        <v>2.9999999999999997E-4</v>
      </c>
      <c r="AG28" s="31">
        <f t="shared" si="5"/>
        <v>4.5343184399999993E-2</v>
      </c>
      <c r="AH28" s="31">
        <f t="shared" ref="AH28:AH50" si="12">AG4*18</f>
        <v>0.69112699199999994</v>
      </c>
      <c r="AI28" s="61">
        <v>200</v>
      </c>
      <c r="AJ28" s="30">
        <v>1.1509712324845199E-2</v>
      </c>
      <c r="AK28" s="31">
        <v>9.9999999999999995E-8</v>
      </c>
      <c r="AL28" s="31">
        <v>1.4020392061043401E-3</v>
      </c>
      <c r="AM28" s="32">
        <f t="shared" si="6"/>
        <v>0</v>
      </c>
      <c r="AN28" s="32">
        <f t="shared" si="7"/>
        <v>8.2129166666666673E-7</v>
      </c>
      <c r="AO28" s="33">
        <f t="shared" si="8"/>
        <v>0.2763559479152265</v>
      </c>
      <c r="AP28" s="34">
        <f t="shared" si="9"/>
        <v>8.2129166666666673E-7</v>
      </c>
    </row>
    <row r="29" spans="1:42" x14ac:dyDescent="0.25">
      <c r="A29" s="2" t="s">
        <v>48</v>
      </c>
      <c r="B29" t="s">
        <v>49</v>
      </c>
      <c r="C29">
        <v>12</v>
      </c>
      <c r="D29">
        <v>7.2</v>
      </c>
      <c r="E29">
        <v>34</v>
      </c>
      <c r="F29">
        <v>1</v>
      </c>
      <c r="G29" s="1">
        <v>45345.271527777797</v>
      </c>
      <c r="H29" s="91"/>
      <c r="I29" s="98">
        <v>509.83</v>
      </c>
      <c r="J29" s="20">
        <v>423.89043333333331</v>
      </c>
      <c r="K29" s="20">
        <v>14.04</v>
      </c>
      <c r="L29" s="20">
        <v>98.21</v>
      </c>
      <c r="M29" s="20">
        <v>2.2000000000000002</v>
      </c>
      <c r="N29" s="20">
        <v>320</v>
      </c>
      <c r="O29" s="20">
        <v>39.9</v>
      </c>
      <c r="P29" s="20">
        <v>2.79</v>
      </c>
      <c r="Q29" s="83">
        <v>7.07</v>
      </c>
      <c r="R29" s="31">
        <v>0.63</v>
      </c>
      <c r="S29" s="31">
        <v>0.66</v>
      </c>
      <c r="T29" s="31">
        <v>1.1000000000000001</v>
      </c>
      <c r="U29" s="31">
        <v>0.02</v>
      </c>
      <c r="V29" s="31">
        <v>197.31</v>
      </c>
      <c r="W29" s="31">
        <v>4.3499999999999996</v>
      </c>
      <c r="X29" s="32">
        <f t="shared" si="10"/>
        <v>1.7699999999999996</v>
      </c>
      <c r="Y29" s="32">
        <f t="shared" si="1"/>
        <v>3.15E-3</v>
      </c>
      <c r="Z29" s="32">
        <f t="shared" si="2"/>
        <v>3.192945111753079E-3</v>
      </c>
      <c r="AA29" s="32">
        <f t="shared" si="3"/>
        <v>5.5749835284577571E-3</v>
      </c>
      <c r="AB29" s="33">
        <f t="shared" si="11"/>
        <v>0.48</v>
      </c>
      <c r="AC29" s="20">
        <v>34</v>
      </c>
      <c r="AD29" s="20">
        <v>7.2</v>
      </c>
      <c r="AE29" s="20">
        <v>50</v>
      </c>
      <c r="AF29" s="31">
        <v>2.9999999999999997E-4</v>
      </c>
      <c r="AG29" s="31">
        <f t="shared" si="5"/>
        <v>4.9864183199999995E-2</v>
      </c>
      <c r="AH29" s="31">
        <f t="shared" si="12"/>
        <v>0.64162471679999977</v>
      </c>
      <c r="AI29" s="61">
        <v>200</v>
      </c>
      <c r="AJ29" s="30">
        <v>1.14567000896637E-2</v>
      </c>
      <c r="AK29" s="31"/>
      <c r="AL29" s="31"/>
      <c r="AM29" s="32">
        <f t="shared" si="6"/>
        <v>9.54725007471975E-2</v>
      </c>
      <c r="AN29" s="32">
        <f t="shared" si="7"/>
        <v>0</v>
      </c>
      <c r="AO29" s="33">
        <f t="shared" si="8"/>
        <v>0</v>
      </c>
      <c r="AP29" s="34">
        <f t="shared" si="9"/>
        <v>9.54725007471975E-2</v>
      </c>
    </row>
    <row r="30" spans="1:42" x14ac:dyDescent="0.25">
      <c r="A30" s="2" t="s">
        <v>50</v>
      </c>
      <c r="B30" t="s">
        <v>51</v>
      </c>
      <c r="C30">
        <v>18</v>
      </c>
      <c r="D30">
        <v>7.3</v>
      </c>
      <c r="E30">
        <v>35</v>
      </c>
      <c r="F30">
        <v>1</v>
      </c>
      <c r="G30" s="1">
        <v>45345.276388888902</v>
      </c>
      <c r="H30" s="91"/>
      <c r="I30" s="98">
        <v>509.83</v>
      </c>
      <c r="J30" s="20">
        <v>609.57479999999998</v>
      </c>
      <c r="K30" s="20">
        <v>18.36</v>
      </c>
      <c r="L30" s="20">
        <v>98.12</v>
      </c>
      <c r="M30" s="20">
        <v>2.4700000000000002</v>
      </c>
      <c r="N30" s="20">
        <v>304</v>
      </c>
      <c r="O30" s="20">
        <v>29.6</v>
      </c>
      <c r="P30" s="20">
        <v>0.73</v>
      </c>
      <c r="Q30" s="83">
        <v>7.07</v>
      </c>
      <c r="R30" s="31">
        <v>1.02</v>
      </c>
      <c r="S30" s="31">
        <v>1.5699999999999998</v>
      </c>
      <c r="T30" s="31">
        <v>2.13</v>
      </c>
      <c r="U30" s="31">
        <v>7.0000000000000007E-2</v>
      </c>
      <c r="V30" s="31">
        <v>197.61</v>
      </c>
      <c r="W30" s="31">
        <v>17.149999999999999</v>
      </c>
      <c r="X30" s="32">
        <f t="shared" si="10"/>
        <v>2.5699999999999985</v>
      </c>
      <c r="Y30" s="32">
        <f t="shared" si="1"/>
        <v>5.1000000000000004E-3</v>
      </c>
      <c r="Z30" s="32">
        <f t="shared" si="2"/>
        <v>5.1616821011082432E-3</v>
      </c>
      <c r="AA30" s="32">
        <f t="shared" si="3"/>
        <v>1.0778806740549566E-2</v>
      </c>
      <c r="AB30" s="33">
        <f t="shared" si="11"/>
        <v>1.6800000000000002</v>
      </c>
      <c r="AC30" s="20">
        <v>34</v>
      </c>
      <c r="AD30" s="20">
        <v>7.2</v>
      </c>
      <c r="AE30" s="20">
        <v>50</v>
      </c>
      <c r="AF30" s="31">
        <v>2.9999999999999997E-4</v>
      </c>
      <c r="AG30" s="31">
        <f t="shared" si="5"/>
        <v>6.5306152799999989E-2</v>
      </c>
      <c r="AH30" s="31">
        <f t="shared" si="12"/>
        <v>1.0562048784</v>
      </c>
      <c r="AI30" s="61">
        <v>200</v>
      </c>
      <c r="AJ30" s="30">
        <v>9.8294010988234995E-3</v>
      </c>
      <c r="AK30" s="31"/>
      <c r="AL30" s="31"/>
      <c r="AM30" s="32">
        <f t="shared" si="6"/>
        <v>0</v>
      </c>
      <c r="AN30" s="32">
        <f t="shared" si="7"/>
        <v>0</v>
      </c>
      <c r="AO30" s="33">
        <f t="shared" si="8"/>
        <v>0</v>
      </c>
      <c r="AP30" s="34">
        <f t="shared" si="9"/>
        <v>0</v>
      </c>
    </row>
    <row r="31" spans="1:42" x14ac:dyDescent="0.25">
      <c r="A31" s="2" t="s">
        <v>52</v>
      </c>
      <c r="B31" t="s">
        <v>49</v>
      </c>
      <c r="C31">
        <v>18</v>
      </c>
      <c r="D31">
        <v>7.3</v>
      </c>
      <c r="E31">
        <v>35</v>
      </c>
      <c r="F31">
        <v>1</v>
      </c>
      <c r="G31" s="1">
        <v>45345.280555555597</v>
      </c>
      <c r="H31" s="91"/>
      <c r="I31" s="98">
        <v>509.83</v>
      </c>
      <c r="J31" s="20">
        <v>606.81020000000001</v>
      </c>
      <c r="K31" s="20">
        <v>20.78</v>
      </c>
      <c r="L31" s="20">
        <v>98.16</v>
      </c>
      <c r="M31" s="20">
        <v>2.41</v>
      </c>
      <c r="N31" s="20">
        <v>303</v>
      </c>
      <c r="O31" s="20">
        <v>35.4</v>
      </c>
      <c r="P31" s="20">
        <v>0.73</v>
      </c>
      <c r="Q31" s="83">
        <v>7.06</v>
      </c>
      <c r="R31" s="31">
        <v>1.01</v>
      </c>
      <c r="S31" s="31">
        <v>0.99</v>
      </c>
      <c r="T31" s="31">
        <v>2.13</v>
      </c>
      <c r="U31" s="31">
        <v>0.04</v>
      </c>
      <c r="V31" s="31">
        <v>198.51</v>
      </c>
      <c r="W31" s="31">
        <v>16.350000000000001</v>
      </c>
      <c r="X31" s="32">
        <f t="shared" si="10"/>
        <v>1.7700000000000014</v>
      </c>
      <c r="Y31" s="32">
        <f t="shared" si="1"/>
        <v>5.0499999999999998E-3</v>
      </c>
      <c r="Z31" s="32">
        <f t="shared" si="2"/>
        <v>5.0879048914412375E-3</v>
      </c>
      <c r="AA31" s="32">
        <f t="shared" si="3"/>
        <v>1.0729938038385976E-2</v>
      </c>
      <c r="AB31" s="33">
        <f t="shared" si="11"/>
        <v>0.96</v>
      </c>
      <c r="AC31" s="20">
        <v>34</v>
      </c>
      <c r="AD31" s="20">
        <v>7.2</v>
      </c>
      <c r="AE31" s="20">
        <v>50</v>
      </c>
      <c r="AF31" s="31">
        <v>2.9999999999999997E-4</v>
      </c>
      <c r="AG31" s="31">
        <f t="shared" si="5"/>
        <v>7.4250680399999991E-2</v>
      </c>
      <c r="AH31" s="31">
        <f t="shared" si="12"/>
        <v>1.0275903648</v>
      </c>
      <c r="AI31" s="61">
        <v>200</v>
      </c>
      <c r="AJ31" s="30">
        <v>8.7523644889133997E-3</v>
      </c>
      <c r="AK31" s="31"/>
      <c r="AL31" s="31"/>
      <c r="AM31" s="32">
        <f t="shared" si="6"/>
        <v>7.2936370740945E-2</v>
      </c>
      <c r="AN31" s="32">
        <f t="shared" si="7"/>
        <v>0</v>
      </c>
      <c r="AO31" s="33">
        <f t="shared" si="8"/>
        <v>0</v>
      </c>
      <c r="AP31" s="34">
        <f t="shared" si="9"/>
        <v>7.2936370740945E-2</v>
      </c>
    </row>
    <row r="32" spans="1:42" x14ac:dyDescent="0.25">
      <c r="A32" s="2" t="s">
        <v>53</v>
      </c>
      <c r="B32" t="s">
        <v>49</v>
      </c>
      <c r="C32">
        <v>12</v>
      </c>
      <c r="D32">
        <v>7.3</v>
      </c>
      <c r="E32">
        <v>35</v>
      </c>
      <c r="F32">
        <v>1</v>
      </c>
      <c r="G32" s="1">
        <v>45345.285416666702</v>
      </c>
      <c r="H32" s="91"/>
      <c r="I32" s="98">
        <v>509.83</v>
      </c>
      <c r="J32" s="20">
        <v>419.69819999999999</v>
      </c>
      <c r="K32" s="20">
        <v>14.32</v>
      </c>
      <c r="L32" s="20">
        <v>98.08</v>
      </c>
      <c r="M32" s="20">
        <v>2.15</v>
      </c>
      <c r="N32" s="20">
        <v>319</v>
      </c>
      <c r="O32" s="20">
        <v>41.2</v>
      </c>
      <c r="P32" s="20">
        <v>2.81</v>
      </c>
      <c r="Q32" s="83">
        <v>7.07</v>
      </c>
      <c r="R32" s="31">
        <v>0.61</v>
      </c>
      <c r="S32" s="31">
        <v>0.71000000000000008</v>
      </c>
      <c r="T32" s="31">
        <v>1.0900000000000001</v>
      </c>
      <c r="U32" s="31">
        <v>0.02</v>
      </c>
      <c r="V32" s="31">
        <v>196.42</v>
      </c>
      <c r="W32" s="31">
        <v>5.15</v>
      </c>
      <c r="X32" s="32">
        <f t="shared" si="10"/>
        <v>2.5700000000000003</v>
      </c>
      <c r="Y32" s="32">
        <f t="shared" si="1"/>
        <v>3.0499999999999998E-3</v>
      </c>
      <c r="Z32" s="32">
        <f t="shared" si="2"/>
        <v>3.1055900621118015E-3</v>
      </c>
      <c r="AA32" s="32">
        <f t="shared" si="3"/>
        <v>5.5493330618063344E-3</v>
      </c>
      <c r="AB32" s="33">
        <f t="shared" si="11"/>
        <v>0.48</v>
      </c>
      <c r="AC32" s="20">
        <v>34</v>
      </c>
      <c r="AD32" s="20">
        <v>7.2</v>
      </c>
      <c r="AE32" s="20">
        <v>50</v>
      </c>
      <c r="AF32" s="31">
        <v>2.9999999999999997E-4</v>
      </c>
      <c r="AG32" s="31">
        <f t="shared" si="5"/>
        <v>5.0629219199999992E-2</v>
      </c>
      <c r="AH32" s="31">
        <f t="shared" si="12"/>
        <v>0.63637811999999983</v>
      </c>
      <c r="AI32" s="61">
        <v>200</v>
      </c>
      <c r="AJ32" s="30">
        <v>1.10869313908408E-2</v>
      </c>
      <c r="AK32" s="31"/>
      <c r="AL32" s="31"/>
      <c r="AM32" s="32">
        <f t="shared" si="6"/>
        <v>9.2391094923673325E-2</v>
      </c>
      <c r="AN32" s="32">
        <f t="shared" si="7"/>
        <v>0</v>
      </c>
      <c r="AO32" s="33">
        <f t="shared" si="8"/>
        <v>0</v>
      </c>
      <c r="AP32" s="34">
        <f t="shared" si="9"/>
        <v>9.2391094923673325E-2</v>
      </c>
    </row>
    <row r="33" spans="1:42" x14ac:dyDescent="0.25">
      <c r="A33" s="2" t="s">
        <v>54</v>
      </c>
      <c r="B33" t="s">
        <v>46</v>
      </c>
      <c r="C33">
        <v>18</v>
      </c>
      <c r="D33">
        <v>7.3</v>
      </c>
      <c r="E33">
        <v>35</v>
      </c>
      <c r="F33">
        <v>1</v>
      </c>
      <c r="G33" s="1">
        <v>45345.2902777778</v>
      </c>
      <c r="H33" s="91"/>
      <c r="I33" s="98">
        <v>509.83</v>
      </c>
      <c r="J33" s="20">
        <v>620.04719999999998</v>
      </c>
      <c r="K33" s="20">
        <v>20.48</v>
      </c>
      <c r="L33" s="20">
        <v>98.96</v>
      </c>
      <c r="M33" s="20">
        <v>2.4900000000000002</v>
      </c>
      <c r="N33" s="20">
        <v>305</v>
      </c>
      <c r="O33" s="20">
        <v>36.200000000000003</v>
      </c>
      <c r="P33" s="20">
        <v>0.62</v>
      </c>
      <c r="Q33" s="83">
        <v>7.08</v>
      </c>
      <c r="R33" s="31">
        <v>0.95</v>
      </c>
      <c r="S33" s="31">
        <v>0</v>
      </c>
      <c r="T33" s="31">
        <v>1.41</v>
      </c>
      <c r="U33" s="31">
        <v>0</v>
      </c>
      <c r="V33" s="31">
        <v>197.23</v>
      </c>
      <c r="W33" s="31">
        <v>16.350000000000001</v>
      </c>
      <c r="X33" s="32">
        <f t="shared" si="10"/>
        <v>1.7700000000000014</v>
      </c>
      <c r="Y33" s="32">
        <f t="shared" si="1"/>
        <v>4.7499999999999999E-3</v>
      </c>
      <c r="Z33" s="32">
        <f t="shared" si="2"/>
        <v>4.8167114536328149E-3</v>
      </c>
      <c r="AA33" s="32">
        <f t="shared" si="3"/>
        <v>7.1490138417076507E-3</v>
      </c>
      <c r="AB33" s="33">
        <f t="shared" si="11"/>
        <v>0</v>
      </c>
      <c r="AC33" s="20">
        <v>34</v>
      </c>
      <c r="AD33" s="20">
        <v>7.2</v>
      </c>
      <c r="AE33" s="20">
        <v>50</v>
      </c>
      <c r="AF33" s="31">
        <v>2.9999999999999997E-4</v>
      </c>
      <c r="AG33" s="31">
        <f t="shared" si="5"/>
        <v>7.2706867199999983E-2</v>
      </c>
      <c r="AH33" s="31">
        <f t="shared" si="12"/>
        <v>1.0276944983999998</v>
      </c>
      <c r="AI33" s="61">
        <v>200</v>
      </c>
      <c r="AJ33" s="30">
        <v>8.6511974469279992E-3</v>
      </c>
      <c r="AK33" s="31">
        <v>9.9999999999999995E-8</v>
      </c>
      <c r="AL33" s="31">
        <v>2.1541106031525798E-3</v>
      </c>
      <c r="AM33" s="32">
        <f t="shared" si="6"/>
        <v>0</v>
      </c>
      <c r="AN33" s="32">
        <f t="shared" si="7"/>
        <v>8.2179166666666656E-7</v>
      </c>
      <c r="AO33" s="33">
        <f t="shared" si="8"/>
        <v>0.42485523425978328</v>
      </c>
      <c r="AP33" s="34">
        <f t="shared" si="9"/>
        <v>8.2179166666666656E-7</v>
      </c>
    </row>
    <row r="34" spans="1:42" x14ac:dyDescent="0.25">
      <c r="A34" s="2" t="s">
        <v>55</v>
      </c>
      <c r="B34" t="s">
        <v>51</v>
      </c>
      <c r="C34">
        <v>15</v>
      </c>
      <c r="D34">
        <v>7.2</v>
      </c>
      <c r="E34">
        <v>34</v>
      </c>
      <c r="F34">
        <v>1</v>
      </c>
      <c r="G34" s="1">
        <v>45345.295138888898</v>
      </c>
      <c r="H34" s="91"/>
      <c r="I34" s="98">
        <v>509.83</v>
      </c>
      <c r="J34" s="20">
        <v>520.03769999999997</v>
      </c>
      <c r="K34" s="20">
        <v>15.86</v>
      </c>
      <c r="L34" s="20">
        <v>97.95</v>
      </c>
      <c r="M34" s="20">
        <v>2.4500000000000002</v>
      </c>
      <c r="N34" s="20">
        <v>310</v>
      </c>
      <c r="O34" s="20">
        <v>32.6</v>
      </c>
      <c r="P34" s="20">
        <v>1.49</v>
      </c>
      <c r="Q34" s="83">
        <v>7.06</v>
      </c>
      <c r="R34" s="31">
        <v>0.85</v>
      </c>
      <c r="S34" s="31">
        <v>1.35</v>
      </c>
      <c r="T34" s="31">
        <v>1.75</v>
      </c>
      <c r="U34" s="31">
        <v>0.06</v>
      </c>
      <c r="V34" s="31">
        <v>198.25</v>
      </c>
      <c r="W34" s="31">
        <v>4.3499999999999996</v>
      </c>
      <c r="X34" s="32">
        <f t="shared" si="10"/>
        <v>1.7699999999999996</v>
      </c>
      <c r="Y34" s="32">
        <f t="shared" si="1"/>
        <v>4.2500000000000003E-3</v>
      </c>
      <c r="Z34" s="32">
        <f t="shared" si="2"/>
        <v>4.287515762925599E-3</v>
      </c>
      <c r="AA34" s="32">
        <f t="shared" si="3"/>
        <v>8.8272383354350576E-3</v>
      </c>
      <c r="AB34" s="33">
        <f t="shared" si="11"/>
        <v>1.44</v>
      </c>
      <c r="AC34" s="20">
        <v>34</v>
      </c>
      <c r="AD34" s="20">
        <v>7.2</v>
      </c>
      <c r="AE34" s="20">
        <v>50</v>
      </c>
      <c r="AF34" s="31">
        <v>2.9999999999999997E-4</v>
      </c>
      <c r="AG34" s="31">
        <f t="shared" si="5"/>
        <v>5.6596409999999993E-2</v>
      </c>
      <c r="AH34" s="31">
        <f t="shared" si="12"/>
        <v>0.86201742240000001</v>
      </c>
      <c r="AI34" s="61">
        <v>200</v>
      </c>
      <c r="AJ34" s="30">
        <v>1.0622238469192601E-2</v>
      </c>
      <c r="AK34" s="31"/>
      <c r="AL34" s="31"/>
      <c r="AM34" s="32">
        <f t="shared" si="6"/>
        <v>0</v>
      </c>
      <c r="AN34" s="32">
        <f t="shared" si="7"/>
        <v>0</v>
      </c>
      <c r="AO34" s="33">
        <f t="shared" si="8"/>
        <v>0</v>
      </c>
      <c r="AP34" s="34">
        <f t="shared" si="9"/>
        <v>0</v>
      </c>
    </row>
    <row r="35" spans="1:42" x14ac:dyDescent="0.25">
      <c r="A35" s="2" t="s">
        <v>56</v>
      </c>
      <c r="B35" t="s">
        <v>49</v>
      </c>
      <c r="C35">
        <v>18</v>
      </c>
      <c r="D35">
        <v>7.1</v>
      </c>
      <c r="E35">
        <v>32.999999999999993</v>
      </c>
      <c r="F35">
        <v>1</v>
      </c>
      <c r="G35" s="1">
        <v>45345.3</v>
      </c>
      <c r="H35" s="91"/>
      <c r="I35" s="98">
        <v>509.83</v>
      </c>
      <c r="J35" s="20">
        <v>609.16030000000001</v>
      </c>
      <c r="K35" s="20">
        <v>20.49</v>
      </c>
      <c r="L35" s="20">
        <v>98.46</v>
      </c>
      <c r="M35" s="20">
        <v>2.5</v>
      </c>
      <c r="N35" s="20">
        <v>304</v>
      </c>
      <c r="O35" s="20">
        <v>32.1</v>
      </c>
      <c r="P35" s="20">
        <v>0.54</v>
      </c>
      <c r="Q35" s="83">
        <v>7.07</v>
      </c>
      <c r="R35" s="31">
        <v>0.97</v>
      </c>
      <c r="S35" s="31">
        <v>0.94</v>
      </c>
      <c r="T35" s="31">
        <v>2.23</v>
      </c>
      <c r="U35" s="31">
        <v>0.04</v>
      </c>
      <c r="V35" s="31">
        <v>199.27</v>
      </c>
      <c r="W35" s="31">
        <v>15.55</v>
      </c>
      <c r="X35" s="32">
        <f t="shared" si="10"/>
        <v>1.7700000000000014</v>
      </c>
      <c r="Y35" s="32">
        <f t="shared" si="1"/>
        <v>4.8500000000000001E-3</v>
      </c>
      <c r="Z35" s="32">
        <f t="shared" si="2"/>
        <v>4.8677673508305307E-3</v>
      </c>
      <c r="AA35" s="32">
        <f t="shared" si="3"/>
        <v>1.1190846590053696E-2</v>
      </c>
      <c r="AB35" s="33">
        <f t="shared" si="11"/>
        <v>0.96</v>
      </c>
      <c r="AC35" s="20">
        <v>34</v>
      </c>
      <c r="AD35" s="20">
        <v>7.2</v>
      </c>
      <c r="AE35" s="20">
        <v>50</v>
      </c>
      <c r="AF35" s="31">
        <v>2.9999999999999997E-4</v>
      </c>
      <c r="AG35" s="31">
        <f t="shared" si="5"/>
        <v>7.3494761399999983E-2</v>
      </c>
      <c r="AH35" s="31">
        <f t="shared" si="12"/>
        <v>0.99551105999999989</v>
      </c>
      <c r="AI35" s="61">
        <v>200</v>
      </c>
      <c r="AJ35" s="30">
        <v>8.4191606790610992E-3</v>
      </c>
      <c r="AK35" s="31"/>
      <c r="AL35" s="31"/>
      <c r="AM35" s="32">
        <f t="shared" si="6"/>
        <v>7.0159672325509168E-2</v>
      </c>
      <c r="AN35" s="32">
        <f t="shared" si="7"/>
        <v>0</v>
      </c>
      <c r="AO35" s="33">
        <f t="shared" si="8"/>
        <v>0</v>
      </c>
      <c r="AP35" s="34">
        <f t="shared" ref="AP35:AP66" si="13">IF(IF(AND(AN35=0, AM35=0),0, IF(AN35&gt;0,AN35,AM35))=0,0,IF(AND(AN35=0, AM35=0),0, IF(AN35&gt;0,AN35,AM35)))</f>
        <v>7.0159672325509168E-2</v>
      </c>
    </row>
    <row r="36" spans="1:42" x14ac:dyDescent="0.25">
      <c r="A36" s="2" t="s">
        <v>57</v>
      </c>
      <c r="B36" t="s">
        <v>46</v>
      </c>
      <c r="C36">
        <v>18</v>
      </c>
      <c r="D36">
        <v>7.2</v>
      </c>
      <c r="E36">
        <v>34</v>
      </c>
      <c r="F36">
        <v>1</v>
      </c>
      <c r="G36" s="1">
        <v>45345.304861111101</v>
      </c>
      <c r="H36" s="91"/>
      <c r="I36" s="98">
        <v>509.83</v>
      </c>
      <c r="J36" s="20">
        <v>603.48019999999997</v>
      </c>
      <c r="K36" s="20">
        <v>20.05</v>
      </c>
      <c r="L36" s="20">
        <v>98.06</v>
      </c>
      <c r="M36" s="20">
        <v>2.58</v>
      </c>
      <c r="N36" s="20">
        <v>306</v>
      </c>
      <c r="O36" s="20">
        <v>32</v>
      </c>
      <c r="P36" s="20">
        <v>0.56000000000000005</v>
      </c>
      <c r="Q36" s="83">
        <v>7.08</v>
      </c>
      <c r="R36" s="31">
        <v>0.96</v>
      </c>
      <c r="S36" s="31">
        <v>1.0000000000000009E-2</v>
      </c>
      <c r="T36" s="31">
        <v>0.59</v>
      </c>
      <c r="U36" s="31">
        <v>0</v>
      </c>
      <c r="V36" s="31">
        <v>197.12</v>
      </c>
      <c r="W36" s="31">
        <v>15.55</v>
      </c>
      <c r="X36" s="32">
        <f t="shared" si="10"/>
        <v>1.7700000000000014</v>
      </c>
      <c r="Y36" s="32">
        <f t="shared" si="1"/>
        <v>4.7999999999999996E-3</v>
      </c>
      <c r="Z36" s="32">
        <f t="shared" si="2"/>
        <v>4.87012987012987E-3</v>
      </c>
      <c r="AA36" s="32">
        <f t="shared" si="3"/>
        <v>2.993100649350649E-3</v>
      </c>
      <c r="AB36" s="33">
        <f t="shared" si="11"/>
        <v>0</v>
      </c>
      <c r="AC36" s="20">
        <v>34</v>
      </c>
      <c r="AD36" s="20">
        <v>7.2</v>
      </c>
      <c r="AE36" s="20">
        <v>50</v>
      </c>
      <c r="AF36" s="31">
        <v>2.9999999999999997E-4</v>
      </c>
      <c r="AG36" s="31">
        <f t="shared" si="5"/>
        <v>7.1140607999999994E-2</v>
      </c>
      <c r="AH36" s="31">
        <f t="shared" si="12"/>
        <v>1.0525664555999998</v>
      </c>
      <c r="AI36" s="61">
        <v>200</v>
      </c>
      <c r="AJ36" s="30">
        <v>9.1347702144707991E-3</v>
      </c>
      <c r="AK36" s="31">
        <v>7.0153062831656903E-4</v>
      </c>
      <c r="AL36" s="31">
        <v>1.2999999999999999E-3</v>
      </c>
      <c r="AM36" s="32">
        <f t="shared" si="6"/>
        <v>0</v>
      </c>
      <c r="AN36" s="32">
        <f t="shared" si="7"/>
        <v>5.7619048939067533E-3</v>
      </c>
      <c r="AO36" s="33">
        <f t="shared" si="8"/>
        <v>0.25625599999999998</v>
      </c>
      <c r="AP36" s="34">
        <f t="shared" si="13"/>
        <v>5.7619048939067533E-3</v>
      </c>
    </row>
    <row r="37" spans="1:42" x14ac:dyDescent="0.25">
      <c r="A37" s="2" t="s">
        <v>58</v>
      </c>
      <c r="B37" t="s">
        <v>51</v>
      </c>
      <c r="C37">
        <v>18</v>
      </c>
      <c r="D37">
        <v>7.1</v>
      </c>
      <c r="E37">
        <v>32.999999999999993</v>
      </c>
      <c r="F37">
        <v>1</v>
      </c>
      <c r="G37" s="1">
        <v>45345.309722222199</v>
      </c>
      <c r="H37" s="91"/>
      <c r="I37" s="98">
        <v>509.83</v>
      </c>
      <c r="J37" s="20">
        <v>597.38480000000004</v>
      </c>
      <c r="K37" s="20">
        <v>19.2</v>
      </c>
      <c r="L37" s="20">
        <v>98.26</v>
      </c>
      <c r="M37" s="20">
        <v>2.29</v>
      </c>
      <c r="N37" s="20">
        <v>300</v>
      </c>
      <c r="O37" s="20">
        <v>31.7</v>
      </c>
      <c r="P37" s="20">
        <v>0.84</v>
      </c>
      <c r="Q37" s="83">
        <v>7.06</v>
      </c>
      <c r="R37" s="31">
        <v>1</v>
      </c>
      <c r="S37" s="31">
        <v>1.69</v>
      </c>
      <c r="T37" s="31">
        <v>2.14</v>
      </c>
      <c r="U37" s="31">
        <v>7.0000000000000007E-2</v>
      </c>
      <c r="V37" s="31">
        <v>205.56</v>
      </c>
      <c r="W37" s="31">
        <v>15.55</v>
      </c>
      <c r="X37" s="32">
        <f t="shared" si="10"/>
        <v>1.7700000000000014</v>
      </c>
      <c r="Y37" s="32">
        <f t="shared" si="1"/>
        <v>5.0000000000000001E-3</v>
      </c>
      <c r="Z37" s="32">
        <f t="shared" si="2"/>
        <v>4.864759680871765E-3</v>
      </c>
      <c r="AA37" s="32">
        <f t="shared" si="3"/>
        <v>1.0410585717065577E-2</v>
      </c>
      <c r="AB37" s="33">
        <f t="shared" si="11"/>
        <v>1.6800000000000002</v>
      </c>
      <c r="AC37" s="20">
        <v>34</v>
      </c>
      <c r="AD37" s="20">
        <v>7.2</v>
      </c>
      <c r="AE37" s="20">
        <v>50</v>
      </c>
      <c r="AF37" s="31">
        <v>2.9999999999999997E-4</v>
      </c>
      <c r="AG37" s="31">
        <f t="shared" si="5"/>
        <v>7.1041536000000002E-2</v>
      </c>
      <c r="AH37" s="31">
        <f t="shared" si="12"/>
        <v>0.97920614880000001</v>
      </c>
      <c r="AI37" s="61">
        <v>200</v>
      </c>
      <c r="AJ37" s="30">
        <v>9.0153224721133997E-3</v>
      </c>
      <c r="AK37" s="31"/>
      <c r="AL37" s="31"/>
      <c r="AM37" s="32">
        <f t="shared" si="6"/>
        <v>0</v>
      </c>
      <c r="AN37" s="32">
        <f t="shared" si="7"/>
        <v>0</v>
      </c>
      <c r="AO37" s="33">
        <f t="shared" si="8"/>
        <v>0</v>
      </c>
      <c r="AP37" s="34">
        <f t="shared" si="13"/>
        <v>0</v>
      </c>
    </row>
    <row r="38" spans="1:42" x14ac:dyDescent="0.25">
      <c r="A38" s="2" t="s">
        <v>59</v>
      </c>
      <c r="B38" s="96" t="s">
        <v>46</v>
      </c>
      <c r="C38" s="96">
        <v>15</v>
      </c>
      <c r="D38" s="96">
        <v>7.1</v>
      </c>
      <c r="E38" s="96">
        <v>32.999999999999993</v>
      </c>
      <c r="F38" s="96">
        <v>1</v>
      </c>
      <c r="G38" s="97">
        <v>45345.314583333296</v>
      </c>
      <c r="H38" s="91"/>
      <c r="I38" s="98">
        <v>509.83</v>
      </c>
      <c r="J38" s="98">
        <v>510.31060000000002</v>
      </c>
      <c r="K38" s="98">
        <v>18.36</v>
      </c>
      <c r="L38" s="98">
        <v>98.09</v>
      </c>
      <c r="M38" s="98">
        <v>2.46</v>
      </c>
      <c r="N38" s="98">
        <v>314</v>
      </c>
      <c r="O38" s="98">
        <v>40.799999999999997</v>
      </c>
      <c r="P38" s="98">
        <v>1.45</v>
      </c>
      <c r="Q38" s="83">
        <v>7.08</v>
      </c>
      <c r="R38" s="100">
        <v>0.78</v>
      </c>
      <c r="S38" s="100">
        <v>0</v>
      </c>
      <c r="T38" s="100">
        <v>1.44</v>
      </c>
      <c r="U38" s="100">
        <v>0</v>
      </c>
      <c r="V38" s="100">
        <v>198.39</v>
      </c>
      <c r="W38" s="100">
        <v>3.55</v>
      </c>
      <c r="X38" s="101">
        <f t="shared" si="10"/>
        <v>1.7699999999999998</v>
      </c>
      <c r="Y38" s="101">
        <f t="shared" si="1"/>
        <v>3.9000000000000003E-3</v>
      </c>
      <c r="Z38" s="101">
        <f t="shared" si="2"/>
        <v>3.9316497807349166E-3</v>
      </c>
      <c r="AA38" s="101">
        <f t="shared" si="3"/>
        <v>7.2584303644336913E-3</v>
      </c>
      <c r="AB38" s="33">
        <f t="shared" si="11"/>
        <v>0</v>
      </c>
      <c r="AC38" s="98">
        <v>34</v>
      </c>
      <c r="AD38" s="98">
        <v>7.2</v>
      </c>
      <c r="AE38" s="98">
        <v>50</v>
      </c>
      <c r="AF38" s="100">
        <v>2.9999999999999997E-4</v>
      </c>
      <c r="AG38" s="100">
        <f t="shared" si="5"/>
        <v>6.5563927199999983E-2</v>
      </c>
      <c r="AH38" s="100">
        <f t="shared" si="12"/>
        <v>0.83661825239999976</v>
      </c>
      <c r="AI38" s="103">
        <v>200</v>
      </c>
      <c r="AJ38" s="30">
        <v>9.6253938650755991E-3</v>
      </c>
      <c r="AK38" s="100">
        <v>9.9999999999999995E-8</v>
      </c>
      <c r="AL38" s="100">
        <v>1.58662398356791E-3</v>
      </c>
      <c r="AM38" s="101">
        <f t="shared" si="6"/>
        <v>0</v>
      </c>
      <c r="AN38" s="101">
        <f t="shared" si="7"/>
        <v>8.266249999999999E-7</v>
      </c>
      <c r="AO38" s="33">
        <f t="shared" si="8"/>
        <v>0.31477033210003763</v>
      </c>
      <c r="AP38" s="34">
        <f t="shared" si="13"/>
        <v>8.266249999999999E-7</v>
      </c>
    </row>
    <row r="39" spans="1:42" x14ac:dyDescent="0.25">
      <c r="A39" s="2" t="s">
        <v>60</v>
      </c>
      <c r="B39" t="s">
        <v>49</v>
      </c>
      <c r="C39">
        <v>15</v>
      </c>
      <c r="D39">
        <v>7.1</v>
      </c>
      <c r="E39">
        <v>32.999999999999993</v>
      </c>
      <c r="F39">
        <v>1</v>
      </c>
      <c r="G39" s="1">
        <v>45345.318749999999</v>
      </c>
      <c r="H39" s="91"/>
      <c r="I39" s="98">
        <v>509.83</v>
      </c>
      <c r="J39" s="20">
        <v>507.12779999999998</v>
      </c>
      <c r="K39" s="20">
        <v>16.309999999999999</v>
      </c>
      <c r="L39" s="20">
        <v>98.22</v>
      </c>
      <c r="M39" s="20">
        <v>2.38</v>
      </c>
      <c r="N39" s="20">
        <v>307</v>
      </c>
      <c r="O39" s="20">
        <v>32.799999999999997</v>
      </c>
      <c r="P39" s="20">
        <v>1.51</v>
      </c>
      <c r="Q39" s="83">
        <v>7.06</v>
      </c>
      <c r="R39" s="31">
        <v>0.85</v>
      </c>
      <c r="S39" s="31">
        <v>1.0899999999999999</v>
      </c>
      <c r="T39" s="31">
        <v>1.75</v>
      </c>
      <c r="U39" s="31">
        <v>0.04</v>
      </c>
      <c r="V39" s="31">
        <v>198.86</v>
      </c>
      <c r="W39" s="31">
        <v>3.55</v>
      </c>
      <c r="X39" s="32">
        <f t="shared" si="10"/>
        <v>1.7699999999999998</v>
      </c>
      <c r="Y39" s="32">
        <f t="shared" si="1"/>
        <v>4.2500000000000003E-3</v>
      </c>
      <c r="Z39" s="32">
        <f t="shared" si="2"/>
        <v>4.2743638740822681E-3</v>
      </c>
      <c r="AA39" s="32">
        <f t="shared" si="3"/>
        <v>8.800160917228201E-3</v>
      </c>
      <c r="AB39" s="33">
        <f t="shared" si="11"/>
        <v>0.96</v>
      </c>
      <c r="AC39" s="20">
        <v>34</v>
      </c>
      <c r="AD39" s="20">
        <v>7.2</v>
      </c>
      <c r="AE39" s="20">
        <v>50</v>
      </c>
      <c r="AF39" s="31">
        <v>2.9999999999999997E-4</v>
      </c>
      <c r="AG39" s="31">
        <f t="shared" si="5"/>
        <v>5.8381318799999991E-2</v>
      </c>
      <c r="AH39" s="31">
        <f t="shared" si="12"/>
        <v>0.87317222399999983</v>
      </c>
      <c r="AI39" s="61">
        <v>200</v>
      </c>
      <c r="AJ39" s="30">
        <v>1.00032422815105E-2</v>
      </c>
      <c r="AK39" s="31"/>
      <c r="AL39" s="31"/>
      <c r="AM39" s="32">
        <f t="shared" si="6"/>
        <v>8.3360352345920832E-2</v>
      </c>
      <c r="AN39" s="32">
        <f t="shared" si="7"/>
        <v>0</v>
      </c>
      <c r="AO39" s="33">
        <f t="shared" si="8"/>
        <v>0</v>
      </c>
      <c r="AP39" s="34">
        <f t="shared" si="13"/>
        <v>8.3360352345920832E-2</v>
      </c>
    </row>
    <row r="40" spans="1:42" x14ac:dyDescent="0.25">
      <c r="A40" s="2" t="s">
        <v>61</v>
      </c>
      <c r="B40" t="s">
        <v>46</v>
      </c>
      <c r="C40">
        <v>15</v>
      </c>
      <c r="D40">
        <v>7.3</v>
      </c>
      <c r="E40">
        <v>35</v>
      </c>
      <c r="F40">
        <v>1</v>
      </c>
      <c r="G40" s="1">
        <v>45345.323611111096</v>
      </c>
      <c r="H40" s="91"/>
      <c r="I40" s="98">
        <v>509.83</v>
      </c>
      <c r="J40" s="20">
        <v>529.27189999999996</v>
      </c>
      <c r="K40" s="20">
        <v>16.91</v>
      </c>
      <c r="L40" s="20">
        <v>98.35</v>
      </c>
      <c r="M40" s="20">
        <v>2.33</v>
      </c>
      <c r="N40" s="22">
        <v>310</v>
      </c>
      <c r="O40" s="20">
        <v>37</v>
      </c>
      <c r="P40" s="20">
        <v>1.49</v>
      </c>
      <c r="Q40" s="83">
        <v>7.07</v>
      </c>
      <c r="R40" s="31">
        <v>0.74</v>
      </c>
      <c r="S40" s="31">
        <v>2.0000000000000018E-2</v>
      </c>
      <c r="T40" s="31">
        <v>0.42</v>
      </c>
      <c r="U40" s="31">
        <v>0</v>
      </c>
      <c r="V40" s="31">
        <v>196.96</v>
      </c>
      <c r="W40" s="31">
        <v>3.55</v>
      </c>
      <c r="X40" s="32">
        <f t="shared" si="10"/>
        <v>1.7699999999999998</v>
      </c>
      <c r="Y40" s="32">
        <f t="shared" si="1"/>
        <v>3.7000000000000002E-3</v>
      </c>
      <c r="Z40" s="32">
        <f t="shared" si="2"/>
        <v>3.7571080422420795E-3</v>
      </c>
      <c r="AA40" s="32">
        <f t="shared" si="3"/>
        <v>2.132412672623883E-3</v>
      </c>
      <c r="AB40" s="33">
        <f t="shared" si="11"/>
        <v>0</v>
      </c>
      <c r="AC40" s="20">
        <v>34</v>
      </c>
      <c r="AD40" s="20">
        <v>7.2</v>
      </c>
      <c r="AE40" s="20">
        <v>50</v>
      </c>
      <c r="AF40" s="31">
        <v>2.9999999999999997E-4</v>
      </c>
      <c r="AG40" s="31">
        <f t="shared" si="5"/>
        <v>5.9950684799999994E-2</v>
      </c>
      <c r="AH40" s="31">
        <f t="shared" si="12"/>
        <v>0.80579885399999984</v>
      </c>
      <c r="AI40" s="61">
        <v>200</v>
      </c>
      <c r="AJ40" s="30">
        <v>9.8719387327341999E-3</v>
      </c>
      <c r="AK40" s="31">
        <v>1.41978956538285E-3</v>
      </c>
      <c r="AL40" s="31">
        <v>1.2999999999999999E-3</v>
      </c>
      <c r="AM40" s="32">
        <f t="shared" si="6"/>
        <v>0</v>
      </c>
      <c r="AN40" s="32">
        <f t="shared" si="7"/>
        <v>1.1651739699908589E-2</v>
      </c>
      <c r="AO40" s="33">
        <f t="shared" si="8"/>
        <v>0.256048</v>
      </c>
      <c r="AP40" s="34">
        <f t="shared" si="13"/>
        <v>1.1651739699908589E-2</v>
      </c>
    </row>
    <row r="41" spans="1:42" x14ac:dyDescent="0.25">
      <c r="A41" s="2" t="s">
        <v>62</v>
      </c>
      <c r="B41" t="s">
        <v>49</v>
      </c>
      <c r="C41">
        <v>18</v>
      </c>
      <c r="D41">
        <v>7.2</v>
      </c>
      <c r="E41">
        <v>34</v>
      </c>
      <c r="F41">
        <v>1</v>
      </c>
      <c r="G41" s="1">
        <v>45345.328472222202</v>
      </c>
      <c r="H41" s="91"/>
      <c r="I41" s="98">
        <v>509.83</v>
      </c>
      <c r="J41" s="20">
        <v>589.55160000000001</v>
      </c>
      <c r="K41" s="20">
        <v>19.25</v>
      </c>
      <c r="L41" s="20">
        <v>98.06</v>
      </c>
      <c r="M41" s="20">
        <v>2.4500000000000002</v>
      </c>
      <c r="N41" s="20">
        <v>305</v>
      </c>
      <c r="O41" s="20">
        <v>33.200000000000003</v>
      </c>
      <c r="P41" s="20">
        <v>0.68</v>
      </c>
      <c r="Q41" s="83">
        <v>7.09</v>
      </c>
      <c r="R41" s="31">
        <v>1.02</v>
      </c>
      <c r="S41" s="31">
        <v>1.1600000000000001</v>
      </c>
      <c r="T41" s="31">
        <v>2.16</v>
      </c>
      <c r="U41" s="31">
        <v>0.05</v>
      </c>
      <c r="V41" s="31">
        <v>199.33</v>
      </c>
      <c r="W41" s="31">
        <v>15.55</v>
      </c>
      <c r="X41" s="32">
        <f t="shared" si="10"/>
        <v>1.7700000000000014</v>
      </c>
      <c r="Y41" s="32">
        <f t="shared" si="1"/>
        <v>5.1000000000000004E-3</v>
      </c>
      <c r="Z41" s="32">
        <f t="shared" si="2"/>
        <v>5.1171424271308878E-3</v>
      </c>
      <c r="AA41" s="32">
        <f t="shared" si="3"/>
        <v>1.0836301610394823E-2</v>
      </c>
      <c r="AB41" s="33">
        <f t="shared" si="11"/>
        <v>1.2000000000000002</v>
      </c>
      <c r="AC41" s="20">
        <v>34</v>
      </c>
      <c r="AD41" s="20">
        <v>7.2</v>
      </c>
      <c r="AE41" s="20">
        <v>50</v>
      </c>
      <c r="AF41" s="31">
        <v>2.9999999999999997E-4</v>
      </c>
      <c r="AG41" s="31">
        <f t="shared" si="5"/>
        <v>6.9067845000000003E-2</v>
      </c>
      <c r="AH41" s="31">
        <f t="shared" si="12"/>
        <v>1.0701699912</v>
      </c>
      <c r="AI41" s="61">
        <v>200</v>
      </c>
      <c r="AJ41" s="30">
        <v>9.3682472152877005E-3</v>
      </c>
      <c r="AK41" s="31"/>
      <c r="AL41" s="31"/>
      <c r="AM41" s="32">
        <f t="shared" si="6"/>
        <v>7.8068726794064167E-2</v>
      </c>
      <c r="AN41" s="32">
        <f t="shared" si="7"/>
        <v>0</v>
      </c>
      <c r="AO41" s="33">
        <f t="shared" si="8"/>
        <v>0</v>
      </c>
      <c r="AP41" s="34">
        <f t="shared" si="13"/>
        <v>7.8068726794064167E-2</v>
      </c>
    </row>
    <row r="42" spans="1:42" x14ac:dyDescent="0.25">
      <c r="A42" s="2" t="s">
        <v>63</v>
      </c>
      <c r="B42" t="s">
        <v>51</v>
      </c>
      <c r="C42">
        <v>12</v>
      </c>
      <c r="D42">
        <v>7.1</v>
      </c>
      <c r="E42">
        <v>32.999999999999993</v>
      </c>
      <c r="F42">
        <v>1</v>
      </c>
      <c r="G42" s="1">
        <v>45345.340277777803</v>
      </c>
      <c r="H42" s="91"/>
      <c r="I42" s="98">
        <v>509.83</v>
      </c>
      <c r="J42" s="20">
        <v>422.70150000000001</v>
      </c>
      <c r="K42" s="20">
        <v>14.96</v>
      </c>
      <c r="L42" s="20">
        <v>98.8</v>
      </c>
      <c r="M42" s="20">
        <v>2.31</v>
      </c>
      <c r="N42" s="20">
        <v>320</v>
      </c>
      <c r="O42" s="20">
        <v>37.5</v>
      </c>
      <c r="P42" s="20">
        <v>2.6</v>
      </c>
      <c r="Q42" s="83">
        <v>7.08</v>
      </c>
      <c r="R42" s="31">
        <v>0.75</v>
      </c>
      <c r="S42" s="31">
        <v>1.2599999999999998</v>
      </c>
      <c r="T42" s="31">
        <v>1.2</v>
      </c>
      <c r="U42" s="31">
        <v>0.05</v>
      </c>
      <c r="V42" s="31">
        <v>197.54</v>
      </c>
      <c r="W42" s="31">
        <v>4.3499999999999996</v>
      </c>
      <c r="X42" s="32">
        <f t="shared" si="10"/>
        <v>2.5699999999999994</v>
      </c>
      <c r="Y42" s="32">
        <f t="shared" si="1"/>
        <v>3.7499999999999999E-3</v>
      </c>
      <c r="Z42" s="32">
        <f t="shared" si="2"/>
        <v>3.7966994026526276E-3</v>
      </c>
      <c r="AA42" s="32">
        <f t="shared" si="3"/>
        <v>6.0747190442442039E-3</v>
      </c>
      <c r="AB42" s="33">
        <f t="shared" si="11"/>
        <v>1.2000000000000002</v>
      </c>
      <c r="AC42" s="20">
        <v>34</v>
      </c>
      <c r="AD42" s="20">
        <v>7.2</v>
      </c>
      <c r="AE42" s="20">
        <v>50</v>
      </c>
      <c r="AF42" s="31">
        <v>2.9999999999999997E-4</v>
      </c>
      <c r="AG42" s="31">
        <f t="shared" si="5"/>
        <v>5.3193571199999991E-2</v>
      </c>
      <c r="AH42" s="31">
        <f t="shared" si="12"/>
        <v>0.77702327999999987</v>
      </c>
      <c r="AI42" s="61">
        <v>200</v>
      </c>
      <c r="AJ42" s="30">
        <v>1.0425484860195299E-2</v>
      </c>
      <c r="AK42" s="31"/>
      <c r="AL42" s="31"/>
      <c r="AM42" s="32">
        <f t="shared" si="6"/>
        <v>0</v>
      </c>
      <c r="AN42" s="32">
        <f t="shared" si="7"/>
        <v>0</v>
      </c>
      <c r="AO42" s="33">
        <f t="shared" si="8"/>
        <v>0</v>
      </c>
      <c r="AP42" s="34">
        <f t="shared" si="13"/>
        <v>0</v>
      </c>
    </row>
    <row r="43" spans="1:42" x14ac:dyDescent="0.25">
      <c r="A43" s="2" t="s">
        <v>64</v>
      </c>
      <c r="B43" t="s">
        <v>46</v>
      </c>
      <c r="C43">
        <v>12</v>
      </c>
      <c r="D43">
        <v>7.1</v>
      </c>
      <c r="E43">
        <v>32.999999999999993</v>
      </c>
      <c r="F43">
        <v>1</v>
      </c>
      <c r="G43" s="1">
        <v>45345.359027777798</v>
      </c>
      <c r="H43" s="91"/>
      <c r="I43" s="98">
        <v>509.83</v>
      </c>
      <c r="J43" s="20">
        <v>406.33850000000001</v>
      </c>
      <c r="K43" s="20">
        <v>13.42</v>
      </c>
      <c r="L43" s="20">
        <v>97.78</v>
      </c>
      <c r="M43" s="20">
        <v>2.2799999999999998</v>
      </c>
      <c r="N43" s="20">
        <v>319</v>
      </c>
      <c r="O43" s="20">
        <v>39.6</v>
      </c>
      <c r="P43" s="20">
        <v>2.59</v>
      </c>
      <c r="Q43" s="83">
        <v>7.07</v>
      </c>
      <c r="R43" s="31">
        <v>0.63</v>
      </c>
      <c r="S43" s="31">
        <v>2.0000000000000018E-2</v>
      </c>
      <c r="T43" s="31">
        <v>0.62</v>
      </c>
      <c r="U43" s="31">
        <v>0</v>
      </c>
      <c r="V43" s="31">
        <v>197.29</v>
      </c>
      <c r="W43" s="31">
        <v>3.55</v>
      </c>
      <c r="X43" s="32">
        <f t="shared" si="10"/>
        <v>1.7699999999999998</v>
      </c>
      <c r="Y43" s="32">
        <f t="shared" si="1"/>
        <v>3.15E-3</v>
      </c>
      <c r="Z43" s="32">
        <f t="shared" si="2"/>
        <v>3.1932687921334079E-3</v>
      </c>
      <c r="AA43" s="32">
        <f t="shared" si="3"/>
        <v>3.1425819859090681E-3</v>
      </c>
      <c r="AB43" s="33">
        <f t="shared" si="11"/>
        <v>0</v>
      </c>
      <c r="AC43" s="20">
        <v>34</v>
      </c>
      <c r="AD43" s="20">
        <v>7.2</v>
      </c>
      <c r="AE43" s="20">
        <v>50</v>
      </c>
      <c r="AF43" s="31">
        <v>2.9999999999999997E-4</v>
      </c>
      <c r="AG43" s="31">
        <f t="shared" si="5"/>
        <v>4.7657372399999988E-2</v>
      </c>
      <c r="AH43" s="31">
        <f t="shared" si="12"/>
        <v>0.69289927199999979</v>
      </c>
      <c r="AI43" s="61">
        <v>200</v>
      </c>
      <c r="AJ43" s="30">
        <v>1.11935106158015E-2</v>
      </c>
      <c r="AK43" s="31">
        <v>1.99923260230237E-3</v>
      </c>
      <c r="AL43" s="31">
        <v>1.2999999999999999E-3</v>
      </c>
      <c r="AM43" s="32">
        <f t="shared" si="6"/>
        <v>0</v>
      </c>
      <c r="AN43" s="32">
        <f t="shared" si="7"/>
        <v>1.6434525004509773E-2</v>
      </c>
      <c r="AO43" s="33">
        <f t="shared" si="8"/>
        <v>0.25647699999999996</v>
      </c>
      <c r="AP43" s="34">
        <f t="shared" si="13"/>
        <v>1.6434525004509773E-2</v>
      </c>
    </row>
    <row r="44" spans="1:42" x14ac:dyDescent="0.25">
      <c r="A44" s="2" t="s">
        <v>65</v>
      </c>
      <c r="B44" t="s">
        <v>49</v>
      </c>
      <c r="C44">
        <v>15</v>
      </c>
      <c r="D44">
        <v>7.3</v>
      </c>
      <c r="E44">
        <v>35</v>
      </c>
      <c r="F44">
        <v>1</v>
      </c>
      <c r="G44" s="1">
        <v>45345.363888888904</v>
      </c>
      <c r="H44" s="91"/>
      <c r="I44" s="98">
        <v>509.83</v>
      </c>
      <c r="J44" s="20">
        <v>520.61329999999998</v>
      </c>
      <c r="K44" s="20">
        <v>16.37</v>
      </c>
      <c r="L44" s="20">
        <v>98.32</v>
      </c>
      <c r="M44" s="20">
        <v>2.57</v>
      </c>
      <c r="N44" s="20">
        <v>313</v>
      </c>
      <c r="O44" s="20">
        <v>38.700000000000003</v>
      </c>
      <c r="P44" s="20">
        <v>1.23</v>
      </c>
      <c r="Q44" s="83">
        <v>7.09</v>
      </c>
      <c r="R44" s="31">
        <v>0.88</v>
      </c>
      <c r="S44" s="31">
        <v>1.1600000000000001</v>
      </c>
      <c r="T44" s="31">
        <v>1.89</v>
      </c>
      <c r="U44" s="31">
        <v>0.05</v>
      </c>
      <c r="V44" s="31">
        <v>199.31</v>
      </c>
      <c r="W44" s="31">
        <v>3.55</v>
      </c>
      <c r="X44" s="32">
        <f t="shared" si="10"/>
        <v>1.7699999999999998</v>
      </c>
      <c r="Y44" s="32">
        <f t="shared" si="1"/>
        <v>4.4000000000000003E-3</v>
      </c>
      <c r="Z44" s="32">
        <f t="shared" si="2"/>
        <v>4.4152325523054538E-3</v>
      </c>
      <c r="AA44" s="32">
        <f t="shared" si="3"/>
        <v>9.4827153680196678E-3</v>
      </c>
      <c r="AB44" s="33">
        <f t="shared" si="11"/>
        <v>1.2000000000000002</v>
      </c>
      <c r="AC44" s="20">
        <v>34</v>
      </c>
      <c r="AD44" s="20">
        <v>7.2</v>
      </c>
      <c r="AE44" s="20">
        <v>50</v>
      </c>
      <c r="AF44" s="31">
        <v>2.9999999999999997E-4</v>
      </c>
      <c r="AG44" s="31">
        <f t="shared" si="5"/>
        <v>5.8728684599999997E-2</v>
      </c>
      <c r="AH44" s="31">
        <f t="shared" si="12"/>
        <v>0.92215324799999987</v>
      </c>
      <c r="AI44" s="61">
        <v>200</v>
      </c>
      <c r="AJ44" s="30">
        <v>1.02831235314468E-2</v>
      </c>
      <c r="AK44" s="31"/>
      <c r="AL44" s="31"/>
      <c r="AM44" s="32">
        <f t="shared" si="6"/>
        <v>8.569269609539E-2</v>
      </c>
      <c r="AN44" s="32">
        <f t="shared" si="7"/>
        <v>0</v>
      </c>
      <c r="AO44" s="33">
        <f t="shared" si="8"/>
        <v>0</v>
      </c>
      <c r="AP44" s="34">
        <f t="shared" si="13"/>
        <v>8.569269609539E-2</v>
      </c>
    </row>
    <row r="45" spans="1:42" x14ac:dyDescent="0.25">
      <c r="A45" s="2" t="s">
        <v>66</v>
      </c>
      <c r="B45" t="s">
        <v>46</v>
      </c>
      <c r="C45">
        <v>12</v>
      </c>
      <c r="D45">
        <v>7.2</v>
      </c>
      <c r="E45">
        <v>34</v>
      </c>
      <c r="F45">
        <v>1</v>
      </c>
      <c r="G45" s="1">
        <v>45345.368055555598</v>
      </c>
      <c r="H45" s="91"/>
      <c r="I45" s="98">
        <v>509.83</v>
      </c>
      <c r="J45" s="20">
        <v>423.25850000000003</v>
      </c>
      <c r="K45" s="20">
        <v>14.6</v>
      </c>
      <c r="L45" s="20">
        <v>98.58</v>
      </c>
      <c r="M45" s="20">
        <v>2.29</v>
      </c>
      <c r="N45" s="20">
        <v>317</v>
      </c>
      <c r="O45" s="20">
        <v>39.200000000000003</v>
      </c>
      <c r="P45" s="20">
        <v>2.4900000000000002</v>
      </c>
      <c r="Q45" s="83">
        <v>7.07</v>
      </c>
      <c r="R45" s="31">
        <v>0.63</v>
      </c>
      <c r="S45" s="31">
        <v>4.0000000000000036E-2</v>
      </c>
      <c r="T45" s="31">
        <v>0.34</v>
      </c>
      <c r="U45" s="31">
        <v>0</v>
      </c>
      <c r="V45" s="31">
        <v>196.95</v>
      </c>
      <c r="W45" s="31">
        <v>3.55</v>
      </c>
      <c r="X45" s="32">
        <f t="shared" si="10"/>
        <v>1.7699999999999998</v>
      </c>
      <c r="Y45" s="32">
        <f t="shared" si="1"/>
        <v>3.15E-3</v>
      </c>
      <c r="Z45" s="32">
        <f t="shared" si="2"/>
        <v>3.1987814166031989E-3</v>
      </c>
      <c r="AA45" s="32">
        <f t="shared" si="3"/>
        <v>1.7263264788017266E-3</v>
      </c>
      <c r="AB45" s="33">
        <f t="shared" si="11"/>
        <v>0</v>
      </c>
      <c r="AC45" s="20">
        <v>34</v>
      </c>
      <c r="AD45" s="20">
        <v>7.2</v>
      </c>
      <c r="AE45" s="20">
        <v>50</v>
      </c>
      <c r="AF45" s="31">
        <v>2.9999999999999997E-4</v>
      </c>
      <c r="AG45" s="31">
        <f t="shared" si="5"/>
        <v>5.1758459999999985E-2</v>
      </c>
      <c r="AH45" s="31">
        <f t="shared" si="12"/>
        <v>0.69289927199999979</v>
      </c>
      <c r="AI45" s="61">
        <v>200</v>
      </c>
      <c r="AJ45" s="30">
        <v>1.02576914817915E-2</v>
      </c>
      <c r="AK45" s="31">
        <v>4.8198074875247998E-3</v>
      </c>
      <c r="AL45" s="31">
        <v>1.2999999999999999E-3</v>
      </c>
      <c r="AM45" s="32">
        <f t="shared" si="6"/>
        <v>0</v>
      </c>
      <c r="AN45" s="32">
        <f t="shared" si="7"/>
        <v>3.9552545194500389E-2</v>
      </c>
      <c r="AO45" s="33">
        <f t="shared" si="8"/>
        <v>0.25603499999999996</v>
      </c>
      <c r="AP45" s="34">
        <f t="shared" si="13"/>
        <v>3.9552545194500389E-2</v>
      </c>
    </row>
    <row r="46" spans="1:42" x14ac:dyDescent="0.25">
      <c r="A46" s="2" t="s">
        <v>67</v>
      </c>
      <c r="B46" t="s">
        <v>49</v>
      </c>
      <c r="C46">
        <v>12</v>
      </c>
      <c r="D46">
        <v>7.1</v>
      </c>
      <c r="E46">
        <v>32.999999999999993</v>
      </c>
      <c r="F46">
        <v>1</v>
      </c>
      <c r="G46" s="1">
        <v>45345.372222222199</v>
      </c>
      <c r="H46" s="91"/>
      <c r="I46" s="98">
        <v>509.83</v>
      </c>
      <c r="J46" s="20">
        <v>412.70909999999998</v>
      </c>
      <c r="K46" s="20">
        <v>13.92</v>
      </c>
      <c r="L46" s="20">
        <v>98.28</v>
      </c>
      <c r="M46" s="20">
        <v>2.36</v>
      </c>
      <c r="N46" s="20">
        <v>322</v>
      </c>
      <c r="O46" s="20">
        <v>39.5</v>
      </c>
      <c r="P46" s="20">
        <v>2.4500000000000002</v>
      </c>
      <c r="Q46" s="83">
        <v>7.08</v>
      </c>
      <c r="R46" s="31">
        <v>0.74</v>
      </c>
      <c r="S46" s="31">
        <v>1.03</v>
      </c>
      <c r="T46" s="31">
        <v>1.28</v>
      </c>
      <c r="U46" s="31">
        <v>0.04</v>
      </c>
      <c r="V46" s="31">
        <v>197.61</v>
      </c>
      <c r="W46" s="31">
        <v>4.3499999999999996</v>
      </c>
      <c r="X46" s="32">
        <f t="shared" si="10"/>
        <v>2.5699999999999994</v>
      </c>
      <c r="Y46" s="32">
        <f t="shared" si="1"/>
        <v>3.7000000000000002E-3</v>
      </c>
      <c r="Z46" s="32">
        <f t="shared" si="2"/>
        <v>3.7447497596275487E-3</v>
      </c>
      <c r="AA46" s="32">
        <f t="shared" si="3"/>
        <v>6.4774049896260304E-3</v>
      </c>
      <c r="AB46" s="33">
        <f t="shared" si="11"/>
        <v>0.96</v>
      </c>
      <c r="AC46" s="20">
        <v>34</v>
      </c>
      <c r="AD46" s="20">
        <v>7.2</v>
      </c>
      <c r="AE46" s="20">
        <v>50</v>
      </c>
      <c r="AF46" s="31">
        <v>2.9999999999999997E-4</v>
      </c>
      <c r="AG46" s="31">
        <f t="shared" si="5"/>
        <v>4.9513161600000001E-2</v>
      </c>
      <c r="AH46" s="31">
        <f t="shared" si="12"/>
        <v>0.7616112479999998</v>
      </c>
      <c r="AI46" s="61">
        <v>200</v>
      </c>
      <c r="AJ46" s="30">
        <v>1.09490942681209E-2</v>
      </c>
      <c r="AK46" s="31"/>
      <c r="AL46" s="31"/>
      <c r="AM46" s="32">
        <f t="shared" si="6"/>
        <v>9.124245223434084E-2</v>
      </c>
      <c r="AN46" s="32">
        <f t="shared" si="7"/>
        <v>0</v>
      </c>
      <c r="AO46" s="33">
        <f t="shared" si="8"/>
        <v>0</v>
      </c>
      <c r="AP46" s="34">
        <f t="shared" si="13"/>
        <v>9.124245223434084E-2</v>
      </c>
    </row>
    <row r="47" spans="1:42" x14ac:dyDescent="0.25">
      <c r="A47" s="2" t="s">
        <v>68</v>
      </c>
      <c r="B47" t="s">
        <v>51</v>
      </c>
      <c r="C47">
        <v>12</v>
      </c>
      <c r="D47">
        <v>7.3</v>
      </c>
      <c r="E47">
        <v>35</v>
      </c>
      <c r="F47">
        <v>1</v>
      </c>
      <c r="G47" s="1">
        <v>45345.375694444403</v>
      </c>
      <c r="H47" s="91"/>
      <c r="I47" s="98">
        <v>509.83</v>
      </c>
      <c r="J47" s="20">
        <v>439.78859999999997</v>
      </c>
      <c r="K47" s="20">
        <v>12.97</v>
      </c>
      <c r="L47" s="20">
        <v>98.07</v>
      </c>
      <c r="M47" s="20">
        <v>2.37</v>
      </c>
      <c r="N47" s="20">
        <v>316</v>
      </c>
      <c r="O47" s="20">
        <v>35.6</v>
      </c>
      <c r="P47" s="20">
        <v>2.2200000000000002</v>
      </c>
      <c r="Q47" s="83">
        <v>7.06</v>
      </c>
      <c r="R47" s="31">
        <v>0.63</v>
      </c>
      <c r="S47" s="31">
        <v>1.08</v>
      </c>
      <c r="T47" s="31">
        <v>1.39</v>
      </c>
      <c r="U47" s="31">
        <v>0.05</v>
      </c>
      <c r="V47" s="31">
        <v>197.58</v>
      </c>
      <c r="W47" s="31">
        <v>4.3499999999999996</v>
      </c>
      <c r="X47" s="32">
        <f t="shared" si="10"/>
        <v>2.5699999999999994</v>
      </c>
      <c r="Y47" s="32">
        <f t="shared" si="1"/>
        <v>3.15E-3</v>
      </c>
      <c r="Z47" s="32">
        <f t="shared" si="2"/>
        <v>3.1885818402672332E-3</v>
      </c>
      <c r="AA47" s="32">
        <f t="shared" si="3"/>
        <v>7.0351250126531014E-3</v>
      </c>
      <c r="AB47" s="33">
        <f t="shared" si="11"/>
        <v>1.2000000000000002</v>
      </c>
      <c r="AC47" s="20">
        <v>34</v>
      </c>
      <c r="AD47" s="20">
        <v>7.2</v>
      </c>
      <c r="AE47" s="20">
        <v>50</v>
      </c>
      <c r="AF47" s="31">
        <v>2.9999999999999997E-4</v>
      </c>
      <c r="AG47" s="31">
        <f t="shared" si="5"/>
        <v>4.6127026799999998E-2</v>
      </c>
      <c r="AH47" s="31">
        <f t="shared" si="12"/>
        <v>0.69222217679999987</v>
      </c>
      <c r="AI47" s="61">
        <v>200</v>
      </c>
      <c r="AJ47" s="30">
        <v>1.12420291890568E-2</v>
      </c>
      <c r="AK47" s="31"/>
      <c r="AL47" s="31"/>
      <c r="AM47" s="32">
        <f t="shared" si="6"/>
        <v>0</v>
      </c>
      <c r="AN47" s="32">
        <f t="shared" si="7"/>
        <v>0</v>
      </c>
      <c r="AO47" s="33">
        <f t="shared" si="8"/>
        <v>0</v>
      </c>
      <c r="AP47" s="34">
        <f t="shared" si="13"/>
        <v>0</v>
      </c>
    </row>
    <row r="48" spans="1:42" x14ac:dyDescent="0.25">
      <c r="A48" s="2" t="s">
        <v>69</v>
      </c>
      <c r="B48" t="s">
        <v>51</v>
      </c>
      <c r="C48">
        <v>15</v>
      </c>
      <c r="D48">
        <v>7.2</v>
      </c>
      <c r="E48">
        <v>34</v>
      </c>
      <c r="F48">
        <v>1</v>
      </c>
      <c r="G48" s="1">
        <v>45345.381944444402</v>
      </c>
      <c r="H48" s="91"/>
      <c r="I48" s="98">
        <v>509.83</v>
      </c>
      <c r="J48" s="20">
        <v>513.25040000000001</v>
      </c>
      <c r="K48" s="20">
        <v>18.14</v>
      </c>
      <c r="L48" s="20">
        <v>98.39</v>
      </c>
      <c r="M48" s="20">
        <v>2.5499999999999998</v>
      </c>
      <c r="N48" s="20">
        <v>308</v>
      </c>
      <c r="O48" s="20">
        <v>32.5</v>
      </c>
      <c r="P48" s="20">
        <v>1.17</v>
      </c>
      <c r="Q48" s="83">
        <v>7.05</v>
      </c>
      <c r="R48" s="31">
        <v>0.85</v>
      </c>
      <c r="S48" s="31">
        <v>1.52</v>
      </c>
      <c r="T48" s="31">
        <v>1.92</v>
      </c>
      <c r="U48" s="31">
        <v>7.0000000000000007E-2</v>
      </c>
      <c r="V48" s="31">
        <v>199.18</v>
      </c>
      <c r="W48" s="31">
        <v>3.55</v>
      </c>
      <c r="X48" s="32">
        <f t="shared" si="10"/>
        <v>1.7699999999999998</v>
      </c>
      <c r="Y48" s="32">
        <f t="shared" si="1"/>
        <v>4.2500000000000003E-3</v>
      </c>
      <c r="Z48" s="32">
        <f t="shared" si="2"/>
        <v>4.2674967366201425E-3</v>
      </c>
      <c r="AA48" s="32">
        <f t="shared" si="3"/>
        <v>9.6395220403654985E-3</v>
      </c>
      <c r="AB48" s="33">
        <f t="shared" si="11"/>
        <v>1.6800000000000002</v>
      </c>
      <c r="AC48" s="20">
        <v>34</v>
      </c>
      <c r="AD48" s="20">
        <v>7.2</v>
      </c>
      <c r="AE48" s="20">
        <v>50</v>
      </c>
      <c r="AF48" s="31">
        <v>2.9999999999999997E-4</v>
      </c>
      <c r="AG48" s="31">
        <f t="shared" si="5"/>
        <v>6.5036253599999996E-2</v>
      </c>
      <c r="AH48" s="31">
        <f t="shared" si="12"/>
        <v>0.86482572479999986</v>
      </c>
      <c r="AI48" s="61">
        <v>200</v>
      </c>
      <c r="AJ48" s="30">
        <v>9.3420763129475996E-3</v>
      </c>
      <c r="AK48" s="31"/>
      <c r="AL48" s="31"/>
      <c r="AM48" s="32">
        <f t="shared" si="6"/>
        <v>0</v>
      </c>
      <c r="AN48" s="32">
        <f t="shared" si="7"/>
        <v>0</v>
      </c>
      <c r="AO48" s="33">
        <f t="shared" si="8"/>
        <v>0</v>
      </c>
      <c r="AP48" s="34">
        <f t="shared" si="13"/>
        <v>0</v>
      </c>
    </row>
    <row r="49" spans="1:42" x14ac:dyDescent="0.25">
      <c r="A49" s="2" t="s">
        <v>70</v>
      </c>
      <c r="B49" t="s">
        <v>51</v>
      </c>
      <c r="C49">
        <v>15</v>
      </c>
      <c r="D49">
        <v>7.2</v>
      </c>
      <c r="E49">
        <v>34</v>
      </c>
      <c r="F49">
        <v>1</v>
      </c>
      <c r="G49" s="1">
        <v>45345.256944444402</v>
      </c>
      <c r="H49" s="91"/>
      <c r="I49" s="98">
        <v>509.83</v>
      </c>
      <c r="J49" s="20">
        <v>515.30010000000004</v>
      </c>
      <c r="K49" s="20">
        <v>17.3</v>
      </c>
      <c r="L49" s="20">
        <v>99</v>
      </c>
      <c r="M49" s="20">
        <v>2.2999999999999998</v>
      </c>
      <c r="N49" s="20">
        <v>311</v>
      </c>
      <c r="O49" s="20">
        <v>35.799999999999997</v>
      </c>
      <c r="P49" s="20">
        <v>1.91</v>
      </c>
      <c r="Q49" s="83">
        <v>7.08</v>
      </c>
      <c r="R49" s="31">
        <v>0.91</v>
      </c>
      <c r="S49" s="31">
        <v>1.44</v>
      </c>
      <c r="T49" s="31">
        <v>1.55</v>
      </c>
      <c r="U49" s="31">
        <v>0.06</v>
      </c>
      <c r="V49" s="31">
        <v>198.66</v>
      </c>
      <c r="W49" s="31">
        <v>3.55</v>
      </c>
      <c r="X49" s="32">
        <f t="shared" si="10"/>
        <v>1.7699999999999998</v>
      </c>
      <c r="Y49" s="32">
        <f t="shared" si="1"/>
        <v>4.5500000000000002E-3</v>
      </c>
      <c r="Z49" s="32">
        <f t="shared" si="2"/>
        <v>4.5806906272022555E-3</v>
      </c>
      <c r="AA49" s="32">
        <f t="shared" si="3"/>
        <v>7.8022752441357099E-3</v>
      </c>
      <c r="AB49" s="33">
        <f t="shared" si="11"/>
        <v>1.44</v>
      </c>
      <c r="AC49" s="20">
        <v>34</v>
      </c>
      <c r="AD49" s="20">
        <v>7.2</v>
      </c>
      <c r="AE49" s="20">
        <v>50</v>
      </c>
      <c r="AF49" s="31">
        <v>2.9999999999999997E-4</v>
      </c>
      <c r="AG49" s="31">
        <f t="shared" si="5"/>
        <v>6.1862724000000001E-2</v>
      </c>
      <c r="AH49" s="31">
        <f t="shared" si="12"/>
        <v>0.89624037600000006</v>
      </c>
      <c r="AI49" s="61">
        <v>200</v>
      </c>
      <c r="AJ49" s="30">
        <v>9.5050327063128E-3</v>
      </c>
      <c r="AK49" s="31"/>
      <c r="AL49" s="31"/>
      <c r="AM49" s="32">
        <f t="shared" si="6"/>
        <v>0</v>
      </c>
      <c r="AN49" s="32">
        <f t="shared" si="7"/>
        <v>0</v>
      </c>
      <c r="AO49" s="33">
        <f t="shared" si="8"/>
        <v>0</v>
      </c>
      <c r="AP49" s="34">
        <f t="shared" si="13"/>
        <v>0</v>
      </c>
    </row>
    <row r="50" spans="1:42" ht="15.75" thickBot="1" x14ac:dyDescent="0.3">
      <c r="A50" s="12" t="s">
        <v>71</v>
      </c>
      <c r="B50" s="13" t="s">
        <v>51</v>
      </c>
      <c r="C50" s="13">
        <v>15</v>
      </c>
      <c r="D50" s="13">
        <v>7.2</v>
      </c>
      <c r="E50" s="13">
        <v>34</v>
      </c>
      <c r="F50" s="13">
        <v>1</v>
      </c>
      <c r="G50" s="14">
        <v>45345.386111111096</v>
      </c>
      <c r="H50" s="92"/>
      <c r="I50" s="24">
        <v>509.83</v>
      </c>
      <c r="J50" s="24">
        <v>513.92849999999999</v>
      </c>
      <c r="K50" s="24">
        <v>16.23</v>
      </c>
      <c r="L50" s="24">
        <v>98.55</v>
      </c>
      <c r="M50" s="24">
        <v>2.46</v>
      </c>
      <c r="N50" s="24">
        <v>309</v>
      </c>
      <c r="O50" s="24">
        <v>34.9</v>
      </c>
      <c r="P50" s="24">
        <v>1.31</v>
      </c>
      <c r="Q50" s="84">
        <v>7.07</v>
      </c>
      <c r="R50" s="36">
        <v>0.87</v>
      </c>
      <c r="S50" s="36">
        <v>1.37</v>
      </c>
      <c r="T50" s="36">
        <v>1.85</v>
      </c>
      <c r="U50" s="36">
        <v>0.06</v>
      </c>
      <c r="V50" s="36">
        <v>199.12</v>
      </c>
      <c r="W50" s="36">
        <v>3.55</v>
      </c>
      <c r="X50" s="37">
        <f t="shared" si="10"/>
        <v>1.7699999999999998</v>
      </c>
      <c r="Y50" s="37">
        <f t="shared" si="1"/>
        <v>4.3499999999999997E-3</v>
      </c>
      <c r="Z50" s="37">
        <f t="shared" si="2"/>
        <v>4.3692245881880275E-3</v>
      </c>
      <c r="AA50" s="37">
        <f t="shared" si="3"/>
        <v>9.290879871434312E-3</v>
      </c>
      <c r="AB50" s="38">
        <f t="shared" si="11"/>
        <v>1.44</v>
      </c>
      <c r="AC50" s="24">
        <v>34</v>
      </c>
      <c r="AD50" s="24">
        <v>7.2</v>
      </c>
      <c r="AE50" s="24">
        <v>50</v>
      </c>
      <c r="AF50" s="36">
        <v>2.9999999999999997E-4</v>
      </c>
      <c r="AG50" s="36">
        <f t="shared" si="5"/>
        <v>5.81709168E-2</v>
      </c>
      <c r="AH50" s="36">
        <f t="shared" si="12"/>
        <v>0.90018326159999984</v>
      </c>
      <c r="AI50" s="62">
        <v>200</v>
      </c>
      <c r="AJ50" s="35">
        <v>1.0015814503821999E-2</v>
      </c>
      <c r="AK50" s="36"/>
      <c r="AL50" s="36"/>
      <c r="AM50" s="37">
        <f t="shared" si="6"/>
        <v>0</v>
      </c>
      <c r="AN50" s="37">
        <f t="shared" si="7"/>
        <v>0</v>
      </c>
      <c r="AO50" s="38">
        <f t="shared" si="8"/>
        <v>0</v>
      </c>
      <c r="AP50" s="39">
        <f t="shared" si="13"/>
        <v>0</v>
      </c>
    </row>
    <row r="51" spans="1:42" x14ac:dyDescent="0.25">
      <c r="A51" s="7" t="s">
        <v>45</v>
      </c>
      <c r="B51" s="8" t="s">
        <v>46</v>
      </c>
      <c r="C51" s="8">
        <v>18</v>
      </c>
      <c r="D51" s="8">
        <v>7.1</v>
      </c>
      <c r="E51" s="8">
        <v>32.999999999999993</v>
      </c>
      <c r="F51" s="8">
        <v>2</v>
      </c>
      <c r="G51" s="9">
        <v>45346.261805555601</v>
      </c>
      <c r="H51" s="90"/>
      <c r="I51" s="18">
        <v>997.91</v>
      </c>
      <c r="J51" s="18">
        <v>1024.7850000000001</v>
      </c>
      <c r="K51" s="8">
        <v>22.56</v>
      </c>
      <c r="L51" s="8">
        <v>97.58</v>
      </c>
      <c r="M51" s="8">
        <v>2.66</v>
      </c>
      <c r="N51" s="8">
        <v>298</v>
      </c>
      <c r="O51" s="8">
        <v>34.1</v>
      </c>
      <c r="P51" s="8">
        <v>0.3</v>
      </c>
      <c r="Q51" s="75">
        <v>7.36</v>
      </c>
      <c r="R51" s="8">
        <v>1.02</v>
      </c>
      <c r="S51" s="8">
        <v>0.62999999999999989</v>
      </c>
      <c r="T51" s="8">
        <v>2.72</v>
      </c>
      <c r="U51" s="8">
        <v>0</v>
      </c>
      <c r="V51" s="8">
        <v>195.55</v>
      </c>
      <c r="W51" s="8">
        <v>21.13</v>
      </c>
      <c r="X51" s="42">
        <f t="shared" si="10"/>
        <v>4.7799999999999976</v>
      </c>
      <c r="Y51" s="42">
        <f t="shared" si="1"/>
        <v>5.1000000000000004E-3</v>
      </c>
      <c r="Z51" s="42">
        <f t="shared" si="2"/>
        <v>5.2160572743543852E-3</v>
      </c>
      <c r="AA51" s="42">
        <f t="shared" si="3"/>
        <v>1.3909486064945027E-2</v>
      </c>
      <c r="AB51" s="43">
        <f t="shared" si="11"/>
        <v>0</v>
      </c>
      <c r="AC51" s="8">
        <v>34</v>
      </c>
      <c r="AD51" s="8">
        <v>7.2</v>
      </c>
      <c r="AE51" s="8">
        <v>50</v>
      </c>
      <c r="AF51" s="26">
        <v>2.9999999999999997E-4</v>
      </c>
      <c r="AG51" s="26">
        <f t="shared" si="5"/>
        <v>7.9408943999999981E-2</v>
      </c>
      <c r="AH51" s="26">
        <f t="shared" ref="AH51:AH114" si="14">AG27*24</f>
        <v>1.7267964911999998</v>
      </c>
      <c r="AI51" s="8">
        <v>200</v>
      </c>
      <c r="AJ51" s="25">
        <v>1.30008988708811E-2</v>
      </c>
      <c r="AK51" s="26">
        <v>2.4E-2</v>
      </c>
      <c r="AL51" s="26">
        <v>1.2999999999999999E-3</v>
      </c>
      <c r="AM51" s="27">
        <f t="shared" si="6"/>
        <v>0</v>
      </c>
      <c r="AN51" s="27">
        <f t="shared" si="7"/>
        <v>0.19555</v>
      </c>
      <c r="AO51" s="28">
        <f t="shared" si="8"/>
        <v>0.25421500000000002</v>
      </c>
      <c r="AP51" s="29">
        <f t="shared" si="13"/>
        <v>0.19555</v>
      </c>
    </row>
    <row r="52" spans="1:42" x14ac:dyDescent="0.25">
      <c r="A52" s="2" t="s">
        <v>47</v>
      </c>
      <c r="B52" t="s">
        <v>46</v>
      </c>
      <c r="C52">
        <v>12</v>
      </c>
      <c r="D52">
        <v>7.3</v>
      </c>
      <c r="E52">
        <v>35</v>
      </c>
      <c r="F52">
        <v>2</v>
      </c>
      <c r="G52" s="1">
        <v>45346.2680555556</v>
      </c>
      <c r="H52" s="91"/>
      <c r="I52" s="98">
        <v>997.91</v>
      </c>
      <c r="J52" s="20">
        <v>782.49189999999999</v>
      </c>
      <c r="K52">
        <v>16.440000000000001</v>
      </c>
      <c r="L52">
        <v>97.34</v>
      </c>
      <c r="M52">
        <v>3.49</v>
      </c>
      <c r="N52">
        <v>337</v>
      </c>
      <c r="O52">
        <v>31.2</v>
      </c>
      <c r="P52">
        <v>1.55</v>
      </c>
      <c r="Q52" s="3">
        <v>7.08</v>
      </c>
      <c r="R52">
        <v>4.84</v>
      </c>
      <c r="S52">
        <v>0.62000000000000011</v>
      </c>
      <c r="T52">
        <v>0.28000000000000003</v>
      </c>
      <c r="U52">
        <v>0</v>
      </c>
      <c r="V52">
        <v>197.3</v>
      </c>
      <c r="W52">
        <v>9.1300000000000008</v>
      </c>
      <c r="X52" s="44">
        <f t="shared" si="10"/>
        <v>4.7800000000000011</v>
      </c>
      <c r="Y52" s="44">
        <f t="shared" si="1"/>
        <v>2.4199999999999999E-2</v>
      </c>
      <c r="Z52" s="44">
        <f t="shared" si="2"/>
        <v>2.4531170805879368E-2</v>
      </c>
      <c r="AA52" s="44">
        <f t="shared" si="3"/>
        <v>1.419158641662443E-3</v>
      </c>
      <c r="AB52" s="45">
        <f t="shared" si="11"/>
        <v>0</v>
      </c>
      <c r="AC52">
        <v>34</v>
      </c>
      <c r="AD52">
        <v>7.2</v>
      </c>
      <c r="AE52">
        <v>50</v>
      </c>
      <c r="AF52" s="31">
        <v>2.9999999999999997E-4</v>
      </c>
      <c r="AG52" s="31">
        <f t="shared" si="5"/>
        <v>5.8385015999999998E-2</v>
      </c>
      <c r="AH52" s="31">
        <f t="shared" si="14"/>
        <v>1.0882364255999999</v>
      </c>
      <c r="AI52">
        <v>200</v>
      </c>
      <c r="AJ52" s="30">
        <v>7.7636178309199002E-3</v>
      </c>
      <c r="AK52" s="31">
        <v>2.4E-2</v>
      </c>
      <c r="AL52" s="31">
        <v>1.2999999999999999E-3</v>
      </c>
      <c r="AM52" s="32">
        <f t="shared" si="6"/>
        <v>0</v>
      </c>
      <c r="AN52" s="32">
        <f t="shared" si="7"/>
        <v>0.19730000000000003</v>
      </c>
      <c r="AO52" s="33">
        <f t="shared" si="8"/>
        <v>0.25649</v>
      </c>
      <c r="AP52" s="34">
        <f t="shared" si="13"/>
        <v>0.19730000000000003</v>
      </c>
    </row>
    <row r="53" spans="1:42" x14ac:dyDescent="0.25">
      <c r="A53" s="2" t="s">
        <v>48</v>
      </c>
      <c r="B53" t="s">
        <v>49</v>
      </c>
      <c r="C53">
        <v>12</v>
      </c>
      <c r="D53">
        <v>7.2</v>
      </c>
      <c r="E53">
        <v>34</v>
      </c>
      <c r="F53">
        <v>2</v>
      </c>
      <c r="G53" s="1">
        <v>45346.272916666698</v>
      </c>
      <c r="H53" s="91"/>
      <c r="I53" s="98">
        <v>997.91</v>
      </c>
      <c r="J53" s="20">
        <v>787.00490000000002</v>
      </c>
      <c r="K53">
        <v>16.309999999999999</v>
      </c>
      <c r="L53">
        <v>97.36</v>
      </c>
      <c r="M53">
        <v>3.19</v>
      </c>
      <c r="N53">
        <v>307</v>
      </c>
      <c r="O53">
        <v>25.5</v>
      </c>
      <c r="P53">
        <v>7.0000000000000007E-2</v>
      </c>
      <c r="Q53" s="3">
        <v>7.34</v>
      </c>
      <c r="R53">
        <v>1.29</v>
      </c>
      <c r="S53">
        <v>2.36</v>
      </c>
      <c r="T53">
        <v>2.5499999999999998</v>
      </c>
      <c r="U53">
        <v>0.1</v>
      </c>
      <c r="V53">
        <v>196.05</v>
      </c>
      <c r="W53">
        <v>9.1300000000000008</v>
      </c>
      <c r="X53" s="44">
        <f t="shared" si="10"/>
        <v>4.7800000000000011</v>
      </c>
      <c r="Y53" s="44">
        <f t="shared" si="1"/>
        <v>6.45E-3</v>
      </c>
      <c r="Z53" s="44">
        <f t="shared" si="2"/>
        <v>6.579954093343535E-3</v>
      </c>
      <c r="AA53" s="44">
        <f t="shared" si="3"/>
        <v>1.3006885998469777E-2</v>
      </c>
      <c r="AB53" s="45">
        <f t="shared" si="11"/>
        <v>2.4000000000000004</v>
      </c>
      <c r="AC53">
        <v>34</v>
      </c>
      <c r="AD53">
        <v>7.2</v>
      </c>
      <c r="AE53">
        <v>50</v>
      </c>
      <c r="AF53" s="31">
        <v>2.9999999999999997E-4</v>
      </c>
      <c r="AG53" s="31">
        <f t="shared" si="5"/>
        <v>5.7556358999999988E-2</v>
      </c>
      <c r="AH53" s="31">
        <f t="shared" si="14"/>
        <v>1.1967403967999999</v>
      </c>
      <c r="AI53">
        <v>200</v>
      </c>
      <c r="AJ53" s="30">
        <v>1.49694572293527E-2</v>
      </c>
      <c r="AK53" s="31"/>
      <c r="AL53" s="31"/>
      <c r="AM53" s="32">
        <f t="shared" si="6"/>
        <v>0.12474547691127251</v>
      </c>
      <c r="AN53" s="32">
        <f t="shared" si="7"/>
        <v>0</v>
      </c>
      <c r="AO53" s="33">
        <f t="shared" si="8"/>
        <v>0</v>
      </c>
      <c r="AP53" s="34">
        <f t="shared" si="13"/>
        <v>0.12474547691127251</v>
      </c>
    </row>
    <row r="54" spans="1:42" x14ac:dyDescent="0.25">
      <c r="A54" s="2" t="s">
        <v>50</v>
      </c>
      <c r="B54" t="s">
        <v>51</v>
      </c>
      <c r="C54">
        <v>18</v>
      </c>
      <c r="D54">
        <v>7.3</v>
      </c>
      <c r="E54">
        <v>35</v>
      </c>
      <c r="F54">
        <v>2</v>
      </c>
      <c r="G54" s="1">
        <v>45346.278472222199</v>
      </c>
      <c r="H54" s="91"/>
      <c r="I54" s="98">
        <v>997.91</v>
      </c>
      <c r="J54" s="20">
        <v>1078.6896666666669</v>
      </c>
      <c r="K54">
        <v>22.83</v>
      </c>
      <c r="L54">
        <v>97.36</v>
      </c>
      <c r="M54">
        <v>3.02</v>
      </c>
      <c r="N54">
        <v>297</v>
      </c>
      <c r="O54">
        <v>25.3</v>
      </c>
      <c r="P54">
        <v>0.11</v>
      </c>
      <c r="Q54" s="3">
        <v>7.35</v>
      </c>
      <c r="R54">
        <v>2.59</v>
      </c>
      <c r="S54">
        <v>1.96</v>
      </c>
      <c r="T54">
        <v>3.56</v>
      </c>
      <c r="U54">
        <v>0.08</v>
      </c>
      <c r="V54">
        <v>196.34</v>
      </c>
      <c r="W54">
        <v>21.93</v>
      </c>
      <c r="X54" s="44">
        <f t="shared" si="10"/>
        <v>4.7800000000000011</v>
      </c>
      <c r="Y54" s="44">
        <f t="shared" si="1"/>
        <v>1.295E-2</v>
      </c>
      <c r="Z54" s="44">
        <f t="shared" si="2"/>
        <v>1.3191402668839766E-2</v>
      </c>
      <c r="AA54" s="44">
        <f t="shared" si="3"/>
        <v>1.8131812162575124E-2</v>
      </c>
      <c r="AB54" s="45">
        <f t="shared" si="11"/>
        <v>1.92</v>
      </c>
      <c r="AC54">
        <v>34</v>
      </c>
      <c r="AD54">
        <v>7.2</v>
      </c>
      <c r="AE54">
        <v>50</v>
      </c>
      <c r="AF54" s="31">
        <v>2.9999999999999997E-4</v>
      </c>
      <c r="AG54" s="31">
        <f t="shared" si="5"/>
        <v>8.068395959999998E-2</v>
      </c>
      <c r="AH54" s="31">
        <f t="shared" si="14"/>
        <v>1.5673476671999997</v>
      </c>
      <c r="AI54">
        <v>200</v>
      </c>
      <c r="AJ54" s="30">
        <v>9.9784039332018008E-3</v>
      </c>
      <c r="AK54" s="31"/>
      <c r="AL54" s="31"/>
      <c r="AM54" s="32">
        <f t="shared" si="6"/>
        <v>0</v>
      </c>
      <c r="AN54" s="32">
        <f t="shared" si="7"/>
        <v>0</v>
      </c>
      <c r="AO54" s="33">
        <f t="shared" si="8"/>
        <v>0</v>
      </c>
      <c r="AP54" s="34">
        <f t="shared" si="13"/>
        <v>0</v>
      </c>
    </row>
    <row r="55" spans="1:42" x14ac:dyDescent="0.25">
      <c r="A55" s="2" t="s">
        <v>52</v>
      </c>
      <c r="B55" t="s">
        <v>49</v>
      </c>
      <c r="C55">
        <v>18</v>
      </c>
      <c r="D55">
        <v>7.3</v>
      </c>
      <c r="E55">
        <v>35</v>
      </c>
      <c r="F55">
        <v>2</v>
      </c>
      <c r="G55" s="1">
        <v>45346.283333333296</v>
      </c>
      <c r="H55" s="91"/>
      <c r="I55" s="98">
        <v>997.91</v>
      </c>
      <c r="J55" s="20">
        <v>1075.1393333333333</v>
      </c>
      <c r="K55">
        <v>23.06</v>
      </c>
      <c r="L55">
        <v>97.2</v>
      </c>
      <c r="M55">
        <v>2.91</v>
      </c>
      <c r="N55">
        <v>295</v>
      </c>
      <c r="O55">
        <v>27.8</v>
      </c>
      <c r="P55">
        <v>0.05</v>
      </c>
      <c r="Q55" s="3">
        <v>7.36</v>
      </c>
      <c r="R55">
        <v>2</v>
      </c>
      <c r="S55">
        <v>1.81</v>
      </c>
      <c r="T55">
        <v>3.6</v>
      </c>
      <c r="U55">
        <v>7.0000000000000007E-2</v>
      </c>
      <c r="V55">
        <v>197.35</v>
      </c>
      <c r="W55">
        <v>21.13</v>
      </c>
      <c r="X55" s="44">
        <f t="shared" si="10"/>
        <v>4.7799999999999976</v>
      </c>
      <c r="Y55" s="44">
        <f t="shared" si="1"/>
        <v>0.01</v>
      </c>
      <c r="Z55" s="44">
        <f t="shared" si="2"/>
        <v>1.0134279199391943E-2</v>
      </c>
      <c r="AA55" s="44">
        <f t="shared" si="3"/>
        <v>1.82417025589055E-2</v>
      </c>
      <c r="AB55" s="45">
        <f t="shared" si="11"/>
        <v>1.6800000000000002</v>
      </c>
      <c r="AC55">
        <v>34</v>
      </c>
      <c r="AD55">
        <v>7.2</v>
      </c>
      <c r="AE55">
        <v>50</v>
      </c>
      <c r="AF55" s="31">
        <v>2.9999999999999997E-4</v>
      </c>
      <c r="AG55" s="31">
        <f t="shared" si="5"/>
        <v>8.1916037999999983E-2</v>
      </c>
      <c r="AH55" s="31">
        <f t="shared" si="14"/>
        <v>1.7820163295999998</v>
      </c>
      <c r="AI55">
        <v>200</v>
      </c>
      <c r="AJ55" s="30">
        <v>1.13626973433442E-2</v>
      </c>
      <c r="AK55" s="31"/>
      <c r="AL55" s="31"/>
      <c r="AM55" s="32">
        <f t="shared" si="6"/>
        <v>9.4689144527868321E-2</v>
      </c>
      <c r="AN55" s="32">
        <f t="shared" si="7"/>
        <v>0</v>
      </c>
      <c r="AO55" s="33">
        <f t="shared" si="8"/>
        <v>0</v>
      </c>
      <c r="AP55" s="34">
        <f t="shared" si="13"/>
        <v>9.4689144527868321E-2</v>
      </c>
    </row>
    <row r="56" spans="1:42" x14ac:dyDescent="0.25">
      <c r="A56" s="2" t="s">
        <v>53</v>
      </c>
      <c r="B56" t="s">
        <v>49</v>
      </c>
      <c r="C56">
        <v>12</v>
      </c>
      <c r="D56">
        <v>7.3</v>
      </c>
      <c r="E56">
        <v>35</v>
      </c>
      <c r="F56">
        <v>2</v>
      </c>
      <c r="G56" s="1">
        <v>45346.289583333302</v>
      </c>
      <c r="H56" s="91"/>
      <c r="I56" s="98">
        <v>997.91</v>
      </c>
      <c r="J56" s="20">
        <v>755.10763333333341</v>
      </c>
      <c r="K56">
        <v>16.649999999999999</v>
      </c>
      <c r="L56">
        <v>98.47</v>
      </c>
      <c r="M56">
        <v>3.15</v>
      </c>
      <c r="N56">
        <v>0</v>
      </c>
      <c r="O56">
        <v>26.1</v>
      </c>
      <c r="P56">
        <v>0.05</v>
      </c>
      <c r="Q56" s="3">
        <v>7.3</v>
      </c>
      <c r="R56">
        <v>1.32</v>
      </c>
      <c r="S56">
        <v>2.2800000000000002</v>
      </c>
      <c r="T56">
        <v>2.54</v>
      </c>
      <c r="U56">
        <v>0.09</v>
      </c>
      <c r="V56">
        <v>194.38</v>
      </c>
      <c r="W56">
        <v>10.73</v>
      </c>
      <c r="X56" s="44">
        <f t="shared" si="10"/>
        <v>5.58</v>
      </c>
      <c r="Y56" s="44">
        <f t="shared" si="1"/>
        <v>6.6E-3</v>
      </c>
      <c r="Z56" s="44">
        <f t="shared" si="2"/>
        <v>6.7908221010392024E-3</v>
      </c>
      <c r="AA56" s="44">
        <f t="shared" si="3"/>
        <v>1.3067187982302707E-2</v>
      </c>
      <c r="AB56" s="45">
        <f t="shared" si="11"/>
        <v>2.16</v>
      </c>
      <c r="AC56">
        <v>34</v>
      </c>
      <c r="AD56">
        <v>7.2</v>
      </c>
      <c r="AE56">
        <v>50</v>
      </c>
      <c r="AF56" s="31">
        <v>2.9999999999999997E-4</v>
      </c>
      <c r="AG56" s="31">
        <f t="shared" si="5"/>
        <v>5.8255685999999987E-2</v>
      </c>
      <c r="AH56" s="31">
        <f t="shared" si="14"/>
        <v>1.2151012607999998</v>
      </c>
      <c r="AI56">
        <v>200</v>
      </c>
      <c r="AJ56" s="30">
        <v>1.4869825137455699E-2</v>
      </c>
      <c r="AK56" s="31"/>
      <c r="AL56" s="31"/>
      <c r="AM56" s="32">
        <f t="shared" si="6"/>
        <v>0.12391520947879749</v>
      </c>
      <c r="AN56" s="32">
        <f t="shared" si="7"/>
        <v>0</v>
      </c>
      <c r="AO56" s="33">
        <f t="shared" si="8"/>
        <v>0</v>
      </c>
      <c r="AP56" s="34">
        <f t="shared" si="13"/>
        <v>0.12391520947879749</v>
      </c>
    </row>
    <row r="57" spans="1:42" x14ac:dyDescent="0.25">
      <c r="A57" s="2" t="s">
        <v>54</v>
      </c>
      <c r="B57" t="s">
        <v>46</v>
      </c>
      <c r="C57">
        <v>18</v>
      </c>
      <c r="D57">
        <v>7.3</v>
      </c>
      <c r="E57">
        <v>35</v>
      </c>
      <c r="F57">
        <v>2</v>
      </c>
      <c r="G57" s="1">
        <v>45346.256944444402</v>
      </c>
      <c r="H57" s="91"/>
      <c r="I57" s="98">
        <v>997.91</v>
      </c>
      <c r="J57" s="20">
        <v>1013.149</v>
      </c>
      <c r="K57">
        <v>22.61</v>
      </c>
      <c r="L57">
        <v>96.82</v>
      </c>
      <c r="M57">
        <v>2.4900000000000002</v>
      </c>
      <c r="N57">
        <v>293</v>
      </c>
      <c r="O57">
        <v>30.5</v>
      </c>
      <c r="P57">
        <v>0.09</v>
      </c>
      <c r="Q57" s="3">
        <v>7.37</v>
      </c>
      <c r="R57">
        <v>0.95</v>
      </c>
      <c r="S57">
        <v>0.49</v>
      </c>
      <c r="T57">
        <v>1.83</v>
      </c>
      <c r="U57">
        <v>0</v>
      </c>
      <c r="V57">
        <v>195.21</v>
      </c>
      <c r="W57">
        <v>21.13</v>
      </c>
      <c r="X57" s="44">
        <f t="shared" si="10"/>
        <v>4.7799999999999976</v>
      </c>
      <c r="Y57" s="44">
        <f t="shared" si="1"/>
        <v>4.7499999999999999E-3</v>
      </c>
      <c r="Z57" s="44">
        <f t="shared" si="2"/>
        <v>4.8665539675221553E-3</v>
      </c>
      <c r="AA57" s="44">
        <f t="shared" si="3"/>
        <v>9.3745197479637322E-3</v>
      </c>
      <c r="AB57" s="45">
        <f t="shared" si="11"/>
        <v>0</v>
      </c>
      <c r="AC57">
        <v>34</v>
      </c>
      <c r="AD57">
        <v>7.2</v>
      </c>
      <c r="AE57">
        <v>50</v>
      </c>
      <c r="AF57" s="31">
        <v>2.9999999999999997E-4</v>
      </c>
      <c r="AG57" s="31">
        <f t="shared" si="5"/>
        <v>7.944656579999998E-2</v>
      </c>
      <c r="AH57" s="31">
        <f t="shared" si="14"/>
        <v>1.7449648127999997</v>
      </c>
      <c r="AI57">
        <v>200</v>
      </c>
      <c r="AJ57" s="30">
        <v>1.34916986022842E-2</v>
      </c>
      <c r="AK57" s="31">
        <v>2.4E-2</v>
      </c>
      <c r="AL57" s="31">
        <v>1.2999999999999999E-3</v>
      </c>
      <c r="AM57" s="32">
        <f t="shared" si="6"/>
        <v>0</v>
      </c>
      <c r="AN57" s="32">
        <f t="shared" si="7"/>
        <v>0.19520999999999999</v>
      </c>
      <c r="AO57" s="33">
        <f t="shared" si="8"/>
        <v>0.25377300000000003</v>
      </c>
      <c r="AP57" s="34">
        <f t="shared" si="13"/>
        <v>0.19520999999999999</v>
      </c>
    </row>
    <row r="58" spans="1:42" x14ac:dyDescent="0.25">
      <c r="A58" s="2" t="s">
        <v>55</v>
      </c>
      <c r="B58" t="s">
        <v>51</v>
      </c>
      <c r="C58">
        <v>15</v>
      </c>
      <c r="D58">
        <v>7.2</v>
      </c>
      <c r="E58">
        <v>34</v>
      </c>
      <c r="F58">
        <v>2</v>
      </c>
      <c r="G58" s="1">
        <v>45346.295833333301</v>
      </c>
      <c r="H58" s="91"/>
      <c r="I58" s="98">
        <v>997.91</v>
      </c>
      <c r="J58" s="20">
        <v>964.61969999999997</v>
      </c>
      <c r="K58">
        <v>19.739999999999998</v>
      </c>
      <c r="L58">
        <v>97.36</v>
      </c>
      <c r="M58">
        <v>3.26</v>
      </c>
      <c r="N58">
        <v>304</v>
      </c>
      <c r="O58">
        <v>26.9</v>
      </c>
      <c r="P58">
        <v>0.1</v>
      </c>
      <c r="Q58" s="3">
        <v>7.33</v>
      </c>
      <c r="R58">
        <v>2.2000000000000002</v>
      </c>
      <c r="S58">
        <v>1.8099999999999996</v>
      </c>
      <c r="T58">
        <v>3.19</v>
      </c>
      <c r="U58">
        <v>7.0000000000000007E-2</v>
      </c>
      <c r="V58">
        <v>197.3</v>
      </c>
      <c r="W58">
        <v>9.1300000000000008</v>
      </c>
      <c r="X58" s="44">
        <f t="shared" si="10"/>
        <v>4.7800000000000011</v>
      </c>
      <c r="Y58" s="44">
        <f t="shared" si="1"/>
        <v>1.1000000000000001E-2</v>
      </c>
      <c r="Z58" s="44">
        <f t="shared" si="2"/>
        <v>1.1150532184490624E-2</v>
      </c>
      <c r="AA58" s="44">
        <f t="shared" si="3"/>
        <v>1.6168271667511402E-2</v>
      </c>
      <c r="AB58" s="45">
        <f t="shared" si="11"/>
        <v>1.6800000000000002</v>
      </c>
      <c r="AC58">
        <v>34</v>
      </c>
      <c r="AD58">
        <v>7.2</v>
      </c>
      <c r="AE58">
        <v>50</v>
      </c>
      <c r="AF58" s="31">
        <v>2.9999999999999997E-4</v>
      </c>
      <c r="AG58" s="31">
        <f t="shared" si="5"/>
        <v>7.0104635999999984E-2</v>
      </c>
      <c r="AH58" s="31">
        <f t="shared" si="14"/>
        <v>1.3583138399999999</v>
      </c>
      <c r="AI58">
        <v>200</v>
      </c>
      <c r="AJ58" s="30">
        <v>1.18337268345563E-2</v>
      </c>
      <c r="AK58" s="31"/>
      <c r="AL58" s="31"/>
      <c r="AM58" s="32">
        <f t="shared" si="6"/>
        <v>0</v>
      </c>
      <c r="AN58" s="32">
        <f t="shared" si="7"/>
        <v>0</v>
      </c>
      <c r="AO58" s="33">
        <f t="shared" si="8"/>
        <v>0</v>
      </c>
      <c r="AP58" s="34">
        <f t="shared" si="13"/>
        <v>0</v>
      </c>
    </row>
    <row r="59" spans="1:42" x14ac:dyDescent="0.25">
      <c r="A59" s="2" t="s">
        <v>56</v>
      </c>
      <c r="B59" t="s">
        <v>49</v>
      </c>
      <c r="C59">
        <v>18</v>
      </c>
      <c r="D59">
        <v>7.1</v>
      </c>
      <c r="E59">
        <v>32.999999999999993</v>
      </c>
      <c r="F59">
        <v>2</v>
      </c>
      <c r="G59" s="1">
        <v>45346.300694444399</v>
      </c>
      <c r="H59" s="91"/>
      <c r="I59" s="98">
        <v>997.91</v>
      </c>
      <c r="J59" s="20">
        <v>1075.037</v>
      </c>
      <c r="K59">
        <v>23.37</v>
      </c>
      <c r="L59">
        <v>96.73</v>
      </c>
      <c r="M59">
        <v>2.9</v>
      </c>
      <c r="N59">
        <v>295</v>
      </c>
      <c r="O59">
        <v>29.1</v>
      </c>
      <c r="P59">
        <v>0.05</v>
      </c>
      <c r="Q59" s="3">
        <v>7.35</v>
      </c>
      <c r="R59">
        <v>1.91</v>
      </c>
      <c r="S59">
        <v>1.7300000000000002</v>
      </c>
      <c r="T59">
        <v>3.7</v>
      </c>
      <c r="U59">
        <v>7.0000000000000007E-2</v>
      </c>
      <c r="V59">
        <v>198</v>
      </c>
      <c r="W59">
        <v>20.329999999999998</v>
      </c>
      <c r="X59" s="44">
        <f t="shared" si="10"/>
        <v>4.7799999999999976</v>
      </c>
      <c r="Y59" s="44">
        <f t="shared" si="1"/>
        <v>9.5499999999999995E-3</v>
      </c>
      <c r="Z59" s="44">
        <f t="shared" si="2"/>
        <v>9.6464646464646461E-3</v>
      </c>
      <c r="AA59" s="44">
        <f t="shared" si="3"/>
        <v>1.8686868686868689E-2</v>
      </c>
      <c r="AB59" s="45">
        <f t="shared" si="11"/>
        <v>1.6800000000000002</v>
      </c>
      <c r="AC59">
        <v>34</v>
      </c>
      <c r="AD59">
        <v>7.2</v>
      </c>
      <c r="AE59">
        <v>50</v>
      </c>
      <c r="AF59" s="31">
        <v>2.9999999999999997E-4</v>
      </c>
      <c r="AG59" s="31">
        <f t="shared" si="5"/>
        <v>8.3290679999999992E-2</v>
      </c>
      <c r="AH59" s="31">
        <f t="shared" si="14"/>
        <v>1.7638742735999995</v>
      </c>
      <c r="AI59">
        <v>200</v>
      </c>
      <c r="AJ59" s="30">
        <v>1.1369892107464301E-2</v>
      </c>
      <c r="AK59" s="31"/>
      <c r="AL59" s="31"/>
      <c r="AM59" s="32">
        <f t="shared" si="6"/>
        <v>9.4749100895535843E-2</v>
      </c>
      <c r="AN59" s="32">
        <f t="shared" si="7"/>
        <v>0</v>
      </c>
      <c r="AO59" s="33">
        <f t="shared" si="8"/>
        <v>0</v>
      </c>
      <c r="AP59" s="34">
        <f t="shared" si="13"/>
        <v>9.4749100895535843E-2</v>
      </c>
    </row>
    <row r="60" spans="1:42" x14ac:dyDescent="0.25">
      <c r="A60" s="2" t="s">
        <v>57</v>
      </c>
      <c r="B60" s="96" t="s">
        <v>46</v>
      </c>
      <c r="C60" s="96">
        <v>18</v>
      </c>
      <c r="D60" s="96">
        <v>7.2</v>
      </c>
      <c r="E60" s="96">
        <v>34</v>
      </c>
      <c r="F60" s="96">
        <v>2</v>
      </c>
      <c r="G60" s="97">
        <v>45346.306944444397</v>
      </c>
      <c r="H60" s="91"/>
      <c r="I60" s="98">
        <v>997.91</v>
      </c>
      <c r="J60" s="98">
        <v>887.16219999999998</v>
      </c>
      <c r="K60" s="96">
        <v>20.25</v>
      </c>
      <c r="L60" s="96">
        <v>94.78</v>
      </c>
      <c r="M60" s="96">
        <v>2.2000000000000002</v>
      </c>
      <c r="N60" s="96">
        <v>297</v>
      </c>
      <c r="O60" s="96">
        <v>33.799999999999997</v>
      </c>
      <c r="P60" s="96">
        <v>0.06</v>
      </c>
      <c r="Q60" s="3">
        <v>7.38</v>
      </c>
      <c r="R60" s="96">
        <v>0.97</v>
      </c>
      <c r="S60" s="96">
        <v>0.56000000000000005</v>
      </c>
      <c r="T60" s="96">
        <v>0.85</v>
      </c>
      <c r="U60" s="96">
        <v>0.01</v>
      </c>
      <c r="V60" s="96">
        <v>195.6</v>
      </c>
      <c r="W60" s="96">
        <v>20.329999999999998</v>
      </c>
      <c r="X60" s="102">
        <f t="shared" si="10"/>
        <v>4.7799999999999976</v>
      </c>
      <c r="Y60" s="102">
        <f t="shared" si="1"/>
        <v>4.8500000000000001E-3</v>
      </c>
      <c r="Z60" s="102">
        <f t="shared" si="2"/>
        <v>4.9591002044989778E-3</v>
      </c>
      <c r="AA60" s="102">
        <f t="shared" si="3"/>
        <v>4.3456032719836404E-3</v>
      </c>
      <c r="AB60" s="45">
        <f t="shared" si="11"/>
        <v>0.24</v>
      </c>
      <c r="AC60" s="96">
        <v>34</v>
      </c>
      <c r="AD60" s="96">
        <v>7.2</v>
      </c>
      <c r="AE60" s="96">
        <v>50</v>
      </c>
      <c r="AF60" s="100">
        <v>2.9999999999999997E-4</v>
      </c>
      <c r="AG60" s="100">
        <f t="shared" si="5"/>
        <v>7.129619999999999E-2</v>
      </c>
      <c r="AH60" s="100">
        <f t="shared" si="14"/>
        <v>1.7073745919999999</v>
      </c>
      <c r="AI60" s="96">
        <v>200</v>
      </c>
      <c r="AJ60" s="30">
        <v>1.41999245175573E-2</v>
      </c>
      <c r="AK60" s="100">
        <v>2.4E-2</v>
      </c>
      <c r="AL60" s="100">
        <v>1.2999999999999999E-3</v>
      </c>
      <c r="AM60" s="101">
        <f t="shared" si="6"/>
        <v>0</v>
      </c>
      <c r="AN60" s="101">
        <f t="shared" si="7"/>
        <v>0.1956</v>
      </c>
      <c r="AO60" s="33">
        <f t="shared" si="8"/>
        <v>0.25428000000000001</v>
      </c>
      <c r="AP60" s="34">
        <f t="shared" si="13"/>
        <v>0.1956</v>
      </c>
    </row>
    <row r="61" spans="1:42" x14ac:dyDescent="0.25">
      <c r="A61" s="2" t="s">
        <v>58</v>
      </c>
      <c r="B61" t="s">
        <v>51</v>
      </c>
      <c r="C61">
        <v>18</v>
      </c>
      <c r="D61">
        <v>7.1</v>
      </c>
      <c r="E61">
        <v>32.999999999999993</v>
      </c>
      <c r="F61">
        <v>2</v>
      </c>
      <c r="G61" s="1">
        <v>45346.311805555597</v>
      </c>
      <c r="H61" s="91"/>
      <c r="I61" s="98">
        <v>997.91</v>
      </c>
      <c r="J61" s="20">
        <v>1044.318</v>
      </c>
      <c r="K61">
        <v>24.59</v>
      </c>
      <c r="L61">
        <v>97.79</v>
      </c>
      <c r="M61">
        <v>2.75</v>
      </c>
      <c r="N61">
        <v>294</v>
      </c>
      <c r="O61">
        <v>25.6</v>
      </c>
      <c r="P61">
        <v>0.32</v>
      </c>
      <c r="Q61" s="3">
        <v>7.33</v>
      </c>
      <c r="R61">
        <v>2.69</v>
      </c>
      <c r="S61">
        <v>2.1300000000000003</v>
      </c>
      <c r="T61">
        <v>3.52</v>
      </c>
      <c r="U61">
        <v>0.09</v>
      </c>
      <c r="V61">
        <v>205.04</v>
      </c>
      <c r="W61">
        <v>20.329999999999998</v>
      </c>
      <c r="X61" s="44">
        <f t="shared" si="10"/>
        <v>4.7799999999999976</v>
      </c>
      <c r="Y61" s="44">
        <f t="shared" si="1"/>
        <v>1.345E-2</v>
      </c>
      <c r="Z61" s="44">
        <f t="shared" si="2"/>
        <v>1.3119391338275459E-2</v>
      </c>
      <c r="AA61" s="44">
        <f t="shared" si="3"/>
        <v>1.7167381974248927E-2</v>
      </c>
      <c r="AB61" s="45">
        <f t="shared" si="11"/>
        <v>2.16</v>
      </c>
      <c r="AC61">
        <v>34</v>
      </c>
      <c r="AD61">
        <v>7.2</v>
      </c>
      <c r="AE61">
        <v>50</v>
      </c>
      <c r="AF61" s="31">
        <v>2.9999999999999997E-4</v>
      </c>
      <c r="AG61" s="31">
        <f t="shared" si="5"/>
        <v>9.0754804799999977E-2</v>
      </c>
      <c r="AH61" s="31">
        <f t="shared" si="14"/>
        <v>1.7049968639999999</v>
      </c>
      <c r="AI61">
        <v>200</v>
      </c>
      <c r="AJ61" s="30">
        <v>1.0040137011331799E-2</v>
      </c>
      <c r="AK61" s="31"/>
      <c r="AL61" s="31"/>
      <c r="AM61" s="32">
        <f t="shared" si="6"/>
        <v>0</v>
      </c>
      <c r="AN61" s="32">
        <f t="shared" si="7"/>
        <v>0</v>
      </c>
      <c r="AO61" s="33">
        <f t="shared" si="8"/>
        <v>0</v>
      </c>
      <c r="AP61" s="34">
        <f t="shared" si="13"/>
        <v>0</v>
      </c>
    </row>
    <row r="62" spans="1:42" x14ac:dyDescent="0.25">
      <c r="A62" s="2" t="s">
        <v>59</v>
      </c>
      <c r="B62" t="s">
        <v>46</v>
      </c>
      <c r="C62">
        <v>15</v>
      </c>
      <c r="D62">
        <v>7.1</v>
      </c>
      <c r="E62">
        <v>32.999999999999993</v>
      </c>
      <c r="F62">
        <v>2</v>
      </c>
      <c r="G62" s="1">
        <v>45346.316666666702</v>
      </c>
      <c r="H62" s="91"/>
      <c r="I62" s="98">
        <v>997.91</v>
      </c>
      <c r="J62" s="20">
        <v>906.48569999999995</v>
      </c>
      <c r="K62">
        <v>21.95</v>
      </c>
      <c r="L62">
        <v>97.85</v>
      </c>
      <c r="M62">
        <v>2.59</v>
      </c>
      <c r="N62">
        <v>299</v>
      </c>
      <c r="O62">
        <v>38</v>
      </c>
      <c r="P62">
        <v>0.04</v>
      </c>
      <c r="Q62" s="3">
        <v>7.36</v>
      </c>
      <c r="R62">
        <v>0.78</v>
      </c>
      <c r="S62">
        <v>0.39999999999999991</v>
      </c>
      <c r="T62">
        <v>1.75</v>
      </c>
      <c r="U62">
        <v>0</v>
      </c>
      <c r="V62">
        <v>195.93</v>
      </c>
      <c r="W62">
        <v>8.33</v>
      </c>
      <c r="X62" s="44">
        <f t="shared" si="10"/>
        <v>4.78</v>
      </c>
      <c r="Y62" s="44">
        <f t="shared" si="1"/>
        <v>3.9000000000000003E-3</v>
      </c>
      <c r="Z62" s="44">
        <f t="shared" si="2"/>
        <v>3.9810136273158783E-3</v>
      </c>
      <c r="AA62" s="44">
        <f t="shared" si="3"/>
        <v>8.9317613433369056E-3</v>
      </c>
      <c r="AB62" s="45">
        <f t="shared" si="11"/>
        <v>0</v>
      </c>
      <c r="AC62">
        <v>34</v>
      </c>
      <c r="AD62">
        <v>7.2</v>
      </c>
      <c r="AE62">
        <v>50</v>
      </c>
      <c r="AF62" s="31">
        <v>2.9999999999999997E-4</v>
      </c>
      <c r="AG62" s="31">
        <f t="shared" si="5"/>
        <v>7.7411942999999983E-2</v>
      </c>
      <c r="AH62" s="31">
        <f t="shared" si="14"/>
        <v>1.5735342527999996</v>
      </c>
      <c r="AI62">
        <v>200</v>
      </c>
      <c r="AJ62" s="30">
        <v>1.4195918254083799E-2</v>
      </c>
      <c r="AK62" s="31">
        <v>2.4E-2</v>
      </c>
      <c r="AL62" s="31">
        <v>1.2999999999999999E-3</v>
      </c>
      <c r="AM62" s="32">
        <f t="shared" si="6"/>
        <v>0</v>
      </c>
      <c r="AN62" s="32">
        <f t="shared" si="7"/>
        <v>0.19593000000000002</v>
      </c>
      <c r="AO62" s="33">
        <f t="shared" si="8"/>
        <v>0.25470900000000002</v>
      </c>
      <c r="AP62" s="34">
        <f t="shared" si="13"/>
        <v>0.19593000000000002</v>
      </c>
    </row>
    <row r="63" spans="1:42" x14ac:dyDescent="0.25">
      <c r="A63" s="2" t="s">
        <v>60</v>
      </c>
      <c r="B63" t="s">
        <v>49</v>
      </c>
      <c r="C63">
        <v>15</v>
      </c>
      <c r="D63">
        <v>7.1</v>
      </c>
      <c r="E63">
        <v>32.999999999999993</v>
      </c>
      <c r="F63">
        <v>2</v>
      </c>
      <c r="G63" s="1">
        <v>45346.322222222203</v>
      </c>
      <c r="H63" s="91"/>
      <c r="I63" s="98">
        <v>997.91</v>
      </c>
      <c r="J63" s="20">
        <v>952.45950000000005</v>
      </c>
      <c r="K63">
        <v>19.87</v>
      </c>
      <c r="L63">
        <v>96.92</v>
      </c>
      <c r="M63">
        <v>3.01</v>
      </c>
      <c r="N63">
        <v>300</v>
      </c>
      <c r="O63">
        <v>28.3</v>
      </c>
      <c r="P63">
        <v>0.05</v>
      </c>
      <c r="Q63" s="3">
        <v>7.36</v>
      </c>
      <c r="R63">
        <v>1.94</v>
      </c>
      <c r="S63">
        <v>2.04</v>
      </c>
      <c r="T63">
        <v>3.22</v>
      </c>
      <c r="U63">
        <v>0.08</v>
      </c>
      <c r="V63">
        <v>197.75</v>
      </c>
      <c r="W63">
        <v>8.33</v>
      </c>
      <c r="X63" s="44">
        <f t="shared" si="10"/>
        <v>4.78</v>
      </c>
      <c r="Y63" s="44">
        <f t="shared" si="1"/>
        <v>9.7000000000000003E-3</v>
      </c>
      <c r="Z63" s="44">
        <f t="shared" si="2"/>
        <v>9.8103666245259163E-3</v>
      </c>
      <c r="AA63" s="44">
        <f t="shared" si="3"/>
        <v>1.6283185840707967E-2</v>
      </c>
      <c r="AB63" s="45">
        <f t="shared" si="11"/>
        <v>1.92</v>
      </c>
      <c r="AC63">
        <v>34</v>
      </c>
      <c r="AD63">
        <v>7.2</v>
      </c>
      <c r="AE63">
        <v>50</v>
      </c>
      <c r="AF63" s="31">
        <v>2.9999999999999997E-4</v>
      </c>
      <c r="AG63" s="31">
        <f t="shared" si="5"/>
        <v>7.0727265000000011E-2</v>
      </c>
      <c r="AH63" s="31">
        <f t="shared" si="14"/>
        <v>1.4011516511999997</v>
      </c>
      <c r="AI63">
        <v>200</v>
      </c>
      <c r="AJ63" s="30">
        <v>1.2642379799712699E-2</v>
      </c>
      <c r="AK63" s="31"/>
      <c r="AL63" s="31"/>
      <c r="AM63" s="32">
        <f t="shared" si="6"/>
        <v>0.10535316499760583</v>
      </c>
      <c r="AN63" s="32">
        <f t="shared" si="7"/>
        <v>0</v>
      </c>
      <c r="AO63" s="33">
        <f t="shared" si="8"/>
        <v>0</v>
      </c>
      <c r="AP63" s="34">
        <f t="shared" si="13"/>
        <v>0.10535316499760583</v>
      </c>
    </row>
    <row r="64" spans="1:42" x14ac:dyDescent="0.25">
      <c r="A64" s="2" t="s">
        <v>61</v>
      </c>
      <c r="B64" t="s">
        <v>46</v>
      </c>
      <c r="C64">
        <v>15</v>
      </c>
      <c r="D64">
        <v>7.3</v>
      </c>
      <c r="E64">
        <v>35</v>
      </c>
      <c r="F64">
        <v>2</v>
      </c>
      <c r="G64" s="1">
        <v>45346.327083333301</v>
      </c>
      <c r="H64" s="91"/>
      <c r="I64" s="98">
        <v>997.91</v>
      </c>
      <c r="J64" s="20">
        <v>775.64110000000005</v>
      </c>
      <c r="K64">
        <v>18.63</v>
      </c>
      <c r="L64">
        <v>96.01</v>
      </c>
      <c r="M64">
        <v>1.8</v>
      </c>
      <c r="N64">
        <v>298</v>
      </c>
      <c r="O64">
        <v>46.8</v>
      </c>
      <c r="P64">
        <v>0.05</v>
      </c>
      <c r="Q64" s="3">
        <v>7.39</v>
      </c>
      <c r="R64">
        <v>0.76</v>
      </c>
      <c r="S64">
        <v>0.60000000000000009</v>
      </c>
      <c r="T64">
        <v>0.68</v>
      </c>
      <c r="U64">
        <v>0.01</v>
      </c>
      <c r="V64">
        <v>194.91</v>
      </c>
      <c r="W64">
        <v>8.33</v>
      </c>
      <c r="X64" s="44">
        <f t="shared" si="10"/>
        <v>4.78</v>
      </c>
      <c r="Y64" s="44">
        <f t="shared" si="1"/>
        <v>3.8E-3</v>
      </c>
      <c r="Z64" s="44">
        <f t="shared" si="2"/>
        <v>3.899235544610333E-3</v>
      </c>
      <c r="AA64" s="44">
        <f t="shared" si="3"/>
        <v>3.4887896978092457E-3</v>
      </c>
      <c r="AB64" s="45">
        <f t="shared" si="11"/>
        <v>0.24</v>
      </c>
      <c r="AC64">
        <v>34</v>
      </c>
      <c r="AD64">
        <v>7.2</v>
      </c>
      <c r="AE64">
        <v>50</v>
      </c>
      <c r="AF64" s="31">
        <v>2.9999999999999997E-4</v>
      </c>
      <c r="AG64" s="31">
        <f t="shared" si="5"/>
        <v>6.5361119400000001E-2</v>
      </c>
      <c r="AH64" s="31">
        <f t="shared" si="14"/>
        <v>1.4388164351999999</v>
      </c>
      <c r="AI64">
        <v>200</v>
      </c>
      <c r="AJ64" s="30">
        <v>1.5752474004341099E-2</v>
      </c>
      <c r="AK64" s="31">
        <v>2.4E-2</v>
      </c>
      <c r="AL64" s="31">
        <v>1.2999999999999999E-3</v>
      </c>
      <c r="AM64" s="32">
        <f t="shared" si="6"/>
        <v>0</v>
      </c>
      <c r="AN64" s="32">
        <f t="shared" si="7"/>
        <v>0.19491</v>
      </c>
      <c r="AO64" s="33">
        <f t="shared" si="8"/>
        <v>0.25338299999999997</v>
      </c>
      <c r="AP64" s="34">
        <f t="shared" si="13"/>
        <v>0.19491</v>
      </c>
    </row>
    <row r="65" spans="1:42" x14ac:dyDescent="0.25">
      <c r="A65" s="2" t="s">
        <v>62</v>
      </c>
      <c r="B65" t="s">
        <v>49</v>
      </c>
      <c r="C65">
        <v>18</v>
      </c>
      <c r="D65">
        <v>7.2</v>
      </c>
      <c r="E65">
        <v>34</v>
      </c>
      <c r="F65">
        <v>2</v>
      </c>
      <c r="G65" s="1">
        <v>45346.337500000001</v>
      </c>
      <c r="H65" s="91"/>
      <c r="I65" s="98">
        <v>997.91</v>
      </c>
      <c r="J65" s="20">
        <v>1096.682</v>
      </c>
      <c r="K65">
        <v>22.93</v>
      </c>
      <c r="L65">
        <v>97.25</v>
      </c>
      <c r="M65">
        <v>2.84</v>
      </c>
      <c r="N65">
        <v>294</v>
      </c>
      <c r="O65">
        <v>29</v>
      </c>
      <c r="P65">
        <v>0.06</v>
      </c>
      <c r="Q65" s="3">
        <v>7.34</v>
      </c>
      <c r="R65">
        <v>2.1800000000000002</v>
      </c>
      <c r="S65">
        <v>1.9</v>
      </c>
      <c r="T65">
        <v>3.63</v>
      </c>
      <c r="U65">
        <v>0.08</v>
      </c>
      <c r="V65">
        <v>198.25</v>
      </c>
      <c r="W65">
        <v>20.329999999999998</v>
      </c>
      <c r="X65" s="44">
        <f t="shared" si="10"/>
        <v>4.7799999999999976</v>
      </c>
      <c r="Y65" s="44">
        <f t="shared" si="1"/>
        <v>1.09E-2</v>
      </c>
      <c r="Z65" s="44">
        <f t="shared" si="2"/>
        <v>1.0996216897856242E-2</v>
      </c>
      <c r="AA65" s="44">
        <f t="shared" si="3"/>
        <v>1.8310214375788145E-2</v>
      </c>
      <c r="AB65" s="45">
        <f t="shared" si="11"/>
        <v>1.92</v>
      </c>
      <c r="AC65">
        <v>34</v>
      </c>
      <c r="AD65">
        <v>7.2</v>
      </c>
      <c r="AE65">
        <v>50</v>
      </c>
      <c r="AF65" s="31">
        <v>2.9999999999999997E-4</v>
      </c>
      <c r="AG65" s="31">
        <f t="shared" si="5"/>
        <v>8.1825704999999985E-2</v>
      </c>
      <c r="AH65" s="31">
        <f t="shared" si="14"/>
        <v>1.65762828</v>
      </c>
      <c r="AI65">
        <v>200</v>
      </c>
      <c r="AJ65" s="30">
        <v>1.0936983741416099E-2</v>
      </c>
      <c r="AK65" s="31"/>
      <c r="AL65" s="31"/>
      <c r="AM65" s="32">
        <f t="shared" si="6"/>
        <v>9.1141531178467503E-2</v>
      </c>
      <c r="AN65" s="32">
        <f t="shared" si="7"/>
        <v>0</v>
      </c>
      <c r="AO65" s="33">
        <f t="shared" si="8"/>
        <v>0</v>
      </c>
      <c r="AP65" s="34">
        <f t="shared" si="13"/>
        <v>9.1141531178467503E-2</v>
      </c>
    </row>
    <row r="66" spans="1:42" x14ac:dyDescent="0.25">
      <c r="A66" s="2" t="s">
        <v>63</v>
      </c>
      <c r="B66" t="s">
        <v>51</v>
      </c>
      <c r="C66">
        <v>12</v>
      </c>
      <c r="D66">
        <v>7.1</v>
      </c>
      <c r="E66">
        <v>32.999999999999993</v>
      </c>
      <c r="F66">
        <v>2</v>
      </c>
      <c r="G66" s="1">
        <v>45346.342361111099</v>
      </c>
      <c r="H66" s="91"/>
      <c r="I66" s="98">
        <v>997.91</v>
      </c>
      <c r="J66" s="20">
        <v>795.92439999999999</v>
      </c>
      <c r="K66">
        <v>18.66</v>
      </c>
      <c r="L66">
        <v>98.23</v>
      </c>
      <c r="M66">
        <v>3.42</v>
      </c>
      <c r="N66">
        <v>313</v>
      </c>
      <c r="O66">
        <v>31.3</v>
      </c>
      <c r="P66">
        <v>0.42</v>
      </c>
      <c r="Q66" s="3">
        <v>7.18</v>
      </c>
      <c r="R66">
        <v>2.0099999999999998</v>
      </c>
      <c r="S66">
        <v>1.5900000000000003</v>
      </c>
      <c r="T66">
        <v>2.48</v>
      </c>
      <c r="U66">
        <v>7.0000000000000007E-2</v>
      </c>
      <c r="V66">
        <v>196.71</v>
      </c>
      <c r="W66">
        <v>9.1300000000000008</v>
      </c>
      <c r="X66" s="44">
        <f t="shared" si="10"/>
        <v>4.7800000000000011</v>
      </c>
      <c r="Y66" s="44">
        <f t="shared" si="1"/>
        <v>1.0049999999999998E-2</v>
      </c>
      <c r="Z66" s="44">
        <f t="shared" si="2"/>
        <v>1.021808754003355E-2</v>
      </c>
      <c r="AA66" s="44">
        <f t="shared" si="3"/>
        <v>1.2607391591683188E-2</v>
      </c>
      <c r="AB66" s="45">
        <f t="shared" si="11"/>
        <v>1.6800000000000002</v>
      </c>
      <c r="AC66">
        <v>34</v>
      </c>
      <c r="AD66">
        <v>7.2</v>
      </c>
      <c r="AE66">
        <v>50</v>
      </c>
      <c r="AF66" s="31">
        <v>2.9999999999999997E-4</v>
      </c>
      <c r="AG66" s="31">
        <f t="shared" si="5"/>
        <v>6.6070954799999998E-2</v>
      </c>
      <c r="AH66" s="31">
        <f t="shared" si="14"/>
        <v>1.2766457087999998</v>
      </c>
      <c r="AI66">
        <v>200</v>
      </c>
      <c r="AJ66" s="30">
        <v>1.2824712078535E-2</v>
      </c>
      <c r="AK66" s="31"/>
      <c r="AL66" s="31"/>
      <c r="AM66" s="32">
        <f t="shared" si="6"/>
        <v>0</v>
      </c>
      <c r="AN66" s="32">
        <f t="shared" si="7"/>
        <v>0</v>
      </c>
      <c r="AO66" s="33">
        <f t="shared" si="8"/>
        <v>0</v>
      </c>
      <c r="AP66" s="34">
        <f t="shared" si="13"/>
        <v>0</v>
      </c>
    </row>
    <row r="67" spans="1:42" x14ac:dyDescent="0.25">
      <c r="A67" s="2" t="s">
        <v>64</v>
      </c>
      <c r="B67" t="s">
        <v>46</v>
      </c>
      <c r="C67">
        <v>12</v>
      </c>
      <c r="D67">
        <v>7.1</v>
      </c>
      <c r="E67">
        <v>32.999999999999993</v>
      </c>
      <c r="F67">
        <v>2</v>
      </c>
      <c r="G67" s="1">
        <v>45346.347916666702</v>
      </c>
      <c r="H67" s="91"/>
      <c r="I67" s="98">
        <v>997.91</v>
      </c>
      <c r="J67" s="20">
        <v>763.04660000000001</v>
      </c>
      <c r="K67">
        <v>17.86</v>
      </c>
      <c r="L67">
        <v>97.96</v>
      </c>
      <c r="M67">
        <v>2.36</v>
      </c>
      <c r="N67">
        <v>304</v>
      </c>
      <c r="O67">
        <v>36.1</v>
      </c>
      <c r="P67">
        <v>0.05</v>
      </c>
      <c r="Q67" s="3">
        <v>7.35</v>
      </c>
      <c r="R67">
        <v>0.65</v>
      </c>
      <c r="S67">
        <v>0.64</v>
      </c>
      <c r="T67">
        <v>0.87</v>
      </c>
      <c r="U67">
        <v>0.02</v>
      </c>
      <c r="V67">
        <v>194.73</v>
      </c>
      <c r="W67">
        <v>8.33</v>
      </c>
      <c r="X67" s="44">
        <f t="shared" si="10"/>
        <v>4.78</v>
      </c>
      <c r="Y67" s="44">
        <f t="shared" ref="Y67:Y130" si="15">R67/AI67</f>
        <v>3.2500000000000003E-3</v>
      </c>
      <c r="Z67" s="44">
        <f t="shared" ref="Z67:Z130" si="16">R67/V67</f>
        <v>3.3379551173419609E-3</v>
      </c>
      <c r="AA67" s="44">
        <f t="shared" ref="AA67:AA130" si="17">T67/V67</f>
        <v>4.4677245416730859E-3</v>
      </c>
      <c r="AB67" s="45">
        <f t="shared" si="11"/>
        <v>0.48</v>
      </c>
      <c r="AC67">
        <v>34</v>
      </c>
      <c r="AD67">
        <v>7.2</v>
      </c>
      <c r="AE67">
        <v>50</v>
      </c>
      <c r="AF67" s="31">
        <v>2.9999999999999997E-4</v>
      </c>
      <c r="AG67" s="31">
        <f t="shared" ref="AG67:AG130" si="18">AF67*K67*V67*0.06</f>
        <v>6.2601800399999977E-2</v>
      </c>
      <c r="AH67" s="31">
        <f t="shared" si="14"/>
        <v>1.1437769375999998</v>
      </c>
      <c r="AI67">
        <v>200</v>
      </c>
      <c r="AJ67" s="30">
        <v>1.5546829267798001E-2</v>
      </c>
      <c r="AK67" s="31">
        <v>2.4E-2</v>
      </c>
      <c r="AL67" s="31">
        <v>1.2999999999999999E-3</v>
      </c>
      <c r="AM67" s="32">
        <f t="shared" ref="AM67:AM130" si="19">IF(B67="Python",AJ67*AI67/24,0)</f>
        <v>0</v>
      </c>
      <c r="AN67" s="32">
        <f t="shared" ref="AN67:AN130" si="20">IF(B67="Julia",AK67*V67/24,0)</f>
        <v>0.19472999999999999</v>
      </c>
      <c r="AO67" s="33">
        <f t="shared" ref="AO67:AO130" si="21">AL67*V67</f>
        <v>0.25314899999999996</v>
      </c>
      <c r="AP67" s="34">
        <f t="shared" ref="AP67:AP74" si="22">IF(IF(AND(AN67=0, AM67=0),0, IF(AN67&gt;0,AN67,AM67))=0,0,IF(AND(AN67=0, AM67=0),0, IF(AN67&gt;0,AN67,AM67)))</f>
        <v>0.19472999999999999</v>
      </c>
    </row>
    <row r="68" spans="1:42" x14ac:dyDescent="0.25">
      <c r="A68" s="2" t="s">
        <v>65</v>
      </c>
      <c r="B68" t="s">
        <v>49</v>
      </c>
      <c r="C68">
        <v>15</v>
      </c>
      <c r="D68">
        <v>7.3</v>
      </c>
      <c r="E68">
        <v>35</v>
      </c>
      <c r="F68">
        <v>2</v>
      </c>
      <c r="G68" s="1">
        <v>45346.3527777778</v>
      </c>
      <c r="H68" s="91"/>
      <c r="I68" s="98">
        <v>997.91</v>
      </c>
      <c r="J68" s="20">
        <v>933.90369999999996</v>
      </c>
      <c r="K68">
        <v>19.93</v>
      </c>
      <c r="L68">
        <v>97.89</v>
      </c>
      <c r="M68">
        <v>3.18</v>
      </c>
      <c r="N68">
        <v>303</v>
      </c>
      <c r="O68">
        <v>27.1</v>
      </c>
      <c r="P68">
        <v>0.13</v>
      </c>
      <c r="Q68" s="3">
        <v>7.33</v>
      </c>
      <c r="R68">
        <v>2.04</v>
      </c>
      <c r="S68">
        <v>2.0599999999999996</v>
      </c>
      <c r="T68">
        <v>3.32</v>
      </c>
      <c r="U68">
        <v>0.09</v>
      </c>
      <c r="V68">
        <v>198.17</v>
      </c>
      <c r="W68">
        <v>8.33</v>
      </c>
      <c r="X68" s="44">
        <f t="shared" si="10"/>
        <v>4.78</v>
      </c>
      <c r="Y68" s="44">
        <f t="shared" si="15"/>
        <v>1.0200000000000001E-2</v>
      </c>
      <c r="Z68" s="44">
        <f t="shared" si="16"/>
        <v>1.029419185547762E-2</v>
      </c>
      <c r="AA68" s="44">
        <f t="shared" si="17"/>
        <v>1.6753292627542011E-2</v>
      </c>
      <c r="AB68" s="45">
        <f t="shared" si="11"/>
        <v>2.16</v>
      </c>
      <c r="AC68">
        <v>34</v>
      </c>
      <c r="AD68">
        <v>7.2</v>
      </c>
      <c r="AE68">
        <v>50</v>
      </c>
      <c r="AF68" s="31">
        <v>2.9999999999999997E-4</v>
      </c>
      <c r="AG68" s="31">
        <f t="shared" si="18"/>
        <v>7.1091505799999982E-2</v>
      </c>
      <c r="AH68" s="31">
        <f t="shared" si="14"/>
        <v>1.4094884303999999</v>
      </c>
      <c r="AI68">
        <v>200</v>
      </c>
      <c r="AJ68" s="30">
        <v>1.18631787398815E-2</v>
      </c>
      <c r="AK68" s="31"/>
      <c r="AL68" s="31"/>
      <c r="AM68" s="32">
        <f t="shared" si="19"/>
        <v>9.8859822832345831E-2</v>
      </c>
      <c r="AN68" s="32">
        <f t="shared" si="20"/>
        <v>0</v>
      </c>
      <c r="AO68" s="33">
        <f t="shared" si="21"/>
        <v>0</v>
      </c>
      <c r="AP68" s="34">
        <f t="shared" si="22"/>
        <v>9.8859822832345831E-2</v>
      </c>
    </row>
    <row r="69" spans="1:42" x14ac:dyDescent="0.25">
      <c r="A69" s="2" t="s">
        <v>66</v>
      </c>
      <c r="B69" t="s">
        <v>46</v>
      </c>
      <c r="C69">
        <v>12</v>
      </c>
      <c r="D69">
        <v>7.2</v>
      </c>
      <c r="E69">
        <v>34</v>
      </c>
      <c r="F69">
        <v>2</v>
      </c>
      <c r="G69" s="1">
        <v>45346.358333333301</v>
      </c>
      <c r="H69" s="91"/>
      <c r="I69" s="98">
        <v>997.91</v>
      </c>
      <c r="J69" s="20">
        <v>710.95780000000002</v>
      </c>
      <c r="K69">
        <v>16.350000000000001</v>
      </c>
      <c r="L69">
        <v>96.95</v>
      </c>
      <c r="M69">
        <v>2.16</v>
      </c>
      <c r="N69">
        <v>301</v>
      </c>
      <c r="O69">
        <v>38.9</v>
      </c>
      <c r="P69">
        <v>0.03</v>
      </c>
      <c r="Q69" s="3">
        <v>7.36</v>
      </c>
      <c r="R69">
        <v>0.67</v>
      </c>
      <c r="S69">
        <v>1.1200000000000001</v>
      </c>
      <c r="T69">
        <v>0.59</v>
      </c>
      <c r="U69">
        <v>0.04</v>
      </c>
      <c r="V69">
        <v>193.72</v>
      </c>
      <c r="W69">
        <v>9.1300000000000008</v>
      </c>
      <c r="X69" s="44">
        <f t="shared" si="10"/>
        <v>5.580000000000001</v>
      </c>
      <c r="Y69" s="44">
        <f t="shared" si="15"/>
        <v>3.3500000000000001E-3</v>
      </c>
      <c r="Z69" s="44">
        <f t="shared" si="16"/>
        <v>3.458600041296717E-3</v>
      </c>
      <c r="AA69" s="44">
        <f t="shared" si="17"/>
        <v>3.0456328721866609E-3</v>
      </c>
      <c r="AB69" s="45">
        <f t="shared" si="11"/>
        <v>0.96</v>
      </c>
      <c r="AC69">
        <v>34</v>
      </c>
      <c r="AD69">
        <v>7.2</v>
      </c>
      <c r="AE69">
        <v>50</v>
      </c>
      <c r="AF69" s="31">
        <v>2.9999999999999997E-4</v>
      </c>
      <c r="AG69" s="31">
        <f t="shared" si="18"/>
        <v>5.7011795999999997E-2</v>
      </c>
      <c r="AH69" s="31">
        <f t="shared" si="14"/>
        <v>1.2422030399999997</v>
      </c>
      <c r="AI69">
        <v>200</v>
      </c>
      <c r="AJ69" s="30">
        <v>1.6254195183151299E-2</v>
      </c>
      <c r="AK69" s="31">
        <v>2.4E-2</v>
      </c>
      <c r="AL69" s="31">
        <v>1.2999999999999999E-3</v>
      </c>
      <c r="AM69" s="32">
        <f t="shared" si="19"/>
        <v>0</v>
      </c>
      <c r="AN69" s="32">
        <f t="shared" si="20"/>
        <v>0.19372</v>
      </c>
      <c r="AO69" s="33">
        <f t="shared" si="21"/>
        <v>0.251836</v>
      </c>
      <c r="AP69" s="34">
        <f t="shared" si="22"/>
        <v>0.19372</v>
      </c>
    </row>
    <row r="70" spans="1:42" x14ac:dyDescent="0.25">
      <c r="A70" s="2" t="s">
        <v>67</v>
      </c>
      <c r="B70" t="s">
        <v>49</v>
      </c>
      <c r="C70">
        <v>12</v>
      </c>
      <c r="D70">
        <v>7.1</v>
      </c>
      <c r="E70">
        <v>32.999999999999993</v>
      </c>
      <c r="F70">
        <v>2</v>
      </c>
      <c r="G70" s="1">
        <v>45346.364583333299</v>
      </c>
      <c r="H70" s="91"/>
      <c r="I70" s="98">
        <v>997.91</v>
      </c>
      <c r="J70" s="20">
        <v>760.81700000000001</v>
      </c>
      <c r="K70">
        <v>17.64</v>
      </c>
      <c r="L70">
        <v>98</v>
      </c>
      <c r="M70">
        <v>3.34</v>
      </c>
      <c r="N70">
        <v>312</v>
      </c>
      <c r="O70">
        <v>29.6</v>
      </c>
      <c r="P70">
        <v>0.3</v>
      </c>
      <c r="Q70" s="3">
        <v>7.2</v>
      </c>
      <c r="R70">
        <v>1.77</v>
      </c>
      <c r="S70">
        <v>2.19</v>
      </c>
      <c r="T70">
        <v>2.62</v>
      </c>
      <c r="U70">
        <v>0.09</v>
      </c>
      <c r="V70">
        <v>196.61</v>
      </c>
      <c r="W70">
        <v>9.1300000000000008</v>
      </c>
      <c r="X70" s="44">
        <f t="shared" si="10"/>
        <v>4.7800000000000011</v>
      </c>
      <c r="Y70" s="44">
        <f t="shared" si="15"/>
        <v>8.8500000000000002E-3</v>
      </c>
      <c r="Z70" s="44">
        <f t="shared" si="16"/>
        <v>9.0025939677534205E-3</v>
      </c>
      <c r="AA70" s="44">
        <f t="shared" si="17"/>
        <v>1.3325873556787549E-2</v>
      </c>
      <c r="AB70" s="45">
        <f t="shared" si="11"/>
        <v>2.16</v>
      </c>
      <c r="AC70">
        <v>34</v>
      </c>
      <c r="AD70">
        <v>7.2</v>
      </c>
      <c r="AE70">
        <v>50</v>
      </c>
      <c r="AF70" s="31">
        <v>2.9999999999999997E-4</v>
      </c>
      <c r="AG70" s="31">
        <f t="shared" si="18"/>
        <v>6.2427607200000006E-2</v>
      </c>
      <c r="AH70" s="31">
        <f t="shared" si="14"/>
        <v>1.1883158784000001</v>
      </c>
      <c r="AI70">
        <v>200</v>
      </c>
      <c r="AJ70" s="30">
        <v>1.3451750774867601E-2</v>
      </c>
      <c r="AK70" s="31"/>
      <c r="AL70" s="31"/>
      <c r="AM70" s="32">
        <f t="shared" si="19"/>
        <v>0.11209792312389667</v>
      </c>
      <c r="AN70" s="32">
        <f t="shared" si="20"/>
        <v>0</v>
      </c>
      <c r="AO70" s="33">
        <f t="shared" si="21"/>
        <v>0</v>
      </c>
      <c r="AP70" s="34">
        <f t="shared" si="22"/>
        <v>0.11209792312389667</v>
      </c>
    </row>
    <row r="71" spans="1:42" x14ac:dyDescent="0.25">
      <c r="A71" s="2" t="s">
        <v>68</v>
      </c>
      <c r="B71" t="s">
        <v>51</v>
      </c>
      <c r="C71">
        <v>12</v>
      </c>
      <c r="D71">
        <v>7.3</v>
      </c>
      <c r="E71">
        <v>35</v>
      </c>
      <c r="F71">
        <v>2</v>
      </c>
      <c r="G71" s="1">
        <v>45346.369444444397</v>
      </c>
      <c r="H71" s="91"/>
      <c r="I71" s="98">
        <v>997.91</v>
      </c>
      <c r="J71" s="20">
        <v>788.78700000000003</v>
      </c>
      <c r="K71">
        <v>17</v>
      </c>
      <c r="L71">
        <v>97.97</v>
      </c>
      <c r="M71">
        <v>3.44</v>
      </c>
      <c r="N71">
        <v>310</v>
      </c>
      <c r="O71">
        <v>27.7</v>
      </c>
      <c r="P71">
        <v>0.15</v>
      </c>
      <c r="Q71" s="3">
        <v>7.27</v>
      </c>
      <c r="R71">
        <v>1.71</v>
      </c>
      <c r="S71">
        <v>1.46</v>
      </c>
      <c r="T71">
        <v>2.8</v>
      </c>
      <c r="U71">
        <v>0.06</v>
      </c>
      <c r="V71">
        <v>196.77</v>
      </c>
      <c r="W71">
        <v>9.1300000000000008</v>
      </c>
      <c r="X71" s="44">
        <f t="shared" si="10"/>
        <v>4.7800000000000011</v>
      </c>
      <c r="Y71" s="44">
        <f t="shared" si="15"/>
        <v>8.5500000000000003E-3</v>
      </c>
      <c r="Z71" s="44">
        <f t="shared" si="16"/>
        <v>8.6903491385881982E-3</v>
      </c>
      <c r="AA71" s="44">
        <f t="shared" si="17"/>
        <v>1.422981145499822E-2</v>
      </c>
      <c r="AB71" s="45">
        <f t="shared" si="11"/>
        <v>1.44</v>
      </c>
      <c r="AC71">
        <v>34</v>
      </c>
      <c r="AD71">
        <v>7.2</v>
      </c>
      <c r="AE71">
        <v>50</v>
      </c>
      <c r="AF71" s="31">
        <v>2.9999999999999997E-4</v>
      </c>
      <c r="AG71" s="31">
        <f t="shared" si="18"/>
        <v>6.021162E-2</v>
      </c>
      <c r="AH71" s="31">
        <f t="shared" si="14"/>
        <v>1.1070486432</v>
      </c>
      <c r="AI71">
        <v>200</v>
      </c>
      <c r="AJ71" s="30">
        <v>1.43281874214507E-2</v>
      </c>
      <c r="AK71" s="31"/>
      <c r="AL71" s="31"/>
      <c r="AM71" s="32">
        <f t="shared" si="19"/>
        <v>0</v>
      </c>
      <c r="AN71" s="32">
        <f t="shared" si="20"/>
        <v>0</v>
      </c>
      <c r="AO71" s="33">
        <f t="shared" si="21"/>
        <v>0</v>
      </c>
      <c r="AP71" s="34">
        <f t="shared" si="22"/>
        <v>0</v>
      </c>
    </row>
    <row r="72" spans="1:42" x14ac:dyDescent="0.25">
      <c r="A72" s="2" t="s">
        <v>69</v>
      </c>
      <c r="B72" t="s">
        <v>51</v>
      </c>
      <c r="C72">
        <v>15</v>
      </c>
      <c r="D72">
        <v>7.2</v>
      </c>
      <c r="E72">
        <v>34</v>
      </c>
      <c r="F72">
        <v>2</v>
      </c>
      <c r="G72" s="1">
        <v>45346.375</v>
      </c>
      <c r="H72" s="91"/>
      <c r="I72" s="98">
        <v>997.91</v>
      </c>
      <c r="J72" s="20">
        <v>934.42179999999996</v>
      </c>
      <c r="K72">
        <v>18.95</v>
      </c>
      <c r="L72">
        <v>97.54</v>
      </c>
      <c r="M72">
        <v>3.35</v>
      </c>
      <c r="N72">
        <v>308</v>
      </c>
      <c r="O72">
        <v>26.4</v>
      </c>
      <c r="P72">
        <v>0.22</v>
      </c>
      <c r="Q72" s="3">
        <v>7.31</v>
      </c>
      <c r="R72">
        <v>2.37</v>
      </c>
      <c r="S72">
        <v>1.63</v>
      </c>
      <c r="T72">
        <v>3.31</v>
      </c>
      <c r="U72">
        <v>7.0000000000000007E-2</v>
      </c>
      <c r="V72">
        <v>198.32</v>
      </c>
      <c r="W72">
        <v>8.33</v>
      </c>
      <c r="X72" s="44">
        <f t="shared" si="10"/>
        <v>4.78</v>
      </c>
      <c r="Y72" s="44">
        <f t="shared" si="15"/>
        <v>1.1850000000000001E-2</v>
      </c>
      <c r="Z72" s="44">
        <f t="shared" si="16"/>
        <v>1.1950383219039936E-2</v>
      </c>
      <c r="AA72" s="44">
        <f t="shared" si="17"/>
        <v>1.6690197660346916E-2</v>
      </c>
      <c r="AB72" s="45">
        <f t="shared" si="11"/>
        <v>1.6800000000000002</v>
      </c>
      <c r="AC72">
        <v>34</v>
      </c>
      <c r="AD72">
        <v>7.2</v>
      </c>
      <c r="AE72">
        <v>50</v>
      </c>
      <c r="AF72" s="31">
        <v>2.9999999999999997E-4</v>
      </c>
      <c r="AG72" s="31">
        <f t="shared" si="18"/>
        <v>6.7646951999999982E-2</v>
      </c>
      <c r="AH72" s="31">
        <f t="shared" si="14"/>
        <v>1.5608700864</v>
      </c>
      <c r="AI72">
        <v>200</v>
      </c>
      <c r="AJ72" s="30">
        <v>1.1978715413335299E-2</v>
      </c>
      <c r="AK72" s="31"/>
      <c r="AL72" s="31"/>
      <c r="AM72" s="32">
        <f t="shared" si="19"/>
        <v>0</v>
      </c>
      <c r="AN72" s="32">
        <f t="shared" si="20"/>
        <v>0</v>
      </c>
      <c r="AO72" s="33">
        <f t="shared" si="21"/>
        <v>0</v>
      </c>
      <c r="AP72" s="34">
        <f t="shared" si="22"/>
        <v>0</v>
      </c>
    </row>
    <row r="73" spans="1:42" x14ac:dyDescent="0.25">
      <c r="A73" s="2" t="s">
        <v>70</v>
      </c>
      <c r="B73" s="96" t="s">
        <v>51</v>
      </c>
      <c r="C73" s="96">
        <v>15</v>
      </c>
      <c r="D73" s="96">
        <v>7.2</v>
      </c>
      <c r="E73" s="96">
        <v>34</v>
      </c>
      <c r="F73" s="96">
        <v>2</v>
      </c>
      <c r="G73" s="97">
        <v>45346.379166666702</v>
      </c>
      <c r="H73" s="91"/>
      <c r="I73" s="98">
        <v>997.91</v>
      </c>
      <c r="J73" s="98">
        <v>946.42039999999997</v>
      </c>
      <c r="K73" s="96">
        <v>20.87</v>
      </c>
      <c r="L73" s="96">
        <v>97.87</v>
      </c>
      <c r="M73" s="96">
        <v>3.02</v>
      </c>
      <c r="N73" s="96">
        <v>301</v>
      </c>
      <c r="O73" s="96">
        <v>27.2</v>
      </c>
      <c r="P73" s="96">
        <v>0.08</v>
      </c>
      <c r="Q73" s="3">
        <v>7.33</v>
      </c>
      <c r="R73" s="96">
        <v>2.35</v>
      </c>
      <c r="S73" s="96">
        <v>1.7799999999999998</v>
      </c>
      <c r="T73" s="96">
        <v>3</v>
      </c>
      <c r="U73" s="96">
        <v>7.0000000000000007E-2</v>
      </c>
      <c r="V73" s="96">
        <v>197.83</v>
      </c>
      <c r="W73" s="96">
        <v>8.33</v>
      </c>
      <c r="X73" s="102">
        <f t="shared" si="10"/>
        <v>4.78</v>
      </c>
      <c r="Y73" s="102">
        <f t="shared" si="15"/>
        <v>1.175E-2</v>
      </c>
      <c r="Z73" s="102">
        <f t="shared" si="16"/>
        <v>1.1878885912146793E-2</v>
      </c>
      <c r="AA73" s="102">
        <f t="shared" si="17"/>
        <v>1.5164535206995905E-2</v>
      </c>
      <c r="AB73" s="45">
        <f t="shared" si="11"/>
        <v>1.6800000000000002</v>
      </c>
      <c r="AC73" s="96">
        <v>34</v>
      </c>
      <c r="AD73" s="96">
        <v>7.2</v>
      </c>
      <c r="AE73" s="96">
        <v>50</v>
      </c>
      <c r="AF73" s="100">
        <v>2.9999999999999997E-4</v>
      </c>
      <c r="AG73" s="100">
        <f t="shared" si="18"/>
        <v>7.4316817800000004E-2</v>
      </c>
      <c r="AH73" s="100">
        <f t="shared" si="14"/>
        <v>1.484705376</v>
      </c>
      <c r="AI73" s="96">
        <v>200</v>
      </c>
      <c r="AJ73" s="30">
        <v>1.1664902293496499E-2</v>
      </c>
      <c r="AK73" s="100"/>
      <c r="AL73" s="100"/>
      <c r="AM73" s="101">
        <f t="shared" si="19"/>
        <v>0</v>
      </c>
      <c r="AN73" s="101">
        <f t="shared" si="20"/>
        <v>0</v>
      </c>
      <c r="AO73" s="33">
        <f t="shared" si="21"/>
        <v>0</v>
      </c>
      <c r="AP73" s="34">
        <f t="shared" si="22"/>
        <v>0</v>
      </c>
    </row>
    <row r="74" spans="1:42" ht="15.75" thickBot="1" x14ac:dyDescent="0.3">
      <c r="A74" s="12" t="s">
        <v>71</v>
      </c>
      <c r="B74" s="13" t="s">
        <v>51</v>
      </c>
      <c r="C74" s="13">
        <v>15</v>
      </c>
      <c r="D74" s="13">
        <v>7.2</v>
      </c>
      <c r="E74" s="13">
        <v>34</v>
      </c>
      <c r="F74" s="13">
        <v>2</v>
      </c>
      <c r="G74" s="14">
        <v>45346.384722222203</v>
      </c>
      <c r="H74" s="92"/>
      <c r="I74" s="24">
        <v>997.91</v>
      </c>
      <c r="J74" s="24">
        <v>926.63509999999997</v>
      </c>
      <c r="K74" s="13">
        <v>18.34</v>
      </c>
      <c r="L74" s="13">
        <v>97.23</v>
      </c>
      <c r="M74" s="13">
        <v>3.16</v>
      </c>
      <c r="N74" s="13">
        <v>301</v>
      </c>
      <c r="O74" s="13">
        <v>27.2</v>
      </c>
      <c r="P74" s="13">
        <v>0.23</v>
      </c>
      <c r="Q74" s="77">
        <v>7.3</v>
      </c>
      <c r="R74" s="13">
        <v>2.2400000000000002</v>
      </c>
      <c r="S74" s="13">
        <v>1.5699999999999998</v>
      </c>
      <c r="T74" s="13">
        <v>3.23</v>
      </c>
      <c r="U74" s="13">
        <v>7.0000000000000007E-2</v>
      </c>
      <c r="V74" s="13">
        <v>198.08</v>
      </c>
      <c r="W74" s="13">
        <v>8.33</v>
      </c>
      <c r="X74" s="46">
        <f t="shared" si="10"/>
        <v>4.78</v>
      </c>
      <c r="Y74" s="46">
        <f t="shared" si="15"/>
        <v>1.1200000000000002E-2</v>
      </c>
      <c r="Z74" s="46">
        <f t="shared" si="16"/>
        <v>1.1308562197092085E-2</v>
      </c>
      <c r="AA74" s="46">
        <f t="shared" si="17"/>
        <v>1.630654281098546E-2</v>
      </c>
      <c r="AB74" s="47">
        <f t="shared" si="11"/>
        <v>1.6800000000000002</v>
      </c>
      <c r="AC74" s="13">
        <v>34</v>
      </c>
      <c r="AD74" s="13">
        <v>7.2</v>
      </c>
      <c r="AE74" s="13">
        <v>50</v>
      </c>
      <c r="AF74" s="36">
        <v>2.9999999999999997E-4</v>
      </c>
      <c r="AG74" s="36">
        <f t="shared" si="18"/>
        <v>6.5390169599999992E-2</v>
      </c>
      <c r="AH74" s="36">
        <f t="shared" si="14"/>
        <v>1.3961020032</v>
      </c>
      <c r="AI74" s="13">
        <v>200</v>
      </c>
      <c r="AJ74" s="35">
        <v>1.2439713410901099E-2</v>
      </c>
      <c r="AK74" s="36"/>
      <c r="AL74" s="36"/>
      <c r="AM74" s="37">
        <f t="shared" si="19"/>
        <v>0</v>
      </c>
      <c r="AN74" s="37">
        <f t="shared" si="20"/>
        <v>0</v>
      </c>
      <c r="AO74" s="38">
        <f t="shared" si="21"/>
        <v>0</v>
      </c>
      <c r="AP74" s="39">
        <f t="shared" si="22"/>
        <v>0</v>
      </c>
    </row>
    <row r="75" spans="1:42" x14ac:dyDescent="0.25">
      <c r="A75" s="7" t="s">
        <v>45</v>
      </c>
      <c r="B75" s="8" t="s">
        <v>46</v>
      </c>
      <c r="C75" s="8">
        <v>18</v>
      </c>
      <c r="D75" s="8">
        <v>7.1</v>
      </c>
      <c r="E75" s="8">
        <v>32.999999999999993</v>
      </c>
      <c r="F75" s="8">
        <v>3</v>
      </c>
      <c r="G75" s="9">
        <v>45347.261805555601</v>
      </c>
      <c r="H75" s="93"/>
      <c r="I75" s="8">
        <v>1505.08</v>
      </c>
      <c r="J75" s="8">
        <v>1379.32</v>
      </c>
      <c r="K75" s="8">
        <v>20.18</v>
      </c>
      <c r="L75" s="8">
        <v>91.63</v>
      </c>
      <c r="M75" s="8">
        <v>2.76</v>
      </c>
      <c r="N75" s="8">
        <v>299</v>
      </c>
      <c r="O75" s="8">
        <v>42.7</v>
      </c>
      <c r="P75" s="8">
        <v>0.03</v>
      </c>
      <c r="Q75" s="75">
        <v>7.31</v>
      </c>
      <c r="R75" s="8">
        <v>1.65</v>
      </c>
      <c r="S75" s="8">
        <v>4.26</v>
      </c>
      <c r="T75" s="8">
        <v>2.97</v>
      </c>
      <c r="U75" s="8">
        <v>0.2</v>
      </c>
      <c r="V75" s="8">
        <v>195.37</v>
      </c>
      <c r="W75" s="8">
        <v>24.4</v>
      </c>
      <c r="X75" s="42">
        <f t="shared" si="10"/>
        <v>3.2699999999999996</v>
      </c>
      <c r="Y75" s="42">
        <f t="shared" si="15"/>
        <v>8.2500000000000004E-3</v>
      </c>
      <c r="Z75" s="42">
        <f t="shared" si="16"/>
        <v>8.4455136407841531E-3</v>
      </c>
      <c r="AA75" s="42">
        <f t="shared" si="17"/>
        <v>1.5201924553411477E-2</v>
      </c>
      <c r="AB75" s="43">
        <f t="shared" si="11"/>
        <v>4.8000000000000007</v>
      </c>
      <c r="AC75" s="8">
        <v>34</v>
      </c>
      <c r="AD75" s="8">
        <v>7.2</v>
      </c>
      <c r="AE75" s="8">
        <v>50</v>
      </c>
      <c r="AF75" s="26">
        <v>2.9999999999999997E-4</v>
      </c>
      <c r="AG75" s="26">
        <f t="shared" si="18"/>
        <v>7.0966198799999991E-2</v>
      </c>
      <c r="AH75" s="26">
        <f t="shared" si="14"/>
        <v>1.9058146559999996</v>
      </c>
      <c r="AI75" s="8">
        <v>200</v>
      </c>
      <c r="AJ75" s="25">
        <v>2.4756717639650198E-2</v>
      </c>
      <c r="AK75" s="8">
        <v>8.9079376061922001E-3</v>
      </c>
      <c r="AL75" s="8">
        <v>1.2999999999999999E-3</v>
      </c>
      <c r="AM75" s="27">
        <f t="shared" si="19"/>
        <v>0</v>
      </c>
      <c r="AN75" s="27">
        <f t="shared" si="20"/>
        <v>7.2514323755073759E-2</v>
      </c>
      <c r="AO75" s="28">
        <f t="shared" si="21"/>
        <v>0.25398100000000001</v>
      </c>
      <c r="AP75" s="29">
        <f t="shared" ref="AP75:AP98" si="23">IF(IF(AND(AN75=0, AM75=0),0, IF(AN75&gt;0,AN75,AM75))=0,0,IF(AND(AN75=0, AM75=0),0, IF(AN75&gt;0,AN75,AM75)))</f>
        <v>7.2514323755073759E-2</v>
      </c>
    </row>
    <row r="76" spans="1:42" x14ac:dyDescent="0.25">
      <c r="A76" s="2" t="s">
        <v>47</v>
      </c>
      <c r="B76" t="s">
        <v>46</v>
      </c>
      <c r="C76">
        <v>12</v>
      </c>
      <c r="D76">
        <v>7.3</v>
      </c>
      <c r="E76">
        <v>35</v>
      </c>
      <c r="F76">
        <v>3</v>
      </c>
      <c r="G76" s="1">
        <v>45347.266666666699</v>
      </c>
      <c r="I76" s="96">
        <v>1505.08</v>
      </c>
      <c r="J76">
        <v>1134.1420000000001</v>
      </c>
      <c r="K76">
        <v>16.850000000000001</v>
      </c>
      <c r="L76">
        <v>93.84</v>
      </c>
      <c r="M76">
        <v>2.67</v>
      </c>
      <c r="N76">
        <v>320</v>
      </c>
      <c r="O76">
        <v>35.299999999999997</v>
      </c>
      <c r="P76">
        <v>0.03</v>
      </c>
      <c r="Q76" s="3">
        <v>7.38</v>
      </c>
      <c r="R76">
        <v>5.46</v>
      </c>
      <c r="S76">
        <v>4.1900000000000004</v>
      </c>
      <c r="T76">
        <v>0.53</v>
      </c>
      <c r="U76">
        <v>0.2</v>
      </c>
      <c r="V76">
        <v>194.63</v>
      </c>
      <c r="W76">
        <v>14</v>
      </c>
      <c r="X76" s="44">
        <f t="shared" si="10"/>
        <v>4.8699999999999992</v>
      </c>
      <c r="Y76" s="44">
        <f t="shared" si="15"/>
        <v>2.7300000000000001E-2</v>
      </c>
      <c r="Z76" s="44">
        <f t="shared" si="16"/>
        <v>2.8053229204130916E-2</v>
      </c>
      <c r="AA76" s="44">
        <f t="shared" si="17"/>
        <v>2.7231156553460412E-3</v>
      </c>
      <c r="AB76" s="45">
        <f t="shared" si="11"/>
        <v>4.8000000000000007</v>
      </c>
      <c r="AC76">
        <v>34</v>
      </c>
      <c r="AD76">
        <v>7.2</v>
      </c>
      <c r="AE76">
        <v>50</v>
      </c>
      <c r="AF76" s="31">
        <v>2.9999999999999997E-4</v>
      </c>
      <c r="AG76" s="31">
        <f t="shared" si="18"/>
        <v>5.9031278999999992E-2</v>
      </c>
      <c r="AH76" s="31">
        <f t="shared" si="14"/>
        <v>1.4012403839999998</v>
      </c>
      <c r="AI76">
        <v>200</v>
      </c>
      <c r="AJ76" s="30">
        <v>2.27729749370915E-2</v>
      </c>
      <c r="AK76">
        <v>3.6582402959141501E-3</v>
      </c>
      <c r="AL76">
        <v>1.2999999999999999E-3</v>
      </c>
      <c r="AM76" s="32">
        <f t="shared" si="19"/>
        <v>0</v>
      </c>
      <c r="AN76" s="32">
        <f t="shared" si="20"/>
        <v>2.9666804533073795E-2</v>
      </c>
      <c r="AO76" s="33">
        <f t="shared" si="21"/>
        <v>0.25301899999999999</v>
      </c>
      <c r="AP76" s="34">
        <f t="shared" si="23"/>
        <v>2.9666804533073795E-2</v>
      </c>
    </row>
    <row r="77" spans="1:42" x14ac:dyDescent="0.25">
      <c r="A77" s="2" t="s">
        <v>48</v>
      </c>
      <c r="B77" t="s">
        <v>49</v>
      </c>
      <c r="C77">
        <v>12</v>
      </c>
      <c r="D77">
        <v>7.2</v>
      </c>
      <c r="E77">
        <v>34</v>
      </c>
      <c r="F77">
        <v>3</v>
      </c>
      <c r="G77" s="1">
        <v>45347.271527777797</v>
      </c>
      <c r="I77" s="96">
        <v>1505.08</v>
      </c>
      <c r="J77">
        <v>1305.461</v>
      </c>
      <c r="K77">
        <v>18.3</v>
      </c>
      <c r="L77">
        <v>96.97</v>
      </c>
      <c r="M77">
        <v>3.12</v>
      </c>
      <c r="N77">
        <v>299</v>
      </c>
      <c r="O77">
        <v>35</v>
      </c>
      <c r="P77">
        <v>0.15</v>
      </c>
      <c r="Q77" s="3">
        <v>7.24</v>
      </c>
      <c r="R77">
        <v>3.65</v>
      </c>
      <c r="S77">
        <v>3.1599999999999997</v>
      </c>
      <c r="T77">
        <v>3.95</v>
      </c>
      <c r="U77">
        <v>0.12</v>
      </c>
      <c r="V77">
        <v>194.81</v>
      </c>
      <c r="W77">
        <v>14</v>
      </c>
      <c r="X77" s="44">
        <f t="shared" si="10"/>
        <v>4.8699999999999992</v>
      </c>
      <c r="Y77" s="44">
        <f t="shared" si="15"/>
        <v>1.8249999999999999E-2</v>
      </c>
      <c r="Z77" s="44">
        <f t="shared" si="16"/>
        <v>1.8736204506955494E-2</v>
      </c>
      <c r="AA77" s="44">
        <f t="shared" si="17"/>
        <v>2.0276166521225811E-2</v>
      </c>
      <c r="AB77" s="45">
        <f t="shared" si="11"/>
        <v>2.88</v>
      </c>
      <c r="AC77">
        <v>34</v>
      </c>
      <c r="AD77">
        <v>7.2</v>
      </c>
      <c r="AE77">
        <v>50</v>
      </c>
      <c r="AF77" s="31">
        <v>2.9999999999999997E-4</v>
      </c>
      <c r="AG77" s="31">
        <f t="shared" si="18"/>
        <v>6.4170413999999995E-2</v>
      </c>
      <c r="AH77" s="31">
        <f t="shared" si="14"/>
        <v>1.3813526159999996</v>
      </c>
      <c r="AI77">
        <v>200</v>
      </c>
      <c r="AJ77" s="30">
        <v>2.4240892126974199E-2</v>
      </c>
      <c r="AK77" s="31"/>
      <c r="AL77" s="31"/>
      <c r="AM77" s="32">
        <f t="shared" si="19"/>
        <v>0.20200743439145166</v>
      </c>
      <c r="AN77" s="32">
        <f t="shared" si="20"/>
        <v>0</v>
      </c>
      <c r="AO77" s="33">
        <f t="shared" si="21"/>
        <v>0</v>
      </c>
      <c r="AP77" s="34">
        <f t="shared" si="23"/>
        <v>0.20200743439145166</v>
      </c>
    </row>
    <row r="78" spans="1:42" x14ac:dyDescent="0.25">
      <c r="A78" s="2" t="s">
        <v>50</v>
      </c>
      <c r="B78" t="s">
        <v>51</v>
      </c>
      <c r="C78">
        <v>18</v>
      </c>
      <c r="D78">
        <v>7.3</v>
      </c>
      <c r="E78">
        <v>35</v>
      </c>
      <c r="F78">
        <v>3</v>
      </c>
      <c r="G78" s="1">
        <v>45347.277083333298</v>
      </c>
      <c r="I78" s="96">
        <v>1505.08</v>
      </c>
      <c r="J78">
        <v>1776.4649999999999</v>
      </c>
      <c r="K78">
        <v>25.22</v>
      </c>
      <c r="L78">
        <v>94.46</v>
      </c>
      <c r="M78">
        <v>2.9</v>
      </c>
      <c r="N78">
        <v>301</v>
      </c>
      <c r="O78">
        <v>27.2</v>
      </c>
      <c r="P78">
        <v>0.45</v>
      </c>
      <c r="Q78" s="3">
        <v>7.29</v>
      </c>
      <c r="R78">
        <v>4.55</v>
      </c>
      <c r="S78">
        <v>2.1100000000000003</v>
      </c>
      <c r="T78">
        <v>4.82</v>
      </c>
      <c r="U78">
        <v>0.09</v>
      </c>
      <c r="V78">
        <v>196.12</v>
      </c>
      <c r="W78">
        <v>25.2</v>
      </c>
      <c r="X78" s="44">
        <f t="shared" si="10"/>
        <v>3.2699999999999996</v>
      </c>
      <c r="Y78" s="44">
        <f t="shared" si="15"/>
        <v>2.2749999999999999E-2</v>
      </c>
      <c r="Z78" s="44">
        <f t="shared" si="16"/>
        <v>2.3200081582704465E-2</v>
      </c>
      <c r="AA78" s="44">
        <f t="shared" si="17"/>
        <v>2.4576789720579237E-2</v>
      </c>
      <c r="AB78" s="45">
        <f t="shared" si="11"/>
        <v>2.16</v>
      </c>
      <c r="AC78">
        <v>34</v>
      </c>
      <c r="AD78">
        <v>7.2</v>
      </c>
      <c r="AE78">
        <v>50</v>
      </c>
      <c r="AF78" s="31">
        <v>2.9999999999999997E-4</v>
      </c>
      <c r="AG78" s="31">
        <f t="shared" si="18"/>
        <v>8.9030635199999986E-2</v>
      </c>
      <c r="AH78" s="31">
        <f t="shared" si="14"/>
        <v>1.9364150303999996</v>
      </c>
      <c r="AI78">
        <v>200</v>
      </c>
      <c r="AJ78" s="30">
        <v>9.5599441512663995E-3</v>
      </c>
      <c r="AK78" s="31"/>
      <c r="AL78" s="31"/>
      <c r="AM78" s="32">
        <f t="shared" si="19"/>
        <v>0</v>
      </c>
      <c r="AN78" s="32">
        <f t="shared" si="20"/>
        <v>0</v>
      </c>
      <c r="AO78" s="33">
        <f t="shared" si="21"/>
        <v>0</v>
      </c>
      <c r="AP78" s="34">
        <f t="shared" si="23"/>
        <v>0</v>
      </c>
    </row>
    <row r="79" spans="1:42" x14ac:dyDescent="0.25">
      <c r="A79" s="2" t="s">
        <v>52</v>
      </c>
      <c r="B79" t="s">
        <v>49</v>
      </c>
      <c r="C79">
        <v>18</v>
      </c>
      <c r="D79">
        <v>7.3</v>
      </c>
      <c r="E79">
        <v>35</v>
      </c>
      <c r="F79">
        <v>3</v>
      </c>
      <c r="G79" s="1">
        <v>45347.281944444403</v>
      </c>
      <c r="I79" s="96">
        <v>1505.08</v>
      </c>
      <c r="J79">
        <v>1728.075</v>
      </c>
      <c r="K79">
        <v>25.36</v>
      </c>
      <c r="L79">
        <v>94.92</v>
      </c>
      <c r="M79">
        <v>2.87</v>
      </c>
      <c r="N79">
        <v>300</v>
      </c>
      <c r="O79">
        <v>30.5</v>
      </c>
      <c r="P79">
        <v>0.26</v>
      </c>
      <c r="Q79" s="3">
        <v>7.29</v>
      </c>
      <c r="R79">
        <v>3.81</v>
      </c>
      <c r="S79">
        <v>2.2099999999999995</v>
      </c>
      <c r="T79">
        <v>4.96</v>
      </c>
      <c r="U79">
        <v>0.09</v>
      </c>
      <c r="V79">
        <v>197.52</v>
      </c>
      <c r="W79">
        <v>24.4</v>
      </c>
      <c r="X79" s="44">
        <f t="shared" si="10"/>
        <v>3.2699999999999996</v>
      </c>
      <c r="Y79" s="44">
        <f t="shared" si="15"/>
        <v>1.9050000000000001E-2</v>
      </c>
      <c r="Z79" s="44">
        <f t="shared" si="16"/>
        <v>1.9289185905224788E-2</v>
      </c>
      <c r="AA79" s="44">
        <f t="shared" si="17"/>
        <v>2.5111381125961927E-2</v>
      </c>
      <c r="AB79" s="45">
        <f t="shared" si="11"/>
        <v>2.16</v>
      </c>
      <c r="AC79">
        <v>34</v>
      </c>
      <c r="AD79">
        <v>7.2</v>
      </c>
      <c r="AE79">
        <v>50</v>
      </c>
      <c r="AF79" s="31">
        <v>2.9999999999999997E-4</v>
      </c>
      <c r="AG79" s="31">
        <f t="shared" si="18"/>
        <v>9.0163929599999984E-2</v>
      </c>
      <c r="AH79" s="31">
        <f t="shared" si="14"/>
        <v>1.9659849119999997</v>
      </c>
      <c r="AI79">
        <v>200</v>
      </c>
      <c r="AJ79" s="30">
        <v>9.4762086646698E-3</v>
      </c>
      <c r="AK79" s="31"/>
      <c r="AL79" s="31"/>
      <c r="AM79" s="32">
        <f t="shared" si="19"/>
        <v>7.8968405538915001E-2</v>
      </c>
      <c r="AN79" s="32">
        <f t="shared" si="20"/>
        <v>0</v>
      </c>
      <c r="AO79" s="33">
        <f t="shared" si="21"/>
        <v>0</v>
      </c>
      <c r="AP79" s="34">
        <f t="shared" si="23"/>
        <v>7.8968405538915001E-2</v>
      </c>
    </row>
    <row r="80" spans="1:42" x14ac:dyDescent="0.25">
      <c r="A80" s="2" t="s">
        <v>53</v>
      </c>
      <c r="B80" t="s">
        <v>49</v>
      </c>
      <c r="C80">
        <v>12</v>
      </c>
      <c r="D80">
        <v>7.3</v>
      </c>
      <c r="E80">
        <v>35</v>
      </c>
      <c r="F80">
        <v>3</v>
      </c>
      <c r="G80" s="1">
        <v>45347.286805555603</v>
      </c>
      <c r="I80" s="96">
        <v>1505.08</v>
      </c>
      <c r="J80">
        <v>1238.914</v>
      </c>
      <c r="K80">
        <v>19.37</v>
      </c>
      <c r="L80">
        <v>95.98</v>
      </c>
      <c r="M80">
        <v>3.02</v>
      </c>
      <c r="N80">
        <v>297</v>
      </c>
      <c r="O80">
        <v>30.9</v>
      </c>
      <c r="P80">
        <v>0.25</v>
      </c>
      <c r="Q80" s="3">
        <v>7.29</v>
      </c>
      <c r="R80">
        <v>3.6</v>
      </c>
      <c r="S80">
        <v>3.1599999999999997</v>
      </c>
      <c r="T80">
        <v>3.89</v>
      </c>
      <c r="U80">
        <v>0.12</v>
      </c>
      <c r="V80">
        <v>193.82</v>
      </c>
      <c r="W80">
        <v>14.8</v>
      </c>
      <c r="X80" s="44">
        <f t="shared" si="10"/>
        <v>4.07</v>
      </c>
      <c r="Y80" s="44">
        <f t="shared" si="15"/>
        <v>1.8000000000000002E-2</v>
      </c>
      <c r="Z80" s="44">
        <f t="shared" si="16"/>
        <v>1.8573934578474876E-2</v>
      </c>
      <c r="AA80" s="44">
        <f t="shared" si="17"/>
        <v>2.0070168197296463E-2</v>
      </c>
      <c r="AB80" s="45">
        <f t="shared" si="11"/>
        <v>2.88</v>
      </c>
      <c r="AC80">
        <v>34</v>
      </c>
      <c r="AD80">
        <v>7.2</v>
      </c>
      <c r="AE80">
        <v>50</v>
      </c>
      <c r="AF80" s="31">
        <v>2.9999999999999997E-4</v>
      </c>
      <c r="AG80" s="31">
        <f t="shared" si="18"/>
        <v>6.7577281200000006E-2</v>
      </c>
      <c r="AH80" s="31">
        <f t="shared" si="14"/>
        <v>1.3981364639999998</v>
      </c>
      <c r="AI80">
        <v>200</v>
      </c>
      <c r="AJ80" s="30">
        <v>2.6502049610607599E-2</v>
      </c>
      <c r="AK80" s="31"/>
      <c r="AL80" s="31"/>
      <c r="AM80" s="32">
        <f t="shared" si="19"/>
        <v>0.22085041342172998</v>
      </c>
      <c r="AN80" s="32">
        <f t="shared" si="20"/>
        <v>0</v>
      </c>
      <c r="AO80" s="33">
        <f t="shared" si="21"/>
        <v>0</v>
      </c>
      <c r="AP80" s="34">
        <f t="shared" si="23"/>
        <v>0.22085041342172998</v>
      </c>
    </row>
    <row r="81" spans="1:42" x14ac:dyDescent="0.25">
      <c r="A81" s="2" t="s">
        <v>54</v>
      </c>
      <c r="B81" t="s">
        <v>46</v>
      </c>
      <c r="C81">
        <v>18</v>
      </c>
      <c r="D81">
        <v>7.3</v>
      </c>
      <c r="E81">
        <v>35</v>
      </c>
      <c r="F81">
        <v>3</v>
      </c>
      <c r="G81" s="1">
        <v>45347.292361111096</v>
      </c>
      <c r="I81" s="96">
        <v>1505.08</v>
      </c>
      <c r="J81">
        <v>1304.9646666666667</v>
      </c>
      <c r="K81">
        <v>20.37</v>
      </c>
      <c r="L81">
        <v>90.07</v>
      </c>
      <c r="M81">
        <v>2.56</v>
      </c>
      <c r="N81">
        <v>296</v>
      </c>
      <c r="O81">
        <v>43.1</v>
      </c>
      <c r="P81">
        <v>7.0000000000000007E-2</v>
      </c>
      <c r="Q81" s="3">
        <v>7.32</v>
      </c>
      <c r="R81">
        <v>1.44</v>
      </c>
      <c r="S81">
        <v>4.4499999999999993</v>
      </c>
      <c r="T81">
        <v>2.09</v>
      </c>
      <c r="U81">
        <v>0.2</v>
      </c>
      <c r="V81">
        <v>194.82</v>
      </c>
      <c r="W81">
        <v>24.4</v>
      </c>
      <c r="X81" s="44">
        <f t="shared" si="10"/>
        <v>3.2699999999999996</v>
      </c>
      <c r="Y81" s="44">
        <f t="shared" si="15"/>
        <v>7.1999999999999998E-3</v>
      </c>
      <c r="Z81" s="44">
        <f t="shared" si="16"/>
        <v>7.3914382506929475E-3</v>
      </c>
      <c r="AA81" s="44">
        <f t="shared" si="17"/>
        <v>1.0727851349964068E-2</v>
      </c>
      <c r="AB81" s="45">
        <f t="shared" si="11"/>
        <v>4.8000000000000007</v>
      </c>
      <c r="AC81">
        <v>34</v>
      </c>
      <c r="AD81">
        <v>7.2</v>
      </c>
      <c r="AE81">
        <v>50</v>
      </c>
      <c r="AF81" s="31">
        <v>2.9999999999999997E-4</v>
      </c>
      <c r="AG81" s="31">
        <f t="shared" si="18"/>
        <v>7.1432701200000004E-2</v>
      </c>
      <c r="AH81" s="31">
        <f t="shared" si="14"/>
        <v>1.9067175791999995</v>
      </c>
      <c r="AI81">
        <v>200</v>
      </c>
      <c r="AJ81" s="30">
        <v>2.9498553674693399E-2</v>
      </c>
      <c r="AK81" s="31">
        <v>1.40393562861234E-2</v>
      </c>
      <c r="AL81" s="31">
        <v>1.2999999999999999E-3</v>
      </c>
      <c r="AM81" s="32">
        <f t="shared" si="19"/>
        <v>0</v>
      </c>
      <c r="AN81" s="32">
        <f t="shared" si="20"/>
        <v>0.11396447465260669</v>
      </c>
      <c r="AO81" s="33">
        <f t="shared" si="21"/>
        <v>0.25326599999999999</v>
      </c>
      <c r="AP81" s="34">
        <f t="shared" si="23"/>
        <v>0.11396447465260669</v>
      </c>
    </row>
    <row r="82" spans="1:42" x14ac:dyDescent="0.25">
      <c r="A82" s="2" t="s">
        <v>55</v>
      </c>
      <c r="B82" t="s">
        <v>51</v>
      </c>
      <c r="C82">
        <v>15</v>
      </c>
      <c r="D82">
        <v>7.2</v>
      </c>
      <c r="E82">
        <v>34</v>
      </c>
      <c r="F82">
        <v>3</v>
      </c>
      <c r="G82" s="1">
        <v>45347.297222222202</v>
      </c>
      <c r="I82" s="96">
        <v>1505.08</v>
      </c>
      <c r="J82">
        <v>1476.8010000000002</v>
      </c>
      <c r="K82">
        <v>22.08</v>
      </c>
      <c r="L82">
        <v>94.33</v>
      </c>
      <c r="M82">
        <v>3.61</v>
      </c>
      <c r="N82">
        <v>311</v>
      </c>
      <c r="O82">
        <v>30.7</v>
      </c>
      <c r="P82">
        <v>0.05</v>
      </c>
      <c r="Q82" s="3">
        <v>7.28</v>
      </c>
      <c r="R82">
        <v>4.01</v>
      </c>
      <c r="S82">
        <v>1.9500000000000002</v>
      </c>
      <c r="T82">
        <v>4.66</v>
      </c>
      <c r="U82">
        <v>0.12</v>
      </c>
      <c r="V82">
        <v>197.21</v>
      </c>
      <c r="W82">
        <v>13.2</v>
      </c>
      <c r="X82" s="44">
        <f t="shared" si="10"/>
        <v>4.0699999999999985</v>
      </c>
      <c r="Y82" s="44">
        <f t="shared" si="15"/>
        <v>2.0049999999999998E-2</v>
      </c>
      <c r="Z82" s="44">
        <f t="shared" si="16"/>
        <v>2.0333654479995942E-2</v>
      </c>
      <c r="AA82" s="44">
        <f t="shared" si="17"/>
        <v>2.3629633385730948E-2</v>
      </c>
      <c r="AB82" s="45">
        <f t="shared" si="11"/>
        <v>2.88</v>
      </c>
      <c r="AC82">
        <v>34</v>
      </c>
      <c r="AD82">
        <v>7.2</v>
      </c>
      <c r="AE82">
        <v>50</v>
      </c>
      <c r="AF82" s="31">
        <v>2.9999999999999997E-4</v>
      </c>
      <c r="AG82" s="31">
        <f t="shared" si="18"/>
        <v>7.8379142399999976E-2</v>
      </c>
      <c r="AH82" s="31">
        <f t="shared" si="14"/>
        <v>1.6825112639999995</v>
      </c>
      <c r="AI82">
        <v>200</v>
      </c>
      <c r="AJ82" s="30">
        <v>1.9626052311631E-2</v>
      </c>
      <c r="AK82" s="31"/>
      <c r="AL82" s="31"/>
      <c r="AM82" s="32">
        <f t="shared" si="19"/>
        <v>0</v>
      </c>
      <c r="AN82" s="32">
        <f t="shared" si="20"/>
        <v>0</v>
      </c>
      <c r="AO82" s="33">
        <f t="shared" si="21"/>
        <v>0</v>
      </c>
      <c r="AP82" s="34">
        <f t="shared" si="23"/>
        <v>0</v>
      </c>
    </row>
    <row r="83" spans="1:42" x14ac:dyDescent="0.25">
      <c r="A83" s="2" t="s">
        <v>56</v>
      </c>
      <c r="B83" t="s">
        <v>49</v>
      </c>
      <c r="C83">
        <v>18</v>
      </c>
      <c r="D83">
        <v>7.1</v>
      </c>
      <c r="E83">
        <v>32.999999999999993</v>
      </c>
      <c r="F83">
        <v>3</v>
      </c>
      <c r="G83" s="1">
        <v>45347.302777777797</v>
      </c>
      <c r="I83" s="96">
        <v>1505.08</v>
      </c>
      <c r="J83">
        <v>1545.3763333333336</v>
      </c>
      <c r="K83">
        <v>23.73</v>
      </c>
      <c r="L83">
        <v>94.51</v>
      </c>
      <c r="M83">
        <v>3.11</v>
      </c>
      <c r="N83">
        <v>305</v>
      </c>
      <c r="O83">
        <v>30.9</v>
      </c>
      <c r="P83">
        <v>0.21</v>
      </c>
      <c r="Q83" s="3">
        <v>7.28</v>
      </c>
      <c r="R83">
        <v>3.64</v>
      </c>
      <c r="S83">
        <v>2.4</v>
      </c>
      <c r="T83">
        <v>5.0999999999999996</v>
      </c>
      <c r="U83">
        <v>0.09</v>
      </c>
      <c r="V83">
        <v>199.08</v>
      </c>
      <c r="W83">
        <v>23.6</v>
      </c>
      <c r="X83" s="44">
        <f t="shared" si="10"/>
        <v>3.2700000000000031</v>
      </c>
      <c r="Y83" s="44">
        <f t="shared" si="15"/>
        <v>1.8200000000000001E-2</v>
      </c>
      <c r="Z83" s="44">
        <f t="shared" si="16"/>
        <v>1.8284106891701828E-2</v>
      </c>
      <c r="AA83" s="44">
        <f t="shared" si="17"/>
        <v>2.5617842073538271E-2</v>
      </c>
      <c r="AB83" s="45">
        <f t="shared" si="11"/>
        <v>2.16</v>
      </c>
      <c r="AC83">
        <v>34</v>
      </c>
      <c r="AD83">
        <v>7.2</v>
      </c>
      <c r="AE83">
        <v>50</v>
      </c>
      <c r="AF83" s="31">
        <v>2.9999999999999997E-4</v>
      </c>
      <c r="AG83" s="31">
        <f t="shared" si="18"/>
        <v>8.50350312E-2</v>
      </c>
      <c r="AH83" s="31">
        <f t="shared" si="14"/>
        <v>1.9989763199999997</v>
      </c>
      <c r="AI83">
        <v>200</v>
      </c>
      <c r="AJ83" s="30">
        <v>2.0378316465822902E-2</v>
      </c>
      <c r="AK83" s="31"/>
      <c r="AL83" s="31"/>
      <c r="AM83" s="32">
        <f t="shared" si="19"/>
        <v>0.16981930388185751</v>
      </c>
      <c r="AN83" s="32">
        <f t="shared" si="20"/>
        <v>0</v>
      </c>
      <c r="AO83" s="33">
        <f t="shared" si="21"/>
        <v>0</v>
      </c>
      <c r="AP83" s="34">
        <f t="shared" si="23"/>
        <v>0.16981930388185751</v>
      </c>
    </row>
    <row r="84" spans="1:42" x14ac:dyDescent="0.25">
      <c r="A84" s="2" t="s">
        <v>57</v>
      </c>
      <c r="B84" s="96" t="s">
        <v>46</v>
      </c>
      <c r="C84" s="96">
        <v>18</v>
      </c>
      <c r="D84" s="96">
        <v>7.2</v>
      </c>
      <c r="E84" s="96">
        <v>34</v>
      </c>
      <c r="F84" s="96">
        <v>3</v>
      </c>
      <c r="G84" s="97">
        <v>45347.307638888902</v>
      </c>
      <c r="I84" s="96">
        <v>1505.08</v>
      </c>
      <c r="J84" s="96">
        <v>1230.4880000000001</v>
      </c>
      <c r="K84" s="96">
        <v>17.91</v>
      </c>
      <c r="L84" s="96">
        <v>89.38</v>
      </c>
      <c r="M84" s="96">
        <v>2.44</v>
      </c>
      <c r="N84" s="96">
        <v>297</v>
      </c>
      <c r="O84" s="96">
        <v>45.3</v>
      </c>
      <c r="P84" s="96">
        <v>0.02</v>
      </c>
      <c r="Q84" s="3">
        <v>7.3</v>
      </c>
      <c r="R84" s="96">
        <v>1.53</v>
      </c>
      <c r="S84" s="96">
        <v>4.5299999999999994</v>
      </c>
      <c r="T84" s="96">
        <v>1.1000000000000001</v>
      </c>
      <c r="U84" s="96">
        <v>0.2</v>
      </c>
      <c r="V84" s="96">
        <v>194.31</v>
      </c>
      <c r="W84" s="96">
        <v>24.4</v>
      </c>
      <c r="X84" s="102">
        <f t="shared" si="10"/>
        <v>4.07</v>
      </c>
      <c r="Y84" s="102">
        <f t="shared" si="15"/>
        <v>7.6500000000000005E-3</v>
      </c>
      <c r="Z84" s="102">
        <f t="shared" si="16"/>
        <v>7.874015748031496E-3</v>
      </c>
      <c r="AA84" s="102">
        <f t="shared" si="17"/>
        <v>5.6610570737481349E-3</v>
      </c>
      <c r="AB84" s="45">
        <f t="shared" si="11"/>
        <v>4.8000000000000007</v>
      </c>
      <c r="AC84" s="96">
        <v>34</v>
      </c>
      <c r="AD84" s="96">
        <v>7.2</v>
      </c>
      <c r="AE84" s="96">
        <v>50</v>
      </c>
      <c r="AF84" s="100">
        <v>2.9999999999999997E-4</v>
      </c>
      <c r="AG84" s="100">
        <f t="shared" si="18"/>
        <v>6.26416578E-2</v>
      </c>
      <c r="AH84" s="100">
        <f t="shared" si="14"/>
        <v>1.7111087999999999</v>
      </c>
      <c r="AI84" s="96">
        <v>200</v>
      </c>
      <c r="AJ84" s="30">
        <v>3.1620498387879399E-2</v>
      </c>
      <c r="AK84" s="31">
        <v>1.7902156400208102E-2</v>
      </c>
      <c r="AL84" s="31">
        <v>1.2999999999999999E-3</v>
      </c>
      <c r="AM84" s="101">
        <f t="shared" si="19"/>
        <v>0</v>
      </c>
      <c r="AN84" s="101">
        <f t="shared" si="20"/>
        <v>0.14494033375518484</v>
      </c>
      <c r="AO84" s="33">
        <f t="shared" si="21"/>
        <v>0.25260299999999997</v>
      </c>
      <c r="AP84" s="34">
        <f t="shared" si="23"/>
        <v>0.14494033375518484</v>
      </c>
    </row>
    <row r="85" spans="1:42" x14ac:dyDescent="0.25">
      <c r="A85" s="2" t="s">
        <v>58</v>
      </c>
      <c r="B85" t="s">
        <v>51</v>
      </c>
      <c r="C85">
        <v>18</v>
      </c>
      <c r="D85">
        <v>7.1</v>
      </c>
      <c r="E85">
        <v>32.999999999999993</v>
      </c>
      <c r="F85">
        <v>3</v>
      </c>
      <c r="G85" s="1">
        <v>45347.256944444402</v>
      </c>
      <c r="I85" s="96">
        <v>1505.08</v>
      </c>
      <c r="J85">
        <v>1818.135</v>
      </c>
      <c r="K85">
        <v>20.61</v>
      </c>
      <c r="L85">
        <v>95.69</v>
      </c>
      <c r="M85">
        <v>2.5499999999999998</v>
      </c>
      <c r="N85">
        <v>297</v>
      </c>
      <c r="O85">
        <v>30.3</v>
      </c>
      <c r="P85">
        <v>0.83</v>
      </c>
      <c r="Q85" s="3">
        <v>7.29</v>
      </c>
      <c r="R85">
        <v>4.82</v>
      </c>
      <c r="S85">
        <v>1.8499999999999996</v>
      </c>
      <c r="T85">
        <v>4.6399999999999997</v>
      </c>
      <c r="U85">
        <v>0.08</v>
      </c>
      <c r="V85">
        <v>205.69</v>
      </c>
      <c r="W85">
        <v>23.6</v>
      </c>
      <c r="X85" s="44">
        <f t="shared" si="10"/>
        <v>3.2700000000000031</v>
      </c>
      <c r="Y85" s="44">
        <f t="shared" si="15"/>
        <v>2.41E-2</v>
      </c>
      <c r="Z85" s="44">
        <f t="shared" si="16"/>
        <v>2.3433321989401529E-2</v>
      </c>
      <c r="AA85" s="44">
        <f t="shared" si="17"/>
        <v>2.2558218678593998E-2</v>
      </c>
      <c r="AB85" s="45">
        <f t="shared" si="11"/>
        <v>1.92</v>
      </c>
      <c r="AC85">
        <v>34</v>
      </c>
      <c r="AD85">
        <v>7.2</v>
      </c>
      <c r="AE85">
        <v>50</v>
      </c>
      <c r="AF85" s="31">
        <v>2.9999999999999997E-4</v>
      </c>
      <c r="AG85" s="31">
        <f t="shared" si="18"/>
        <v>7.6306876199999985E-2</v>
      </c>
      <c r="AH85" s="31">
        <f t="shared" si="14"/>
        <v>2.1781153151999995</v>
      </c>
      <c r="AI85">
        <v>200</v>
      </c>
      <c r="AJ85" s="30">
        <v>1.7943828061342201E-2</v>
      </c>
      <c r="AK85" s="31"/>
      <c r="AL85" s="31"/>
      <c r="AM85" s="32">
        <f t="shared" si="19"/>
        <v>0</v>
      </c>
      <c r="AN85" s="32">
        <f t="shared" si="20"/>
        <v>0</v>
      </c>
      <c r="AO85" s="33">
        <f t="shared" si="21"/>
        <v>0</v>
      </c>
      <c r="AP85" s="34">
        <f t="shared" si="23"/>
        <v>0</v>
      </c>
    </row>
    <row r="86" spans="1:42" x14ac:dyDescent="0.25">
      <c r="A86" s="2" t="s">
        <v>59</v>
      </c>
      <c r="B86" t="s">
        <v>46</v>
      </c>
      <c r="C86">
        <v>15</v>
      </c>
      <c r="D86">
        <v>7.1</v>
      </c>
      <c r="E86">
        <v>32.999999999999993</v>
      </c>
      <c r="F86">
        <v>3</v>
      </c>
      <c r="G86" s="1">
        <v>45347.313194444403</v>
      </c>
      <c r="I86" s="96">
        <v>1505.08</v>
      </c>
      <c r="J86">
        <v>1171.662</v>
      </c>
      <c r="K86">
        <v>18.899999999999999</v>
      </c>
      <c r="L86">
        <v>92.12</v>
      </c>
      <c r="M86">
        <v>2.89</v>
      </c>
      <c r="N86">
        <v>305</v>
      </c>
      <c r="O86">
        <v>45.4</v>
      </c>
      <c r="P86">
        <v>0.02</v>
      </c>
      <c r="Q86" s="3">
        <v>7.3</v>
      </c>
      <c r="R86">
        <v>1.18</v>
      </c>
      <c r="S86">
        <v>4.49</v>
      </c>
      <c r="T86">
        <v>2.0099999999999998</v>
      </c>
      <c r="U86">
        <v>0.2</v>
      </c>
      <c r="V86">
        <v>195.39</v>
      </c>
      <c r="W86">
        <v>11.6</v>
      </c>
      <c r="X86" s="44">
        <f t="shared" si="10"/>
        <v>3.2699999999999996</v>
      </c>
      <c r="Y86" s="44">
        <f t="shared" si="15"/>
        <v>5.8999999999999999E-3</v>
      </c>
      <c r="Z86" s="44">
        <f t="shared" si="16"/>
        <v>6.0392036439940629E-3</v>
      </c>
      <c r="AA86" s="44">
        <f t="shared" si="17"/>
        <v>1.0287118071549209E-2</v>
      </c>
      <c r="AB86" s="45">
        <f t="shared" si="11"/>
        <v>4.8000000000000007</v>
      </c>
      <c r="AC86">
        <v>34</v>
      </c>
      <c r="AD86">
        <v>7.2</v>
      </c>
      <c r="AE86">
        <v>50</v>
      </c>
      <c r="AF86" s="31">
        <v>2.9999999999999997E-4</v>
      </c>
      <c r="AG86" s="31">
        <f t="shared" si="18"/>
        <v>6.6471677999999979E-2</v>
      </c>
      <c r="AH86" s="31">
        <f t="shared" si="14"/>
        <v>1.8578866319999996</v>
      </c>
      <c r="AI86">
        <v>200</v>
      </c>
      <c r="AJ86" s="30">
        <v>3.3031256232418198E-2</v>
      </c>
      <c r="AK86" s="31">
        <v>1.1820703445960401E-2</v>
      </c>
      <c r="AL86" s="31">
        <v>1.2999999999999999E-3</v>
      </c>
      <c r="AM86" s="32">
        <f t="shared" si="19"/>
        <v>0</v>
      </c>
      <c r="AN86" s="32">
        <f t="shared" si="20"/>
        <v>9.6235301929425102E-2</v>
      </c>
      <c r="AO86" s="33">
        <f t="shared" si="21"/>
        <v>0.25400699999999998</v>
      </c>
      <c r="AP86" s="34">
        <f t="shared" si="23"/>
        <v>9.6235301929425102E-2</v>
      </c>
    </row>
    <row r="87" spans="1:42" x14ac:dyDescent="0.25">
      <c r="A87" s="2" t="s">
        <v>60</v>
      </c>
      <c r="B87" t="s">
        <v>49</v>
      </c>
      <c r="C87">
        <v>15</v>
      </c>
      <c r="D87">
        <v>7.1</v>
      </c>
      <c r="E87">
        <v>32.999999999999993</v>
      </c>
      <c r="F87">
        <v>3</v>
      </c>
      <c r="G87" s="1">
        <v>45347.318055555603</v>
      </c>
      <c r="I87" s="96">
        <v>1505.08</v>
      </c>
      <c r="J87">
        <v>1535.1</v>
      </c>
      <c r="K87">
        <v>22.8</v>
      </c>
      <c r="L87">
        <v>96.3</v>
      </c>
      <c r="M87">
        <v>2.87</v>
      </c>
      <c r="N87">
        <v>302</v>
      </c>
      <c r="O87">
        <v>33.700000000000003</v>
      </c>
      <c r="P87">
        <v>0.38</v>
      </c>
      <c r="Q87" s="3">
        <v>7.29</v>
      </c>
      <c r="R87">
        <v>3.98</v>
      </c>
      <c r="S87">
        <v>2.6</v>
      </c>
      <c r="T87">
        <v>4.5199999999999996</v>
      </c>
      <c r="U87">
        <v>0.11</v>
      </c>
      <c r="V87">
        <v>198.48</v>
      </c>
      <c r="W87">
        <v>11.6</v>
      </c>
      <c r="X87" s="44">
        <f t="shared" si="10"/>
        <v>3.2699999999999996</v>
      </c>
      <c r="Y87" s="44">
        <f t="shared" si="15"/>
        <v>1.9900000000000001E-2</v>
      </c>
      <c r="Z87" s="44">
        <f t="shared" si="16"/>
        <v>2.0052398226521564E-2</v>
      </c>
      <c r="AA87" s="44">
        <f t="shared" si="17"/>
        <v>2.2773075372833535E-2</v>
      </c>
      <c r="AB87" s="45">
        <f t="shared" si="11"/>
        <v>2.64</v>
      </c>
      <c r="AC87">
        <v>34</v>
      </c>
      <c r="AD87">
        <v>7.2</v>
      </c>
      <c r="AE87">
        <v>50</v>
      </c>
      <c r="AF87" s="31">
        <v>2.9999999999999997E-4</v>
      </c>
      <c r="AG87" s="31">
        <f t="shared" si="18"/>
        <v>8.1456191999999983E-2</v>
      </c>
      <c r="AH87" s="31">
        <f t="shared" si="14"/>
        <v>1.6974543600000003</v>
      </c>
      <c r="AI87">
        <v>200</v>
      </c>
      <c r="AJ87" s="30">
        <v>2.1397821451783702E-2</v>
      </c>
      <c r="AK87" s="31"/>
      <c r="AL87" s="31"/>
      <c r="AM87" s="32">
        <f t="shared" si="19"/>
        <v>0.17831517876486416</v>
      </c>
      <c r="AN87" s="32">
        <f t="shared" si="20"/>
        <v>0</v>
      </c>
      <c r="AO87" s="33">
        <f t="shared" si="21"/>
        <v>0</v>
      </c>
      <c r="AP87" s="34">
        <f t="shared" si="23"/>
        <v>0.17831517876486416</v>
      </c>
    </row>
    <row r="88" spans="1:42" x14ac:dyDescent="0.25">
      <c r="A88" s="2" t="s">
        <v>61</v>
      </c>
      <c r="B88" t="s">
        <v>46</v>
      </c>
      <c r="C88">
        <v>15</v>
      </c>
      <c r="D88">
        <v>7.3</v>
      </c>
      <c r="E88">
        <v>35</v>
      </c>
      <c r="F88">
        <v>3</v>
      </c>
      <c r="G88" s="1">
        <v>45347.324305555601</v>
      </c>
      <c r="I88" s="96">
        <v>1505.08</v>
      </c>
      <c r="J88">
        <v>1182.278</v>
      </c>
      <c r="K88">
        <v>22.02</v>
      </c>
      <c r="L88">
        <v>92.95</v>
      </c>
      <c r="M88">
        <v>2.54</v>
      </c>
      <c r="N88">
        <v>295</v>
      </c>
      <c r="O88">
        <v>44.6</v>
      </c>
      <c r="P88">
        <v>0.03</v>
      </c>
      <c r="Q88" s="3">
        <v>7.28</v>
      </c>
      <c r="R88">
        <v>1.36</v>
      </c>
      <c r="S88">
        <v>4.5299999999999994</v>
      </c>
      <c r="T88">
        <v>0.93</v>
      </c>
      <c r="U88">
        <v>0.19</v>
      </c>
      <c r="V88">
        <v>194.86</v>
      </c>
      <c r="W88">
        <v>11.6</v>
      </c>
      <c r="X88" s="44">
        <f t="shared" si="10"/>
        <v>3.2699999999999996</v>
      </c>
      <c r="Y88" s="44">
        <f t="shared" si="15"/>
        <v>6.8000000000000005E-3</v>
      </c>
      <c r="Z88" s="44">
        <f t="shared" si="16"/>
        <v>6.979369803961819E-3</v>
      </c>
      <c r="AA88" s="44">
        <f t="shared" si="17"/>
        <v>4.7726572924150674E-3</v>
      </c>
      <c r="AB88" s="45">
        <f t="shared" si="11"/>
        <v>4.5600000000000005</v>
      </c>
      <c r="AC88">
        <v>34</v>
      </c>
      <c r="AD88">
        <v>7.2</v>
      </c>
      <c r="AE88">
        <v>50</v>
      </c>
      <c r="AF88" s="31">
        <v>2.9999999999999997E-4</v>
      </c>
      <c r="AG88" s="31">
        <f t="shared" si="18"/>
        <v>7.7234709599999993E-2</v>
      </c>
      <c r="AH88" s="31">
        <f t="shared" si="14"/>
        <v>1.5686668656</v>
      </c>
      <c r="AI88">
        <v>200</v>
      </c>
      <c r="AJ88" s="30">
        <v>3.8934382769874501E-2</v>
      </c>
      <c r="AK88" s="31">
        <v>1.5763027716869001E-2</v>
      </c>
      <c r="AL88" s="31">
        <v>1.2999999999999999E-3</v>
      </c>
      <c r="AM88" s="32">
        <f t="shared" si="19"/>
        <v>0</v>
      </c>
      <c r="AN88" s="32">
        <f t="shared" si="20"/>
        <v>0.12798264920454558</v>
      </c>
      <c r="AO88" s="33">
        <f t="shared" si="21"/>
        <v>0.25331799999999999</v>
      </c>
      <c r="AP88" s="34">
        <f t="shared" si="23"/>
        <v>0.12798264920454558</v>
      </c>
    </row>
    <row r="89" spans="1:42" x14ac:dyDescent="0.25">
      <c r="A89" s="2" t="s">
        <v>62</v>
      </c>
      <c r="B89" t="s">
        <v>49</v>
      </c>
      <c r="C89">
        <v>18</v>
      </c>
      <c r="D89">
        <v>7.2</v>
      </c>
      <c r="E89">
        <v>34</v>
      </c>
      <c r="F89">
        <v>3</v>
      </c>
      <c r="G89" s="1">
        <v>45347.329166666699</v>
      </c>
      <c r="I89" s="96">
        <v>1505.08</v>
      </c>
      <c r="J89">
        <v>1711.11</v>
      </c>
      <c r="K89">
        <v>25.54</v>
      </c>
      <c r="L89">
        <v>95.18</v>
      </c>
      <c r="M89">
        <v>2.66</v>
      </c>
      <c r="N89">
        <v>298</v>
      </c>
      <c r="O89">
        <v>30.1</v>
      </c>
      <c r="P89">
        <v>0.56000000000000005</v>
      </c>
      <c r="Q89" s="3">
        <v>7.29</v>
      </c>
      <c r="R89">
        <v>4.08</v>
      </c>
      <c r="S89">
        <v>2.21</v>
      </c>
      <c r="T89">
        <v>4.8499999999999996</v>
      </c>
      <c r="U89">
        <v>0.09</v>
      </c>
      <c r="V89">
        <v>198.79</v>
      </c>
      <c r="W89">
        <v>23.6</v>
      </c>
      <c r="X89" s="44">
        <f t="shared" si="10"/>
        <v>3.2700000000000031</v>
      </c>
      <c r="Y89" s="44">
        <f t="shared" si="15"/>
        <v>2.0400000000000001E-2</v>
      </c>
      <c r="Z89" s="44">
        <f t="shared" si="16"/>
        <v>2.0524171235977665E-2</v>
      </c>
      <c r="AA89" s="44">
        <f t="shared" si="17"/>
        <v>2.4397605513355802E-2</v>
      </c>
      <c r="AB89" s="45">
        <f t="shared" si="11"/>
        <v>2.16</v>
      </c>
      <c r="AC89">
        <v>34</v>
      </c>
      <c r="AD89">
        <v>7.2</v>
      </c>
      <c r="AE89">
        <v>50</v>
      </c>
      <c r="AF89" s="31">
        <v>2.9999999999999997E-4</v>
      </c>
      <c r="AG89" s="31">
        <f t="shared" si="18"/>
        <v>9.1387738799999979E-2</v>
      </c>
      <c r="AH89" s="31">
        <f t="shared" si="14"/>
        <v>1.9638169199999997</v>
      </c>
      <c r="AI89">
        <v>200</v>
      </c>
      <c r="AJ89" s="30">
        <v>1.7293048543152799E-2</v>
      </c>
      <c r="AK89" s="31"/>
      <c r="AL89" s="31"/>
      <c r="AM89" s="32">
        <f t="shared" si="19"/>
        <v>0.14410873785960665</v>
      </c>
      <c r="AN89" s="32">
        <f t="shared" si="20"/>
        <v>0</v>
      </c>
      <c r="AO89" s="33">
        <f t="shared" si="21"/>
        <v>0</v>
      </c>
      <c r="AP89" s="34">
        <f t="shared" si="23"/>
        <v>0.14410873785960665</v>
      </c>
    </row>
    <row r="90" spans="1:42" x14ac:dyDescent="0.25">
      <c r="A90" s="2" t="s">
        <v>63</v>
      </c>
      <c r="B90" t="s">
        <v>51</v>
      </c>
      <c r="C90">
        <v>12</v>
      </c>
      <c r="D90">
        <v>7.1</v>
      </c>
      <c r="E90">
        <v>32.999999999999993</v>
      </c>
      <c r="F90">
        <v>3</v>
      </c>
      <c r="G90" s="1">
        <v>45347.337500000001</v>
      </c>
      <c r="I90" s="96">
        <v>1505.08</v>
      </c>
      <c r="J90">
        <v>1184.9459999999999</v>
      </c>
      <c r="K90">
        <v>20.53</v>
      </c>
      <c r="L90">
        <v>96.44</v>
      </c>
      <c r="M90">
        <v>3.18</v>
      </c>
      <c r="N90">
        <v>305</v>
      </c>
      <c r="O90">
        <v>30.9</v>
      </c>
      <c r="P90">
        <v>0.04</v>
      </c>
      <c r="Q90" s="3">
        <v>7.33</v>
      </c>
      <c r="R90">
        <v>3.6</v>
      </c>
      <c r="S90">
        <v>1.73</v>
      </c>
      <c r="T90">
        <v>3.94</v>
      </c>
      <c r="U90">
        <v>7.0000000000000007E-2</v>
      </c>
      <c r="V90">
        <v>196.51</v>
      </c>
      <c r="W90">
        <v>12.4</v>
      </c>
      <c r="X90" s="44">
        <f t="shared" si="10"/>
        <v>3.2699999999999996</v>
      </c>
      <c r="Y90" s="44">
        <f t="shared" si="15"/>
        <v>1.8000000000000002E-2</v>
      </c>
      <c r="Z90" s="44">
        <f t="shared" si="16"/>
        <v>1.8319678387868302E-2</v>
      </c>
      <c r="AA90" s="44">
        <f t="shared" si="17"/>
        <v>2.004987023561142E-2</v>
      </c>
      <c r="AB90" s="45">
        <f t="shared" si="11"/>
        <v>1.6800000000000002</v>
      </c>
      <c r="AC90">
        <v>34</v>
      </c>
      <c r="AD90">
        <v>7.2</v>
      </c>
      <c r="AE90">
        <v>50</v>
      </c>
      <c r="AF90" s="31">
        <v>2.9999999999999997E-4</v>
      </c>
      <c r="AG90" s="31">
        <f t="shared" si="18"/>
        <v>7.2618305399999986E-2</v>
      </c>
      <c r="AH90" s="31">
        <f t="shared" si="14"/>
        <v>1.5857029152</v>
      </c>
      <c r="AI90">
        <v>200</v>
      </c>
      <c r="AJ90" s="30">
        <v>2.4395586577529701E-2</v>
      </c>
      <c r="AK90" s="31"/>
      <c r="AL90" s="31"/>
      <c r="AM90" s="32">
        <f t="shared" si="19"/>
        <v>0</v>
      </c>
      <c r="AN90" s="32">
        <f t="shared" si="20"/>
        <v>0</v>
      </c>
      <c r="AO90" s="33">
        <f t="shared" si="21"/>
        <v>0</v>
      </c>
      <c r="AP90" s="34">
        <f t="shared" si="23"/>
        <v>0</v>
      </c>
    </row>
    <row r="91" spans="1:42" x14ac:dyDescent="0.25">
      <c r="A91" s="2" t="s">
        <v>64</v>
      </c>
      <c r="B91" t="s">
        <v>46</v>
      </c>
      <c r="C91">
        <v>12</v>
      </c>
      <c r="D91">
        <v>7.1</v>
      </c>
      <c r="E91">
        <v>32.999999999999993</v>
      </c>
      <c r="F91">
        <v>3</v>
      </c>
      <c r="G91" s="1">
        <v>45347.340972222199</v>
      </c>
      <c r="I91" s="96">
        <v>1505.08</v>
      </c>
      <c r="J91">
        <v>1113.8920000000001</v>
      </c>
      <c r="K91">
        <v>18.73</v>
      </c>
      <c r="L91">
        <v>94.73</v>
      </c>
      <c r="M91">
        <v>2.7</v>
      </c>
      <c r="N91">
        <v>299</v>
      </c>
      <c r="O91">
        <v>41.1</v>
      </c>
      <c r="P91">
        <v>7.0000000000000007E-2</v>
      </c>
      <c r="Q91" s="3">
        <v>7.29</v>
      </c>
      <c r="R91">
        <v>1.29</v>
      </c>
      <c r="S91">
        <v>4.51</v>
      </c>
      <c r="T91">
        <v>1.1299999999999999</v>
      </c>
      <c r="U91">
        <v>0.19</v>
      </c>
      <c r="V91">
        <v>194.73</v>
      </c>
      <c r="W91">
        <v>11.6</v>
      </c>
      <c r="X91" s="44">
        <f t="shared" ref="X91:X154" si="24">W91-W67</f>
        <v>3.2699999999999996</v>
      </c>
      <c r="Y91" s="44">
        <f t="shared" si="15"/>
        <v>6.45E-3</v>
      </c>
      <c r="Z91" s="44">
        <f t="shared" si="16"/>
        <v>6.6245570790325068E-3</v>
      </c>
      <c r="AA91" s="44">
        <f t="shared" si="17"/>
        <v>5.8029065886098701E-3</v>
      </c>
      <c r="AB91" s="45">
        <f t="shared" ref="AB91:AB154" si="25">U91*24</f>
        <v>4.5600000000000005</v>
      </c>
      <c r="AC91">
        <v>34</v>
      </c>
      <c r="AD91">
        <v>7.2</v>
      </c>
      <c r="AE91">
        <v>50</v>
      </c>
      <c r="AF91" s="31">
        <v>2.9999999999999997E-4</v>
      </c>
      <c r="AG91" s="31">
        <f t="shared" si="18"/>
        <v>6.5651272199999985E-2</v>
      </c>
      <c r="AH91" s="31">
        <f t="shared" si="14"/>
        <v>1.5024432095999996</v>
      </c>
      <c r="AI91">
        <v>200</v>
      </c>
      <c r="AJ91" s="30">
        <v>3.7572622913954898E-2</v>
      </c>
      <c r="AK91" s="31">
        <v>1.24685020581613E-2</v>
      </c>
      <c r="AL91" s="31">
        <v>1.2999999999999999E-3</v>
      </c>
      <c r="AM91" s="32">
        <f t="shared" si="19"/>
        <v>0</v>
      </c>
      <c r="AN91" s="32">
        <f t="shared" si="20"/>
        <v>0.10116630857440624</v>
      </c>
      <c r="AO91" s="33">
        <f t="shared" si="21"/>
        <v>0.25314899999999996</v>
      </c>
      <c r="AP91" s="34">
        <f t="shared" si="23"/>
        <v>0.10116630857440624</v>
      </c>
    </row>
    <row r="92" spans="1:42" x14ac:dyDescent="0.25">
      <c r="A92" s="2" t="s">
        <v>65</v>
      </c>
      <c r="B92" t="s">
        <v>49</v>
      </c>
      <c r="C92">
        <v>15</v>
      </c>
      <c r="D92">
        <v>7.3</v>
      </c>
      <c r="E92">
        <v>35</v>
      </c>
      <c r="F92">
        <v>3</v>
      </c>
      <c r="G92" s="1">
        <v>45347.345833333296</v>
      </c>
      <c r="I92" s="96">
        <v>1505.08</v>
      </c>
      <c r="J92">
        <v>1496.0509999999999</v>
      </c>
      <c r="K92">
        <v>20.309999999999999</v>
      </c>
      <c r="L92">
        <v>95.62</v>
      </c>
      <c r="M92">
        <v>3.12</v>
      </c>
      <c r="N92">
        <v>305</v>
      </c>
      <c r="O92">
        <v>31.1</v>
      </c>
      <c r="P92">
        <v>0.12</v>
      </c>
      <c r="Q92" s="3">
        <v>7.3</v>
      </c>
      <c r="R92">
        <v>4.0999999999999996</v>
      </c>
      <c r="S92">
        <v>2.4000000000000004</v>
      </c>
      <c r="T92">
        <v>4.76</v>
      </c>
      <c r="U92">
        <v>0.1</v>
      </c>
      <c r="V92">
        <v>197.57</v>
      </c>
      <c r="W92">
        <v>12.4</v>
      </c>
      <c r="X92" s="44">
        <f t="shared" si="24"/>
        <v>4.07</v>
      </c>
      <c r="Y92" s="44">
        <f t="shared" si="15"/>
        <v>2.0499999999999997E-2</v>
      </c>
      <c r="Z92" s="44">
        <f t="shared" si="16"/>
        <v>2.0752138482563142E-2</v>
      </c>
      <c r="AA92" s="44">
        <f t="shared" si="17"/>
        <v>2.4092726628536721E-2</v>
      </c>
      <c r="AB92" s="45">
        <f t="shared" si="25"/>
        <v>2.4000000000000004</v>
      </c>
      <c r="AC92">
        <v>34</v>
      </c>
      <c r="AD92">
        <v>7.2</v>
      </c>
      <c r="AE92">
        <v>50</v>
      </c>
      <c r="AF92" s="31">
        <v>2.9999999999999997E-4</v>
      </c>
      <c r="AG92" s="31">
        <f t="shared" si="18"/>
        <v>7.2227640599999976E-2</v>
      </c>
      <c r="AH92" s="31">
        <f t="shared" si="14"/>
        <v>1.7061961391999996</v>
      </c>
      <c r="AI92">
        <v>200</v>
      </c>
      <c r="AJ92" s="30">
        <v>1.9029253258577201E-2</v>
      </c>
      <c r="AK92" s="31"/>
      <c r="AL92" s="31"/>
      <c r="AM92" s="32">
        <f t="shared" si="19"/>
        <v>0.15857711048814335</v>
      </c>
      <c r="AN92" s="32">
        <f t="shared" si="20"/>
        <v>0</v>
      </c>
      <c r="AO92" s="33">
        <f t="shared" si="21"/>
        <v>0</v>
      </c>
      <c r="AP92" s="34">
        <f t="shared" si="23"/>
        <v>0.15857711048814335</v>
      </c>
    </row>
    <row r="93" spans="1:42" x14ac:dyDescent="0.25">
      <c r="A93" s="2" t="s">
        <v>66</v>
      </c>
      <c r="B93" t="s">
        <v>46</v>
      </c>
      <c r="C93">
        <v>12</v>
      </c>
      <c r="D93">
        <v>7.2</v>
      </c>
      <c r="E93">
        <v>34</v>
      </c>
      <c r="F93">
        <v>3</v>
      </c>
      <c r="G93" s="1">
        <v>45347.350694444402</v>
      </c>
      <c r="I93" s="96">
        <v>1505.08</v>
      </c>
      <c r="J93">
        <v>1127.2059999999999</v>
      </c>
      <c r="K93">
        <v>16.45</v>
      </c>
      <c r="L93">
        <v>93.96</v>
      </c>
      <c r="M93">
        <v>2.57</v>
      </c>
      <c r="N93">
        <v>291</v>
      </c>
      <c r="O93">
        <v>40.1</v>
      </c>
      <c r="P93">
        <v>0.03</v>
      </c>
      <c r="Q93" s="3">
        <v>7.28</v>
      </c>
      <c r="R93">
        <v>1.79</v>
      </c>
      <c r="S93">
        <v>4.51</v>
      </c>
      <c r="T93">
        <v>0.85</v>
      </c>
      <c r="U93">
        <v>0.19</v>
      </c>
      <c r="V93">
        <v>193.07</v>
      </c>
      <c r="W93">
        <v>13.2</v>
      </c>
      <c r="X93" s="44">
        <f t="shared" si="24"/>
        <v>4.0699999999999985</v>
      </c>
      <c r="Y93" s="44">
        <f t="shared" si="15"/>
        <v>8.9499999999999996E-3</v>
      </c>
      <c r="Z93" s="44">
        <f t="shared" si="16"/>
        <v>9.2712487698762107E-3</v>
      </c>
      <c r="AA93" s="44">
        <f t="shared" si="17"/>
        <v>4.4025482985445693E-3</v>
      </c>
      <c r="AB93" s="45">
        <f t="shared" si="25"/>
        <v>4.5600000000000005</v>
      </c>
      <c r="AC93">
        <v>34</v>
      </c>
      <c r="AD93">
        <v>7.2</v>
      </c>
      <c r="AE93">
        <v>50</v>
      </c>
      <c r="AF93" s="31">
        <v>2.9999999999999997E-4</v>
      </c>
      <c r="AG93" s="31">
        <f t="shared" si="18"/>
        <v>5.7168026999999982E-2</v>
      </c>
      <c r="AH93" s="31">
        <f t="shared" si="14"/>
        <v>1.3682831039999999</v>
      </c>
      <c r="AI93">
        <v>200</v>
      </c>
      <c r="AJ93" s="30">
        <v>3.6787348990887397E-2</v>
      </c>
      <c r="AK93" s="31">
        <v>1.1567987249153399E-2</v>
      </c>
      <c r="AL93" s="31">
        <v>1.2999999999999999E-3</v>
      </c>
      <c r="AM93" s="32">
        <f t="shared" si="19"/>
        <v>0</v>
      </c>
      <c r="AN93" s="32">
        <f t="shared" si="20"/>
        <v>9.3059637424751943E-2</v>
      </c>
      <c r="AO93" s="33">
        <f t="shared" si="21"/>
        <v>0.25099099999999996</v>
      </c>
      <c r="AP93" s="34">
        <f t="shared" si="23"/>
        <v>9.3059637424751943E-2</v>
      </c>
    </row>
    <row r="94" spans="1:42" x14ac:dyDescent="0.25">
      <c r="A94" s="2" t="s">
        <v>67</v>
      </c>
      <c r="B94" t="s">
        <v>49</v>
      </c>
      <c r="C94">
        <v>12</v>
      </c>
      <c r="D94">
        <v>7.1</v>
      </c>
      <c r="E94">
        <v>32.999999999999993</v>
      </c>
      <c r="F94">
        <v>3</v>
      </c>
      <c r="G94" s="1">
        <v>45347.356249999997</v>
      </c>
      <c r="I94" s="96">
        <v>1505.08</v>
      </c>
      <c r="J94">
        <v>1274.4849999999999</v>
      </c>
      <c r="K94">
        <v>20.239999999999998</v>
      </c>
      <c r="L94">
        <v>97.07</v>
      </c>
      <c r="M94">
        <v>3.31</v>
      </c>
      <c r="N94">
        <v>306</v>
      </c>
      <c r="O94">
        <v>29.5</v>
      </c>
      <c r="P94">
        <v>0.16</v>
      </c>
      <c r="Q94" s="3">
        <v>7.28</v>
      </c>
      <c r="R94">
        <v>3.96</v>
      </c>
      <c r="S94">
        <v>2.6900000000000004</v>
      </c>
      <c r="T94">
        <v>4.0199999999999996</v>
      </c>
      <c r="U94">
        <v>0.11</v>
      </c>
      <c r="V94">
        <v>196.96</v>
      </c>
      <c r="W94">
        <v>12.4</v>
      </c>
      <c r="X94" s="44">
        <f t="shared" si="24"/>
        <v>3.2699999999999996</v>
      </c>
      <c r="Y94" s="44">
        <f t="shared" si="15"/>
        <v>1.9799999999999998E-2</v>
      </c>
      <c r="Z94" s="44">
        <f t="shared" si="16"/>
        <v>2.010560519902518E-2</v>
      </c>
      <c r="AA94" s="44">
        <f t="shared" si="17"/>
        <v>2.0410235580828592E-2</v>
      </c>
      <c r="AB94" s="45">
        <f t="shared" si="25"/>
        <v>2.64</v>
      </c>
      <c r="AC94">
        <v>34</v>
      </c>
      <c r="AD94">
        <v>7.2</v>
      </c>
      <c r="AE94">
        <v>50</v>
      </c>
      <c r="AF94" s="31">
        <v>2.9999999999999997E-4</v>
      </c>
      <c r="AG94" s="31">
        <f t="shared" si="18"/>
        <v>7.1756467199999993E-2</v>
      </c>
      <c r="AH94" s="31">
        <f t="shared" si="14"/>
        <v>1.4982625728000001</v>
      </c>
      <c r="AI94">
        <v>200</v>
      </c>
      <c r="AJ94" s="30">
        <v>2.19681622578447E-2</v>
      </c>
      <c r="AK94" s="31"/>
      <c r="AL94" s="31"/>
      <c r="AM94" s="32">
        <f t="shared" si="19"/>
        <v>0.18306801881537249</v>
      </c>
      <c r="AN94" s="32">
        <f t="shared" si="20"/>
        <v>0</v>
      </c>
      <c r="AO94" s="33">
        <f t="shared" si="21"/>
        <v>0</v>
      </c>
      <c r="AP94" s="34">
        <f t="shared" si="23"/>
        <v>0.18306801881537249</v>
      </c>
    </row>
    <row r="95" spans="1:42" x14ac:dyDescent="0.25">
      <c r="A95" s="2" t="s">
        <v>68</v>
      </c>
      <c r="B95" s="96" t="s">
        <v>51</v>
      </c>
      <c r="C95" s="96">
        <v>12</v>
      </c>
      <c r="D95" s="96">
        <v>7.3</v>
      </c>
      <c r="E95" s="96">
        <v>35</v>
      </c>
      <c r="F95" s="96">
        <v>3</v>
      </c>
      <c r="G95" s="97">
        <v>45347.361111111102</v>
      </c>
      <c r="I95" s="96">
        <v>1505.08</v>
      </c>
      <c r="J95" s="96">
        <v>1388.5509999999999</v>
      </c>
      <c r="K95" s="96">
        <v>18.75</v>
      </c>
      <c r="L95" s="96">
        <v>96.27</v>
      </c>
      <c r="M95" s="96">
        <v>3.49</v>
      </c>
      <c r="N95" s="96">
        <v>306</v>
      </c>
      <c r="O95" s="96">
        <v>30.2</v>
      </c>
      <c r="P95" s="96">
        <v>0.05</v>
      </c>
      <c r="Q95" s="3">
        <v>7.31</v>
      </c>
      <c r="R95" s="96">
        <v>3.17</v>
      </c>
      <c r="S95" s="96">
        <v>1.5700000000000003</v>
      </c>
      <c r="T95" s="96">
        <v>4.26</v>
      </c>
      <c r="U95" s="96">
        <v>7.0000000000000007E-2</v>
      </c>
      <c r="V95" s="96">
        <v>196.33</v>
      </c>
      <c r="W95" s="96">
        <v>12.4</v>
      </c>
      <c r="X95" s="102">
        <f t="shared" si="24"/>
        <v>3.2699999999999996</v>
      </c>
      <c r="Y95" s="102">
        <f t="shared" si="15"/>
        <v>1.585E-2</v>
      </c>
      <c r="Z95" s="102">
        <f t="shared" si="16"/>
        <v>1.6146284317221003E-2</v>
      </c>
      <c r="AA95" s="102">
        <f t="shared" si="17"/>
        <v>2.1698161259104565E-2</v>
      </c>
      <c r="AB95" s="45">
        <f t="shared" si="25"/>
        <v>1.6800000000000002</v>
      </c>
      <c r="AC95" s="96">
        <v>34</v>
      </c>
      <c r="AD95" s="96">
        <v>7.2</v>
      </c>
      <c r="AE95" s="96">
        <v>50</v>
      </c>
      <c r="AF95" s="100">
        <v>2.9999999999999997E-4</v>
      </c>
      <c r="AG95" s="100">
        <f t="shared" si="18"/>
        <v>6.6261374999999997E-2</v>
      </c>
      <c r="AH95" s="100">
        <f t="shared" si="14"/>
        <v>1.4450788800000001</v>
      </c>
      <c r="AI95" s="96">
        <v>200</v>
      </c>
      <c r="AJ95" s="30">
        <v>2.21144562171646E-2</v>
      </c>
      <c r="AK95" s="100"/>
      <c r="AL95" s="100"/>
      <c r="AM95" s="101">
        <f t="shared" si="19"/>
        <v>0</v>
      </c>
      <c r="AN95" s="101">
        <f t="shared" si="20"/>
        <v>0</v>
      </c>
      <c r="AO95" s="33">
        <f t="shared" si="21"/>
        <v>0</v>
      </c>
      <c r="AP95" s="34">
        <f t="shared" si="23"/>
        <v>0</v>
      </c>
    </row>
    <row r="96" spans="1:42" x14ac:dyDescent="0.25">
      <c r="A96" s="2" t="s">
        <v>69</v>
      </c>
      <c r="B96" t="s">
        <v>51</v>
      </c>
      <c r="C96">
        <v>15</v>
      </c>
      <c r="D96">
        <v>7.2</v>
      </c>
      <c r="E96">
        <v>34</v>
      </c>
      <c r="F96">
        <v>3</v>
      </c>
      <c r="G96" s="1">
        <v>45347.366666666698</v>
      </c>
      <c r="I96" s="96">
        <v>1505.08</v>
      </c>
      <c r="J96">
        <v>1485.4960000000001</v>
      </c>
      <c r="K96">
        <v>22.76</v>
      </c>
      <c r="L96">
        <v>94.96</v>
      </c>
      <c r="M96">
        <v>3.48</v>
      </c>
      <c r="N96">
        <v>312</v>
      </c>
      <c r="O96">
        <v>30.4</v>
      </c>
      <c r="P96">
        <v>7.0000000000000007E-2</v>
      </c>
      <c r="Q96" s="3">
        <v>7.31</v>
      </c>
      <c r="R96">
        <v>4</v>
      </c>
      <c r="S96">
        <v>1.9299999999999997</v>
      </c>
      <c r="T96">
        <v>4.7699999999999996</v>
      </c>
      <c r="U96">
        <v>0.08</v>
      </c>
      <c r="V96">
        <v>198.57</v>
      </c>
      <c r="W96">
        <v>11.6</v>
      </c>
      <c r="X96" s="44">
        <f t="shared" si="24"/>
        <v>3.2699999999999996</v>
      </c>
      <c r="Y96" s="44">
        <f t="shared" si="15"/>
        <v>0.02</v>
      </c>
      <c r="Z96" s="44">
        <f t="shared" si="16"/>
        <v>2.0144029813164124E-2</v>
      </c>
      <c r="AA96" s="44">
        <f t="shared" si="17"/>
        <v>2.4021755552198217E-2</v>
      </c>
      <c r="AB96" s="45">
        <f t="shared" si="25"/>
        <v>1.92</v>
      </c>
      <c r="AC96">
        <v>34</v>
      </c>
      <c r="AD96">
        <v>7.2</v>
      </c>
      <c r="AE96">
        <v>50</v>
      </c>
      <c r="AF96" s="31">
        <v>2.9999999999999997E-4</v>
      </c>
      <c r="AG96" s="31">
        <f t="shared" si="18"/>
        <v>8.1350157599999987E-2</v>
      </c>
      <c r="AH96" s="31">
        <f t="shared" si="14"/>
        <v>1.6235268479999996</v>
      </c>
      <c r="AI96">
        <v>200</v>
      </c>
      <c r="AJ96" s="30">
        <v>1.8414759162862001E-2</v>
      </c>
      <c r="AK96" s="31"/>
      <c r="AL96" s="31"/>
      <c r="AM96" s="32">
        <f t="shared" si="19"/>
        <v>0</v>
      </c>
      <c r="AN96" s="32">
        <f t="shared" si="20"/>
        <v>0</v>
      </c>
      <c r="AO96" s="33">
        <f t="shared" si="21"/>
        <v>0</v>
      </c>
      <c r="AP96" s="34">
        <f t="shared" si="23"/>
        <v>0</v>
      </c>
    </row>
    <row r="97" spans="1:42" x14ac:dyDescent="0.25">
      <c r="A97" s="2" t="s">
        <v>70</v>
      </c>
      <c r="B97" t="s">
        <v>51</v>
      </c>
      <c r="C97">
        <v>15</v>
      </c>
      <c r="D97">
        <v>7.2</v>
      </c>
      <c r="E97">
        <v>34</v>
      </c>
      <c r="F97">
        <v>3</v>
      </c>
      <c r="G97" s="1">
        <v>45347.371527777803</v>
      </c>
      <c r="I97" s="96">
        <v>1505.08</v>
      </c>
      <c r="J97">
        <v>1513.11</v>
      </c>
      <c r="K97">
        <v>19.78</v>
      </c>
      <c r="L97">
        <v>95.78</v>
      </c>
      <c r="M97">
        <v>3.03</v>
      </c>
      <c r="N97">
        <v>300</v>
      </c>
      <c r="O97">
        <v>27.3</v>
      </c>
      <c r="P97">
        <v>0.2</v>
      </c>
      <c r="Q97" s="3">
        <v>7.29</v>
      </c>
      <c r="R97">
        <v>4.13</v>
      </c>
      <c r="S97">
        <v>1.6799999999999997</v>
      </c>
      <c r="T97">
        <v>4.4000000000000004</v>
      </c>
      <c r="U97">
        <v>7.0000000000000007E-2</v>
      </c>
      <c r="V97">
        <v>197.71</v>
      </c>
      <c r="W97">
        <v>11.6</v>
      </c>
      <c r="X97" s="44">
        <f t="shared" si="24"/>
        <v>3.2699999999999996</v>
      </c>
      <c r="Y97" s="44">
        <f t="shared" si="15"/>
        <v>2.0649999999999998E-2</v>
      </c>
      <c r="Z97" s="44">
        <f t="shared" si="16"/>
        <v>2.088918112386829E-2</v>
      </c>
      <c r="AA97" s="44">
        <f t="shared" si="17"/>
        <v>2.2254817662232564E-2</v>
      </c>
      <c r="AB97" s="45">
        <f t="shared" si="25"/>
        <v>1.6800000000000002</v>
      </c>
      <c r="AC97">
        <v>34</v>
      </c>
      <c r="AD97">
        <v>7.2</v>
      </c>
      <c r="AE97">
        <v>50</v>
      </c>
      <c r="AF97" s="31">
        <v>2.9999999999999997E-4</v>
      </c>
      <c r="AG97" s="31">
        <f t="shared" si="18"/>
        <v>7.0392668399999997E-2</v>
      </c>
      <c r="AH97" s="31">
        <f t="shared" si="14"/>
        <v>1.7836036272000002</v>
      </c>
      <c r="AI97">
        <v>200</v>
      </c>
      <c r="AJ97" s="30">
        <v>1.9381105891888899E-2</v>
      </c>
      <c r="AK97" s="31"/>
      <c r="AL97" s="31"/>
      <c r="AM97" s="32">
        <f t="shared" si="19"/>
        <v>0</v>
      </c>
      <c r="AN97" s="32">
        <f t="shared" si="20"/>
        <v>0</v>
      </c>
      <c r="AO97" s="33">
        <f t="shared" si="21"/>
        <v>0</v>
      </c>
      <c r="AP97" s="34">
        <f t="shared" si="23"/>
        <v>0</v>
      </c>
    </row>
    <row r="98" spans="1:42" ht="15.75" thickBot="1" x14ac:dyDescent="0.3">
      <c r="A98" s="12" t="s">
        <v>71</v>
      </c>
      <c r="B98" s="13" t="s">
        <v>51</v>
      </c>
      <c r="C98" s="13">
        <v>15</v>
      </c>
      <c r="D98" s="13">
        <v>7.2</v>
      </c>
      <c r="E98" s="13">
        <v>34</v>
      </c>
      <c r="F98" s="13">
        <v>3</v>
      </c>
      <c r="G98" s="14">
        <v>45347.375694444403</v>
      </c>
      <c r="H98" s="95"/>
      <c r="I98" s="13">
        <v>1505.08</v>
      </c>
      <c r="J98" s="13">
        <v>1478.4749999999999</v>
      </c>
      <c r="K98" s="13">
        <v>18.350000000000001</v>
      </c>
      <c r="L98" s="13">
        <v>95.27</v>
      </c>
      <c r="M98" s="13">
        <v>3.31</v>
      </c>
      <c r="N98" s="13">
        <v>304</v>
      </c>
      <c r="O98" s="13">
        <v>30.5</v>
      </c>
      <c r="P98" s="13">
        <v>0.05</v>
      </c>
      <c r="Q98" s="77">
        <v>7.32</v>
      </c>
      <c r="R98" s="13">
        <v>3.81</v>
      </c>
      <c r="S98" s="13">
        <v>1.56</v>
      </c>
      <c r="T98" s="13">
        <v>4.7</v>
      </c>
      <c r="U98" s="13">
        <v>7.0000000000000007E-2</v>
      </c>
      <c r="V98" s="13">
        <v>198.07</v>
      </c>
      <c r="W98" s="13">
        <v>11.6</v>
      </c>
      <c r="X98" s="46">
        <f t="shared" si="24"/>
        <v>3.2699999999999996</v>
      </c>
      <c r="Y98" s="46">
        <f t="shared" si="15"/>
        <v>1.9050000000000001E-2</v>
      </c>
      <c r="Z98" s="46">
        <f t="shared" si="16"/>
        <v>1.9235623769374464E-2</v>
      </c>
      <c r="AA98" s="46">
        <f t="shared" si="17"/>
        <v>2.3728984702377949E-2</v>
      </c>
      <c r="AB98" s="47">
        <f t="shared" si="25"/>
        <v>1.6800000000000002</v>
      </c>
      <c r="AC98" s="13">
        <v>34</v>
      </c>
      <c r="AD98" s="13">
        <v>7.2</v>
      </c>
      <c r="AE98" s="13">
        <v>50</v>
      </c>
      <c r="AF98" s="36">
        <v>2.9999999999999997E-4</v>
      </c>
      <c r="AG98" s="36">
        <f t="shared" si="18"/>
        <v>6.5422520999999997E-2</v>
      </c>
      <c r="AH98" s="36">
        <f t="shared" si="14"/>
        <v>1.5693640703999998</v>
      </c>
      <c r="AI98" s="13">
        <v>200</v>
      </c>
      <c r="AJ98" s="35">
        <v>1.9443067374959499E-2</v>
      </c>
      <c r="AK98" s="36"/>
      <c r="AL98" s="36"/>
      <c r="AM98" s="37">
        <f t="shared" si="19"/>
        <v>0</v>
      </c>
      <c r="AN98" s="37">
        <f t="shared" si="20"/>
        <v>0</v>
      </c>
      <c r="AO98" s="38">
        <f t="shared" si="21"/>
        <v>0</v>
      </c>
      <c r="AP98" s="39">
        <f t="shared" si="23"/>
        <v>0</v>
      </c>
    </row>
    <row r="99" spans="1:42" x14ac:dyDescent="0.25">
      <c r="A99" s="7" t="s">
        <v>45</v>
      </c>
      <c r="B99" s="8" t="s">
        <v>46</v>
      </c>
      <c r="C99" s="8">
        <v>18</v>
      </c>
      <c r="D99" s="8">
        <v>7.1</v>
      </c>
      <c r="E99" s="8">
        <v>32.999999999999993</v>
      </c>
      <c r="F99" s="8">
        <v>4</v>
      </c>
      <c r="G99" s="9">
        <v>45348.256944444402</v>
      </c>
      <c r="H99" s="93"/>
      <c r="I99" s="8">
        <v>2119.61</v>
      </c>
      <c r="J99" s="8">
        <v>1903.9349999999999</v>
      </c>
      <c r="K99" s="8">
        <v>22.3</v>
      </c>
      <c r="L99" s="8">
        <v>89.27</v>
      </c>
      <c r="M99" s="8">
        <v>2.85</v>
      </c>
      <c r="N99" s="8">
        <v>316</v>
      </c>
      <c r="O99" s="8">
        <v>29.4</v>
      </c>
      <c r="P99" s="8">
        <v>2.66</v>
      </c>
      <c r="Q99" s="75">
        <v>7.12</v>
      </c>
      <c r="R99" s="8">
        <v>5.91</v>
      </c>
      <c r="S99" s="8">
        <v>2.0700000000000003</v>
      </c>
      <c r="T99" s="8">
        <v>3.23</v>
      </c>
      <c r="U99" s="8">
        <v>7.0000000000000007E-2</v>
      </c>
      <c r="V99" s="8">
        <v>198.38</v>
      </c>
      <c r="W99" s="8">
        <v>26.18</v>
      </c>
      <c r="X99" s="42">
        <f t="shared" si="24"/>
        <v>1.7800000000000011</v>
      </c>
      <c r="Y99" s="42">
        <f t="shared" si="15"/>
        <v>2.955E-2</v>
      </c>
      <c r="Z99" s="42">
        <f t="shared" si="16"/>
        <v>2.979130960782337E-2</v>
      </c>
      <c r="AA99" s="42">
        <f t="shared" si="17"/>
        <v>1.6281883254360318E-2</v>
      </c>
      <c r="AB99" s="43">
        <f t="shared" si="25"/>
        <v>1.6800000000000002</v>
      </c>
      <c r="AC99" s="8">
        <v>33</v>
      </c>
      <c r="AD99" s="8">
        <v>7.1</v>
      </c>
      <c r="AE99" s="8">
        <v>50</v>
      </c>
      <c r="AF99" s="26">
        <v>2.9999999999999997E-4</v>
      </c>
      <c r="AG99" s="26">
        <f t="shared" si="18"/>
        <v>7.9629731999999995E-2</v>
      </c>
      <c r="AH99" s="26">
        <f t="shared" si="14"/>
        <v>1.7031887711999998</v>
      </c>
      <c r="AI99" s="8">
        <v>200</v>
      </c>
      <c r="AJ99" s="7">
        <v>2.00581709237748E-2</v>
      </c>
      <c r="AK99" s="26">
        <v>2.4E-2</v>
      </c>
      <c r="AL99" s="26">
        <v>1.2999999999999999E-3</v>
      </c>
      <c r="AM99" s="42">
        <f t="shared" si="19"/>
        <v>0</v>
      </c>
      <c r="AN99" s="42">
        <f t="shared" si="20"/>
        <v>0.19838</v>
      </c>
      <c r="AO99" s="43">
        <f t="shared" si="21"/>
        <v>0.25789399999999996</v>
      </c>
      <c r="AP99" s="55">
        <f t="shared" ref="AP99:AP122" si="26">IF(IF(AND(AN99=0, AM99=0),0, IF(AN99&gt;0,AN99,AM99))=0,0,IF(AND(AN99=0, AM99=0),0, IF(AN99&gt;0,AN99,AM99)))</f>
        <v>0.19838</v>
      </c>
    </row>
    <row r="100" spans="1:42" x14ac:dyDescent="0.25">
      <c r="A100" s="2" t="s">
        <v>47</v>
      </c>
      <c r="B100" t="s">
        <v>46</v>
      </c>
      <c r="C100">
        <v>12</v>
      </c>
      <c r="D100">
        <v>7.3</v>
      </c>
      <c r="E100">
        <v>35</v>
      </c>
      <c r="F100">
        <v>4</v>
      </c>
      <c r="G100" s="1">
        <v>45348.261805555601</v>
      </c>
      <c r="I100" s="96">
        <v>2119.61</v>
      </c>
      <c r="J100">
        <v>1766.7449999999999</v>
      </c>
      <c r="K100">
        <v>17.07</v>
      </c>
      <c r="L100">
        <v>91.21</v>
      </c>
      <c r="M100">
        <v>2.71</v>
      </c>
      <c r="N100">
        <v>317</v>
      </c>
      <c r="O100">
        <v>30</v>
      </c>
      <c r="P100">
        <v>0.11</v>
      </c>
      <c r="Q100" s="3">
        <v>7.32</v>
      </c>
      <c r="R100">
        <v>9.65</v>
      </c>
      <c r="S100">
        <v>1.0399999999999991</v>
      </c>
      <c r="T100">
        <v>0.79</v>
      </c>
      <c r="U100">
        <v>0.03</v>
      </c>
      <c r="V100">
        <v>196.5</v>
      </c>
      <c r="W100">
        <v>15.78</v>
      </c>
      <c r="X100" s="44">
        <f t="shared" si="24"/>
        <v>1.7799999999999994</v>
      </c>
      <c r="Y100" s="44">
        <f t="shared" si="15"/>
        <v>4.8250000000000001E-2</v>
      </c>
      <c r="Z100" s="44">
        <f t="shared" si="16"/>
        <v>4.9109414758269722E-2</v>
      </c>
      <c r="AA100" s="44">
        <f t="shared" si="17"/>
        <v>4.0203562340966927E-3</v>
      </c>
      <c r="AB100" s="45">
        <f t="shared" si="25"/>
        <v>0.72</v>
      </c>
      <c r="AC100">
        <v>35</v>
      </c>
      <c r="AD100">
        <v>7.3000000000000007</v>
      </c>
      <c r="AE100">
        <v>50</v>
      </c>
      <c r="AF100" s="31">
        <v>2.9999999999999997E-4</v>
      </c>
      <c r="AG100" s="31">
        <f t="shared" si="18"/>
        <v>6.0376590000000001E-2</v>
      </c>
      <c r="AH100" s="31">
        <f t="shared" si="14"/>
        <v>1.4167506959999998</v>
      </c>
      <c r="AI100">
        <v>200</v>
      </c>
      <c r="AJ100" s="2">
        <v>4.02300584636551E-2</v>
      </c>
      <c r="AK100" s="31">
        <v>2.4E-2</v>
      </c>
      <c r="AL100" s="31">
        <v>1.2999999999999999E-3</v>
      </c>
      <c r="AM100" s="44">
        <f t="shared" si="19"/>
        <v>0</v>
      </c>
      <c r="AN100" s="44">
        <f t="shared" si="20"/>
        <v>0.19650000000000001</v>
      </c>
      <c r="AO100" s="45">
        <f t="shared" si="21"/>
        <v>0.25545000000000001</v>
      </c>
      <c r="AP100" s="56">
        <f t="shared" si="26"/>
        <v>0.19650000000000001</v>
      </c>
    </row>
    <row r="101" spans="1:42" x14ac:dyDescent="0.25">
      <c r="A101" s="2" t="s">
        <v>48</v>
      </c>
      <c r="B101" t="s">
        <v>49</v>
      </c>
      <c r="C101">
        <v>12</v>
      </c>
      <c r="D101">
        <v>7.2</v>
      </c>
      <c r="E101">
        <v>34</v>
      </c>
      <c r="F101">
        <v>4</v>
      </c>
      <c r="G101" s="1">
        <v>45348.266666666699</v>
      </c>
      <c r="I101" s="96">
        <v>2119.61</v>
      </c>
      <c r="J101">
        <v>1858.6949999999999</v>
      </c>
      <c r="K101">
        <v>19.690000000000001</v>
      </c>
      <c r="L101">
        <v>94.94</v>
      </c>
      <c r="M101">
        <v>2.77</v>
      </c>
      <c r="N101">
        <v>316</v>
      </c>
      <c r="O101">
        <v>34.5</v>
      </c>
      <c r="P101">
        <v>2.27</v>
      </c>
      <c r="Q101" s="3">
        <v>7.26</v>
      </c>
      <c r="R101">
        <v>6.81</v>
      </c>
      <c r="S101">
        <v>5.19</v>
      </c>
      <c r="T101">
        <v>3.95</v>
      </c>
      <c r="U101">
        <v>0.2</v>
      </c>
      <c r="V101">
        <v>196.18</v>
      </c>
      <c r="W101">
        <v>15.78</v>
      </c>
      <c r="X101" s="44">
        <f t="shared" si="24"/>
        <v>1.7799999999999994</v>
      </c>
      <c r="Y101" s="44">
        <f t="shared" si="15"/>
        <v>3.4049999999999997E-2</v>
      </c>
      <c r="Z101" s="44">
        <f t="shared" si="16"/>
        <v>3.4713018656336012E-2</v>
      </c>
      <c r="AA101" s="44">
        <f t="shared" si="17"/>
        <v>2.0134570292588441E-2</v>
      </c>
      <c r="AB101" s="45">
        <f t="shared" si="25"/>
        <v>4.8000000000000007</v>
      </c>
      <c r="AC101">
        <v>34</v>
      </c>
      <c r="AD101">
        <v>7.1999999999999993</v>
      </c>
      <c r="AE101">
        <v>50</v>
      </c>
      <c r="AF101" s="31">
        <v>2.9999999999999997E-4</v>
      </c>
      <c r="AG101" s="31">
        <f t="shared" si="18"/>
        <v>6.9530115599999998E-2</v>
      </c>
      <c r="AH101" s="31">
        <f t="shared" si="14"/>
        <v>1.5400899359999998</v>
      </c>
      <c r="AI101">
        <v>200</v>
      </c>
      <c r="AJ101" s="2">
        <v>2.4470856630597001E-2</v>
      </c>
      <c r="AK101" s="31"/>
      <c r="AL101" s="31"/>
      <c r="AM101" s="44">
        <f t="shared" si="19"/>
        <v>0.203923805254975</v>
      </c>
      <c r="AN101" s="44">
        <f t="shared" si="20"/>
        <v>0</v>
      </c>
      <c r="AO101" s="45">
        <f t="shared" si="21"/>
        <v>0</v>
      </c>
      <c r="AP101" s="56">
        <f t="shared" si="26"/>
        <v>0.203923805254975</v>
      </c>
    </row>
    <row r="102" spans="1:42" x14ac:dyDescent="0.25">
      <c r="A102" s="2" t="s">
        <v>50</v>
      </c>
      <c r="B102" t="s">
        <v>51</v>
      </c>
      <c r="C102">
        <v>18</v>
      </c>
      <c r="D102">
        <v>7.3</v>
      </c>
      <c r="E102">
        <v>35</v>
      </c>
      <c r="F102">
        <v>4</v>
      </c>
      <c r="G102" s="1">
        <v>45348.2722222222</v>
      </c>
      <c r="I102" s="96">
        <v>2119.61</v>
      </c>
      <c r="J102">
        <v>2381.2950000000001</v>
      </c>
      <c r="K102">
        <v>24.81</v>
      </c>
      <c r="L102">
        <v>92.9</v>
      </c>
      <c r="M102">
        <v>2.41</v>
      </c>
      <c r="N102">
        <v>308</v>
      </c>
      <c r="O102">
        <v>27.4</v>
      </c>
      <c r="P102">
        <v>1.48</v>
      </c>
      <c r="Q102" s="3">
        <v>7.35</v>
      </c>
      <c r="R102">
        <v>6.66</v>
      </c>
      <c r="S102">
        <v>2.3599999999999994</v>
      </c>
      <c r="T102">
        <v>5.57</v>
      </c>
      <c r="U102">
        <v>0.09</v>
      </c>
      <c r="V102">
        <v>197.15</v>
      </c>
      <c r="W102">
        <v>26.98</v>
      </c>
      <c r="X102" s="44">
        <f t="shared" si="24"/>
        <v>1.7800000000000011</v>
      </c>
      <c r="Y102" s="44">
        <f t="shared" si="15"/>
        <v>3.3300000000000003E-2</v>
      </c>
      <c r="Z102" s="44">
        <f t="shared" si="16"/>
        <v>3.3781384732437233E-2</v>
      </c>
      <c r="AA102" s="44">
        <f t="shared" si="17"/>
        <v>2.8252599543494801E-2</v>
      </c>
      <c r="AB102" s="45">
        <f t="shared" si="25"/>
        <v>2.16</v>
      </c>
      <c r="AC102">
        <v>35</v>
      </c>
      <c r="AD102">
        <v>7.3000000000000007</v>
      </c>
      <c r="AE102">
        <v>50</v>
      </c>
      <c r="AF102" s="31">
        <v>2.9999999999999997E-4</v>
      </c>
      <c r="AG102" s="31">
        <f t="shared" si="18"/>
        <v>8.8043246999999991E-2</v>
      </c>
      <c r="AH102" s="31">
        <f t="shared" si="14"/>
        <v>2.1367352447999997</v>
      </c>
      <c r="AI102">
        <v>200</v>
      </c>
      <c r="AJ102" s="2">
        <v>1.0254543023204899E-2</v>
      </c>
      <c r="AK102" s="31"/>
      <c r="AL102" s="31"/>
      <c r="AM102" s="44">
        <f t="shared" si="19"/>
        <v>0</v>
      </c>
      <c r="AN102" s="44">
        <f t="shared" si="20"/>
        <v>0</v>
      </c>
      <c r="AO102" s="45">
        <f t="shared" si="21"/>
        <v>0</v>
      </c>
      <c r="AP102" s="56">
        <f t="shared" si="26"/>
        <v>0</v>
      </c>
    </row>
    <row r="103" spans="1:42" x14ac:dyDescent="0.25">
      <c r="A103" s="2" t="s">
        <v>52</v>
      </c>
      <c r="B103" t="s">
        <v>49</v>
      </c>
      <c r="C103">
        <v>18</v>
      </c>
      <c r="D103">
        <v>7.3</v>
      </c>
      <c r="E103">
        <v>35</v>
      </c>
      <c r="F103">
        <v>4</v>
      </c>
      <c r="G103" s="1">
        <v>45348.278472222199</v>
      </c>
      <c r="I103" s="96">
        <v>2119.61</v>
      </c>
      <c r="J103">
        <v>2238.9299999999998</v>
      </c>
      <c r="K103">
        <v>22.9</v>
      </c>
      <c r="L103">
        <v>93.42</v>
      </c>
      <c r="M103">
        <v>2.31</v>
      </c>
      <c r="N103">
        <v>308</v>
      </c>
      <c r="O103">
        <v>30.4</v>
      </c>
      <c r="P103">
        <v>1.69</v>
      </c>
      <c r="Q103" s="3">
        <v>7.36</v>
      </c>
      <c r="R103">
        <v>6.02</v>
      </c>
      <c r="S103">
        <v>2.0700000000000003</v>
      </c>
      <c r="T103">
        <v>4.96</v>
      </c>
      <c r="U103">
        <v>0.08</v>
      </c>
      <c r="V103">
        <v>198.13</v>
      </c>
      <c r="W103">
        <v>26.18</v>
      </c>
      <c r="X103" s="44">
        <f t="shared" si="24"/>
        <v>1.7800000000000011</v>
      </c>
      <c r="Y103" s="44">
        <f t="shared" si="15"/>
        <v>3.0099999999999998E-2</v>
      </c>
      <c r="Z103" s="44">
        <f t="shared" si="16"/>
        <v>3.0384091253217584E-2</v>
      </c>
      <c r="AA103" s="44">
        <f t="shared" si="17"/>
        <v>2.5034068540857015E-2</v>
      </c>
      <c r="AB103" s="45">
        <f t="shared" si="25"/>
        <v>1.92</v>
      </c>
      <c r="AC103">
        <v>35</v>
      </c>
      <c r="AD103">
        <v>7.3000000000000007</v>
      </c>
      <c r="AE103">
        <v>50</v>
      </c>
      <c r="AF103" s="31">
        <v>2.9999999999999997E-4</v>
      </c>
      <c r="AG103" s="31">
        <f t="shared" si="18"/>
        <v>8.1669185999999991E-2</v>
      </c>
      <c r="AH103" s="31">
        <f t="shared" si="14"/>
        <v>2.1639343103999997</v>
      </c>
      <c r="AI103">
        <v>200</v>
      </c>
      <c r="AJ103" s="2">
        <v>1.0808576744521599E-2</v>
      </c>
      <c r="AK103" s="31"/>
      <c r="AL103" s="31"/>
      <c r="AM103" s="44">
        <f t="shared" si="19"/>
        <v>9.0071472871013317E-2</v>
      </c>
      <c r="AN103" s="44">
        <f t="shared" si="20"/>
        <v>0</v>
      </c>
      <c r="AO103" s="45">
        <f t="shared" si="21"/>
        <v>0</v>
      </c>
      <c r="AP103" s="56">
        <f t="shared" si="26"/>
        <v>9.0071472871013317E-2</v>
      </c>
    </row>
    <row r="104" spans="1:42" x14ac:dyDescent="0.25">
      <c r="A104" s="2" t="s">
        <v>53</v>
      </c>
      <c r="B104" t="s">
        <v>49</v>
      </c>
      <c r="C104">
        <v>12</v>
      </c>
      <c r="D104">
        <v>7.3</v>
      </c>
      <c r="E104">
        <v>35</v>
      </c>
      <c r="F104">
        <v>4</v>
      </c>
      <c r="G104" s="1">
        <v>45348.284027777801</v>
      </c>
      <c r="I104" s="96">
        <v>2119.61</v>
      </c>
      <c r="J104">
        <v>1936.47</v>
      </c>
      <c r="K104">
        <v>20.2</v>
      </c>
      <c r="L104">
        <v>95.72</v>
      </c>
      <c r="M104">
        <v>2.4500000000000002</v>
      </c>
      <c r="N104">
        <v>305</v>
      </c>
      <c r="O104">
        <v>31</v>
      </c>
      <c r="P104">
        <v>1.27</v>
      </c>
      <c r="Q104" s="3">
        <v>7.35</v>
      </c>
      <c r="R104">
        <v>6.76</v>
      </c>
      <c r="S104">
        <v>5.7100000000000009</v>
      </c>
      <c r="T104">
        <v>4.7300000000000004</v>
      </c>
      <c r="U104">
        <v>0.22</v>
      </c>
      <c r="V104">
        <v>195.46</v>
      </c>
      <c r="W104">
        <v>16.579999999999998</v>
      </c>
      <c r="X104" s="44">
        <f t="shared" si="24"/>
        <v>1.7799999999999976</v>
      </c>
      <c r="Y104" s="44">
        <f t="shared" si="15"/>
        <v>3.3799999999999997E-2</v>
      </c>
      <c r="Z104" s="44">
        <f t="shared" si="16"/>
        <v>3.458508134656707E-2</v>
      </c>
      <c r="AA104" s="44">
        <f t="shared" si="17"/>
        <v>2.4199324670009209E-2</v>
      </c>
      <c r="AB104" s="45">
        <f t="shared" si="25"/>
        <v>5.28</v>
      </c>
      <c r="AC104">
        <v>35</v>
      </c>
      <c r="AD104">
        <v>7.3000000000000007</v>
      </c>
      <c r="AE104">
        <v>50</v>
      </c>
      <c r="AF104" s="31">
        <v>2.9999999999999997E-4</v>
      </c>
      <c r="AG104" s="31">
        <f t="shared" si="18"/>
        <v>7.1069255999999997E-2</v>
      </c>
      <c r="AH104" s="31">
        <f t="shared" si="14"/>
        <v>1.6218547488000001</v>
      </c>
      <c r="AI104">
        <v>200</v>
      </c>
      <c r="AJ104" s="2">
        <v>2.8100733699321898E-2</v>
      </c>
      <c r="AK104" s="31"/>
      <c r="AL104" s="31"/>
      <c r="AM104" s="44">
        <f t="shared" si="19"/>
        <v>0.23417278082768248</v>
      </c>
      <c r="AN104" s="44">
        <f t="shared" si="20"/>
        <v>0</v>
      </c>
      <c r="AO104" s="45">
        <f t="shared" si="21"/>
        <v>0</v>
      </c>
      <c r="AP104" s="56">
        <f t="shared" si="26"/>
        <v>0.23417278082768248</v>
      </c>
    </row>
    <row r="105" spans="1:42" x14ac:dyDescent="0.25">
      <c r="A105" s="2" t="s">
        <v>54</v>
      </c>
      <c r="B105" t="s">
        <v>46</v>
      </c>
      <c r="C105">
        <v>18</v>
      </c>
      <c r="D105">
        <v>7.3</v>
      </c>
      <c r="E105">
        <v>35</v>
      </c>
      <c r="F105">
        <v>4</v>
      </c>
      <c r="G105" s="1">
        <v>45348.2902777778</v>
      </c>
      <c r="I105" s="96">
        <v>2119.61</v>
      </c>
      <c r="J105">
        <v>2102.79</v>
      </c>
      <c r="K105">
        <v>20.91</v>
      </c>
      <c r="L105">
        <v>86.93</v>
      </c>
      <c r="M105">
        <v>2.5299999999999998</v>
      </c>
      <c r="N105">
        <v>304</v>
      </c>
      <c r="O105">
        <v>30.6</v>
      </c>
      <c r="P105">
        <v>0.72</v>
      </c>
      <c r="Q105" s="3">
        <v>7.3</v>
      </c>
      <c r="R105">
        <v>5.89</v>
      </c>
      <c r="S105">
        <v>3.0700000000000012</v>
      </c>
      <c r="T105">
        <v>2.34</v>
      </c>
      <c r="U105">
        <v>0.11</v>
      </c>
      <c r="V105">
        <v>197.39</v>
      </c>
      <c r="W105">
        <v>26.18</v>
      </c>
      <c r="X105" s="44">
        <f t="shared" si="24"/>
        <v>1.7800000000000011</v>
      </c>
      <c r="Y105" s="44">
        <f t="shared" si="15"/>
        <v>2.9449999999999997E-2</v>
      </c>
      <c r="Z105" s="44">
        <f t="shared" si="16"/>
        <v>2.983940422513805E-2</v>
      </c>
      <c r="AA105" s="44">
        <f t="shared" si="17"/>
        <v>1.1854703885708496E-2</v>
      </c>
      <c r="AB105" s="45">
        <f t="shared" si="25"/>
        <v>2.64</v>
      </c>
      <c r="AC105">
        <v>35</v>
      </c>
      <c r="AD105">
        <v>7.3000000000000007</v>
      </c>
      <c r="AE105">
        <v>50</v>
      </c>
      <c r="AF105" s="31">
        <v>2.9999999999999997E-4</v>
      </c>
      <c r="AG105" s="31">
        <f t="shared" si="18"/>
        <v>7.4293648199999979E-2</v>
      </c>
      <c r="AH105" s="31">
        <f t="shared" si="14"/>
        <v>1.7143848288000001</v>
      </c>
      <c r="AI105">
        <v>200</v>
      </c>
      <c r="AJ105" s="2">
        <v>2.3693444036416701E-2</v>
      </c>
      <c r="AK105" s="31">
        <v>2.4E-2</v>
      </c>
      <c r="AL105" s="31">
        <v>1.2999999999999999E-3</v>
      </c>
      <c r="AM105" s="44">
        <f t="shared" si="19"/>
        <v>0</v>
      </c>
      <c r="AN105" s="44">
        <f t="shared" si="20"/>
        <v>0.19738999999999998</v>
      </c>
      <c r="AO105" s="45">
        <f t="shared" si="21"/>
        <v>0.25660699999999997</v>
      </c>
      <c r="AP105" s="56">
        <f t="shared" si="26"/>
        <v>0.19738999999999998</v>
      </c>
    </row>
    <row r="106" spans="1:42" x14ac:dyDescent="0.25">
      <c r="A106" s="2" t="s">
        <v>55</v>
      </c>
      <c r="B106" s="96" t="s">
        <v>51</v>
      </c>
      <c r="C106" s="96">
        <v>15</v>
      </c>
      <c r="D106" s="96">
        <v>7.2</v>
      </c>
      <c r="E106" s="96">
        <v>34</v>
      </c>
      <c r="F106" s="96">
        <v>4</v>
      </c>
      <c r="G106" s="97">
        <v>45348.2944444444</v>
      </c>
      <c r="I106" s="96">
        <v>2119.61</v>
      </c>
      <c r="J106" s="96">
        <v>2073.375</v>
      </c>
      <c r="K106" s="96">
        <v>21.45</v>
      </c>
      <c r="L106" s="96">
        <v>92.6</v>
      </c>
      <c r="M106" s="96">
        <v>3.17</v>
      </c>
      <c r="N106" s="96">
        <v>320</v>
      </c>
      <c r="O106" s="96">
        <v>28.9</v>
      </c>
      <c r="P106" s="96">
        <v>1.74</v>
      </c>
      <c r="Q106" s="3">
        <v>7.26</v>
      </c>
      <c r="R106" s="96">
        <v>5.96</v>
      </c>
      <c r="S106" s="96">
        <v>2.0300000000000002</v>
      </c>
      <c r="T106" s="96">
        <v>4.66</v>
      </c>
      <c r="U106" s="96">
        <v>0.08</v>
      </c>
      <c r="V106" s="96">
        <v>197.47</v>
      </c>
      <c r="W106" s="96">
        <v>14.98</v>
      </c>
      <c r="X106" s="102">
        <f t="shared" si="24"/>
        <v>1.7800000000000011</v>
      </c>
      <c r="Y106" s="102">
        <f t="shared" si="15"/>
        <v>2.98E-2</v>
      </c>
      <c r="Z106" s="102">
        <f t="shared" si="16"/>
        <v>3.0181799767053222E-2</v>
      </c>
      <c r="AA106" s="102">
        <f t="shared" si="17"/>
        <v>2.3598521294373828E-2</v>
      </c>
      <c r="AB106" s="45">
        <f t="shared" si="25"/>
        <v>1.92</v>
      </c>
      <c r="AC106" s="96">
        <v>34</v>
      </c>
      <c r="AD106" s="96">
        <v>7.1999999999999993</v>
      </c>
      <c r="AE106" s="96">
        <v>50</v>
      </c>
      <c r="AF106" s="100">
        <v>2.9999999999999997E-4</v>
      </c>
      <c r="AG106" s="100">
        <f t="shared" si="18"/>
        <v>7.6243166999999987E-2</v>
      </c>
      <c r="AH106" s="100">
        <f t="shared" si="14"/>
        <v>1.8810994175999993</v>
      </c>
      <c r="AI106" s="96">
        <v>200</v>
      </c>
      <c r="AJ106" s="2">
        <v>1.84436370012101E-2</v>
      </c>
      <c r="AK106" s="100"/>
      <c r="AL106" s="100"/>
      <c r="AM106" s="102">
        <f t="shared" si="19"/>
        <v>0</v>
      </c>
      <c r="AN106" s="102">
        <f t="shared" si="20"/>
        <v>0</v>
      </c>
      <c r="AO106" s="45">
        <f t="shared" si="21"/>
        <v>0</v>
      </c>
      <c r="AP106" s="56">
        <f t="shared" si="26"/>
        <v>0</v>
      </c>
    </row>
    <row r="107" spans="1:42" x14ac:dyDescent="0.25">
      <c r="A107" s="2" t="s">
        <v>56</v>
      </c>
      <c r="B107" t="s">
        <v>49</v>
      </c>
      <c r="C107">
        <v>18</v>
      </c>
      <c r="D107">
        <v>7.1</v>
      </c>
      <c r="E107">
        <v>32.999999999999993</v>
      </c>
      <c r="F107">
        <v>4</v>
      </c>
      <c r="G107" s="1">
        <v>45348.3</v>
      </c>
      <c r="I107" s="96">
        <v>2119.61</v>
      </c>
      <c r="J107">
        <v>2108.64</v>
      </c>
      <c r="K107">
        <v>24.84</v>
      </c>
      <c r="L107">
        <v>93.02</v>
      </c>
      <c r="M107">
        <v>3.02</v>
      </c>
      <c r="N107">
        <v>325</v>
      </c>
      <c r="O107">
        <v>28.7</v>
      </c>
      <c r="P107">
        <v>3.49</v>
      </c>
      <c r="Q107" s="3">
        <v>7.15</v>
      </c>
      <c r="R107">
        <v>6.04</v>
      </c>
      <c r="S107">
        <v>3.88</v>
      </c>
      <c r="T107">
        <v>5.0999999999999996</v>
      </c>
      <c r="U107">
        <v>0.17</v>
      </c>
      <c r="V107">
        <v>200.28</v>
      </c>
      <c r="W107">
        <v>25.38</v>
      </c>
      <c r="X107" s="44">
        <f t="shared" si="24"/>
        <v>1.7799999999999976</v>
      </c>
      <c r="Y107" s="44">
        <f t="shared" si="15"/>
        <v>3.0200000000000001E-2</v>
      </c>
      <c r="Z107" s="44">
        <f t="shared" si="16"/>
        <v>3.0157779109247055E-2</v>
      </c>
      <c r="AA107" s="44">
        <f t="shared" si="17"/>
        <v>2.5464349910125823E-2</v>
      </c>
      <c r="AB107" s="45">
        <f t="shared" si="25"/>
        <v>4.08</v>
      </c>
      <c r="AC107">
        <v>33</v>
      </c>
      <c r="AD107">
        <v>7.1</v>
      </c>
      <c r="AE107">
        <v>50</v>
      </c>
      <c r="AF107" s="31">
        <v>2.9999999999999997E-4</v>
      </c>
      <c r="AG107" s="31">
        <f t="shared" si="18"/>
        <v>8.9549193599999993E-2</v>
      </c>
      <c r="AH107" s="31">
        <f t="shared" si="14"/>
        <v>2.0408407488</v>
      </c>
      <c r="AI107">
        <v>200</v>
      </c>
      <c r="AJ107" s="2">
        <v>7.4922579201817004E-3</v>
      </c>
      <c r="AK107" s="31"/>
      <c r="AL107" s="31"/>
      <c r="AM107" s="44">
        <f t="shared" si="19"/>
        <v>6.2435482668180838E-2</v>
      </c>
      <c r="AN107" s="44">
        <f t="shared" si="20"/>
        <v>0</v>
      </c>
      <c r="AO107" s="45">
        <f t="shared" si="21"/>
        <v>0</v>
      </c>
      <c r="AP107" s="56">
        <f t="shared" si="26"/>
        <v>6.2435482668180838E-2</v>
      </c>
    </row>
    <row r="108" spans="1:42" x14ac:dyDescent="0.25">
      <c r="A108" s="2" t="s">
        <v>57</v>
      </c>
      <c r="B108" t="s">
        <v>46</v>
      </c>
      <c r="C108">
        <v>18</v>
      </c>
      <c r="D108">
        <v>7.2</v>
      </c>
      <c r="E108">
        <v>34</v>
      </c>
      <c r="F108">
        <v>4</v>
      </c>
      <c r="G108" s="1">
        <v>45348.304861111101</v>
      </c>
      <c r="I108" s="96">
        <v>2119.61</v>
      </c>
      <c r="J108">
        <v>1726.43</v>
      </c>
      <c r="K108">
        <v>17.89</v>
      </c>
      <c r="L108">
        <v>87.77</v>
      </c>
      <c r="M108">
        <v>2.4900000000000002</v>
      </c>
      <c r="N108">
        <v>305</v>
      </c>
      <c r="O108">
        <v>29.6</v>
      </c>
      <c r="P108">
        <v>1.43</v>
      </c>
      <c r="Q108" s="3">
        <v>7.21</v>
      </c>
      <c r="R108">
        <v>6.06</v>
      </c>
      <c r="S108">
        <v>3.8200000000000012</v>
      </c>
      <c r="T108">
        <v>1.36</v>
      </c>
      <c r="U108">
        <v>0.14000000000000001</v>
      </c>
      <c r="V108">
        <v>197.42</v>
      </c>
      <c r="W108">
        <v>26.18</v>
      </c>
      <c r="X108" s="44">
        <f t="shared" si="24"/>
        <v>1.7800000000000011</v>
      </c>
      <c r="Y108" s="44">
        <f t="shared" si="15"/>
        <v>3.0299999999999997E-2</v>
      </c>
      <c r="Z108" s="44">
        <f t="shared" si="16"/>
        <v>3.069597811771857E-2</v>
      </c>
      <c r="AA108" s="44">
        <f t="shared" si="17"/>
        <v>6.8888663762536736E-3</v>
      </c>
      <c r="AB108" s="45">
        <f t="shared" si="25"/>
        <v>3.3600000000000003</v>
      </c>
      <c r="AC108">
        <v>34</v>
      </c>
      <c r="AD108">
        <v>7.1999999999999993</v>
      </c>
      <c r="AE108">
        <v>50</v>
      </c>
      <c r="AF108" s="31">
        <v>2.9999999999999997E-4</v>
      </c>
      <c r="AG108" s="31">
        <f t="shared" si="18"/>
        <v>6.357318839999998E-2</v>
      </c>
      <c r="AH108" s="31">
        <f t="shared" si="14"/>
        <v>1.5033997872</v>
      </c>
      <c r="AI108">
        <v>200</v>
      </c>
      <c r="AJ108" s="2">
        <v>2.71813056437217E-2</v>
      </c>
      <c r="AK108" s="31">
        <v>2.4E-2</v>
      </c>
      <c r="AL108" s="31">
        <v>1.2999999999999999E-3</v>
      </c>
      <c r="AM108" s="44">
        <f t="shared" si="19"/>
        <v>0</v>
      </c>
      <c r="AN108" s="44">
        <f t="shared" si="20"/>
        <v>0.19742000000000001</v>
      </c>
      <c r="AO108" s="45">
        <f t="shared" si="21"/>
        <v>0.25664599999999999</v>
      </c>
      <c r="AP108" s="56">
        <f t="shared" si="26"/>
        <v>0.19742000000000001</v>
      </c>
    </row>
    <row r="109" spans="1:42" x14ac:dyDescent="0.25">
      <c r="A109" s="2" t="s">
        <v>58</v>
      </c>
      <c r="B109" t="s">
        <v>51</v>
      </c>
      <c r="C109">
        <v>18</v>
      </c>
      <c r="D109">
        <v>7.1</v>
      </c>
      <c r="E109">
        <v>32.999999999999993</v>
      </c>
      <c r="F109">
        <v>4</v>
      </c>
      <c r="G109" s="1">
        <v>45348.309722222199</v>
      </c>
      <c r="I109" s="96">
        <v>2119.61</v>
      </c>
      <c r="J109">
        <v>2216.6799999999998</v>
      </c>
      <c r="K109">
        <v>25.68</v>
      </c>
      <c r="L109">
        <v>92.97</v>
      </c>
      <c r="M109">
        <v>2.4300000000000002</v>
      </c>
      <c r="N109">
        <v>313</v>
      </c>
      <c r="O109">
        <v>32.700000000000003</v>
      </c>
      <c r="P109">
        <v>3.04</v>
      </c>
      <c r="Q109" s="3">
        <v>7.17</v>
      </c>
      <c r="R109">
        <v>6.67</v>
      </c>
      <c r="S109">
        <v>2.5199999999999996</v>
      </c>
      <c r="T109">
        <v>4.6399999999999997</v>
      </c>
      <c r="U109">
        <v>0.1</v>
      </c>
      <c r="V109">
        <v>206.56</v>
      </c>
      <c r="W109">
        <v>25.38</v>
      </c>
      <c r="X109" s="44">
        <f t="shared" si="24"/>
        <v>1.7799999999999976</v>
      </c>
      <c r="Y109" s="44">
        <f t="shared" si="15"/>
        <v>3.3349999999999998E-2</v>
      </c>
      <c r="Z109" s="44">
        <f t="shared" si="16"/>
        <v>3.2290859798605728E-2</v>
      </c>
      <c r="AA109" s="44">
        <f t="shared" si="17"/>
        <v>2.2463206816421378E-2</v>
      </c>
      <c r="AB109" s="45">
        <f t="shared" si="25"/>
        <v>2.4000000000000004</v>
      </c>
      <c r="AC109">
        <v>33</v>
      </c>
      <c r="AD109">
        <v>7.1</v>
      </c>
      <c r="AE109">
        <v>50</v>
      </c>
      <c r="AF109" s="31">
        <v>2.9999999999999997E-4</v>
      </c>
      <c r="AG109" s="31">
        <f t="shared" si="18"/>
        <v>9.5480294399999985E-2</v>
      </c>
      <c r="AH109" s="31">
        <f t="shared" si="14"/>
        <v>1.8313650287999996</v>
      </c>
      <c r="AI109">
        <v>200</v>
      </c>
      <c r="AJ109" s="2">
        <v>1.4033229101838299E-2</v>
      </c>
      <c r="AK109" s="31"/>
      <c r="AL109" s="31"/>
      <c r="AM109" s="44">
        <f t="shared" si="19"/>
        <v>0</v>
      </c>
      <c r="AN109" s="44">
        <f t="shared" si="20"/>
        <v>0</v>
      </c>
      <c r="AO109" s="45">
        <f t="shared" si="21"/>
        <v>0</v>
      </c>
      <c r="AP109" s="56">
        <f t="shared" si="26"/>
        <v>0</v>
      </c>
    </row>
    <row r="110" spans="1:42" x14ac:dyDescent="0.25">
      <c r="A110" s="2" t="s">
        <v>59</v>
      </c>
      <c r="B110" t="s">
        <v>46</v>
      </c>
      <c r="C110">
        <v>15</v>
      </c>
      <c r="D110">
        <v>7.1</v>
      </c>
      <c r="E110">
        <v>32.999999999999993</v>
      </c>
      <c r="F110">
        <v>4</v>
      </c>
      <c r="G110" s="1">
        <v>45348.314583333296</v>
      </c>
      <c r="I110" s="96">
        <v>2119.61</v>
      </c>
      <c r="J110">
        <v>1533.1813333333332</v>
      </c>
      <c r="K110">
        <v>18.91</v>
      </c>
      <c r="L110">
        <v>90.37</v>
      </c>
      <c r="M110">
        <v>2.79</v>
      </c>
      <c r="N110">
        <v>314</v>
      </c>
      <c r="O110">
        <v>38.5</v>
      </c>
      <c r="P110">
        <v>1.93</v>
      </c>
      <c r="Q110" s="3">
        <v>7.15</v>
      </c>
      <c r="R110">
        <v>5.67</v>
      </c>
      <c r="S110">
        <v>2.6400000000000006</v>
      </c>
      <c r="T110">
        <v>2.2599999999999998</v>
      </c>
      <c r="U110">
        <v>0.1</v>
      </c>
      <c r="V110">
        <v>198.51</v>
      </c>
      <c r="W110">
        <v>13.38</v>
      </c>
      <c r="X110" s="44">
        <f t="shared" si="24"/>
        <v>1.7800000000000011</v>
      </c>
      <c r="Y110" s="44">
        <f t="shared" si="15"/>
        <v>2.835E-2</v>
      </c>
      <c r="Z110" s="44">
        <f t="shared" si="16"/>
        <v>2.8562792806407739E-2</v>
      </c>
      <c r="AA110" s="44">
        <f t="shared" si="17"/>
        <v>1.1384816885799204E-2</v>
      </c>
      <c r="AB110" s="45">
        <f t="shared" si="25"/>
        <v>2.4000000000000004</v>
      </c>
      <c r="AC110">
        <v>33</v>
      </c>
      <c r="AD110">
        <v>7.1</v>
      </c>
      <c r="AE110">
        <v>50</v>
      </c>
      <c r="AF110" s="31">
        <v>2.9999999999999997E-4</v>
      </c>
      <c r="AG110" s="31">
        <f t="shared" si="18"/>
        <v>6.7568833799999978E-2</v>
      </c>
      <c r="AH110" s="31">
        <f t="shared" si="14"/>
        <v>1.5953202719999995</v>
      </c>
      <c r="AI110">
        <v>200</v>
      </c>
      <c r="AJ110" s="2">
        <v>3.0444988201659601E-2</v>
      </c>
      <c r="AK110" s="31">
        <v>2.4E-2</v>
      </c>
      <c r="AL110" s="31">
        <v>1.2999999999999999E-3</v>
      </c>
      <c r="AM110" s="44">
        <f t="shared" si="19"/>
        <v>0</v>
      </c>
      <c r="AN110" s="44">
        <f t="shared" si="20"/>
        <v>0.19850999999999999</v>
      </c>
      <c r="AO110" s="45">
        <f t="shared" si="21"/>
        <v>0.25806299999999999</v>
      </c>
      <c r="AP110" s="56">
        <f t="shared" si="26"/>
        <v>0.19850999999999999</v>
      </c>
    </row>
    <row r="111" spans="1:42" x14ac:dyDescent="0.25">
      <c r="A111" s="2" t="s">
        <v>60</v>
      </c>
      <c r="B111" t="s">
        <v>49</v>
      </c>
      <c r="C111">
        <v>15</v>
      </c>
      <c r="D111">
        <v>7.1</v>
      </c>
      <c r="E111">
        <v>32.999999999999993</v>
      </c>
      <c r="F111">
        <v>4</v>
      </c>
      <c r="G111" s="1">
        <v>45348.319444444402</v>
      </c>
      <c r="I111" s="96">
        <v>2119.61</v>
      </c>
      <c r="J111">
        <v>2059.14</v>
      </c>
      <c r="K111">
        <v>24.5</v>
      </c>
      <c r="L111">
        <v>94.25</v>
      </c>
      <c r="M111">
        <v>2.75</v>
      </c>
      <c r="N111">
        <v>324</v>
      </c>
      <c r="O111">
        <v>36.200000000000003</v>
      </c>
      <c r="P111">
        <v>3.5</v>
      </c>
      <c r="Q111" s="3">
        <v>7.17</v>
      </c>
      <c r="R111">
        <v>6.58</v>
      </c>
      <c r="S111">
        <v>4.5299999999999994</v>
      </c>
      <c r="T111">
        <v>4.5199999999999996</v>
      </c>
      <c r="U111">
        <v>0.18</v>
      </c>
      <c r="V111">
        <v>200.07</v>
      </c>
      <c r="W111">
        <v>13.38</v>
      </c>
      <c r="X111" s="44">
        <f t="shared" si="24"/>
        <v>1.7800000000000011</v>
      </c>
      <c r="Y111" s="44">
        <f t="shared" si="15"/>
        <v>3.2899999999999999E-2</v>
      </c>
      <c r="Z111" s="44">
        <f t="shared" si="16"/>
        <v>3.288848902883991E-2</v>
      </c>
      <c r="AA111" s="44">
        <f t="shared" si="17"/>
        <v>2.2592092767531363E-2</v>
      </c>
      <c r="AB111" s="45">
        <f t="shared" si="25"/>
        <v>4.32</v>
      </c>
      <c r="AC111">
        <v>33</v>
      </c>
      <c r="AD111">
        <v>7.1</v>
      </c>
      <c r="AE111">
        <v>50</v>
      </c>
      <c r="AF111" s="31">
        <v>2.9999999999999997E-4</v>
      </c>
      <c r="AG111" s="31">
        <f t="shared" si="18"/>
        <v>8.8230869999999989E-2</v>
      </c>
      <c r="AH111" s="31">
        <f t="shared" si="14"/>
        <v>1.9549486079999996</v>
      </c>
      <c r="AI111">
        <v>200</v>
      </c>
      <c r="AJ111" s="2">
        <v>1.9467635040908898E-2</v>
      </c>
      <c r="AK111" s="31"/>
      <c r="AL111" s="31"/>
      <c r="AM111" s="44">
        <f t="shared" si="19"/>
        <v>0.16223029200757413</v>
      </c>
      <c r="AN111" s="44">
        <f t="shared" si="20"/>
        <v>0</v>
      </c>
      <c r="AO111" s="45">
        <f t="shared" si="21"/>
        <v>0</v>
      </c>
      <c r="AP111" s="56">
        <f t="shared" si="26"/>
        <v>0.16223029200757413</v>
      </c>
    </row>
    <row r="112" spans="1:42" x14ac:dyDescent="0.25">
      <c r="A112" s="2" t="s">
        <v>61</v>
      </c>
      <c r="B112" t="s">
        <v>46</v>
      </c>
      <c r="C112">
        <v>15</v>
      </c>
      <c r="D112">
        <v>7.3</v>
      </c>
      <c r="E112">
        <v>35</v>
      </c>
      <c r="F112">
        <v>4</v>
      </c>
      <c r="G112" s="1">
        <v>45348.324305555601</v>
      </c>
      <c r="I112" s="96">
        <v>2119.61</v>
      </c>
      <c r="J112">
        <v>1780.095</v>
      </c>
      <c r="K112">
        <v>18.170000000000002</v>
      </c>
      <c r="L112">
        <v>89.16</v>
      </c>
      <c r="M112">
        <v>2.2599999999999998</v>
      </c>
      <c r="N112">
        <v>297</v>
      </c>
      <c r="O112">
        <v>32.700000000000003</v>
      </c>
      <c r="P112">
        <v>0.68</v>
      </c>
      <c r="Q112" s="3">
        <v>7.32</v>
      </c>
      <c r="R112">
        <v>5.89</v>
      </c>
      <c r="S112">
        <v>3.3899999999999997</v>
      </c>
      <c r="T112">
        <v>1.19</v>
      </c>
      <c r="U112">
        <v>0.13</v>
      </c>
      <c r="V112">
        <v>197.35</v>
      </c>
      <c r="W112">
        <v>13.38</v>
      </c>
      <c r="X112" s="44">
        <f t="shared" si="24"/>
        <v>1.7800000000000011</v>
      </c>
      <c r="Y112" s="44">
        <f t="shared" si="15"/>
        <v>2.9449999999999997E-2</v>
      </c>
      <c r="Z112" s="44">
        <f t="shared" si="16"/>
        <v>2.9845452242209271E-2</v>
      </c>
      <c r="AA112" s="44">
        <f t="shared" si="17"/>
        <v>6.0298961236382063E-3</v>
      </c>
      <c r="AB112" s="45">
        <f t="shared" si="25"/>
        <v>3.12</v>
      </c>
      <c r="AC112">
        <v>35</v>
      </c>
      <c r="AD112">
        <v>7.3000000000000007</v>
      </c>
      <c r="AE112">
        <v>50</v>
      </c>
      <c r="AF112" s="31">
        <v>2.9999999999999997E-4</v>
      </c>
      <c r="AG112" s="31">
        <f t="shared" si="18"/>
        <v>6.4545291000000005E-2</v>
      </c>
      <c r="AH112" s="31">
        <f t="shared" si="14"/>
        <v>1.8536330303999997</v>
      </c>
      <c r="AI112">
        <v>200</v>
      </c>
      <c r="AJ112" s="2">
        <v>3.80980494564521E-2</v>
      </c>
      <c r="AK112" s="31">
        <v>2.4E-2</v>
      </c>
      <c r="AL112" s="31">
        <v>1.2999999999999999E-3</v>
      </c>
      <c r="AM112" s="44">
        <f t="shared" si="19"/>
        <v>0</v>
      </c>
      <c r="AN112" s="44">
        <f t="shared" si="20"/>
        <v>0.19735</v>
      </c>
      <c r="AO112" s="45">
        <f t="shared" si="21"/>
        <v>0.25655499999999998</v>
      </c>
      <c r="AP112" s="56">
        <f t="shared" si="26"/>
        <v>0.19735</v>
      </c>
    </row>
    <row r="113" spans="1:42" x14ac:dyDescent="0.25">
      <c r="A113" s="2" t="s">
        <v>62</v>
      </c>
      <c r="B113" t="s">
        <v>49</v>
      </c>
      <c r="C113">
        <v>18</v>
      </c>
      <c r="D113">
        <v>7.2</v>
      </c>
      <c r="E113">
        <v>34</v>
      </c>
      <c r="F113">
        <v>4</v>
      </c>
      <c r="G113" s="1">
        <v>45348.329166666699</v>
      </c>
      <c r="I113" s="96">
        <v>2119.61</v>
      </c>
      <c r="J113">
        <v>2379.6750000000002</v>
      </c>
      <c r="K113">
        <v>21.86</v>
      </c>
      <c r="L113">
        <v>92.95</v>
      </c>
      <c r="M113">
        <v>2.34</v>
      </c>
      <c r="N113">
        <v>313</v>
      </c>
      <c r="O113">
        <v>32</v>
      </c>
      <c r="P113">
        <v>2.63</v>
      </c>
      <c r="Q113" s="3">
        <v>7.26</v>
      </c>
      <c r="R113">
        <v>6.29</v>
      </c>
      <c r="S113">
        <v>3.6599999999999993</v>
      </c>
      <c r="T113">
        <v>4.8499999999999996</v>
      </c>
      <c r="U113">
        <v>0.14000000000000001</v>
      </c>
      <c r="V113">
        <v>199.8</v>
      </c>
      <c r="W113">
        <v>25.38</v>
      </c>
      <c r="X113" s="44">
        <f t="shared" si="24"/>
        <v>1.7799999999999976</v>
      </c>
      <c r="Y113" s="44">
        <f t="shared" si="15"/>
        <v>3.1449999999999999E-2</v>
      </c>
      <c r="Z113" s="44">
        <f t="shared" si="16"/>
        <v>3.1481481481481478E-2</v>
      </c>
      <c r="AA113" s="44">
        <f t="shared" si="17"/>
        <v>2.4274274274274272E-2</v>
      </c>
      <c r="AB113" s="45">
        <f t="shared" si="25"/>
        <v>3.3600000000000003</v>
      </c>
      <c r="AC113">
        <v>34</v>
      </c>
      <c r="AD113">
        <v>7.1999999999999993</v>
      </c>
      <c r="AE113">
        <v>50</v>
      </c>
      <c r="AF113" s="31">
        <v>2.9999999999999997E-4</v>
      </c>
      <c r="AG113" s="31">
        <f t="shared" si="18"/>
        <v>7.8617303999999985E-2</v>
      </c>
      <c r="AH113" s="31">
        <f t="shared" si="14"/>
        <v>2.1933057311999997</v>
      </c>
      <c r="AI113">
        <v>200</v>
      </c>
      <c r="AJ113" s="2">
        <v>1.5300871468613799E-2</v>
      </c>
      <c r="AK113" s="31"/>
      <c r="AL113" s="31"/>
      <c r="AM113" s="44">
        <f t="shared" si="19"/>
        <v>0.12750726223844833</v>
      </c>
      <c r="AN113" s="44">
        <f t="shared" si="20"/>
        <v>0</v>
      </c>
      <c r="AO113" s="45">
        <f t="shared" si="21"/>
        <v>0</v>
      </c>
      <c r="AP113" s="56">
        <f t="shared" si="26"/>
        <v>0.12750726223844833</v>
      </c>
    </row>
    <row r="114" spans="1:42" x14ac:dyDescent="0.25">
      <c r="A114" s="2" t="s">
        <v>63</v>
      </c>
      <c r="B114" t="s">
        <v>51</v>
      </c>
      <c r="C114">
        <v>12</v>
      </c>
      <c r="D114">
        <v>7.1</v>
      </c>
      <c r="E114">
        <v>32.999999999999993</v>
      </c>
      <c r="F114">
        <v>4</v>
      </c>
      <c r="G114" s="1">
        <v>45348.336805555598</v>
      </c>
      <c r="I114" s="96">
        <v>2119.61</v>
      </c>
      <c r="J114">
        <v>1695.9749999999999</v>
      </c>
      <c r="K114">
        <v>21.83</v>
      </c>
      <c r="L114">
        <v>95.51</v>
      </c>
      <c r="M114">
        <v>3.14</v>
      </c>
      <c r="N114">
        <v>316</v>
      </c>
      <c r="O114">
        <v>34.6</v>
      </c>
      <c r="P114">
        <v>1.97</v>
      </c>
      <c r="Q114" s="3">
        <v>7.17</v>
      </c>
      <c r="R114">
        <v>5.33</v>
      </c>
      <c r="S114">
        <v>2.0300000000000002</v>
      </c>
      <c r="T114">
        <v>3.94</v>
      </c>
      <c r="U114">
        <v>0.08</v>
      </c>
      <c r="V114">
        <v>197.15</v>
      </c>
      <c r="W114">
        <v>14.18</v>
      </c>
      <c r="X114" s="44">
        <f t="shared" si="24"/>
        <v>1.7799999999999994</v>
      </c>
      <c r="Y114" s="44">
        <f t="shared" si="15"/>
        <v>2.665E-2</v>
      </c>
      <c r="Z114" s="44">
        <f t="shared" si="16"/>
        <v>2.7035252345929496E-2</v>
      </c>
      <c r="AA114" s="44">
        <f t="shared" si="17"/>
        <v>1.9984783160030432E-2</v>
      </c>
      <c r="AB114" s="45">
        <f t="shared" si="25"/>
        <v>1.92</v>
      </c>
      <c r="AC114">
        <v>33</v>
      </c>
      <c r="AD114">
        <v>7.1</v>
      </c>
      <c r="AE114">
        <v>50</v>
      </c>
      <c r="AF114" s="31">
        <v>2.9999999999999997E-4</v>
      </c>
      <c r="AG114" s="31">
        <f t="shared" si="18"/>
        <v>7.7468120999999987E-2</v>
      </c>
      <c r="AH114" s="31">
        <f t="shared" si="14"/>
        <v>1.7428393295999998</v>
      </c>
      <c r="AI114">
        <v>200</v>
      </c>
      <c r="AJ114" s="2">
        <v>2.55206923212613E-2</v>
      </c>
      <c r="AK114" s="31"/>
      <c r="AL114" s="31"/>
      <c r="AM114" s="44">
        <f t="shared" si="19"/>
        <v>0</v>
      </c>
      <c r="AN114" s="44">
        <f t="shared" si="20"/>
        <v>0</v>
      </c>
      <c r="AO114" s="45">
        <f t="shared" si="21"/>
        <v>0</v>
      </c>
      <c r="AP114" s="56">
        <f t="shared" si="26"/>
        <v>0</v>
      </c>
    </row>
    <row r="115" spans="1:42" x14ac:dyDescent="0.25">
      <c r="A115" s="2" t="s">
        <v>64</v>
      </c>
      <c r="B115" t="s">
        <v>46</v>
      </c>
      <c r="C115">
        <v>12</v>
      </c>
      <c r="D115">
        <v>7.1</v>
      </c>
      <c r="E115">
        <v>32.999999999999993</v>
      </c>
      <c r="F115">
        <v>4</v>
      </c>
      <c r="G115" s="1">
        <v>45348.341666666704</v>
      </c>
      <c r="I115" s="96">
        <v>2119.61</v>
      </c>
      <c r="J115">
        <v>1544.19</v>
      </c>
      <c r="K115">
        <v>18.87</v>
      </c>
      <c r="L115">
        <v>92.45</v>
      </c>
      <c r="M115">
        <v>2.71</v>
      </c>
      <c r="N115">
        <v>316</v>
      </c>
      <c r="O115">
        <v>32.1</v>
      </c>
      <c r="P115">
        <v>3.15</v>
      </c>
      <c r="Q115" s="3">
        <v>7.13</v>
      </c>
      <c r="R115">
        <v>5.8</v>
      </c>
      <c r="S115">
        <v>2.7700000000000005</v>
      </c>
      <c r="T115">
        <v>1.38</v>
      </c>
      <c r="U115">
        <v>0.1</v>
      </c>
      <c r="V115">
        <v>198.25</v>
      </c>
      <c r="W115">
        <v>13.38</v>
      </c>
      <c r="X115" s="44">
        <f t="shared" si="24"/>
        <v>1.7800000000000011</v>
      </c>
      <c r="Y115" s="44">
        <f t="shared" si="15"/>
        <v>2.8999999999999998E-2</v>
      </c>
      <c r="Z115" s="44">
        <f t="shared" si="16"/>
        <v>2.9255989911727617E-2</v>
      </c>
      <c r="AA115" s="44">
        <f t="shared" si="17"/>
        <v>6.960907944514501E-3</v>
      </c>
      <c r="AB115" s="45">
        <f t="shared" si="25"/>
        <v>2.4000000000000004</v>
      </c>
      <c r="AC115">
        <v>33</v>
      </c>
      <c r="AD115">
        <v>7.1</v>
      </c>
      <c r="AE115">
        <v>50</v>
      </c>
      <c r="AF115" s="31">
        <v>2.9999999999999997E-4</v>
      </c>
      <c r="AG115" s="31">
        <f t="shared" si="18"/>
        <v>6.7337595E-2</v>
      </c>
      <c r="AH115" s="31">
        <f t="shared" ref="AH115:AH178" si="27">AG91*24</f>
        <v>1.5756305327999995</v>
      </c>
      <c r="AI115">
        <v>200</v>
      </c>
      <c r="AJ115" s="2">
        <v>3.6041244330877201E-2</v>
      </c>
      <c r="AK115" s="31">
        <v>2.4E-2</v>
      </c>
      <c r="AL115" s="31">
        <v>1.2999999999999999E-3</v>
      </c>
      <c r="AM115" s="44">
        <f t="shared" si="19"/>
        <v>0</v>
      </c>
      <c r="AN115" s="44">
        <f t="shared" si="20"/>
        <v>0.19825000000000001</v>
      </c>
      <c r="AO115" s="45">
        <f t="shared" si="21"/>
        <v>0.25772499999999998</v>
      </c>
      <c r="AP115" s="56">
        <f t="shared" si="26"/>
        <v>0.19825000000000001</v>
      </c>
    </row>
    <row r="116" spans="1:42" x14ac:dyDescent="0.25">
      <c r="A116" s="2" t="s">
        <v>65</v>
      </c>
      <c r="B116" t="s">
        <v>49</v>
      </c>
      <c r="C116">
        <v>15</v>
      </c>
      <c r="D116">
        <v>7.3</v>
      </c>
      <c r="E116">
        <v>35</v>
      </c>
      <c r="F116">
        <v>4</v>
      </c>
      <c r="G116" s="1">
        <v>45348.345138888901</v>
      </c>
      <c r="I116" s="96">
        <v>2119.61</v>
      </c>
      <c r="J116">
        <v>2189.4450000000002</v>
      </c>
      <c r="K116">
        <v>23.13</v>
      </c>
      <c r="L116">
        <v>94.17</v>
      </c>
      <c r="M116">
        <v>2.5</v>
      </c>
      <c r="N116">
        <v>310</v>
      </c>
      <c r="O116">
        <v>31.5</v>
      </c>
      <c r="P116">
        <v>1.21</v>
      </c>
      <c r="Q116" s="3">
        <v>7.36</v>
      </c>
      <c r="R116">
        <v>6.5</v>
      </c>
      <c r="S116">
        <v>4.0500000000000007</v>
      </c>
      <c r="T116">
        <v>5.65</v>
      </c>
      <c r="U116">
        <v>0.16</v>
      </c>
      <c r="V116">
        <v>198.95</v>
      </c>
      <c r="W116">
        <v>14.18</v>
      </c>
      <c r="X116" s="44">
        <f t="shared" si="24"/>
        <v>1.7799999999999994</v>
      </c>
      <c r="Y116" s="44">
        <f t="shared" si="15"/>
        <v>3.2500000000000001E-2</v>
      </c>
      <c r="Z116" s="44">
        <f t="shared" si="16"/>
        <v>3.2671525508921842E-2</v>
      </c>
      <c r="AA116" s="44">
        <f t="shared" si="17"/>
        <v>2.8399095250062834E-2</v>
      </c>
      <c r="AB116" s="45">
        <f t="shared" si="25"/>
        <v>3.84</v>
      </c>
      <c r="AC116">
        <v>35</v>
      </c>
      <c r="AD116">
        <v>7.3000000000000007</v>
      </c>
      <c r="AE116">
        <v>50</v>
      </c>
      <c r="AF116" s="31">
        <v>2.9999999999999997E-4</v>
      </c>
      <c r="AG116" s="31">
        <f t="shared" si="18"/>
        <v>8.2830842999999973E-2</v>
      </c>
      <c r="AH116" s="31">
        <f t="shared" si="27"/>
        <v>1.7334633743999994</v>
      </c>
      <c r="AI116">
        <v>200</v>
      </c>
      <c r="AJ116" s="2">
        <v>1.78706241100096E-2</v>
      </c>
      <c r="AK116" s="31"/>
      <c r="AL116" s="31"/>
      <c r="AM116" s="44">
        <f t="shared" si="19"/>
        <v>0.14892186758341333</v>
      </c>
      <c r="AN116" s="44">
        <f t="shared" si="20"/>
        <v>0</v>
      </c>
      <c r="AO116" s="45">
        <f t="shared" si="21"/>
        <v>0</v>
      </c>
      <c r="AP116" s="56">
        <f t="shared" si="26"/>
        <v>0.14892186758341333</v>
      </c>
    </row>
    <row r="117" spans="1:42" x14ac:dyDescent="0.25">
      <c r="A117" s="2" t="s">
        <v>66</v>
      </c>
      <c r="B117" t="s">
        <v>46</v>
      </c>
      <c r="C117">
        <v>12</v>
      </c>
      <c r="D117">
        <v>7.2</v>
      </c>
      <c r="E117">
        <v>34</v>
      </c>
      <c r="F117">
        <v>4</v>
      </c>
      <c r="G117" s="1">
        <v>45348.3527777778</v>
      </c>
      <c r="I117" s="96">
        <v>2119.61</v>
      </c>
      <c r="J117">
        <v>1662.33</v>
      </c>
      <c r="K117">
        <v>22.57</v>
      </c>
      <c r="L117">
        <v>94.5</v>
      </c>
      <c r="M117">
        <v>2.2999999999999998</v>
      </c>
      <c r="N117">
        <v>307</v>
      </c>
      <c r="O117">
        <v>35.200000000000003</v>
      </c>
      <c r="P117">
        <v>1.88</v>
      </c>
      <c r="Q117" s="3">
        <v>7.24</v>
      </c>
      <c r="R117">
        <v>6.3</v>
      </c>
      <c r="S117">
        <v>2.5599999999999996</v>
      </c>
      <c r="T117">
        <v>1.1000000000000001</v>
      </c>
      <c r="U117">
        <v>0.09</v>
      </c>
      <c r="V117">
        <v>195.96</v>
      </c>
      <c r="W117">
        <v>14.98</v>
      </c>
      <c r="X117" s="44">
        <f t="shared" si="24"/>
        <v>1.7800000000000011</v>
      </c>
      <c r="Y117" s="44">
        <f t="shared" si="15"/>
        <v>3.15E-2</v>
      </c>
      <c r="Z117" s="44">
        <f t="shared" si="16"/>
        <v>3.2149418248622164E-2</v>
      </c>
      <c r="AA117" s="44">
        <f t="shared" si="17"/>
        <v>5.6133904878546649E-3</v>
      </c>
      <c r="AB117" s="45">
        <f t="shared" si="25"/>
        <v>2.16</v>
      </c>
      <c r="AC117">
        <v>34</v>
      </c>
      <c r="AD117">
        <v>7.1999999999999993</v>
      </c>
      <c r="AE117">
        <v>50</v>
      </c>
      <c r="AF117" s="31">
        <v>2.9999999999999997E-4</v>
      </c>
      <c r="AG117" s="31">
        <f t="shared" si="18"/>
        <v>7.9610709599999996E-2</v>
      </c>
      <c r="AH117" s="31">
        <f t="shared" si="27"/>
        <v>1.3720326479999996</v>
      </c>
      <c r="AI117">
        <v>200</v>
      </c>
      <c r="AJ117" s="2">
        <v>3.5775301099818198E-2</v>
      </c>
      <c r="AK117" s="31">
        <v>2.4E-2</v>
      </c>
      <c r="AL117" s="31">
        <v>1.2999999999999999E-3</v>
      </c>
      <c r="AM117" s="44">
        <f t="shared" si="19"/>
        <v>0</v>
      </c>
      <c r="AN117" s="44">
        <f t="shared" si="20"/>
        <v>0.19596000000000002</v>
      </c>
      <c r="AO117" s="45">
        <f t="shared" si="21"/>
        <v>0.25474799999999997</v>
      </c>
      <c r="AP117" s="56">
        <f t="shared" si="26"/>
        <v>0.19596000000000002</v>
      </c>
    </row>
    <row r="118" spans="1:42" x14ac:dyDescent="0.25">
      <c r="A118" s="2" t="s">
        <v>67</v>
      </c>
      <c r="B118" t="s">
        <v>49</v>
      </c>
      <c r="C118">
        <v>12</v>
      </c>
      <c r="D118">
        <v>7.1</v>
      </c>
      <c r="E118">
        <v>32.999999999999993</v>
      </c>
      <c r="F118">
        <v>4</v>
      </c>
      <c r="G118" s="1">
        <v>45348.358333333301</v>
      </c>
      <c r="I118" s="96">
        <v>2119.61</v>
      </c>
      <c r="J118">
        <v>1826.0550000000001</v>
      </c>
      <c r="K118">
        <v>19.239999999999998</v>
      </c>
      <c r="L118">
        <v>94.62</v>
      </c>
      <c r="M118">
        <v>3.14</v>
      </c>
      <c r="N118">
        <v>324</v>
      </c>
      <c r="O118">
        <v>29.6</v>
      </c>
      <c r="P118">
        <v>2.98</v>
      </c>
      <c r="Q118" s="3">
        <v>7.17</v>
      </c>
      <c r="R118">
        <v>6.65</v>
      </c>
      <c r="S118">
        <v>4.68</v>
      </c>
      <c r="T118">
        <v>4.0199999999999996</v>
      </c>
      <c r="U118">
        <v>0.18</v>
      </c>
      <c r="V118">
        <v>198.26</v>
      </c>
      <c r="W118">
        <v>14.18</v>
      </c>
      <c r="X118" s="44">
        <f t="shared" si="24"/>
        <v>1.7799999999999994</v>
      </c>
      <c r="Y118" s="44">
        <f t="shared" si="15"/>
        <v>3.3250000000000002E-2</v>
      </c>
      <c r="Z118" s="44">
        <f t="shared" si="16"/>
        <v>3.3541813779885001E-2</v>
      </c>
      <c r="AA118" s="44">
        <f t="shared" si="17"/>
        <v>2.0276404721073338E-2</v>
      </c>
      <c r="AB118" s="45">
        <f t="shared" si="25"/>
        <v>4.32</v>
      </c>
      <c r="AC118">
        <v>33</v>
      </c>
      <c r="AD118">
        <v>7.1</v>
      </c>
      <c r="AE118">
        <v>50</v>
      </c>
      <c r="AF118" s="31">
        <v>2.9999999999999997E-4</v>
      </c>
      <c r="AG118" s="31">
        <f t="shared" si="18"/>
        <v>6.8661403199999985E-2</v>
      </c>
      <c r="AH118" s="31">
        <f t="shared" si="27"/>
        <v>1.7221552127999997</v>
      </c>
      <c r="AI118">
        <v>200</v>
      </c>
      <c r="AJ118" s="2">
        <v>2.157820467856E-2</v>
      </c>
      <c r="AK118" s="31"/>
      <c r="AL118" s="31"/>
      <c r="AM118" s="44">
        <f t="shared" si="19"/>
        <v>0.17981837232133333</v>
      </c>
      <c r="AN118" s="44">
        <f t="shared" si="20"/>
        <v>0</v>
      </c>
      <c r="AO118" s="45">
        <f t="shared" si="21"/>
        <v>0</v>
      </c>
      <c r="AP118" s="56">
        <f t="shared" si="26"/>
        <v>0.17981837232133333</v>
      </c>
    </row>
    <row r="119" spans="1:42" x14ac:dyDescent="0.25">
      <c r="A119" s="2" t="s">
        <v>68</v>
      </c>
      <c r="B119" s="96" t="s">
        <v>51</v>
      </c>
      <c r="C119" s="96">
        <v>12</v>
      </c>
      <c r="D119" s="96">
        <v>7.3</v>
      </c>
      <c r="E119" s="96">
        <v>35</v>
      </c>
      <c r="F119" s="96">
        <v>4</v>
      </c>
      <c r="G119" s="1">
        <v>45348.363194444399</v>
      </c>
      <c r="I119" s="96">
        <v>2119.61</v>
      </c>
      <c r="J119">
        <v>1736.7</v>
      </c>
      <c r="K119">
        <v>20.05</v>
      </c>
      <c r="L119">
        <v>95.04</v>
      </c>
      <c r="M119">
        <v>2.81</v>
      </c>
      <c r="N119">
        <v>307</v>
      </c>
      <c r="O119">
        <v>32</v>
      </c>
      <c r="P119">
        <v>0.7</v>
      </c>
      <c r="Q119" s="3">
        <v>7.36</v>
      </c>
      <c r="R119">
        <v>4.74</v>
      </c>
      <c r="S119">
        <v>1.87</v>
      </c>
      <c r="T119">
        <v>5.4</v>
      </c>
      <c r="U119">
        <v>7.0000000000000007E-2</v>
      </c>
      <c r="V119">
        <v>197.24</v>
      </c>
      <c r="W119">
        <v>14.18</v>
      </c>
      <c r="X119" s="44">
        <f t="shared" si="24"/>
        <v>1.7799999999999994</v>
      </c>
      <c r="Y119" s="44">
        <f t="shared" si="15"/>
        <v>2.3700000000000002E-2</v>
      </c>
      <c r="Z119" s="44">
        <f t="shared" si="16"/>
        <v>2.4031636584871223E-2</v>
      </c>
      <c r="AA119" s="44">
        <f t="shared" si="17"/>
        <v>2.737781383086595E-2</v>
      </c>
      <c r="AB119" s="45">
        <f t="shared" si="25"/>
        <v>1.6800000000000002</v>
      </c>
      <c r="AC119">
        <v>35</v>
      </c>
      <c r="AD119">
        <v>7.3000000000000007</v>
      </c>
      <c r="AE119">
        <v>50</v>
      </c>
      <c r="AF119" s="31">
        <v>2.9999999999999997E-4</v>
      </c>
      <c r="AG119" s="31">
        <f t="shared" si="18"/>
        <v>7.1183916E-2</v>
      </c>
      <c r="AH119" s="31">
        <f t="shared" si="27"/>
        <v>1.5902729999999998</v>
      </c>
      <c r="AI119">
        <v>200</v>
      </c>
      <c r="AJ119" s="2">
        <v>2.6793043156187898E-2</v>
      </c>
      <c r="AK119" s="31"/>
      <c r="AL119" s="31"/>
      <c r="AM119" s="44">
        <f t="shared" si="19"/>
        <v>0</v>
      </c>
      <c r="AN119" s="44">
        <f t="shared" si="20"/>
        <v>0</v>
      </c>
      <c r="AO119" s="45">
        <f t="shared" si="21"/>
        <v>0</v>
      </c>
      <c r="AP119" s="56">
        <f t="shared" si="26"/>
        <v>0</v>
      </c>
    </row>
    <row r="120" spans="1:42" x14ac:dyDescent="0.25">
      <c r="A120" s="2" t="s">
        <v>69</v>
      </c>
      <c r="B120" t="s">
        <v>51</v>
      </c>
      <c r="C120">
        <v>15</v>
      </c>
      <c r="D120">
        <v>7.2</v>
      </c>
      <c r="E120">
        <v>34</v>
      </c>
      <c r="F120">
        <v>4</v>
      </c>
      <c r="G120" s="1">
        <v>45348.368055555598</v>
      </c>
      <c r="I120" s="96">
        <v>2119.61</v>
      </c>
      <c r="J120">
        <v>2179.875</v>
      </c>
      <c r="K120">
        <v>22.12</v>
      </c>
      <c r="L120">
        <v>92.84</v>
      </c>
      <c r="M120">
        <v>3.03</v>
      </c>
      <c r="N120">
        <v>322</v>
      </c>
      <c r="O120">
        <v>33.1</v>
      </c>
      <c r="P120">
        <v>1.79</v>
      </c>
      <c r="Q120" s="3">
        <v>7.26</v>
      </c>
      <c r="R120">
        <v>5.93</v>
      </c>
      <c r="S120">
        <v>2.08</v>
      </c>
      <c r="T120">
        <v>4.7699999999999996</v>
      </c>
      <c r="U120">
        <v>0.08</v>
      </c>
      <c r="V120">
        <v>199.21</v>
      </c>
      <c r="W120">
        <v>13.38</v>
      </c>
      <c r="X120" s="44">
        <f t="shared" si="24"/>
        <v>1.7800000000000011</v>
      </c>
      <c r="Y120" s="44">
        <f t="shared" si="15"/>
        <v>2.9649999999999999E-2</v>
      </c>
      <c r="Z120" s="44">
        <f t="shared" si="16"/>
        <v>2.9767581948697351E-2</v>
      </c>
      <c r="AA120" s="44">
        <f t="shared" si="17"/>
        <v>2.3944581095326538E-2</v>
      </c>
      <c r="AB120" s="45">
        <f t="shared" si="25"/>
        <v>1.92</v>
      </c>
      <c r="AC120">
        <v>34</v>
      </c>
      <c r="AD120">
        <v>7.1999999999999993</v>
      </c>
      <c r="AE120">
        <v>50</v>
      </c>
      <c r="AF120" s="31">
        <v>2.9999999999999997E-4</v>
      </c>
      <c r="AG120" s="31">
        <f t="shared" si="18"/>
        <v>7.931745359999999E-2</v>
      </c>
      <c r="AH120" s="31">
        <f t="shared" si="27"/>
        <v>1.9524037823999998</v>
      </c>
      <c r="AI120">
        <v>200</v>
      </c>
      <c r="AJ120" s="2">
        <v>1.5687663566245499E-2</v>
      </c>
      <c r="AK120" s="31"/>
      <c r="AL120" s="31"/>
      <c r="AM120" s="44">
        <f t="shared" si="19"/>
        <v>0</v>
      </c>
      <c r="AN120" s="44">
        <f t="shared" si="20"/>
        <v>0</v>
      </c>
      <c r="AO120" s="45">
        <f t="shared" si="21"/>
        <v>0</v>
      </c>
      <c r="AP120" s="56">
        <f t="shared" si="26"/>
        <v>0</v>
      </c>
    </row>
    <row r="121" spans="1:42" x14ac:dyDescent="0.25">
      <c r="A121" s="2" t="s">
        <v>70</v>
      </c>
      <c r="B121" t="s">
        <v>51</v>
      </c>
      <c r="C121">
        <v>15</v>
      </c>
      <c r="D121">
        <v>7.2</v>
      </c>
      <c r="E121">
        <v>34</v>
      </c>
      <c r="F121">
        <v>4</v>
      </c>
      <c r="G121" s="1">
        <v>45348.373611111099</v>
      </c>
      <c r="I121" s="96">
        <v>2119.61</v>
      </c>
      <c r="J121">
        <v>2113.875</v>
      </c>
      <c r="K121">
        <v>22.85</v>
      </c>
      <c r="L121">
        <v>94.72</v>
      </c>
      <c r="M121">
        <v>2.69</v>
      </c>
      <c r="N121">
        <v>312</v>
      </c>
      <c r="O121">
        <v>27.8</v>
      </c>
      <c r="P121">
        <v>2.0299999999999998</v>
      </c>
      <c r="Q121" s="3">
        <v>7.27</v>
      </c>
      <c r="R121">
        <v>5.81</v>
      </c>
      <c r="S121">
        <v>2.1100000000000003</v>
      </c>
      <c r="T121">
        <v>4.4000000000000004</v>
      </c>
      <c r="U121">
        <v>0.08</v>
      </c>
      <c r="V121">
        <v>197.95</v>
      </c>
      <c r="W121">
        <v>13.38</v>
      </c>
      <c r="X121" s="44">
        <f t="shared" si="24"/>
        <v>1.7800000000000011</v>
      </c>
      <c r="Y121" s="44">
        <f t="shared" si="15"/>
        <v>2.9049999999999999E-2</v>
      </c>
      <c r="Z121" s="44">
        <f t="shared" si="16"/>
        <v>2.9350846173276081E-2</v>
      </c>
      <c r="AA121" s="44">
        <f t="shared" si="17"/>
        <v>2.2227835311947466E-2</v>
      </c>
      <c r="AB121" s="45">
        <f t="shared" si="25"/>
        <v>1.92</v>
      </c>
      <c r="AC121">
        <v>34</v>
      </c>
      <c r="AD121">
        <v>7.1999999999999993</v>
      </c>
      <c r="AE121">
        <v>50</v>
      </c>
      <c r="AF121" s="31">
        <v>2.9999999999999997E-4</v>
      </c>
      <c r="AG121" s="31">
        <f t="shared" si="18"/>
        <v>8.1416834999999993E-2</v>
      </c>
      <c r="AH121" s="31">
        <f t="shared" si="27"/>
        <v>1.6894240415999999</v>
      </c>
      <c r="AI121">
        <v>200</v>
      </c>
      <c r="AJ121" s="2">
        <v>1.6936765095686701E-2</v>
      </c>
      <c r="AK121" s="31"/>
      <c r="AL121" s="31"/>
      <c r="AM121" s="44">
        <f t="shared" si="19"/>
        <v>0</v>
      </c>
      <c r="AN121" s="44">
        <f t="shared" si="20"/>
        <v>0</v>
      </c>
      <c r="AO121" s="45">
        <f t="shared" si="21"/>
        <v>0</v>
      </c>
      <c r="AP121" s="56">
        <f t="shared" si="26"/>
        <v>0</v>
      </c>
    </row>
    <row r="122" spans="1:42" ht="15.75" thickBot="1" x14ac:dyDescent="0.3">
      <c r="A122" s="12" t="s">
        <v>71</v>
      </c>
      <c r="B122" s="13" t="s">
        <v>51</v>
      </c>
      <c r="C122" s="13">
        <v>15</v>
      </c>
      <c r="D122" s="13">
        <v>7.2</v>
      </c>
      <c r="E122" s="13">
        <v>34</v>
      </c>
      <c r="F122" s="13">
        <v>4</v>
      </c>
      <c r="G122" s="14">
        <v>45348.378472222197</v>
      </c>
      <c r="H122" s="95"/>
      <c r="I122" s="13">
        <v>2119.61</v>
      </c>
      <c r="J122" s="13">
        <v>1874.79</v>
      </c>
      <c r="K122" s="13">
        <v>19.78</v>
      </c>
      <c r="L122" s="13">
        <v>94.06</v>
      </c>
      <c r="M122" s="13">
        <v>2.88</v>
      </c>
      <c r="N122" s="13">
        <v>313</v>
      </c>
      <c r="O122" s="13">
        <v>33.700000000000003</v>
      </c>
      <c r="P122" s="13">
        <v>1.6</v>
      </c>
      <c r="Q122" s="77">
        <v>7.27</v>
      </c>
      <c r="R122" s="13">
        <v>5.37</v>
      </c>
      <c r="S122" s="13">
        <v>1.8600000000000003</v>
      </c>
      <c r="T122" s="13">
        <v>4.7</v>
      </c>
      <c r="U122" s="13">
        <v>7.0000000000000007E-2</v>
      </c>
      <c r="V122" s="13">
        <v>198.44</v>
      </c>
      <c r="W122" s="13">
        <v>13.38</v>
      </c>
      <c r="X122" s="46">
        <f t="shared" si="24"/>
        <v>1.7800000000000011</v>
      </c>
      <c r="Y122" s="46">
        <f t="shared" si="15"/>
        <v>2.6849999999999999E-2</v>
      </c>
      <c r="Z122" s="46">
        <f t="shared" si="16"/>
        <v>2.7061076395887926E-2</v>
      </c>
      <c r="AA122" s="46">
        <f t="shared" si="17"/>
        <v>2.3684740979641204E-2</v>
      </c>
      <c r="AB122" s="47">
        <f t="shared" si="25"/>
        <v>1.6800000000000002</v>
      </c>
      <c r="AC122" s="13">
        <v>34</v>
      </c>
      <c r="AD122" s="13">
        <v>7.1999999999999993</v>
      </c>
      <c r="AE122" s="13">
        <v>50</v>
      </c>
      <c r="AF122" s="36">
        <v>2.9999999999999997E-4</v>
      </c>
      <c r="AG122" s="36">
        <f t="shared" si="18"/>
        <v>7.0652577600000002E-2</v>
      </c>
      <c r="AH122" s="36">
        <f t="shared" si="27"/>
        <v>1.5701405039999998</v>
      </c>
      <c r="AI122" s="13">
        <v>200</v>
      </c>
      <c r="AJ122" s="12">
        <v>1.93941233080938E-2</v>
      </c>
      <c r="AK122" s="36"/>
      <c r="AL122" s="36"/>
      <c r="AM122" s="46">
        <f t="shared" si="19"/>
        <v>0</v>
      </c>
      <c r="AN122" s="46">
        <f t="shared" si="20"/>
        <v>0</v>
      </c>
      <c r="AO122" s="47">
        <f t="shared" si="21"/>
        <v>0</v>
      </c>
      <c r="AP122" s="57">
        <f t="shared" si="26"/>
        <v>0</v>
      </c>
    </row>
    <row r="123" spans="1:42" x14ac:dyDescent="0.25">
      <c r="A123" s="7" t="s">
        <v>45</v>
      </c>
      <c r="B123" s="8" t="s">
        <v>46</v>
      </c>
      <c r="C123" s="8">
        <v>18</v>
      </c>
      <c r="D123" s="8">
        <v>7.1</v>
      </c>
      <c r="E123" s="8">
        <v>32.999999999999993</v>
      </c>
      <c r="F123" s="8">
        <v>5</v>
      </c>
      <c r="G123" s="9">
        <v>45349.261805555601</v>
      </c>
      <c r="H123" s="93"/>
      <c r="I123" s="8">
        <v>2716.05</v>
      </c>
      <c r="J123" s="8"/>
      <c r="K123" s="8">
        <v>21.02</v>
      </c>
      <c r="L123" s="8">
        <v>89</v>
      </c>
      <c r="M123" s="8">
        <v>2.27</v>
      </c>
      <c r="N123" s="8">
        <v>313</v>
      </c>
      <c r="O123" s="8">
        <v>30.5</v>
      </c>
      <c r="P123" s="8">
        <v>1.86</v>
      </c>
      <c r="Q123" s="75">
        <v>7.28</v>
      </c>
      <c r="R123" s="8">
        <v>7.98</v>
      </c>
      <c r="S123" s="8">
        <v>4.6500000000000004</v>
      </c>
      <c r="T123" s="8">
        <v>3.48</v>
      </c>
      <c r="U123" s="8">
        <v>0.2</v>
      </c>
      <c r="V123" s="8">
        <v>198.14</v>
      </c>
      <c r="W123" s="8">
        <v>29.45</v>
      </c>
      <c r="X123" s="42">
        <f t="shared" si="24"/>
        <v>3.2699999999999996</v>
      </c>
      <c r="Y123" s="42">
        <f t="shared" si="15"/>
        <v>3.9900000000000005E-2</v>
      </c>
      <c r="Z123" s="42">
        <f t="shared" si="16"/>
        <v>4.0274553346118909E-2</v>
      </c>
      <c r="AA123" s="42">
        <f t="shared" si="17"/>
        <v>1.7563339053194713E-2</v>
      </c>
      <c r="AB123" s="43">
        <f t="shared" si="25"/>
        <v>4.8000000000000007</v>
      </c>
      <c r="AC123" s="8">
        <v>34</v>
      </c>
      <c r="AD123" s="8">
        <v>7.2</v>
      </c>
      <c r="AE123" s="8">
        <v>50</v>
      </c>
      <c r="AF123" s="26">
        <v>4.0000000000000002E-4</v>
      </c>
      <c r="AG123" s="26">
        <f t="shared" si="18"/>
        <v>9.9957667199999989E-2</v>
      </c>
      <c r="AH123" s="26">
        <f t="shared" si="27"/>
        <v>1.9111135679999998</v>
      </c>
      <c r="AI123" s="8">
        <v>200</v>
      </c>
      <c r="AJ123" s="7">
        <v>1.6244986003526501E-2</v>
      </c>
      <c r="AK123">
        <v>1.5315478942286E-2</v>
      </c>
      <c r="AL123">
        <v>1.2999999999999999E-3</v>
      </c>
      <c r="AM123" s="42">
        <f t="shared" si="19"/>
        <v>0</v>
      </c>
      <c r="AN123" s="42">
        <f t="shared" si="20"/>
        <v>0.12644204156768948</v>
      </c>
      <c r="AO123" s="43">
        <f t="shared" si="21"/>
        <v>0.25758199999999998</v>
      </c>
      <c r="AP123" s="55">
        <f t="shared" ref="AP123:AP170" si="28">IF(IF(AND(AN123=0, AM123=0),0, IF(AN123&gt;0,AN123,AM123))=0,0,IF(AND(AN123=0, AM123=0),0, IF(AN123&gt;0,AN123,AM123)))</f>
        <v>0.12644204156768948</v>
      </c>
    </row>
    <row r="124" spans="1:42" x14ac:dyDescent="0.25">
      <c r="A124" s="2" t="s">
        <v>47</v>
      </c>
      <c r="B124" t="s">
        <v>46</v>
      </c>
      <c r="C124">
        <v>12</v>
      </c>
      <c r="D124">
        <v>7.3</v>
      </c>
      <c r="E124">
        <v>35</v>
      </c>
      <c r="F124">
        <v>5</v>
      </c>
      <c r="G124" s="1">
        <v>45349.266666666699</v>
      </c>
      <c r="I124" s="96">
        <v>2716.05</v>
      </c>
      <c r="K124">
        <v>20.95</v>
      </c>
      <c r="L124">
        <v>90.07</v>
      </c>
      <c r="M124">
        <v>2.44</v>
      </c>
      <c r="N124">
        <v>316</v>
      </c>
      <c r="O124">
        <v>35.5</v>
      </c>
      <c r="P124">
        <v>0.08</v>
      </c>
      <c r="Q124" s="3">
        <v>7.31</v>
      </c>
      <c r="R124">
        <v>10.69</v>
      </c>
      <c r="S124">
        <v>4.7000000000000011</v>
      </c>
      <c r="T124">
        <v>1.04</v>
      </c>
      <c r="U124">
        <v>0.2</v>
      </c>
      <c r="V124">
        <v>196.62</v>
      </c>
      <c r="W124">
        <v>19.05</v>
      </c>
      <c r="X124" s="44">
        <f t="shared" si="24"/>
        <v>3.2700000000000014</v>
      </c>
      <c r="Y124" s="44">
        <f t="shared" si="15"/>
        <v>5.3449999999999998E-2</v>
      </c>
      <c r="Z124" s="44">
        <f t="shared" si="16"/>
        <v>5.4368833282473807E-2</v>
      </c>
      <c r="AA124" s="44">
        <f t="shared" si="17"/>
        <v>5.2893907028786491E-3</v>
      </c>
      <c r="AB124" s="45">
        <f t="shared" si="25"/>
        <v>4.8000000000000007</v>
      </c>
      <c r="AC124">
        <v>34</v>
      </c>
      <c r="AD124">
        <v>7.2</v>
      </c>
      <c r="AE124">
        <v>50</v>
      </c>
      <c r="AF124" s="31">
        <v>4.0000000000000002E-4</v>
      </c>
      <c r="AG124" s="31">
        <f t="shared" si="18"/>
        <v>9.8860535999999999E-2</v>
      </c>
      <c r="AH124" s="31">
        <f t="shared" si="27"/>
        <v>1.44903816</v>
      </c>
      <c r="AI124">
        <v>200</v>
      </c>
      <c r="AJ124" s="2">
        <v>1.75266135060985E-2</v>
      </c>
      <c r="AK124">
        <v>1.7094107107985101E-2</v>
      </c>
      <c r="AL124">
        <v>1.2999999999999999E-3</v>
      </c>
      <c r="AM124" s="44">
        <f t="shared" si="19"/>
        <v>0</v>
      </c>
      <c r="AN124" s="44">
        <f t="shared" si="20"/>
        <v>0.14004347248216795</v>
      </c>
      <c r="AO124" s="45">
        <f t="shared" si="21"/>
        <v>0.255606</v>
      </c>
      <c r="AP124" s="56">
        <f t="shared" si="28"/>
        <v>0.14004347248216795</v>
      </c>
    </row>
    <row r="125" spans="1:42" x14ac:dyDescent="0.25">
      <c r="A125" s="2" t="s">
        <v>48</v>
      </c>
      <c r="B125" t="s">
        <v>49</v>
      </c>
      <c r="C125">
        <v>12</v>
      </c>
      <c r="D125">
        <v>7.2</v>
      </c>
      <c r="E125">
        <v>34</v>
      </c>
      <c r="F125">
        <v>5</v>
      </c>
      <c r="G125" s="1">
        <v>45349.270833333299</v>
      </c>
      <c r="I125" s="96">
        <v>2716.05</v>
      </c>
      <c r="K125">
        <v>20.74</v>
      </c>
      <c r="L125">
        <v>94.46</v>
      </c>
      <c r="M125">
        <v>2.46</v>
      </c>
      <c r="N125">
        <v>331</v>
      </c>
      <c r="O125">
        <v>32.700000000000003</v>
      </c>
      <c r="P125">
        <v>3.02</v>
      </c>
      <c r="Q125" s="3">
        <v>7.26</v>
      </c>
      <c r="R125">
        <v>12</v>
      </c>
      <c r="S125">
        <v>4.879999999999999</v>
      </c>
      <c r="T125">
        <v>3.95</v>
      </c>
      <c r="U125">
        <v>0.2</v>
      </c>
      <c r="V125">
        <v>198.19</v>
      </c>
      <c r="W125">
        <v>19.05</v>
      </c>
      <c r="X125" s="44">
        <f t="shared" si="24"/>
        <v>3.2700000000000014</v>
      </c>
      <c r="Y125" s="44">
        <f t="shared" si="15"/>
        <v>0.06</v>
      </c>
      <c r="Z125" s="44">
        <f t="shared" si="16"/>
        <v>6.0547959029214393E-2</v>
      </c>
      <c r="AA125" s="44">
        <f t="shared" si="17"/>
        <v>1.9930369847116405E-2</v>
      </c>
      <c r="AB125" s="45">
        <f t="shared" si="25"/>
        <v>4.8000000000000007</v>
      </c>
      <c r="AC125">
        <v>34</v>
      </c>
      <c r="AD125">
        <v>7.2</v>
      </c>
      <c r="AE125">
        <v>50</v>
      </c>
      <c r="AF125" s="31">
        <v>4.0000000000000002E-4</v>
      </c>
      <c r="AG125" s="31">
        <f t="shared" si="18"/>
        <v>9.8651054399999993E-2</v>
      </c>
      <c r="AH125" s="31">
        <f t="shared" si="27"/>
        <v>1.6687227743999999</v>
      </c>
      <c r="AI125">
        <v>200</v>
      </c>
      <c r="AJ125" s="2">
        <v>1.7503538825366202E-2</v>
      </c>
      <c r="AM125" s="44">
        <f t="shared" si="19"/>
        <v>0.14586282354471833</v>
      </c>
      <c r="AN125" s="44">
        <f t="shared" si="20"/>
        <v>0</v>
      </c>
      <c r="AO125" s="45">
        <f t="shared" si="21"/>
        <v>0</v>
      </c>
      <c r="AP125" s="56">
        <f t="shared" si="28"/>
        <v>0.14586282354471833</v>
      </c>
    </row>
    <row r="126" spans="1:42" x14ac:dyDescent="0.25">
      <c r="A126" s="2" t="s">
        <v>50</v>
      </c>
      <c r="B126" t="s">
        <v>51</v>
      </c>
      <c r="C126">
        <v>18</v>
      </c>
      <c r="D126">
        <v>7.3</v>
      </c>
      <c r="E126">
        <v>35</v>
      </c>
      <c r="F126">
        <v>5</v>
      </c>
      <c r="G126" s="1">
        <v>45349.275694444397</v>
      </c>
      <c r="I126" s="96">
        <v>2716.05</v>
      </c>
      <c r="K126">
        <v>24.42</v>
      </c>
      <c r="L126">
        <v>91.58</v>
      </c>
      <c r="M126">
        <v>2.2599999999999998</v>
      </c>
      <c r="N126">
        <v>325</v>
      </c>
      <c r="O126">
        <v>26.8</v>
      </c>
      <c r="P126">
        <v>2.83</v>
      </c>
      <c r="Q126" s="3">
        <v>7.27</v>
      </c>
      <c r="R126">
        <v>9.02</v>
      </c>
      <c r="S126">
        <v>2.91</v>
      </c>
      <c r="T126">
        <v>5.57</v>
      </c>
      <c r="U126">
        <v>0.12</v>
      </c>
      <c r="V126">
        <v>196.9</v>
      </c>
      <c r="W126">
        <v>30.25</v>
      </c>
      <c r="X126" s="44">
        <f t="shared" si="24"/>
        <v>3.2699999999999996</v>
      </c>
      <c r="Y126" s="44">
        <f t="shared" si="15"/>
        <v>4.5100000000000001E-2</v>
      </c>
      <c r="Z126" s="44">
        <f t="shared" si="16"/>
        <v>4.5810055865921781E-2</v>
      </c>
      <c r="AA126" s="44">
        <f t="shared" si="17"/>
        <v>2.8288471305231083E-2</v>
      </c>
      <c r="AB126" s="45">
        <f t="shared" si="25"/>
        <v>2.88</v>
      </c>
      <c r="AC126">
        <v>34</v>
      </c>
      <c r="AD126">
        <v>7.2</v>
      </c>
      <c r="AE126">
        <v>50</v>
      </c>
      <c r="AF126" s="31">
        <v>4.0000000000000002E-4</v>
      </c>
      <c r="AG126" s="31">
        <f t="shared" si="18"/>
        <v>0.115399152</v>
      </c>
      <c r="AH126" s="31">
        <f t="shared" si="27"/>
        <v>2.1130379279999998</v>
      </c>
      <c r="AI126">
        <v>200</v>
      </c>
      <c r="AJ126" s="2">
        <v>8.6652505771028007E-3</v>
      </c>
      <c r="AM126" s="44">
        <f t="shared" si="19"/>
        <v>0</v>
      </c>
      <c r="AN126" s="44">
        <f t="shared" si="20"/>
        <v>0</v>
      </c>
      <c r="AO126" s="45">
        <f t="shared" si="21"/>
        <v>0</v>
      </c>
      <c r="AP126" s="56">
        <f t="shared" si="28"/>
        <v>0</v>
      </c>
    </row>
    <row r="127" spans="1:42" x14ac:dyDescent="0.25">
      <c r="A127" s="2" t="s">
        <v>52</v>
      </c>
      <c r="B127" t="s">
        <v>49</v>
      </c>
      <c r="C127">
        <v>18</v>
      </c>
      <c r="D127">
        <v>7.3</v>
      </c>
      <c r="E127">
        <v>35</v>
      </c>
      <c r="F127">
        <v>5</v>
      </c>
      <c r="G127" s="1">
        <v>45349.280555555597</v>
      </c>
      <c r="I127" s="96">
        <v>2716.05</v>
      </c>
      <c r="K127">
        <v>22.97</v>
      </c>
      <c r="L127">
        <v>92.63</v>
      </c>
      <c r="M127">
        <v>2.17</v>
      </c>
      <c r="N127">
        <v>315</v>
      </c>
      <c r="O127">
        <v>30.6</v>
      </c>
      <c r="P127">
        <v>1.67</v>
      </c>
      <c r="Q127" s="3">
        <v>7.27</v>
      </c>
      <c r="R127">
        <v>8.09</v>
      </c>
      <c r="S127">
        <v>2.2799999999999994</v>
      </c>
      <c r="T127">
        <v>4.96</v>
      </c>
      <c r="U127">
        <v>0.09</v>
      </c>
      <c r="V127">
        <v>198.17</v>
      </c>
      <c r="W127">
        <v>29.45</v>
      </c>
      <c r="X127" s="44">
        <f t="shared" si="24"/>
        <v>3.2699999999999996</v>
      </c>
      <c r="Y127" s="44">
        <f t="shared" si="15"/>
        <v>4.045E-2</v>
      </c>
      <c r="Z127" s="44">
        <f t="shared" si="16"/>
        <v>4.082353534843821E-2</v>
      </c>
      <c r="AA127" s="44">
        <f t="shared" si="17"/>
        <v>2.5029015491749511E-2</v>
      </c>
      <c r="AB127" s="45">
        <f t="shared" si="25"/>
        <v>2.16</v>
      </c>
      <c r="AC127">
        <v>34</v>
      </c>
      <c r="AD127">
        <v>7.2</v>
      </c>
      <c r="AE127">
        <v>50</v>
      </c>
      <c r="AF127" s="31">
        <v>4.0000000000000002E-4</v>
      </c>
      <c r="AG127" s="31">
        <f t="shared" si="18"/>
        <v>0.10924715759999999</v>
      </c>
      <c r="AH127" s="31">
        <f t="shared" si="27"/>
        <v>1.9600604639999997</v>
      </c>
      <c r="AI127">
        <v>200</v>
      </c>
      <c r="AJ127" s="2">
        <v>9.0720085633823003E-3</v>
      </c>
      <c r="AM127" s="44">
        <f t="shared" si="19"/>
        <v>7.5600071361519167E-2</v>
      </c>
      <c r="AN127" s="44">
        <f t="shared" si="20"/>
        <v>0</v>
      </c>
      <c r="AO127" s="45">
        <f t="shared" si="21"/>
        <v>0</v>
      </c>
      <c r="AP127" s="56">
        <f t="shared" si="28"/>
        <v>7.5600071361519167E-2</v>
      </c>
    </row>
    <row r="128" spans="1:42" x14ac:dyDescent="0.25">
      <c r="A128" s="2" t="s">
        <v>53</v>
      </c>
      <c r="B128" t="s">
        <v>49</v>
      </c>
      <c r="C128">
        <v>12</v>
      </c>
      <c r="D128">
        <v>7.3</v>
      </c>
      <c r="E128">
        <v>35</v>
      </c>
      <c r="F128">
        <v>5</v>
      </c>
      <c r="G128" s="1">
        <v>45349.285416666702</v>
      </c>
      <c r="I128" s="96">
        <v>2716.05</v>
      </c>
      <c r="K128">
        <v>21.57</v>
      </c>
      <c r="L128">
        <v>94.73</v>
      </c>
      <c r="M128">
        <v>2.4500000000000002</v>
      </c>
      <c r="N128">
        <v>333</v>
      </c>
      <c r="O128">
        <v>29.7</v>
      </c>
      <c r="P128">
        <v>3.83</v>
      </c>
      <c r="Q128" s="3">
        <v>7.24</v>
      </c>
      <c r="R128">
        <v>12.47</v>
      </c>
      <c r="S128">
        <v>5.7699999999999978</v>
      </c>
      <c r="T128">
        <v>4.7300000000000004</v>
      </c>
      <c r="U128">
        <v>0.23</v>
      </c>
      <c r="V128">
        <v>197.52</v>
      </c>
      <c r="W128">
        <v>19.850000000000001</v>
      </c>
      <c r="X128" s="44">
        <f t="shared" si="24"/>
        <v>3.2700000000000031</v>
      </c>
      <c r="Y128" s="44">
        <f t="shared" si="15"/>
        <v>6.2350000000000003E-2</v>
      </c>
      <c r="Z128" s="44">
        <f t="shared" si="16"/>
        <v>6.3132847306601861E-2</v>
      </c>
      <c r="AA128" s="44">
        <f t="shared" si="17"/>
        <v>2.3946942081814502E-2</v>
      </c>
      <c r="AB128" s="45">
        <f t="shared" si="25"/>
        <v>5.5200000000000005</v>
      </c>
      <c r="AC128">
        <v>34</v>
      </c>
      <c r="AD128">
        <v>7.2</v>
      </c>
      <c r="AE128">
        <v>50</v>
      </c>
      <c r="AF128" s="31">
        <v>4.0000000000000002E-4</v>
      </c>
      <c r="AG128" s="31">
        <f t="shared" si="18"/>
        <v>0.10225215360000001</v>
      </c>
      <c r="AH128" s="31">
        <f t="shared" si="27"/>
        <v>1.7056621439999999</v>
      </c>
      <c r="AI128">
        <v>200</v>
      </c>
      <c r="AJ128" s="2">
        <v>2.0949958699216498E-2</v>
      </c>
      <c r="AM128" s="44">
        <f t="shared" si="19"/>
        <v>0.17458298916013748</v>
      </c>
      <c r="AN128" s="44">
        <f t="shared" si="20"/>
        <v>0</v>
      </c>
      <c r="AO128" s="45">
        <f t="shared" si="21"/>
        <v>0</v>
      </c>
      <c r="AP128" s="56">
        <f t="shared" si="28"/>
        <v>0.17458298916013748</v>
      </c>
    </row>
    <row r="129" spans="1:42" x14ac:dyDescent="0.25">
      <c r="A129" s="2" t="s">
        <v>54</v>
      </c>
      <c r="B129" t="s">
        <v>46</v>
      </c>
      <c r="C129">
        <v>18</v>
      </c>
      <c r="D129">
        <v>7.3</v>
      </c>
      <c r="E129">
        <v>35</v>
      </c>
      <c r="F129">
        <v>5</v>
      </c>
      <c r="G129" s="1">
        <v>45349.2902777778</v>
      </c>
      <c r="I129" s="96">
        <v>2716.05</v>
      </c>
      <c r="K129">
        <v>20.92</v>
      </c>
      <c r="L129">
        <v>89.38</v>
      </c>
      <c r="M129">
        <v>2.25</v>
      </c>
      <c r="N129">
        <v>311</v>
      </c>
      <c r="O129">
        <v>31.8</v>
      </c>
      <c r="P129">
        <v>1.08</v>
      </c>
      <c r="Q129" s="3">
        <v>7.29</v>
      </c>
      <c r="R129">
        <v>8.9600000000000009</v>
      </c>
      <c r="S129">
        <v>4.8499999999999996</v>
      </c>
      <c r="T129">
        <v>2.6</v>
      </c>
      <c r="U129">
        <v>0.2</v>
      </c>
      <c r="V129">
        <v>198.35</v>
      </c>
      <c r="W129">
        <v>29.45</v>
      </c>
      <c r="X129" s="44">
        <f t="shared" si="24"/>
        <v>3.2699999999999996</v>
      </c>
      <c r="Y129" s="44">
        <f t="shared" si="15"/>
        <v>4.4800000000000006E-2</v>
      </c>
      <c r="Z129" s="44">
        <f t="shared" si="16"/>
        <v>4.51726745651626E-2</v>
      </c>
      <c r="AA129" s="44">
        <f t="shared" si="17"/>
        <v>1.3108142172926645E-2</v>
      </c>
      <c r="AB129" s="45">
        <f t="shared" si="25"/>
        <v>4.8000000000000007</v>
      </c>
      <c r="AC129">
        <v>34</v>
      </c>
      <c r="AD129">
        <v>7.2</v>
      </c>
      <c r="AE129">
        <v>50</v>
      </c>
      <c r="AF129" s="31">
        <v>4.0000000000000002E-4</v>
      </c>
      <c r="AG129" s="31">
        <f t="shared" si="18"/>
        <v>9.9587567999999987E-2</v>
      </c>
      <c r="AH129" s="31">
        <f t="shared" si="27"/>
        <v>1.7830475567999995</v>
      </c>
      <c r="AI129">
        <v>200</v>
      </c>
      <c r="AJ129" s="2">
        <v>1.8330274373920898E-2</v>
      </c>
      <c r="AK129">
        <v>1.7202246450457901E-2</v>
      </c>
      <c r="AL129">
        <v>1.2999999999999999E-3</v>
      </c>
      <c r="AM129" s="44">
        <f t="shared" si="19"/>
        <v>0</v>
      </c>
      <c r="AN129" s="44">
        <f t="shared" si="20"/>
        <v>0.14216939931034686</v>
      </c>
      <c r="AO129" s="45">
        <f t="shared" si="21"/>
        <v>0.257855</v>
      </c>
      <c r="AP129" s="56">
        <f t="shared" si="28"/>
        <v>0.14216939931034686</v>
      </c>
    </row>
    <row r="130" spans="1:42" x14ac:dyDescent="0.25">
      <c r="A130" s="2" t="s">
        <v>55</v>
      </c>
      <c r="B130" s="96" t="s">
        <v>51</v>
      </c>
      <c r="C130" s="96">
        <v>15</v>
      </c>
      <c r="D130" s="96">
        <v>7.2</v>
      </c>
      <c r="E130" s="96">
        <v>34</v>
      </c>
      <c r="F130" s="96">
        <v>5</v>
      </c>
      <c r="G130" s="97">
        <v>45349.2944444444</v>
      </c>
      <c r="I130" s="96">
        <v>2716.05</v>
      </c>
      <c r="J130" s="96"/>
      <c r="K130" s="96">
        <v>20.87</v>
      </c>
      <c r="L130" s="96">
        <v>90.14</v>
      </c>
      <c r="M130" s="96">
        <v>2.77</v>
      </c>
      <c r="N130" s="96">
        <v>323</v>
      </c>
      <c r="O130" s="96">
        <v>30.1</v>
      </c>
      <c r="P130" s="96">
        <v>1.51</v>
      </c>
      <c r="Q130" s="3">
        <v>7.28</v>
      </c>
      <c r="R130" s="96">
        <v>7.99</v>
      </c>
      <c r="S130" s="96">
        <v>2.4900000000000002</v>
      </c>
      <c r="T130" s="96">
        <v>4.66</v>
      </c>
      <c r="U130" s="96">
        <v>0.1</v>
      </c>
      <c r="V130" s="96">
        <v>197.11</v>
      </c>
      <c r="W130" s="96">
        <v>18.25</v>
      </c>
      <c r="X130" s="102">
        <f t="shared" si="24"/>
        <v>3.2699999999999996</v>
      </c>
      <c r="Y130" s="102">
        <f t="shared" si="15"/>
        <v>3.9949999999999999E-2</v>
      </c>
      <c r="Z130" s="102">
        <f t="shared" si="16"/>
        <v>4.0535741464157067E-2</v>
      </c>
      <c r="AA130" s="102">
        <f t="shared" si="17"/>
        <v>2.3641621429658564E-2</v>
      </c>
      <c r="AB130" s="45">
        <f t="shared" si="25"/>
        <v>2.4000000000000004</v>
      </c>
      <c r="AC130" s="96">
        <v>34</v>
      </c>
      <c r="AD130" s="96">
        <v>7.2</v>
      </c>
      <c r="AE130" s="96">
        <v>50</v>
      </c>
      <c r="AF130" s="100">
        <v>4.0000000000000002E-4</v>
      </c>
      <c r="AG130" s="100">
        <f t="shared" si="18"/>
        <v>9.8728456800000017E-2</v>
      </c>
      <c r="AH130" s="100">
        <f t="shared" si="27"/>
        <v>1.8298360079999996</v>
      </c>
      <c r="AI130" s="96">
        <v>200</v>
      </c>
      <c r="AJ130" s="2">
        <v>1.46499478152295E-2</v>
      </c>
      <c r="AK130" s="96"/>
      <c r="AL130" s="96"/>
      <c r="AM130" s="102">
        <f t="shared" si="19"/>
        <v>0</v>
      </c>
      <c r="AN130" s="102">
        <f t="shared" si="20"/>
        <v>0</v>
      </c>
      <c r="AO130" s="45">
        <f t="shared" si="21"/>
        <v>0</v>
      </c>
      <c r="AP130" s="56">
        <f t="shared" si="28"/>
        <v>0</v>
      </c>
    </row>
    <row r="131" spans="1:42" x14ac:dyDescent="0.25">
      <c r="A131" s="2" t="s">
        <v>56</v>
      </c>
      <c r="B131" t="s">
        <v>49</v>
      </c>
      <c r="C131">
        <v>18</v>
      </c>
      <c r="D131">
        <v>7.1</v>
      </c>
      <c r="E131">
        <v>32.999999999999993</v>
      </c>
      <c r="F131">
        <v>5</v>
      </c>
      <c r="G131" s="1">
        <v>45349.256944444402</v>
      </c>
      <c r="I131" s="96">
        <v>2716.05</v>
      </c>
      <c r="K131">
        <v>22.45</v>
      </c>
      <c r="L131">
        <v>90.23</v>
      </c>
      <c r="M131">
        <v>2.46</v>
      </c>
      <c r="N131">
        <v>334</v>
      </c>
      <c r="O131">
        <v>28.4</v>
      </c>
      <c r="P131">
        <v>4.37</v>
      </c>
      <c r="Q131" s="3">
        <v>7.3</v>
      </c>
      <c r="R131">
        <v>9.92</v>
      </c>
      <c r="S131">
        <v>1.5199999999999996</v>
      </c>
      <c r="T131">
        <v>5.0999999999999996</v>
      </c>
      <c r="U131">
        <v>0.06</v>
      </c>
      <c r="V131">
        <v>200.89</v>
      </c>
      <c r="W131">
        <v>28.65</v>
      </c>
      <c r="X131" s="44">
        <f t="shared" si="24"/>
        <v>3.2699999999999996</v>
      </c>
      <c r="Y131" s="44">
        <f t="shared" ref="Y131:Y194" si="29">R131/AI131</f>
        <v>4.9599999999999998E-2</v>
      </c>
      <c r="Z131" s="44">
        <f t="shared" ref="Z131:Z194" si="30">R131/V131</f>
        <v>4.9380257852556127E-2</v>
      </c>
      <c r="AA131" s="44">
        <f t="shared" ref="AA131:AA194" si="31">T131/V131</f>
        <v>2.5387027726616555E-2</v>
      </c>
      <c r="AB131" s="45">
        <f t="shared" si="25"/>
        <v>1.44</v>
      </c>
      <c r="AC131">
        <v>34</v>
      </c>
      <c r="AD131">
        <v>7.2</v>
      </c>
      <c r="AE131">
        <v>50</v>
      </c>
      <c r="AF131" s="31">
        <v>4.0000000000000002E-4</v>
      </c>
      <c r="AG131" s="31">
        <f t="shared" ref="AG131:AG194" si="32">AF131*K131*V131*0.06</f>
        <v>0.10823953199999999</v>
      </c>
      <c r="AH131" s="31">
        <f t="shared" si="27"/>
        <v>2.1491806463999996</v>
      </c>
      <c r="AI131">
        <v>200</v>
      </c>
      <c r="AJ131" s="2">
        <v>4.7028840942344996E-3</v>
      </c>
      <c r="AM131" s="44">
        <f t="shared" ref="AM131:AM194" si="33">IF(B131="Python",AJ131*AI131/24,0)</f>
        <v>3.9190700785287497E-2</v>
      </c>
      <c r="AN131" s="44">
        <f t="shared" ref="AN131:AN194" si="34">IF(B131="Julia",AK131*V131/24,0)</f>
        <v>0</v>
      </c>
      <c r="AO131" s="45">
        <f t="shared" ref="AO131:AO194" si="35">AL131*V131</f>
        <v>0</v>
      </c>
      <c r="AP131" s="56">
        <f t="shared" si="28"/>
        <v>3.9190700785287497E-2</v>
      </c>
    </row>
    <row r="132" spans="1:42" x14ac:dyDescent="0.25">
      <c r="A132" s="2" t="s">
        <v>57</v>
      </c>
      <c r="B132" t="s">
        <v>46</v>
      </c>
      <c r="C132">
        <v>18</v>
      </c>
      <c r="D132">
        <v>7.2</v>
      </c>
      <c r="E132">
        <v>34</v>
      </c>
      <c r="F132">
        <v>5</v>
      </c>
      <c r="G132" s="1">
        <v>45349.2993055556</v>
      </c>
      <c r="I132" s="96">
        <v>2716.05</v>
      </c>
      <c r="K132">
        <v>23.28</v>
      </c>
      <c r="L132">
        <v>89.65</v>
      </c>
      <c r="M132">
        <v>1.98</v>
      </c>
      <c r="N132">
        <v>312</v>
      </c>
      <c r="O132">
        <v>32</v>
      </c>
      <c r="P132">
        <v>2.17</v>
      </c>
      <c r="Q132" s="3">
        <v>7.3</v>
      </c>
      <c r="R132">
        <v>9.8800000000000008</v>
      </c>
      <c r="S132">
        <v>5</v>
      </c>
      <c r="T132">
        <v>1.61</v>
      </c>
      <c r="U132">
        <v>0.2</v>
      </c>
      <c r="V132">
        <v>198.79</v>
      </c>
      <c r="W132">
        <v>29.45</v>
      </c>
      <c r="X132" s="44">
        <f t="shared" si="24"/>
        <v>3.2699999999999996</v>
      </c>
      <c r="Y132" s="44">
        <f t="shared" si="29"/>
        <v>4.9400000000000006E-2</v>
      </c>
      <c r="Z132" s="44">
        <f t="shared" si="30"/>
        <v>4.9700689169475329E-2</v>
      </c>
      <c r="AA132" s="44">
        <f t="shared" si="31"/>
        <v>8.0989989436088348E-3</v>
      </c>
      <c r="AB132" s="45">
        <f t="shared" si="25"/>
        <v>4.8000000000000007</v>
      </c>
      <c r="AC132">
        <v>34</v>
      </c>
      <c r="AD132">
        <v>7.2</v>
      </c>
      <c r="AE132">
        <v>50</v>
      </c>
      <c r="AF132" s="31">
        <v>4.0000000000000002E-4</v>
      </c>
      <c r="AG132" s="31">
        <f t="shared" si="32"/>
        <v>0.11106794880000001</v>
      </c>
      <c r="AH132" s="31">
        <f t="shared" si="27"/>
        <v>1.5257565215999995</v>
      </c>
      <c r="AI132">
        <v>200</v>
      </c>
      <c r="AJ132" s="2">
        <v>1.99427982095755E-2</v>
      </c>
      <c r="AK132">
        <v>2.1798667275252499E-2</v>
      </c>
      <c r="AL132">
        <v>2.3233782231648101E-3</v>
      </c>
      <c r="AM132" s="44">
        <f t="shared" si="33"/>
        <v>0</v>
      </c>
      <c r="AN132" s="44">
        <f t="shared" si="34"/>
        <v>0.18055654448531019</v>
      </c>
      <c r="AO132" s="45">
        <f t="shared" si="35"/>
        <v>0.4618643569829326</v>
      </c>
      <c r="AP132" s="56">
        <f t="shared" si="28"/>
        <v>0.18055654448531019</v>
      </c>
    </row>
    <row r="133" spans="1:42" x14ac:dyDescent="0.25">
      <c r="A133" s="2" t="s">
        <v>58</v>
      </c>
      <c r="B133" t="s">
        <v>51</v>
      </c>
      <c r="C133">
        <v>18</v>
      </c>
      <c r="D133">
        <v>7.1</v>
      </c>
      <c r="E133">
        <v>32.999999999999993</v>
      </c>
      <c r="F133">
        <v>5</v>
      </c>
      <c r="G133" s="1">
        <v>45349.304166666698</v>
      </c>
      <c r="I133" s="96">
        <v>2716.05</v>
      </c>
      <c r="K133">
        <v>23.85</v>
      </c>
      <c r="L133">
        <v>90.94</v>
      </c>
      <c r="M133">
        <v>1.88</v>
      </c>
      <c r="N133">
        <v>317</v>
      </c>
      <c r="O133">
        <v>31.5</v>
      </c>
      <c r="P133">
        <v>3</v>
      </c>
      <c r="Q133" s="3">
        <v>7.28</v>
      </c>
      <c r="R133">
        <v>9.19</v>
      </c>
      <c r="S133">
        <v>3.01</v>
      </c>
      <c r="T133">
        <v>4.6399999999999997</v>
      </c>
      <c r="U133">
        <v>0.12</v>
      </c>
      <c r="V133">
        <v>206.76</v>
      </c>
      <c r="W133">
        <v>28.65</v>
      </c>
      <c r="X133" s="44">
        <f t="shared" si="24"/>
        <v>3.2699999999999996</v>
      </c>
      <c r="Y133" s="44">
        <f t="shared" si="29"/>
        <v>4.5949999999999998E-2</v>
      </c>
      <c r="Z133" s="44">
        <f t="shared" si="30"/>
        <v>4.4447668794737862E-2</v>
      </c>
      <c r="AA133" s="44">
        <f t="shared" si="31"/>
        <v>2.2441478042174501E-2</v>
      </c>
      <c r="AB133" s="45">
        <f t="shared" si="25"/>
        <v>2.88</v>
      </c>
      <c r="AC133">
        <v>34</v>
      </c>
      <c r="AD133">
        <v>7.2</v>
      </c>
      <c r="AE133">
        <v>50</v>
      </c>
      <c r="AF133" s="31">
        <v>4.0000000000000002E-4</v>
      </c>
      <c r="AG133" s="31">
        <f t="shared" si="32"/>
        <v>0.11834942400000001</v>
      </c>
      <c r="AH133" s="31">
        <f t="shared" si="27"/>
        <v>2.2915270655999995</v>
      </c>
      <c r="AI133">
        <v>200</v>
      </c>
      <c r="AJ133" s="2">
        <v>9.2168515111025005E-3</v>
      </c>
      <c r="AM133" s="44">
        <f t="shared" si="33"/>
        <v>0</v>
      </c>
      <c r="AN133" s="44">
        <f t="shared" si="34"/>
        <v>0</v>
      </c>
      <c r="AO133" s="45">
        <f t="shared" si="35"/>
        <v>0</v>
      </c>
      <c r="AP133" s="56">
        <f t="shared" si="28"/>
        <v>0</v>
      </c>
    </row>
    <row r="134" spans="1:42" x14ac:dyDescent="0.25">
      <c r="A134" s="2" t="s">
        <v>59</v>
      </c>
      <c r="B134" t="s">
        <v>46</v>
      </c>
      <c r="C134">
        <v>15</v>
      </c>
      <c r="D134">
        <v>7.1</v>
      </c>
      <c r="E134">
        <v>32.999999999999993</v>
      </c>
      <c r="F134">
        <v>5</v>
      </c>
      <c r="G134" s="1">
        <v>45349.309027777803</v>
      </c>
      <c r="I134" s="96">
        <v>2716.05</v>
      </c>
      <c r="K134">
        <v>20.420000000000002</v>
      </c>
      <c r="L134">
        <v>90.86</v>
      </c>
      <c r="M134">
        <v>2.34</v>
      </c>
      <c r="N134">
        <v>312</v>
      </c>
      <c r="O134">
        <v>38.1</v>
      </c>
      <c r="P134">
        <v>1.51</v>
      </c>
      <c r="Q134" s="3">
        <v>7.28</v>
      </c>
      <c r="R134">
        <v>8.31</v>
      </c>
      <c r="S134">
        <v>4.9799999999999986</v>
      </c>
      <c r="T134">
        <v>2.52</v>
      </c>
      <c r="U134">
        <v>0.2</v>
      </c>
      <c r="V134">
        <v>199.01</v>
      </c>
      <c r="W134">
        <v>16.649999999999999</v>
      </c>
      <c r="X134" s="44">
        <f t="shared" si="24"/>
        <v>3.2699999999999978</v>
      </c>
      <c r="Y134" s="44">
        <f t="shared" si="29"/>
        <v>4.1550000000000004E-2</v>
      </c>
      <c r="Z134" s="44">
        <f t="shared" si="30"/>
        <v>4.175669564343501E-2</v>
      </c>
      <c r="AA134" s="44">
        <f t="shared" si="31"/>
        <v>1.2662680267323251E-2</v>
      </c>
      <c r="AB134" s="45">
        <f t="shared" si="25"/>
        <v>4.8000000000000007</v>
      </c>
      <c r="AC134">
        <v>34</v>
      </c>
      <c r="AD134">
        <v>7.2</v>
      </c>
      <c r="AE134">
        <v>50</v>
      </c>
      <c r="AF134" s="31">
        <v>4.0000000000000002E-4</v>
      </c>
      <c r="AG134" s="31">
        <f t="shared" si="32"/>
        <v>9.7530820800000015E-2</v>
      </c>
      <c r="AH134" s="31">
        <f t="shared" si="27"/>
        <v>1.6216520111999995</v>
      </c>
      <c r="AI134">
        <v>200</v>
      </c>
      <c r="AJ134" s="2">
        <v>2.3849140055574598E-2</v>
      </c>
      <c r="AK134">
        <v>1.9931869884600301E-2</v>
      </c>
      <c r="AL134">
        <v>1.2999999999999999E-3</v>
      </c>
      <c r="AM134" s="44">
        <f t="shared" si="33"/>
        <v>0</v>
      </c>
      <c r="AN134" s="44">
        <f t="shared" si="34"/>
        <v>0.16527672607226274</v>
      </c>
      <c r="AO134" s="45">
        <f t="shared" si="35"/>
        <v>0.25871299999999997</v>
      </c>
      <c r="AP134" s="56">
        <f t="shared" si="28"/>
        <v>0.16527672607226274</v>
      </c>
    </row>
    <row r="135" spans="1:42" x14ac:dyDescent="0.25">
      <c r="A135" s="2" t="s">
        <v>60</v>
      </c>
      <c r="B135" t="s">
        <v>49</v>
      </c>
      <c r="C135">
        <v>15</v>
      </c>
      <c r="D135">
        <v>7.1</v>
      </c>
      <c r="E135">
        <v>32.999999999999993</v>
      </c>
      <c r="F135">
        <v>5</v>
      </c>
      <c r="G135" s="1">
        <v>45349.314583333296</v>
      </c>
      <c r="I135" s="96">
        <v>2716.05</v>
      </c>
      <c r="K135">
        <v>20.86</v>
      </c>
      <c r="L135">
        <v>92.65</v>
      </c>
      <c r="M135">
        <v>2.29</v>
      </c>
      <c r="N135">
        <v>335</v>
      </c>
      <c r="O135">
        <v>31.9</v>
      </c>
      <c r="P135">
        <v>4.43</v>
      </c>
      <c r="Q135" s="3">
        <v>7.27</v>
      </c>
      <c r="R135">
        <v>11.11</v>
      </c>
      <c r="S135">
        <v>3.870000000000001</v>
      </c>
      <c r="T135">
        <v>4.5199999999999996</v>
      </c>
      <c r="U135">
        <v>0.16</v>
      </c>
      <c r="V135">
        <v>201.61</v>
      </c>
      <c r="W135">
        <v>16.649999999999999</v>
      </c>
      <c r="X135" s="44">
        <f t="shared" si="24"/>
        <v>3.2699999999999978</v>
      </c>
      <c r="Y135" s="44">
        <f t="shared" si="29"/>
        <v>5.5549999999999995E-2</v>
      </c>
      <c r="Z135" s="44">
        <f t="shared" si="30"/>
        <v>5.5106393532066852E-2</v>
      </c>
      <c r="AA135" s="44">
        <f t="shared" si="31"/>
        <v>2.241952284112891E-2</v>
      </c>
      <c r="AB135" s="45">
        <f t="shared" si="25"/>
        <v>3.84</v>
      </c>
      <c r="AC135">
        <v>34</v>
      </c>
      <c r="AD135">
        <v>7.2</v>
      </c>
      <c r="AE135">
        <v>50</v>
      </c>
      <c r="AF135" s="31">
        <v>4.0000000000000002E-4</v>
      </c>
      <c r="AG135" s="31">
        <f t="shared" si="32"/>
        <v>0.10093403040000001</v>
      </c>
      <c r="AH135" s="31">
        <f t="shared" si="27"/>
        <v>2.11754088</v>
      </c>
      <c r="AI135">
        <v>200</v>
      </c>
      <c r="AJ135" s="2">
        <v>1.38875999652251E-2</v>
      </c>
      <c r="AM135" s="44">
        <f t="shared" si="33"/>
        <v>0.11572999971020916</v>
      </c>
      <c r="AN135" s="44">
        <f t="shared" si="34"/>
        <v>0</v>
      </c>
      <c r="AO135" s="45">
        <f t="shared" si="35"/>
        <v>0</v>
      </c>
      <c r="AP135" s="56">
        <f t="shared" si="28"/>
        <v>0.11572999971020916</v>
      </c>
    </row>
    <row r="136" spans="1:42" x14ac:dyDescent="0.25">
      <c r="A136" s="2" t="s">
        <v>61</v>
      </c>
      <c r="B136" t="s">
        <v>46</v>
      </c>
      <c r="C136">
        <v>15</v>
      </c>
      <c r="D136">
        <v>7.3</v>
      </c>
      <c r="E136">
        <v>35</v>
      </c>
      <c r="F136">
        <v>5</v>
      </c>
      <c r="G136" s="1">
        <v>45349.328472222202</v>
      </c>
      <c r="I136" s="96">
        <v>2716.05</v>
      </c>
      <c r="K136">
        <v>20.84</v>
      </c>
      <c r="L136">
        <v>92.76</v>
      </c>
      <c r="M136">
        <v>2.17</v>
      </c>
      <c r="N136">
        <v>305</v>
      </c>
      <c r="O136">
        <v>29.3</v>
      </c>
      <c r="P136">
        <v>1.47</v>
      </c>
      <c r="Q136" s="3">
        <v>7.28</v>
      </c>
      <c r="R136">
        <v>9.2799999999999994</v>
      </c>
      <c r="S136">
        <v>5.01</v>
      </c>
      <c r="T136">
        <v>1.44</v>
      </c>
      <c r="U136">
        <v>0.2</v>
      </c>
      <c r="V136">
        <v>197.53</v>
      </c>
      <c r="W136">
        <v>17.63</v>
      </c>
      <c r="X136" s="44">
        <f t="shared" si="24"/>
        <v>4.2499999999999982</v>
      </c>
      <c r="Y136" s="44">
        <f t="shared" si="29"/>
        <v>4.6399999999999997E-2</v>
      </c>
      <c r="Z136" s="44">
        <f t="shared" si="30"/>
        <v>4.6980205538399225E-2</v>
      </c>
      <c r="AA136" s="44">
        <f t="shared" si="31"/>
        <v>7.2900318938895351E-3</v>
      </c>
      <c r="AB136" s="45">
        <f t="shared" si="25"/>
        <v>4.8000000000000007</v>
      </c>
      <c r="AC136">
        <v>34</v>
      </c>
      <c r="AD136">
        <v>7.2</v>
      </c>
      <c r="AE136">
        <v>50</v>
      </c>
      <c r="AF136" s="31">
        <v>4.0000000000000002E-4</v>
      </c>
      <c r="AG136" s="31">
        <f t="shared" si="32"/>
        <v>9.8796604799999993E-2</v>
      </c>
      <c r="AH136" s="31">
        <f t="shared" si="27"/>
        <v>1.5490869840000001</v>
      </c>
      <c r="AI136">
        <v>200</v>
      </c>
      <c r="AJ136" s="2">
        <v>3.0216911531463501E-2</v>
      </c>
      <c r="AK136">
        <v>2.2022153482366E-2</v>
      </c>
      <c r="AL136">
        <v>1.38983215193709E-3</v>
      </c>
      <c r="AM136" s="44">
        <f t="shared" si="33"/>
        <v>0</v>
      </c>
      <c r="AN136" s="44">
        <f t="shared" si="34"/>
        <v>0.18125149905715651</v>
      </c>
      <c r="AO136" s="45">
        <f t="shared" si="35"/>
        <v>0.27453354497213339</v>
      </c>
      <c r="AP136" s="56">
        <f t="shared" si="28"/>
        <v>0.18125149905715651</v>
      </c>
    </row>
    <row r="137" spans="1:42" x14ac:dyDescent="0.25">
      <c r="A137" s="2" t="s">
        <v>62</v>
      </c>
      <c r="B137" t="s">
        <v>49</v>
      </c>
      <c r="C137">
        <v>18</v>
      </c>
      <c r="D137">
        <v>7.2</v>
      </c>
      <c r="E137">
        <v>34</v>
      </c>
      <c r="F137">
        <v>5</v>
      </c>
      <c r="G137" s="1">
        <v>45349.34375</v>
      </c>
      <c r="I137" s="96">
        <v>2716.05</v>
      </c>
      <c r="K137">
        <v>22.85</v>
      </c>
      <c r="L137">
        <v>92.35</v>
      </c>
      <c r="M137">
        <v>2.1</v>
      </c>
      <c r="N137">
        <v>324</v>
      </c>
      <c r="O137">
        <v>30.6</v>
      </c>
      <c r="P137">
        <v>3.77</v>
      </c>
      <c r="Q137" s="3">
        <v>7.27</v>
      </c>
      <c r="R137">
        <v>9.9499999999999993</v>
      </c>
      <c r="S137">
        <v>3.120000000000001</v>
      </c>
      <c r="T137">
        <v>4.8499999999999996</v>
      </c>
      <c r="U137">
        <v>0.13</v>
      </c>
      <c r="V137">
        <v>200.16</v>
      </c>
      <c r="W137">
        <v>29.63</v>
      </c>
      <c r="X137" s="44">
        <f t="shared" si="24"/>
        <v>4.25</v>
      </c>
      <c r="Y137" s="44">
        <f t="shared" si="29"/>
        <v>4.9749999999999996E-2</v>
      </c>
      <c r="Z137" s="44">
        <f t="shared" si="30"/>
        <v>4.971023181454836E-2</v>
      </c>
      <c r="AA137" s="44">
        <f t="shared" si="31"/>
        <v>2.4230615507593922E-2</v>
      </c>
      <c r="AB137" s="45">
        <f t="shared" si="25"/>
        <v>3.12</v>
      </c>
      <c r="AC137">
        <v>34</v>
      </c>
      <c r="AD137">
        <v>7.2</v>
      </c>
      <c r="AE137">
        <v>50</v>
      </c>
      <c r="AF137" s="31">
        <v>4.0000000000000002E-4</v>
      </c>
      <c r="AG137" s="31">
        <f t="shared" si="32"/>
        <v>0.109767744</v>
      </c>
      <c r="AH137" s="31">
        <f t="shared" si="27"/>
        <v>1.8868152959999995</v>
      </c>
      <c r="AI137">
        <v>200</v>
      </c>
      <c r="AJ137" s="2">
        <v>9.5100602621331996E-3</v>
      </c>
      <c r="AM137" s="44">
        <f t="shared" si="33"/>
        <v>7.9250502184443336E-2</v>
      </c>
      <c r="AN137" s="44">
        <f t="shared" si="34"/>
        <v>0</v>
      </c>
      <c r="AO137" s="45">
        <f t="shared" si="35"/>
        <v>0</v>
      </c>
      <c r="AP137" s="56">
        <f t="shared" si="28"/>
        <v>7.9250502184443336E-2</v>
      </c>
    </row>
    <row r="138" spans="1:42" x14ac:dyDescent="0.25">
      <c r="A138" s="2" t="s">
        <v>63</v>
      </c>
      <c r="B138" t="s">
        <v>51</v>
      </c>
      <c r="C138">
        <v>12</v>
      </c>
      <c r="D138">
        <v>7.1</v>
      </c>
      <c r="E138">
        <v>32.999999999999993</v>
      </c>
      <c r="F138">
        <v>5</v>
      </c>
      <c r="G138" s="1">
        <v>45349.338194444397</v>
      </c>
      <c r="I138" s="96">
        <v>2716.05</v>
      </c>
      <c r="K138">
        <v>20.2</v>
      </c>
      <c r="L138">
        <v>93.45</v>
      </c>
      <c r="M138">
        <v>2.4500000000000002</v>
      </c>
      <c r="N138">
        <v>317</v>
      </c>
      <c r="O138">
        <v>37.799999999999997</v>
      </c>
      <c r="P138">
        <v>1.87</v>
      </c>
      <c r="Q138" s="3">
        <v>7.27</v>
      </c>
      <c r="R138">
        <v>7.36</v>
      </c>
      <c r="S138">
        <v>2.4299999999999988</v>
      </c>
      <c r="T138">
        <v>3.94</v>
      </c>
      <c r="U138">
        <v>0.1</v>
      </c>
      <c r="V138">
        <v>197.04</v>
      </c>
      <c r="W138">
        <v>17.45</v>
      </c>
      <c r="X138" s="44">
        <f t="shared" si="24"/>
        <v>3.2699999999999996</v>
      </c>
      <c r="Y138" s="44">
        <f t="shared" si="29"/>
        <v>3.6799999999999999E-2</v>
      </c>
      <c r="Z138" s="44">
        <f t="shared" si="30"/>
        <v>3.7352821762078769E-2</v>
      </c>
      <c r="AA138" s="44">
        <f t="shared" si="31"/>
        <v>1.9995939910678034E-2</v>
      </c>
      <c r="AB138" s="45">
        <f t="shared" si="25"/>
        <v>2.4000000000000004</v>
      </c>
      <c r="AC138">
        <v>34</v>
      </c>
      <c r="AD138">
        <v>7.2</v>
      </c>
      <c r="AE138">
        <v>50</v>
      </c>
      <c r="AF138" s="31">
        <v>4.0000000000000002E-4</v>
      </c>
      <c r="AG138" s="31">
        <f t="shared" si="32"/>
        <v>9.5524992000000003E-2</v>
      </c>
      <c r="AH138" s="31">
        <f t="shared" si="27"/>
        <v>1.8592349039999996</v>
      </c>
      <c r="AI138">
        <v>200</v>
      </c>
      <c r="AJ138" s="2">
        <v>2.15245357049366E-2</v>
      </c>
      <c r="AM138" s="44">
        <f t="shared" si="33"/>
        <v>0</v>
      </c>
      <c r="AN138" s="44">
        <f t="shared" si="34"/>
        <v>0</v>
      </c>
      <c r="AO138" s="45">
        <f t="shared" si="35"/>
        <v>0</v>
      </c>
      <c r="AP138" s="56">
        <f t="shared" si="28"/>
        <v>0</v>
      </c>
    </row>
    <row r="139" spans="1:42" x14ac:dyDescent="0.25">
      <c r="A139" s="2" t="s">
        <v>64</v>
      </c>
      <c r="B139" t="s">
        <v>46</v>
      </c>
      <c r="C139">
        <v>12</v>
      </c>
      <c r="D139">
        <v>7.1</v>
      </c>
      <c r="E139">
        <v>32.999999999999993</v>
      </c>
      <c r="F139">
        <v>5</v>
      </c>
      <c r="G139" s="1">
        <v>45349.348611111098</v>
      </c>
      <c r="I139" s="96">
        <v>2716.05</v>
      </c>
      <c r="K139">
        <v>19.920000000000002</v>
      </c>
      <c r="L139">
        <v>93.67</v>
      </c>
      <c r="M139">
        <v>2.2799999999999998</v>
      </c>
      <c r="N139">
        <v>312</v>
      </c>
      <c r="O139">
        <v>29.9</v>
      </c>
      <c r="P139">
        <v>2.63</v>
      </c>
      <c r="Q139" s="3">
        <v>7.28</v>
      </c>
      <c r="R139">
        <v>8.57</v>
      </c>
      <c r="S139">
        <v>5.08</v>
      </c>
      <c r="T139">
        <v>1.64</v>
      </c>
      <c r="U139">
        <v>0.2</v>
      </c>
      <c r="V139">
        <v>198.15</v>
      </c>
      <c r="W139">
        <v>16.649999999999999</v>
      </c>
      <c r="X139" s="44">
        <f t="shared" si="24"/>
        <v>3.2699999999999978</v>
      </c>
      <c r="Y139" s="44">
        <f t="shared" si="29"/>
        <v>4.2849999999999999E-2</v>
      </c>
      <c r="Z139" s="44">
        <f t="shared" si="30"/>
        <v>4.3250063083522583E-2</v>
      </c>
      <c r="AA139" s="44">
        <f t="shared" si="31"/>
        <v>8.2765581630078223E-3</v>
      </c>
      <c r="AB139" s="45">
        <f t="shared" si="25"/>
        <v>4.8000000000000007</v>
      </c>
      <c r="AC139">
        <v>34</v>
      </c>
      <c r="AD139">
        <v>7.2</v>
      </c>
      <c r="AE139">
        <v>50</v>
      </c>
      <c r="AF139" s="31">
        <v>4.0000000000000002E-4</v>
      </c>
      <c r="AG139" s="31">
        <f t="shared" si="32"/>
        <v>9.4731552000000024E-2</v>
      </c>
      <c r="AH139" s="31">
        <f t="shared" si="27"/>
        <v>1.61610228</v>
      </c>
      <c r="AI139">
        <v>200</v>
      </c>
      <c r="AJ139" s="2">
        <v>2.8306534985264701E-2</v>
      </c>
      <c r="AK139">
        <v>2.4E-2</v>
      </c>
      <c r="AL139">
        <v>5.0839136387367803E-3</v>
      </c>
      <c r="AM139" s="44">
        <f t="shared" si="33"/>
        <v>0</v>
      </c>
      <c r="AN139" s="44">
        <f t="shared" si="34"/>
        <v>0.19815000000000002</v>
      </c>
      <c r="AO139" s="45">
        <f t="shared" si="35"/>
        <v>1.0073774875156931</v>
      </c>
      <c r="AP139" s="56">
        <f t="shared" si="28"/>
        <v>0.19815000000000002</v>
      </c>
    </row>
    <row r="140" spans="1:42" x14ac:dyDescent="0.25">
      <c r="A140" s="2" t="s">
        <v>65</v>
      </c>
      <c r="B140" t="s">
        <v>49</v>
      </c>
      <c r="C140">
        <v>15</v>
      </c>
      <c r="D140">
        <v>7.3</v>
      </c>
      <c r="E140">
        <v>35</v>
      </c>
      <c r="F140">
        <v>5</v>
      </c>
      <c r="G140" s="1">
        <v>45349.353472222203</v>
      </c>
      <c r="I140" s="96">
        <v>2716.05</v>
      </c>
      <c r="K140">
        <v>21.36</v>
      </c>
      <c r="L140">
        <v>92.57</v>
      </c>
      <c r="M140">
        <v>2.38</v>
      </c>
      <c r="N140">
        <v>330</v>
      </c>
      <c r="O140">
        <v>31</v>
      </c>
      <c r="P140">
        <v>3.74</v>
      </c>
      <c r="Q140" s="3">
        <v>7.27</v>
      </c>
      <c r="R140">
        <v>10.55</v>
      </c>
      <c r="S140">
        <v>3.7299999999999986</v>
      </c>
      <c r="T140">
        <v>5.65</v>
      </c>
      <c r="U140">
        <v>0.15</v>
      </c>
      <c r="V140">
        <v>200.33</v>
      </c>
      <c r="W140">
        <v>17.45</v>
      </c>
      <c r="X140" s="44">
        <f t="shared" si="24"/>
        <v>3.2699999999999996</v>
      </c>
      <c r="Y140" s="44">
        <f t="shared" si="29"/>
        <v>5.2750000000000005E-2</v>
      </c>
      <c r="Z140" s="44">
        <f t="shared" si="30"/>
        <v>5.2663105875305746E-2</v>
      </c>
      <c r="AA140" s="44">
        <f t="shared" si="31"/>
        <v>2.8203464283931515E-2</v>
      </c>
      <c r="AB140" s="45">
        <f t="shared" si="25"/>
        <v>3.5999999999999996</v>
      </c>
      <c r="AC140">
        <v>34</v>
      </c>
      <c r="AD140">
        <v>7.2</v>
      </c>
      <c r="AE140">
        <v>50</v>
      </c>
      <c r="AF140" s="31">
        <v>4.0000000000000002E-4</v>
      </c>
      <c r="AG140" s="31">
        <f t="shared" si="32"/>
        <v>0.10269717119999999</v>
      </c>
      <c r="AH140" s="31">
        <f t="shared" si="27"/>
        <v>1.9879402319999993</v>
      </c>
      <c r="AI140">
        <v>200</v>
      </c>
      <c r="AJ140" s="2">
        <v>1.35950065895033E-2</v>
      </c>
      <c r="AM140" s="44">
        <f t="shared" si="33"/>
        <v>0.11329172157919416</v>
      </c>
      <c r="AN140" s="44">
        <f t="shared" si="34"/>
        <v>0</v>
      </c>
      <c r="AO140" s="45">
        <f t="shared" si="35"/>
        <v>0</v>
      </c>
      <c r="AP140" s="56">
        <f t="shared" si="28"/>
        <v>0.11329172157919416</v>
      </c>
    </row>
    <row r="141" spans="1:42" x14ac:dyDescent="0.25">
      <c r="A141" s="2" t="s">
        <v>66</v>
      </c>
      <c r="B141" t="s">
        <v>46</v>
      </c>
      <c r="C141">
        <v>12</v>
      </c>
      <c r="D141">
        <v>7.2</v>
      </c>
      <c r="E141">
        <v>34</v>
      </c>
      <c r="F141">
        <v>5</v>
      </c>
      <c r="G141" s="1">
        <v>45349.358333333301</v>
      </c>
      <c r="I141" s="96">
        <v>2716.05</v>
      </c>
      <c r="K141">
        <v>20.43</v>
      </c>
      <c r="L141">
        <v>94.54</v>
      </c>
      <c r="M141">
        <v>1.96</v>
      </c>
      <c r="N141">
        <v>306</v>
      </c>
      <c r="O141">
        <v>35.200000000000003</v>
      </c>
      <c r="P141">
        <v>1.85</v>
      </c>
      <c r="Q141" s="3">
        <v>7.26</v>
      </c>
      <c r="R141">
        <v>8.86</v>
      </c>
      <c r="S141">
        <v>5.0300000000000011</v>
      </c>
      <c r="T141">
        <v>1.35</v>
      </c>
      <c r="U141">
        <v>0.2</v>
      </c>
      <c r="V141">
        <v>196.42</v>
      </c>
      <c r="W141">
        <v>18.25</v>
      </c>
      <c r="X141" s="44">
        <f t="shared" si="24"/>
        <v>3.2699999999999996</v>
      </c>
      <c r="Y141" s="44">
        <f t="shared" si="29"/>
        <v>4.4299999999999999E-2</v>
      </c>
      <c r="Z141" s="44">
        <f t="shared" si="30"/>
        <v>4.510742286936157E-2</v>
      </c>
      <c r="AA141" s="44">
        <f t="shared" si="31"/>
        <v>6.8730271866408723E-3</v>
      </c>
      <c r="AB141" s="45">
        <f t="shared" si="25"/>
        <v>4.8000000000000007</v>
      </c>
      <c r="AC141">
        <v>34</v>
      </c>
      <c r="AD141">
        <v>7.2</v>
      </c>
      <c r="AE141">
        <v>50</v>
      </c>
      <c r="AF141" s="31">
        <v>4.0000000000000002E-4</v>
      </c>
      <c r="AG141" s="31">
        <f t="shared" si="32"/>
        <v>9.6308654399999999E-2</v>
      </c>
      <c r="AH141" s="31">
        <f t="shared" si="27"/>
        <v>1.9106570303999999</v>
      </c>
      <c r="AI141">
        <v>200</v>
      </c>
      <c r="AJ141" s="2">
        <v>3.1835948330355898E-2</v>
      </c>
      <c r="AK141">
        <v>2.4E-2</v>
      </c>
      <c r="AL141">
        <v>6.7487319092825902E-3</v>
      </c>
      <c r="AM141" s="44">
        <f t="shared" si="33"/>
        <v>0</v>
      </c>
      <c r="AN141" s="44">
        <f t="shared" si="34"/>
        <v>0.19642000000000001</v>
      </c>
      <c r="AO141" s="45">
        <f t="shared" si="35"/>
        <v>1.3255859216212862</v>
      </c>
      <c r="AP141" s="56">
        <f t="shared" si="28"/>
        <v>0.19642000000000001</v>
      </c>
    </row>
    <row r="142" spans="1:42" x14ac:dyDescent="0.25">
      <c r="A142" s="2" t="s">
        <v>67</v>
      </c>
      <c r="B142" t="s">
        <v>49</v>
      </c>
      <c r="C142">
        <v>12</v>
      </c>
      <c r="D142">
        <v>7.1</v>
      </c>
      <c r="E142">
        <v>32.999999999999993</v>
      </c>
      <c r="F142">
        <v>5</v>
      </c>
      <c r="G142" s="1">
        <v>45349.363194444399</v>
      </c>
      <c r="I142" s="96">
        <v>2716.05</v>
      </c>
      <c r="K142">
        <v>21.12</v>
      </c>
      <c r="L142">
        <v>93.5</v>
      </c>
      <c r="M142">
        <v>2.56</v>
      </c>
      <c r="N142">
        <v>334</v>
      </c>
      <c r="O142">
        <v>29.3</v>
      </c>
      <c r="P142">
        <v>3.22</v>
      </c>
      <c r="Q142" s="3">
        <v>7.26</v>
      </c>
      <c r="R142">
        <v>11.33</v>
      </c>
      <c r="S142">
        <v>4.4700000000000006</v>
      </c>
      <c r="T142">
        <v>4.0199999999999996</v>
      </c>
      <c r="U142">
        <v>0.18</v>
      </c>
      <c r="V142">
        <v>199.3</v>
      </c>
      <c r="W142">
        <v>17.45</v>
      </c>
      <c r="X142" s="44">
        <f t="shared" si="24"/>
        <v>3.2699999999999996</v>
      </c>
      <c r="Y142" s="44">
        <f t="shared" si="29"/>
        <v>5.6649999999999999E-2</v>
      </c>
      <c r="Z142" s="44">
        <f t="shared" si="30"/>
        <v>5.6848971399899646E-2</v>
      </c>
      <c r="AA142" s="44">
        <f t="shared" si="31"/>
        <v>2.0170597089814345E-2</v>
      </c>
      <c r="AB142" s="45">
        <f t="shared" si="25"/>
        <v>4.32</v>
      </c>
      <c r="AC142">
        <v>34</v>
      </c>
      <c r="AD142">
        <v>7.2</v>
      </c>
      <c r="AE142">
        <v>50</v>
      </c>
      <c r="AF142" s="31">
        <v>4.0000000000000002E-4</v>
      </c>
      <c r="AG142" s="31">
        <f t="shared" si="32"/>
        <v>0.10102118400000001</v>
      </c>
      <c r="AH142" s="31">
        <f t="shared" si="27"/>
        <v>1.6478736767999997</v>
      </c>
      <c r="AI142">
        <v>200</v>
      </c>
      <c r="AJ142" s="2">
        <v>1.40533484386441E-2</v>
      </c>
      <c r="AM142" s="44">
        <f t="shared" si="33"/>
        <v>0.11711123698870084</v>
      </c>
      <c r="AN142" s="44">
        <f t="shared" si="34"/>
        <v>0</v>
      </c>
      <c r="AO142" s="45">
        <f t="shared" si="35"/>
        <v>0</v>
      </c>
      <c r="AP142" s="56">
        <f t="shared" si="28"/>
        <v>0.11711123698870084</v>
      </c>
    </row>
    <row r="143" spans="1:42" x14ac:dyDescent="0.25">
      <c r="A143" s="2" t="s">
        <v>68</v>
      </c>
      <c r="B143" t="s">
        <v>51</v>
      </c>
      <c r="C143">
        <v>12</v>
      </c>
      <c r="D143">
        <v>7.3</v>
      </c>
      <c r="E143">
        <v>35</v>
      </c>
      <c r="F143">
        <v>5</v>
      </c>
      <c r="G143" s="1">
        <v>45349.367361111101</v>
      </c>
      <c r="I143" s="96">
        <v>2716.05</v>
      </c>
      <c r="K143">
        <v>19.73</v>
      </c>
      <c r="L143">
        <v>92.56</v>
      </c>
      <c r="M143">
        <v>2.4700000000000002</v>
      </c>
      <c r="N143">
        <v>320</v>
      </c>
      <c r="O143">
        <v>38.1</v>
      </c>
      <c r="P143">
        <v>2.67</v>
      </c>
      <c r="Q143" s="3">
        <v>7.28</v>
      </c>
      <c r="R143">
        <v>6.61</v>
      </c>
      <c r="S143">
        <v>2.38</v>
      </c>
      <c r="T143">
        <v>5.4</v>
      </c>
      <c r="U143">
        <v>0.09</v>
      </c>
      <c r="V143">
        <v>196.83</v>
      </c>
      <c r="W143">
        <v>17.45</v>
      </c>
      <c r="X143" s="44">
        <f t="shared" si="24"/>
        <v>3.2699999999999996</v>
      </c>
      <c r="Y143" s="44">
        <f t="shared" si="29"/>
        <v>3.3050000000000003E-2</v>
      </c>
      <c r="Z143" s="44">
        <f t="shared" si="30"/>
        <v>3.3582279124117258E-2</v>
      </c>
      <c r="AA143" s="44">
        <f t="shared" si="31"/>
        <v>2.7434842249657063E-2</v>
      </c>
      <c r="AB143" s="45">
        <f t="shared" si="25"/>
        <v>2.16</v>
      </c>
      <c r="AC143">
        <v>34</v>
      </c>
      <c r="AD143">
        <v>7.2</v>
      </c>
      <c r="AE143">
        <v>50</v>
      </c>
      <c r="AF143" s="31">
        <v>4.0000000000000002E-4</v>
      </c>
      <c r="AG143" s="31">
        <f t="shared" si="32"/>
        <v>9.3202941600000005E-2</v>
      </c>
      <c r="AH143" s="31">
        <f t="shared" si="27"/>
        <v>1.7084139839999999</v>
      </c>
      <c r="AI143">
        <v>200</v>
      </c>
      <c r="AJ143" s="2">
        <v>2.2889441660438901E-2</v>
      </c>
      <c r="AM143" s="44">
        <f t="shared" si="33"/>
        <v>0</v>
      </c>
      <c r="AN143" s="44">
        <f t="shared" si="34"/>
        <v>0</v>
      </c>
      <c r="AO143" s="45">
        <f t="shared" si="35"/>
        <v>0</v>
      </c>
      <c r="AP143" s="56">
        <f t="shared" si="28"/>
        <v>0</v>
      </c>
    </row>
    <row r="144" spans="1:42" x14ac:dyDescent="0.25">
      <c r="A144" s="2" t="s">
        <v>69</v>
      </c>
      <c r="B144" t="s">
        <v>51</v>
      </c>
      <c r="C144">
        <v>15</v>
      </c>
      <c r="D144">
        <v>7.2</v>
      </c>
      <c r="E144">
        <v>34</v>
      </c>
      <c r="F144">
        <v>5</v>
      </c>
      <c r="G144" s="1">
        <v>45349.370833333298</v>
      </c>
      <c r="I144" s="96">
        <v>2716.05</v>
      </c>
      <c r="K144">
        <v>21.27</v>
      </c>
      <c r="L144">
        <v>92.18</v>
      </c>
      <c r="M144">
        <v>2.5299999999999998</v>
      </c>
      <c r="N144">
        <v>325</v>
      </c>
      <c r="O144">
        <v>37.299999999999997</v>
      </c>
      <c r="P144">
        <v>1.75</v>
      </c>
      <c r="Q144" s="3">
        <v>7.29</v>
      </c>
      <c r="R144">
        <v>8.01</v>
      </c>
      <c r="S144">
        <v>2.6099999999999994</v>
      </c>
      <c r="T144">
        <v>4.7699999999999996</v>
      </c>
      <c r="U144">
        <v>0.1</v>
      </c>
      <c r="V144">
        <v>199.23</v>
      </c>
      <c r="W144">
        <v>16.649999999999999</v>
      </c>
      <c r="X144" s="44">
        <f t="shared" si="24"/>
        <v>3.2699999999999978</v>
      </c>
      <c r="Y144" s="44">
        <f t="shared" si="29"/>
        <v>4.0050000000000002E-2</v>
      </c>
      <c r="Z144" s="44">
        <f t="shared" si="30"/>
        <v>4.0204788435476584E-2</v>
      </c>
      <c r="AA144" s="44">
        <f t="shared" si="31"/>
        <v>2.3942177382924257E-2</v>
      </c>
      <c r="AB144" s="45">
        <f t="shared" si="25"/>
        <v>2.4000000000000004</v>
      </c>
      <c r="AC144">
        <v>34</v>
      </c>
      <c r="AD144">
        <v>7.2</v>
      </c>
      <c r="AE144">
        <v>50</v>
      </c>
      <c r="AF144" s="31">
        <v>4.0000000000000002E-4</v>
      </c>
      <c r="AG144" s="31">
        <f t="shared" si="32"/>
        <v>0.10170293039999999</v>
      </c>
      <c r="AH144" s="31">
        <f t="shared" si="27"/>
        <v>1.9036188863999999</v>
      </c>
      <c r="AI144">
        <v>200</v>
      </c>
      <c r="AJ144" s="2">
        <v>1.2053138168873901E-2</v>
      </c>
      <c r="AM144" s="44">
        <f t="shared" si="33"/>
        <v>0</v>
      </c>
      <c r="AN144" s="44">
        <f t="shared" si="34"/>
        <v>0</v>
      </c>
      <c r="AO144" s="45">
        <f t="shared" si="35"/>
        <v>0</v>
      </c>
      <c r="AP144" s="56">
        <f t="shared" si="28"/>
        <v>0</v>
      </c>
    </row>
    <row r="145" spans="1:42" x14ac:dyDescent="0.25">
      <c r="A145" s="2" t="s">
        <v>70</v>
      </c>
      <c r="B145" t="s">
        <v>51</v>
      </c>
      <c r="C145">
        <v>15</v>
      </c>
      <c r="D145">
        <v>7.2</v>
      </c>
      <c r="E145">
        <v>34</v>
      </c>
      <c r="F145">
        <v>5</v>
      </c>
      <c r="G145" s="1">
        <v>45349.375</v>
      </c>
      <c r="I145" s="96">
        <v>2716.05</v>
      </c>
      <c r="K145">
        <v>21.36</v>
      </c>
      <c r="L145">
        <v>93.59</v>
      </c>
      <c r="M145">
        <v>2.31</v>
      </c>
      <c r="N145">
        <v>316</v>
      </c>
      <c r="O145">
        <v>28.7</v>
      </c>
      <c r="P145">
        <v>2.21</v>
      </c>
      <c r="Q145" s="3">
        <v>7.28</v>
      </c>
      <c r="R145">
        <v>7.92</v>
      </c>
      <c r="S145">
        <v>2.59</v>
      </c>
      <c r="T145">
        <v>4.4000000000000004</v>
      </c>
      <c r="U145">
        <v>0.1</v>
      </c>
      <c r="V145">
        <v>197.72</v>
      </c>
      <c r="W145">
        <v>16.649999999999999</v>
      </c>
      <c r="X145" s="44">
        <f t="shared" si="24"/>
        <v>3.2699999999999978</v>
      </c>
      <c r="Y145" s="44">
        <f t="shared" si="29"/>
        <v>3.9599999999999996E-2</v>
      </c>
      <c r="Z145" s="44">
        <f t="shared" si="30"/>
        <v>4.0056645761683191E-2</v>
      </c>
      <c r="AA145" s="44">
        <f t="shared" si="31"/>
        <v>2.2253692089823994E-2</v>
      </c>
      <c r="AB145" s="45">
        <f t="shared" si="25"/>
        <v>2.4000000000000004</v>
      </c>
      <c r="AC145">
        <v>34</v>
      </c>
      <c r="AD145">
        <v>7.2</v>
      </c>
      <c r="AE145">
        <v>50</v>
      </c>
      <c r="AF145" s="31">
        <v>4.0000000000000002E-4</v>
      </c>
      <c r="AG145" s="31">
        <f t="shared" si="32"/>
        <v>0.10135918079999999</v>
      </c>
      <c r="AH145" s="31">
        <f t="shared" si="27"/>
        <v>1.9540040399999998</v>
      </c>
      <c r="AI145">
        <v>200</v>
      </c>
      <c r="AJ145" s="2">
        <v>1.32161526172781E-2</v>
      </c>
      <c r="AM145" s="44">
        <f t="shared" si="33"/>
        <v>0</v>
      </c>
      <c r="AN145" s="44">
        <f t="shared" si="34"/>
        <v>0</v>
      </c>
      <c r="AO145" s="45">
        <f t="shared" si="35"/>
        <v>0</v>
      </c>
      <c r="AP145" s="56">
        <f t="shared" si="28"/>
        <v>0</v>
      </c>
    </row>
    <row r="146" spans="1:42" ht="15.75" thickBot="1" x14ac:dyDescent="0.3">
      <c r="A146" s="12" t="s">
        <v>71</v>
      </c>
      <c r="B146" s="13" t="s">
        <v>51</v>
      </c>
      <c r="C146" s="13">
        <v>15</v>
      </c>
      <c r="D146" s="13">
        <v>7.2</v>
      </c>
      <c r="E146" s="13">
        <v>34</v>
      </c>
      <c r="F146" s="13">
        <v>5</v>
      </c>
      <c r="G146" s="14">
        <v>45349.379861111098</v>
      </c>
      <c r="H146" s="95"/>
      <c r="I146" s="13">
        <v>2716.05</v>
      </c>
      <c r="J146" s="13"/>
      <c r="K146" s="13">
        <v>21.34</v>
      </c>
      <c r="L146" s="13">
        <v>90.93</v>
      </c>
      <c r="M146" s="13">
        <v>2.4900000000000002</v>
      </c>
      <c r="N146" s="13">
        <v>316</v>
      </c>
      <c r="O146" s="13">
        <v>33</v>
      </c>
      <c r="P146" s="13">
        <v>1.58</v>
      </c>
      <c r="Q146" s="77">
        <v>7.28</v>
      </c>
      <c r="R146" s="13">
        <v>7.23</v>
      </c>
      <c r="S146" s="13">
        <v>2.5999999999999996</v>
      </c>
      <c r="T146" s="13">
        <v>4.7</v>
      </c>
      <c r="U146" s="13">
        <v>0.1</v>
      </c>
      <c r="V146" s="13">
        <v>198.35</v>
      </c>
      <c r="W146" s="13">
        <v>16.649999999999999</v>
      </c>
      <c r="X146" s="46">
        <f t="shared" si="24"/>
        <v>3.2699999999999978</v>
      </c>
      <c r="Y146" s="46">
        <f t="shared" si="29"/>
        <v>3.6150000000000002E-2</v>
      </c>
      <c r="Z146" s="46">
        <f t="shared" si="30"/>
        <v>3.6450718427022945E-2</v>
      </c>
      <c r="AA146" s="46">
        <f t="shared" si="31"/>
        <v>2.3695487774136628E-2</v>
      </c>
      <c r="AB146" s="47">
        <f t="shared" si="25"/>
        <v>2.4000000000000004</v>
      </c>
      <c r="AC146" s="13">
        <v>34</v>
      </c>
      <c r="AD146" s="13">
        <v>7.2</v>
      </c>
      <c r="AE146" s="13">
        <v>50</v>
      </c>
      <c r="AF146" s="36">
        <v>4.0000000000000002E-4</v>
      </c>
      <c r="AG146" s="36">
        <f t="shared" si="32"/>
        <v>0.101586936</v>
      </c>
      <c r="AH146" s="36">
        <f t="shared" si="27"/>
        <v>1.6956618624000002</v>
      </c>
      <c r="AI146" s="13">
        <v>200</v>
      </c>
      <c r="AJ146" s="12">
        <v>1.52424912645904E-2</v>
      </c>
      <c r="AK146" s="13"/>
      <c r="AL146" s="13"/>
      <c r="AM146" s="46">
        <f t="shared" si="33"/>
        <v>0</v>
      </c>
      <c r="AN146" s="46">
        <f t="shared" si="34"/>
        <v>0</v>
      </c>
      <c r="AO146" s="47">
        <f t="shared" si="35"/>
        <v>0</v>
      </c>
      <c r="AP146" s="57">
        <f t="shared" si="28"/>
        <v>0</v>
      </c>
    </row>
    <row r="147" spans="1:42" x14ac:dyDescent="0.25">
      <c r="A147" s="7" t="s">
        <v>45</v>
      </c>
      <c r="B147" s="8" t="s">
        <v>46</v>
      </c>
      <c r="C147" s="8">
        <v>18</v>
      </c>
      <c r="D147" s="8">
        <v>7.1</v>
      </c>
      <c r="E147" s="8">
        <v>32.999999999999993</v>
      </c>
      <c r="F147" s="8">
        <v>6</v>
      </c>
      <c r="G147" s="9">
        <v>45350.261805555601</v>
      </c>
      <c r="H147" s="93"/>
      <c r="I147" s="8">
        <v>3307.9</v>
      </c>
      <c r="J147" s="8">
        <v>3171.51</v>
      </c>
      <c r="K147" s="8">
        <v>22.22</v>
      </c>
      <c r="L147" s="8">
        <v>89.17</v>
      </c>
      <c r="M147" s="8">
        <v>1.88</v>
      </c>
      <c r="N147" s="8">
        <v>333</v>
      </c>
      <c r="O147" s="8">
        <v>33.200000000000003</v>
      </c>
      <c r="P147" s="8">
        <v>4</v>
      </c>
      <c r="Q147" s="75">
        <v>7.3</v>
      </c>
      <c r="R147" s="8">
        <v>12.63</v>
      </c>
      <c r="S147" s="8">
        <v>3.01</v>
      </c>
      <c r="T147" s="8">
        <v>3.74</v>
      </c>
      <c r="U147" s="8">
        <v>0.13</v>
      </c>
      <c r="V147" s="8">
        <v>200.39</v>
      </c>
      <c r="W147" s="8">
        <v>32.729999999999997</v>
      </c>
      <c r="X147" s="8">
        <f t="shared" si="24"/>
        <v>3.2799999999999976</v>
      </c>
      <c r="Y147" s="8">
        <f t="shared" si="29"/>
        <v>6.3149999999999998E-2</v>
      </c>
      <c r="Z147" s="8">
        <f t="shared" si="30"/>
        <v>6.3027097160536963E-2</v>
      </c>
      <c r="AA147" s="8">
        <f t="shared" si="31"/>
        <v>1.8663605968361696E-2</v>
      </c>
      <c r="AB147" s="75">
        <f t="shared" si="25"/>
        <v>3.12</v>
      </c>
      <c r="AC147" s="8">
        <v>34</v>
      </c>
      <c r="AD147" s="8">
        <v>7.2</v>
      </c>
      <c r="AE147" s="8">
        <v>50</v>
      </c>
      <c r="AF147" s="26">
        <v>4.0000000000000002E-4</v>
      </c>
      <c r="AG147" s="26">
        <f t="shared" si="32"/>
        <v>0.10686397919999999</v>
      </c>
      <c r="AH147" s="26">
        <f t="shared" si="27"/>
        <v>2.3989840127999997</v>
      </c>
      <c r="AI147" s="8">
        <v>200</v>
      </c>
      <c r="AJ147" s="7">
        <v>5.8988416823447997E-3</v>
      </c>
      <c r="AK147" s="8">
        <v>6.6830980929354399E-3</v>
      </c>
      <c r="AL147" s="76">
        <v>9.9999999999999995E-8</v>
      </c>
      <c r="AM147" s="8">
        <f t="shared" si="33"/>
        <v>0</v>
      </c>
      <c r="AN147" s="8">
        <f t="shared" si="34"/>
        <v>5.5801084451805531E-2</v>
      </c>
      <c r="AO147" s="75">
        <f t="shared" si="35"/>
        <v>2.0038999999999999E-5</v>
      </c>
      <c r="AP147" s="75">
        <f t="shared" si="28"/>
        <v>5.5801084451805531E-2</v>
      </c>
    </row>
    <row r="148" spans="1:42" x14ac:dyDescent="0.25">
      <c r="A148" s="2" t="s">
        <v>47</v>
      </c>
      <c r="B148" t="s">
        <v>46</v>
      </c>
      <c r="C148">
        <v>12</v>
      </c>
      <c r="D148">
        <v>7.3</v>
      </c>
      <c r="E148">
        <v>35</v>
      </c>
      <c r="F148">
        <v>6</v>
      </c>
      <c r="G148" s="1">
        <v>45350.266666666699</v>
      </c>
      <c r="I148" s="96">
        <v>3307.9</v>
      </c>
      <c r="J148">
        <v>2946.2849999999999</v>
      </c>
      <c r="K148">
        <v>22.3</v>
      </c>
      <c r="L148">
        <v>86.27</v>
      </c>
      <c r="M148">
        <v>2.23</v>
      </c>
      <c r="N148">
        <v>336</v>
      </c>
      <c r="O148">
        <v>29.7</v>
      </c>
      <c r="P148">
        <v>2.68</v>
      </c>
      <c r="Q148" s="3">
        <v>7.28</v>
      </c>
      <c r="R148">
        <v>15.39</v>
      </c>
      <c r="S148">
        <v>3.4899999999999984</v>
      </c>
      <c r="T148">
        <v>1.3</v>
      </c>
      <c r="U148">
        <v>0.14000000000000001</v>
      </c>
      <c r="V148">
        <v>199.02</v>
      </c>
      <c r="W148">
        <v>22.33</v>
      </c>
      <c r="X148">
        <f t="shared" si="24"/>
        <v>3.2799999999999976</v>
      </c>
      <c r="Y148">
        <f t="shared" si="29"/>
        <v>7.6950000000000005E-2</v>
      </c>
      <c r="Z148">
        <f t="shared" si="30"/>
        <v>7.7328911667169126E-2</v>
      </c>
      <c r="AA148">
        <f t="shared" si="31"/>
        <v>6.5320068334840716E-3</v>
      </c>
      <c r="AB148" s="3">
        <f t="shared" si="25"/>
        <v>3.3600000000000003</v>
      </c>
      <c r="AC148">
        <v>34</v>
      </c>
      <c r="AD148">
        <v>7.2</v>
      </c>
      <c r="AE148">
        <v>50</v>
      </c>
      <c r="AF148" s="31">
        <v>4.0000000000000002E-4</v>
      </c>
      <c r="AG148" s="31">
        <f t="shared" si="32"/>
        <v>0.10651550400000001</v>
      </c>
      <c r="AH148" s="31">
        <f t="shared" si="27"/>
        <v>2.372652864</v>
      </c>
      <c r="AI148">
        <v>200</v>
      </c>
      <c r="AJ148" s="2">
        <v>8.5517220013679E-3</v>
      </c>
      <c r="AK148">
        <v>1.28649790661739E-2</v>
      </c>
      <c r="AL148" s="74">
        <v>9.9999999999999995E-8</v>
      </c>
      <c r="AM148">
        <f t="shared" si="33"/>
        <v>0</v>
      </c>
      <c r="AN148">
        <f t="shared" si="34"/>
        <v>0.10668283890624708</v>
      </c>
      <c r="AO148" s="3">
        <f t="shared" si="35"/>
        <v>1.9902E-5</v>
      </c>
      <c r="AP148" s="3">
        <f t="shared" si="28"/>
        <v>0.10668283890624708</v>
      </c>
    </row>
    <row r="149" spans="1:42" x14ac:dyDescent="0.25">
      <c r="A149" s="2" t="s">
        <v>48</v>
      </c>
      <c r="B149" t="s">
        <v>49</v>
      </c>
      <c r="C149">
        <v>12</v>
      </c>
      <c r="D149">
        <v>7.2</v>
      </c>
      <c r="E149">
        <v>34</v>
      </c>
      <c r="F149">
        <v>6</v>
      </c>
      <c r="G149" s="1">
        <v>45350.271527777797</v>
      </c>
      <c r="I149" s="96">
        <v>3307.9</v>
      </c>
      <c r="J149">
        <v>3281.2950000000001</v>
      </c>
      <c r="K149">
        <v>20.8</v>
      </c>
      <c r="L149">
        <v>92.87</v>
      </c>
      <c r="M149">
        <v>2.2000000000000002</v>
      </c>
      <c r="N149">
        <v>339</v>
      </c>
      <c r="O149">
        <v>31.7</v>
      </c>
      <c r="P149">
        <v>2.69</v>
      </c>
      <c r="Q149" s="3">
        <v>7.25</v>
      </c>
      <c r="R149">
        <v>16.88</v>
      </c>
      <c r="S149">
        <v>3.370000000000001</v>
      </c>
      <c r="T149">
        <v>3.95</v>
      </c>
      <c r="U149">
        <v>0.15</v>
      </c>
      <c r="V149">
        <v>199.33</v>
      </c>
      <c r="W149">
        <v>22.33</v>
      </c>
      <c r="X149">
        <f t="shared" si="24"/>
        <v>3.2799999999999976</v>
      </c>
      <c r="Y149">
        <f t="shared" si="29"/>
        <v>8.4399999999999989E-2</v>
      </c>
      <c r="Z149">
        <f t="shared" si="30"/>
        <v>8.4683690362715086E-2</v>
      </c>
      <c r="AA149">
        <f t="shared" si="31"/>
        <v>1.981638488937942E-2</v>
      </c>
      <c r="AB149" s="3">
        <f t="shared" si="25"/>
        <v>3.5999999999999996</v>
      </c>
      <c r="AC149">
        <v>34</v>
      </c>
      <c r="AD149">
        <v>7.2</v>
      </c>
      <c r="AE149">
        <v>50</v>
      </c>
      <c r="AF149" s="31">
        <v>4.0000000000000002E-4</v>
      </c>
      <c r="AG149" s="31">
        <f t="shared" si="32"/>
        <v>9.9505536000000019E-2</v>
      </c>
      <c r="AH149" s="31">
        <f t="shared" si="27"/>
        <v>2.3676253055999998</v>
      </c>
      <c r="AI149">
        <v>200</v>
      </c>
      <c r="AJ149" s="2">
        <v>2E-3</v>
      </c>
      <c r="AM149">
        <f t="shared" si="33"/>
        <v>1.6666666666666666E-2</v>
      </c>
      <c r="AN149">
        <f t="shared" si="34"/>
        <v>0</v>
      </c>
      <c r="AO149" s="3">
        <f t="shared" si="35"/>
        <v>0</v>
      </c>
      <c r="AP149" s="3">
        <f t="shared" si="28"/>
        <v>1.6666666666666666E-2</v>
      </c>
    </row>
    <row r="150" spans="1:42" x14ac:dyDescent="0.25">
      <c r="A150" s="2" t="s">
        <v>50</v>
      </c>
      <c r="B150" t="s">
        <v>51</v>
      </c>
      <c r="C150">
        <v>18</v>
      </c>
      <c r="D150">
        <v>7.3</v>
      </c>
      <c r="E150">
        <v>35</v>
      </c>
      <c r="F150">
        <v>6</v>
      </c>
      <c r="G150" s="1">
        <v>45350.277083333298</v>
      </c>
      <c r="I150" s="96">
        <v>3307.9</v>
      </c>
      <c r="J150">
        <v>3849.5250000000001</v>
      </c>
      <c r="K150">
        <v>22.05</v>
      </c>
      <c r="L150">
        <v>88.8</v>
      </c>
      <c r="M150">
        <v>1.93</v>
      </c>
      <c r="N150">
        <v>330</v>
      </c>
      <c r="O150">
        <v>26.4</v>
      </c>
      <c r="P150">
        <v>3.23</v>
      </c>
      <c r="Q150" s="3">
        <v>7.3</v>
      </c>
      <c r="R150">
        <v>11.93</v>
      </c>
      <c r="S150">
        <v>2.6500000000000004</v>
      </c>
      <c r="T150">
        <v>5.57</v>
      </c>
      <c r="U150">
        <v>0.1</v>
      </c>
      <c r="V150">
        <v>197</v>
      </c>
      <c r="W150">
        <v>33.53</v>
      </c>
      <c r="X150">
        <f t="shared" si="24"/>
        <v>3.2800000000000011</v>
      </c>
      <c r="Y150">
        <f t="shared" si="29"/>
        <v>5.9650000000000002E-2</v>
      </c>
      <c r="Z150">
        <f t="shared" si="30"/>
        <v>6.0558375634517762E-2</v>
      </c>
      <c r="AA150">
        <f t="shared" si="31"/>
        <v>2.8274111675126903E-2</v>
      </c>
      <c r="AB150" s="3">
        <f t="shared" si="25"/>
        <v>2.4000000000000004</v>
      </c>
      <c r="AC150">
        <v>34</v>
      </c>
      <c r="AD150">
        <v>7.2</v>
      </c>
      <c r="AE150">
        <v>50</v>
      </c>
      <c r="AF150" s="31">
        <v>4.0000000000000002E-4</v>
      </c>
      <c r="AG150" s="31">
        <f t="shared" si="32"/>
        <v>0.10425240000000001</v>
      </c>
      <c r="AH150" s="31">
        <f t="shared" si="27"/>
        <v>2.7695796480000001</v>
      </c>
      <c r="AI150">
        <v>200</v>
      </c>
      <c r="AJ150" s="2">
        <v>2.0000000343268999E-3</v>
      </c>
      <c r="AM150">
        <f t="shared" si="33"/>
        <v>0</v>
      </c>
      <c r="AN150">
        <f t="shared" si="34"/>
        <v>0</v>
      </c>
      <c r="AO150" s="3">
        <f t="shared" si="35"/>
        <v>0</v>
      </c>
      <c r="AP150" s="3">
        <f t="shared" si="28"/>
        <v>0</v>
      </c>
    </row>
    <row r="151" spans="1:42" x14ac:dyDescent="0.25">
      <c r="A151" s="2" t="s">
        <v>52</v>
      </c>
      <c r="B151" t="s">
        <v>49</v>
      </c>
      <c r="C151">
        <v>18</v>
      </c>
      <c r="D151">
        <v>7.3</v>
      </c>
      <c r="E151">
        <v>35</v>
      </c>
      <c r="F151">
        <v>6</v>
      </c>
      <c r="G151" s="1">
        <v>45350.445138888899</v>
      </c>
      <c r="I151" s="96">
        <v>3307.9</v>
      </c>
      <c r="J151">
        <v>3520.2750000000001</v>
      </c>
      <c r="K151">
        <v>19.190000000000001</v>
      </c>
      <c r="L151">
        <v>90.26</v>
      </c>
      <c r="M151">
        <v>1.83</v>
      </c>
      <c r="N151">
        <v>321</v>
      </c>
      <c r="O151">
        <v>29.8</v>
      </c>
      <c r="P151">
        <v>2.02</v>
      </c>
      <c r="Q151" s="3">
        <v>7.3</v>
      </c>
      <c r="R151">
        <v>10.37</v>
      </c>
      <c r="S151">
        <v>1.9800000000000004</v>
      </c>
      <c r="T151">
        <v>4.96</v>
      </c>
      <c r="U151">
        <v>0.08</v>
      </c>
      <c r="V151">
        <v>197.51</v>
      </c>
      <c r="W151">
        <v>33.53</v>
      </c>
      <c r="X151">
        <f t="shared" si="24"/>
        <v>4.0800000000000018</v>
      </c>
      <c r="Y151">
        <f t="shared" si="29"/>
        <v>5.1849999999999993E-2</v>
      </c>
      <c r="Z151">
        <f t="shared" si="30"/>
        <v>5.2503670700217706E-2</v>
      </c>
      <c r="AA151">
        <f t="shared" si="31"/>
        <v>2.5112652523922842E-2</v>
      </c>
      <c r="AB151" s="3">
        <f t="shared" si="25"/>
        <v>1.92</v>
      </c>
      <c r="AC151">
        <v>34</v>
      </c>
      <c r="AD151">
        <v>7.2</v>
      </c>
      <c r="AE151">
        <v>50</v>
      </c>
      <c r="AF151" s="31">
        <v>4.0000000000000002E-4</v>
      </c>
      <c r="AG151" s="31">
        <f t="shared" si="32"/>
        <v>9.0965205600000001E-2</v>
      </c>
      <c r="AH151" s="31">
        <f t="shared" si="27"/>
        <v>2.6219317823999999</v>
      </c>
      <c r="AI151">
        <v>200</v>
      </c>
      <c r="AJ151" s="2">
        <v>1.12998440594404E-2</v>
      </c>
      <c r="AM151">
        <f t="shared" si="33"/>
        <v>9.4165367162003341E-2</v>
      </c>
      <c r="AN151">
        <f t="shared" si="34"/>
        <v>0</v>
      </c>
      <c r="AO151" s="3">
        <f t="shared" si="35"/>
        <v>0</v>
      </c>
      <c r="AP151" s="3">
        <f t="shared" si="28"/>
        <v>9.4165367162003341E-2</v>
      </c>
    </row>
    <row r="152" spans="1:42" x14ac:dyDescent="0.25">
      <c r="A152" s="2" t="s">
        <v>53</v>
      </c>
      <c r="B152" s="96" t="s">
        <v>49</v>
      </c>
      <c r="C152" s="96">
        <v>12</v>
      </c>
      <c r="D152" s="96">
        <v>7.3</v>
      </c>
      <c r="E152" s="96">
        <v>35</v>
      </c>
      <c r="F152" s="96">
        <v>6</v>
      </c>
      <c r="G152" s="97">
        <v>45350.350694444402</v>
      </c>
      <c r="I152" s="96">
        <v>3307.9</v>
      </c>
      <c r="J152" s="96">
        <v>3445.29</v>
      </c>
      <c r="K152" s="96">
        <v>21.62</v>
      </c>
      <c r="L152" s="96">
        <v>92.67</v>
      </c>
      <c r="M152" s="96">
        <v>2.35</v>
      </c>
      <c r="N152" s="96">
        <v>351</v>
      </c>
      <c r="O152" s="96">
        <v>28.4</v>
      </c>
      <c r="P152" s="96">
        <v>3.95</v>
      </c>
      <c r="Q152" s="3">
        <v>7.16</v>
      </c>
      <c r="R152" s="96">
        <v>18.239999999999998</v>
      </c>
      <c r="S152" s="96">
        <v>4.0500000000000007</v>
      </c>
      <c r="T152" s="96">
        <v>4.7300000000000004</v>
      </c>
      <c r="U152" s="96">
        <v>0.17</v>
      </c>
      <c r="V152" s="96">
        <v>199.21</v>
      </c>
      <c r="W152" s="96">
        <v>23.13</v>
      </c>
      <c r="X152" s="96">
        <f t="shared" si="24"/>
        <v>3.2799999999999976</v>
      </c>
      <c r="Y152" s="96">
        <f t="shared" si="29"/>
        <v>9.1199999999999989E-2</v>
      </c>
      <c r="Z152" s="96">
        <f t="shared" si="30"/>
        <v>9.1561668590934175E-2</v>
      </c>
      <c r="AA152" s="96">
        <f t="shared" si="31"/>
        <v>2.3743787962451687E-2</v>
      </c>
      <c r="AB152" s="3">
        <f t="shared" si="25"/>
        <v>4.08</v>
      </c>
      <c r="AC152" s="96">
        <v>34</v>
      </c>
      <c r="AD152" s="96">
        <v>7.2</v>
      </c>
      <c r="AE152" s="96">
        <v>50</v>
      </c>
      <c r="AF152" s="100">
        <v>4.0000000000000002E-4</v>
      </c>
      <c r="AG152" s="100">
        <f t="shared" si="32"/>
        <v>0.10336608480000001</v>
      </c>
      <c r="AH152" s="100">
        <f t="shared" si="27"/>
        <v>2.4540516864000002</v>
      </c>
      <c r="AI152" s="96">
        <v>200</v>
      </c>
      <c r="AJ152" s="2">
        <v>2.0000000326787001E-3</v>
      </c>
      <c r="AK152" s="96"/>
      <c r="AL152" s="96"/>
      <c r="AM152" s="96">
        <f t="shared" si="33"/>
        <v>1.6666666938989168E-2</v>
      </c>
      <c r="AN152" s="96">
        <f t="shared" si="34"/>
        <v>0</v>
      </c>
      <c r="AO152" s="3">
        <f t="shared" si="35"/>
        <v>0</v>
      </c>
      <c r="AP152" s="3">
        <f t="shared" si="28"/>
        <v>1.6666666938989168E-2</v>
      </c>
    </row>
    <row r="153" spans="1:42" x14ac:dyDescent="0.25">
      <c r="A153" s="2" t="s">
        <v>54</v>
      </c>
      <c r="B153" t="s">
        <v>46</v>
      </c>
      <c r="C153">
        <v>18</v>
      </c>
      <c r="D153">
        <v>7.3</v>
      </c>
      <c r="E153">
        <v>35</v>
      </c>
      <c r="F153">
        <v>6</v>
      </c>
      <c r="G153" s="1">
        <v>45350.355555555601</v>
      </c>
      <c r="I153" s="96">
        <v>3307.9</v>
      </c>
      <c r="J153">
        <v>3472.41</v>
      </c>
      <c r="K153">
        <v>22.61</v>
      </c>
      <c r="L153">
        <v>91.32</v>
      </c>
      <c r="M153">
        <v>2.04</v>
      </c>
      <c r="N153">
        <v>329</v>
      </c>
      <c r="O153">
        <v>28.2</v>
      </c>
      <c r="P153">
        <v>3.18</v>
      </c>
      <c r="Q153" s="3">
        <v>7.29</v>
      </c>
      <c r="R153">
        <v>13.81</v>
      </c>
      <c r="S153">
        <v>3.6300000000000008</v>
      </c>
      <c r="T153">
        <v>2.86</v>
      </c>
      <c r="U153">
        <v>0.14000000000000001</v>
      </c>
      <c r="V153">
        <v>200.4</v>
      </c>
      <c r="W153">
        <v>32.729999999999997</v>
      </c>
      <c r="X153">
        <f t="shared" si="24"/>
        <v>3.2799999999999976</v>
      </c>
      <c r="Y153">
        <f t="shared" si="29"/>
        <v>6.905E-2</v>
      </c>
      <c r="Z153">
        <f t="shared" si="30"/>
        <v>6.8912175648702598E-2</v>
      </c>
      <c r="AA153">
        <f t="shared" si="31"/>
        <v>1.4271457085828342E-2</v>
      </c>
      <c r="AB153" s="3">
        <f t="shared" si="25"/>
        <v>3.3600000000000003</v>
      </c>
      <c r="AC153">
        <v>34</v>
      </c>
      <c r="AD153">
        <v>7.2</v>
      </c>
      <c r="AE153">
        <v>50</v>
      </c>
      <c r="AF153" s="31">
        <v>4.0000000000000002E-4</v>
      </c>
      <c r="AG153" s="31">
        <f t="shared" si="32"/>
        <v>0.10874505600000001</v>
      </c>
      <c r="AH153" s="31">
        <f t="shared" si="27"/>
        <v>2.3901016319999995</v>
      </c>
      <c r="AI153">
        <v>200</v>
      </c>
      <c r="AJ153" s="2">
        <v>2E-3</v>
      </c>
      <c r="AK153">
        <v>1.6333821528231599E-2</v>
      </c>
      <c r="AL153" s="74">
        <v>9.9999999999999995E-8</v>
      </c>
      <c r="AM153">
        <f t="shared" si="33"/>
        <v>0</v>
      </c>
      <c r="AN153">
        <f t="shared" si="34"/>
        <v>0.13638740976073385</v>
      </c>
      <c r="AO153" s="3">
        <f t="shared" si="35"/>
        <v>2.0040000000000001E-5</v>
      </c>
      <c r="AP153" s="3">
        <f t="shared" si="28"/>
        <v>0.13638740976073385</v>
      </c>
    </row>
    <row r="154" spans="1:42" x14ac:dyDescent="0.25">
      <c r="A154" s="2" t="s">
        <v>55</v>
      </c>
      <c r="B154" t="s">
        <v>51</v>
      </c>
      <c r="C154">
        <v>15</v>
      </c>
      <c r="D154">
        <v>7.2</v>
      </c>
      <c r="E154">
        <v>34</v>
      </c>
      <c r="F154">
        <v>6</v>
      </c>
      <c r="G154" s="1">
        <v>45350.360416666699</v>
      </c>
      <c r="I154" s="96">
        <v>3307.9</v>
      </c>
      <c r="J154">
        <v>3303.7950000000001</v>
      </c>
      <c r="K154">
        <v>18.09</v>
      </c>
      <c r="L154">
        <v>88.32</v>
      </c>
      <c r="M154">
        <v>2.4300000000000002</v>
      </c>
      <c r="N154">
        <v>328</v>
      </c>
      <c r="O154">
        <v>29.9</v>
      </c>
      <c r="P154">
        <v>1.94</v>
      </c>
      <c r="Q154" s="3">
        <v>7.3</v>
      </c>
      <c r="R154">
        <v>10.48</v>
      </c>
      <c r="S154">
        <v>2.2199999999999989</v>
      </c>
      <c r="T154">
        <v>4.66</v>
      </c>
      <c r="U154">
        <v>0.09</v>
      </c>
      <c r="V154">
        <v>197.2</v>
      </c>
      <c r="W154">
        <v>21.53</v>
      </c>
      <c r="X154">
        <f t="shared" si="24"/>
        <v>3.2800000000000011</v>
      </c>
      <c r="Y154">
        <f t="shared" si="29"/>
        <v>5.2400000000000002E-2</v>
      </c>
      <c r="Z154">
        <f t="shared" si="30"/>
        <v>5.3144016227180534E-2</v>
      </c>
      <c r="AA154">
        <f t="shared" si="31"/>
        <v>2.3630831643002032E-2</v>
      </c>
      <c r="AB154" s="3">
        <f t="shared" si="25"/>
        <v>2.16</v>
      </c>
      <c r="AC154">
        <v>34</v>
      </c>
      <c r="AD154">
        <v>7.2</v>
      </c>
      <c r="AE154">
        <v>50</v>
      </c>
      <c r="AF154" s="31">
        <v>4.0000000000000002E-4</v>
      </c>
      <c r="AG154" s="31">
        <f t="shared" si="32"/>
        <v>8.5616352000000007E-2</v>
      </c>
      <c r="AH154" s="31">
        <f t="shared" si="27"/>
        <v>2.3694829632000003</v>
      </c>
      <c r="AI154">
        <v>200</v>
      </c>
      <c r="AJ154" s="2">
        <v>2.3146548762429E-3</v>
      </c>
      <c r="AM154">
        <f t="shared" si="33"/>
        <v>0</v>
      </c>
      <c r="AN154">
        <f t="shared" si="34"/>
        <v>0</v>
      </c>
      <c r="AO154" s="3">
        <f t="shared" si="35"/>
        <v>0</v>
      </c>
      <c r="AP154" s="3">
        <f t="shared" si="28"/>
        <v>0</v>
      </c>
    </row>
    <row r="155" spans="1:42" x14ac:dyDescent="0.25">
      <c r="A155" s="2" t="s">
        <v>56</v>
      </c>
      <c r="B155" t="s">
        <v>49</v>
      </c>
      <c r="C155">
        <v>18</v>
      </c>
      <c r="D155">
        <v>7.1</v>
      </c>
      <c r="E155">
        <v>32.999999999999993</v>
      </c>
      <c r="F155">
        <v>6</v>
      </c>
      <c r="G155" s="1">
        <v>45350.365277777797</v>
      </c>
      <c r="I155" s="96">
        <v>3307.9</v>
      </c>
      <c r="J155">
        <v>3601.9949999999999</v>
      </c>
      <c r="K155">
        <v>19.53</v>
      </c>
      <c r="L155">
        <v>86.98</v>
      </c>
      <c r="M155">
        <v>2.16</v>
      </c>
      <c r="N155">
        <v>331</v>
      </c>
      <c r="O155">
        <v>28.6</v>
      </c>
      <c r="P155">
        <v>2.39</v>
      </c>
      <c r="Q155" s="3">
        <v>7.29</v>
      </c>
      <c r="R155">
        <v>11.44</v>
      </c>
      <c r="S155">
        <v>1.0500000000000007</v>
      </c>
      <c r="T155">
        <v>5.0999999999999996</v>
      </c>
      <c r="U155">
        <v>0.04</v>
      </c>
      <c r="V155">
        <v>199.63</v>
      </c>
      <c r="W155">
        <v>31.93</v>
      </c>
      <c r="X155">
        <f t="shared" ref="X155:X218" si="36">W155-W131</f>
        <v>3.2800000000000011</v>
      </c>
      <c r="Y155">
        <f t="shared" si="29"/>
        <v>5.7200000000000001E-2</v>
      </c>
      <c r="Z155">
        <f t="shared" si="30"/>
        <v>5.7306016129840202E-2</v>
      </c>
      <c r="AA155">
        <f t="shared" si="31"/>
        <v>2.5547262435505685E-2</v>
      </c>
      <c r="AB155" s="3">
        <f t="shared" ref="AB155:AB218" si="37">U155*24</f>
        <v>0.96</v>
      </c>
      <c r="AC155">
        <v>34</v>
      </c>
      <c r="AD155">
        <v>7.2</v>
      </c>
      <c r="AE155">
        <v>50</v>
      </c>
      <c r="AF155" s="31">
        <v>4.0000000000000002E-4</v>
      </c>
      <c r="AG155" s="31">
        <f t="shared" si="32"/>
        <v>9.3570573600000012E-2</v>
      </c>
      <c r="AH155" s="31">
        <f t="shared" si="27"/>
        <v>2.5977487679999998</v>
      </c>
      <c r="AI155">
        <v>200</v>
      </c>
      <c r="AJ155" s="2">
        <v>6.9499866455023001E-3</v>
      </c>
      <c r="AM155">
        <f t="shared" si="33"/>
        <v>5.791655537918583E-2</v>
      </c>
      <c r="AN155">
        <f t="shared" si="34"/>
        <v>0</v>
      </c>
      <c r="AO155" s="3">
        <f t="shared" si="35"/>
        <v>0</v>
      </c>
      <c r="AP155" s="3">
        <f t="shared" si="28"/>
        <v>5.791655537918583E-2</v>
      </c>
    </row>
    <row r="156" spans="1:42" x14ac:dyDescent="0.25">
      <c r="A156" s="2" t="s">
        <v>57</v>
      </c>
      <c r="B156" t="s">
        <v>46</v>
      </c>
      <c r="C156">
        <v>18</v>
      </c>
      <c r="D156">
        <v>7.2</v>
      </c>
      <c r="E156">
        <v>34</v>
      </c>
      <c r="F156">
        <v>6</v>
      </c>
      <c r="G156" s="1">
        <v>45350.370833333298</v>
      </c>
      <c r="I156" s="96">
        <v>3307.9</v>
      </c>
      <c r="J156">
        <v>3215.55</v>
      </c>
      <c r="K156">
        <v>22.46</v>
      </c>
      <c r="L156">
        <v>91.09</v>
      </c>
      <c r="M156">
        <v>1.75</v>
      </c>
      <c r="N156">
        <v>331</v>
      </c>
      <c r="O156">
        <v>29.1</v>
      </c>
      <c r="P156">
        <v>3.71</v>
      </c>
      <c r="Q156" s="3">
        <v>7.28</v>
      </c>
      <c r="R156">
        <v>14.88</v>
      </c>
      <c r="S156">
        <v>4.5299999999999994</v>
      </c>
      <c r="T156">
        <v>2.0699999999999998</v>
      </c>
      <c r="U156">
        <v>0.18</v>
      </c>
      <c r="V156">
        <v>201.21</v>
      </c>
      <c r="W156">
        <v>32.729999999999997</v>
      </c>
      <c r="X156">
        <f t="shared" si="36"/>
        <v>3.2799999999999976</v>
      </c>
      <c r="Y156">
        <f t="shared" si="29"/>
        <v>7.4400000000000008E-2</v>
      </c>
      <c r="Z156">
        <f t="shared" si="30"/>
        <v>7.3952586849560159E-2</v>
      </c>
      <c r="AA156">
        <f t="shared" si="31"/>
        <v>1.0287759057700909E-2</v>
      </c>
      <c r="AB156" s="3">
        <f t="shared" si="37"/>
        <v>4.32</v>
      </c>
      <c r="AC156">
        <v>34</v>
      </c>
      <c r="AD156">
        <v>7.2</v>
      </c>
      <c r="AE156">
        <v>50</v>
      </c>
      <c r="AF156" s="31">
        <v>4.0000000000000002E-4</v>
      </c>
      <c r="AG156" s="31">
        <f t="shared" si="32"/>
        <v>0.10846023840000001</v>
      </c>
      <c r="AH156" s="31">
        <f t="shared" si="27"/>
        <v>2.6656307712</v>
      </c>
      <c r="AI156">
        <v>200</v>
      </c>
      <c r="AJ156" s="2">
        <v>5.4886702615738999E-3</v>
      </c>
      <c r="AK156">
        <v>1.42343454327532E-2</v>
      </c>
      <c r="AL156" s="74">
        <v>9.9999999999999995E-8</v>
      </c>
      <c r="AM156">
        <f t="shared" si="33"/>
        <v>0</v>
      </c>
      <c r="AN156">
        <f t="shared" si="34"/>
        <v>0.11933719352184465</v>
      </c>
      <c r="AO156" s="3">
        <f t="shared" si="35"/>
        <v>2.0120999999999999E-5</v>
      </c>
      <c r="AP156" s="3">
        <f t="shared" si="28"/>
        <v>0.11933719352184465</v>
      </c>
    </row>
    <row r="157" spans="1:42" x14ac:dyDescent="0.25">
      <c r="A157" s="2" t="s">
        <v>58</v>
      </c>
      <c r="B157" t="s">
        <v>51</v>
      </c>
      <c r="C157">
        <v>18</v>
      </c>
      <c r="D157">
        <v>7.1</v>
      </c>
      <c r="E157">
        <v>32.999999999999993</v>
      </c>
      <c r="F157">
        <v>6</v>
      </c>
      <c r="G157" s="1">
        <v>45350.375694444403</v>
      </c>
      <c r="I157" s="96">
        <v>3307.9</v>
      </c>
      <c r="J157">
        <v>3583.44</v>
      </c>
      <c r="K157">
        <v>21.13</v>
      </c>
      <c r="L157">
        <v>87.63</v>
      </c>
      <c r="M157">
        <v>1.55</v>
      </c>
      <c r="N157">
        <v>325</v>
      </c>
      <c r="O157">
        <v>28.8</v>
      </c>
      <c r="P157">
        <v>3.47</v>
      </c>
      <c r="Q157" s="3">
        <v>7.31</v>
      </c>
      <c r="R157">
        <v>12.2</v>
      </c>
      <c r="S157">
        <v>2.67</v>
      </c>
      <c r="T157">
        <v>4.6399999999999997</v>
      </c>
      <c r="U157">
        <v>0.11</v>
      </c>
      <c r="V157">
        <v>207.36</v>
      </c>
      <c r="W157">
        <v>31.93</v>
      </c>
      <c r="X157">
        <f t="shared" si="36"/>
        <v>3.2800000000000011</v>
      </c>
      <c r="Y157">
        <f t="shared" si="29"/>
        <v>6.0999999999999999E-2</v>
      </c>
      <c r="Z157">
        <f t="shared" si="30"/>
        <v>5.8834876543209867E-2</v>
      </c>
      <c r="AA157">
        <f t="shared" si="31"/>
        <v>2.2376543209876538E-2</v>
      </c>
      <c r="AB157" s="3">
        <f t="shared" si="37"/>
        <v>2.64</v>
      </c>
      <c r="AC157">
        <v>34</v>
      </c>
      <c r="AD157">
        <v>7.2</v>
      </c>
      <c r="AE157">
        <v>50</v>
      </c>
      <c r="AF157" s="31">
        <v>4.0000000000000002E-4</v>
      </c>
      <c r="AG157" s="31">
        <f t="shared" si="32"/>
        <v>0.1051564032</v>
      </c>
      <c r="AH157" s="31">
        <f t="shared" si="27"/>
        <v>2.840386176</v>
      </c>
      <c r="AI157">
        <v>200</v>
      </c>
      <c r="AJ157" s="2">
        <v>5.1550218089927002E-3</v>
      </c>
      <c r="AM157">
        <f t="shared" si="33"/>
        <v>0</v>
      </c>
      <c r="AN157">
        <f t="shared" si="34"/>
        <v>0</v>
      </c>
      <c r="AO157" s="3">
        <f t="shared" si="35"/>
        <v>0</v>
      </c>
      <c r="AP157" s="3">
        <f t="shared" si="28"/>
        <v>0</v>
      </c>
    </row>
    <row r="158" spans="1:42" x14ac:dyDescent="0.25">
      <c r="A158" s="2" t="s">
        <v>59</v>
      </c>
      <c r="B158" t="s">
        <v>46</v>
      </c>
      <c r="C158">
        <v>15</v>
      </c>
      <c r="D158">
        <v>7.1</v>
      </c>
      <c r="E158">
        <v>32.999999999999993</v>
      </c>
      <c r="F158">
        <v>6</v>
      </c>
      <c r="G158" s="1">
        <v>45350.380555555603</v>
      </c>
      <c r="I158" s="96">
        <v>3307.9</v>
      </c>
      <c r="J158">
        <v>2810.4450000000002</v>
      </c>
      <c r="K158">
        <v>20.399999999999999</v>
      </c>
      <c r="L158">
        <v>91.56</v>
      </c>
      <c r="M158">
        <v>2.0499999999999998</v>
      </c>
      <c r="N158">
        <v>332</v>
      </c>
      <c r="O158">
        <v>32.799999999999997</v>
      </c>
      <c r="P158">
        <v>3.74</v>
      </c>
      <c r="Q158" s="3">
        <v>7.28</v>
      </c>
      <c r="R158">
        <v>13.29</v>
      </c>
      <c r="S158">
        <v>4.120000000000001</v>
      </c>
      <c r="T158">
        <v>2.78</v>
      </c>
      <c r="U158">
        <v>0.17</v>
      </c>
      <c r="V158">
        <v>201.93</v>
      </c>
      <c r="W158">
        <v>19.93</v>
      </c>
      <c r="X158">
        <f t="shared" si="36"/>
        <v>3.2800000000000011</v>
      </c>
      <c r="Y158">
        <f t="shared" si="29"/>
        <v>6.6449999999999995E-2</v>
      </c>
      <c r="Z158">
        <f t="shared" si="30"/>
        <v>6.5814886346753823E-2</v>
      </c>
      <c r="AA158">
        <f t="shared" si="31"/>
        <v>1.3767147031149406E-2</v>
      </c>
      <c r="AB158" s="3">
        <f t="shared" si="37"/>
        <v>4.08</v>
      </c>
      <c r="AC158">
        <v>34</v>
      </c>
      <c r="AD158">
        <v>7.2</v>
      </c>
      <c r="AE158">
        <v>50</v>
      </c>
      <c r="AF158" s="31">
        <v>4.0000000000000002E-4</v>
      </c>
      <c r="AG158" s="31">
        <f t="shared" si="32"/>
        <v>9.8864928000000005E-2</v>
      </c>
      <c r="AH158" s="31">
        <f t="shared" si="27"/>
        <v>2.3407396992000002</v>
      </c>
      <c r="AI158">
        <v>200</v>
      </c>
      <c r="AJ158" s="2">
        <v>1.15039579208423E-2</v>
      </c>
      <c r="AK158">
        <v>1.07576694801719E-2</v>
      </c>
      <c r="AL158" s="74">
        <v>9.9999999999999995E-8</v>
      </c>
      <c r="AM158">
        <f t="shared" si="33"/>
        <v>0</v>
      </c>
      <c r="AN158">
        <f t="shared" si="34"/>
        <v>9.0512341588796327E-2</v>
      </c>
      <c r="AO158" s="3">
        <f t="shared" si="35"/>
        <v>2.0193000000000001E-5</v>
      </c>
      <c r="AP158" s="3">
        <f t="shared" si="28"/>
        <v>9.0512341588796327E-2</v>
      </c>
    </row>
    <row r="159" spans="1:42" x14ac:dyDescent="0.25">
      <c r="A159" s="2" t="s">
        <v>60</v>
      </c>
      <c r="B159" t="s">
        <v>49</v>
      </c>
      <c r="C159">
        <v>15</v>
      </c>
      <c r="D159">
        <v>7.1</v>
      </c>
      <c r="E159">
        <v>32.999999999999993</v>
      </c>
      <c r="F159">
        <v>6</v>
      </c>
      <c r="G159" s="1">
        <v>45350.256944444402</v>
      </c>
      <c r="I159" s="96">
        <v>3307.9</v>
      </c>
      <c r="J159">
        <v>3449.2049999999999</v>
      </c>
      <c r="K159">
        <v>21.48</v>
      </c>
      <c r="L159">
        <v>90.38</v>
      </c>
      <c r="M159">
        <v>1.95</v>
      </c>
      <c r="N159">
        <v>338</v>
      </c>
      <c r="O159">
        <v>32.9</v>
      </c>
      <c r="P159">
        <v>3.72</v>
      </c>
      <c r="Q159" s="3">
        <v>7.28</v>
      </c>
      <c r="R159">
        <v>14.98</v>
      </c>
      <c r="S159">
        <v>2.8299999999999983</v>
      </c>
      <c r="T159">
        <v>4.5199999999999996</v>
      </c>
      <c r="U159">
        <v>0.12</v>
      </c>
      <c r="V159">
        <v>202.03</v>
      </c>
      <c r="W159">
        <v>19.93</v>
      </c>
      <c r="X159">
        <f t="shared" si="36"/>
        <v>3.2800000000000011</v>
      </c>
      <c r="Y159">
        <f t="shared" si="29"/>
        <v>7.4900000000000008E-2</v>
      </c>
      <c r="Z159">
        <f t="shared" si="30"/>
        <v>7.4147403850913229E-2</v>
      </c>
      <c r="AA159">
        <f t="shared" si="31"/>
        <v>2.2372914913626685E-2</v>
      </c>
      <c r="AB159" s="3">
        <f t="shared" si="37"/>
        <v>2.88</v>
      </c>
      <c r="AC159">
        <v>34</v>
      </c>
      <c r="AD159">
        <v>7.2</v>
      </c>
      <c r="AE159">
        <v>50</v>
      </c>
      <c r="AF159" s="31">
        <v>4.0000000000000002E-4</v>
      </c>
      <c r="AG159" s="31">
        <f t="shared" si="32"/>
        <v>0.10415050560000001</v>
      </c>
      <c r="AH159" s="31">
        <f t="shared" si="27"/>
        <v>2.4224167296000001</v>
      </c>
      <c r="AI159">
        <v>200</v>
      </c>
      <c r="AJ159" s="2">
        <v>2E-3</v>
      </c>
      <c r="AM159">
        <f t="shared" si="33"/>
        <v>1.6666666666666666E-2</v>
      </c>
      <c r="AN159">
        <f t="shared" si="34"/>
        <v>0</v>
      </c>
      <c r="AO159" s="3">
        <f t="shared" si="35"/>
        <v>0</v>
      </c>
      <c r="AP159" s="3">
        <f t="shared" si="28"/>
        <v>1.6666666666666666E-2</v>
      </c>
    </row>
    <row r="160" spans="1:42" x14ac:dyDescent="0.25">
      <c r="A160" s="2" t="s">
        <v>61</v>
      </c>
      <c r="B160" t="s">
        <v>46</v>
      </c>
      <c r="C160">
        <v>15</v>
      </c>
      <c r="D160">
        <v>7.3</v>
      </c>
      <c r="E160">
        <v>35</v>
      </c>
      <c r="F160">
        <v>6</v>
      </c>
      <c r="G160" s="1">
        <v>45350.386805555601</v>
      </c>
      <c r="I160" s="96">
        <v>3307.9</v>
      </c>
      <c r="J160">
        <v>3342.9900000000002</v>
      </c>
      <c r="K160">
        <v>24.99</v>
      </c>
      <c r="L160">
        <v>92.37</v>
      </c>
      <c r="M160">
        <v>1.81</v>
      </c>
      <c r="N160">
        <v>325</v>
      </c>
      <c r="O160">
        <v>28.6</v>
      </c>
      <c r="P160">
        <v>3.37</v>
      </c>
      <c r="Q160" s="3">
        <v>7.29</v>
      </c>
      <c r="R160">
        <v>14.29</v>
      </c>
      <c r="S160">
        <v>4.6099999999999994</v>
      </c>
      <c r="T160">
        <v>1.72</v>
      </c>
      <c r="U160">
        <v>0.18</v>
      </c>
      <c r="V160">
        <v>199.5</v>
      </c>
      <c r="W160">
        <v>20.9</v>
      </c>
      <c r="X160">
        <f t="shared" si="36"/>
        <v>3.2699999999999996</v>
      </c>
      <c r="Y160">
        <f t="shared" si="29"/>
        <v>7.145E-2</v>
      </c>
      <c r="Z160">
        <f t="shared" si="30"/>
        <v>7.1629072681704251E-2</v>
      </c>
      <c r="AA160">
        <f t="shared" si="31"/>
        <v>8.6215538847117801E-3</v>
      </c>
      <c r="AB160" s="3">
        <f t="shared" si="37"/>
        <v>4.32</v>
      </c>
      <c r="AC160">
        <v>34</v>
      </c>
      <c r="AD160">
        <v>7.2</v>
      </c>
      <c r="AE160">
        <v>50</v>
      </c>
      <c r="AF160" s="31">
        <v>4.0000000000000002E-4</v>
      </c>
      <c r="AG160" s="31">
        <f t="shared" si="32"/>
        <v>0.11965212</v>
      </c>
      <c r="AH160" s="31">
        <f t="shared" si="27"/>
        <v>2.3711185152000001</v>
      </c>
      <c r="AI160">
        <v>200</v>
      </c>
      <c r="AJ160" s="2">
        <v>2.0000001534516E-3</v>
      </c>
      <c r="AK160">
        <v>1.9089930201559999E-2</v>
      </c>
      <c r="AL160" s="74">
        <v>9.9999999999999995E-8</v>
      </c>
      <c r="AM160">
        <f t="shared" si="33"/>
        <v>0</v>
      </c>
      <c r="AN160">
        <f t="shared" si="34"/>
        <v>0.1586850448004675</v>
      </c>
      <c r="AO160" s="3">
        <f t="shared" si="35"/>
        <v>1.995E-5</v>
      </c>
      <c r="AP160" s="3">
        <f t="shared" si="28"/>
        <v>0.1586850448004675</v>
      </c>
    </row>
    <row r="161" spans="1:42" x14ac:dyDescent="0.25">
      <c r="A161" s="2" t="s">
        <v>62</v>
      </c>
      <c r="B161" t="s">
        <v>49</v>
      </c>
      <c r="C161">
        <v>18</v>
      </c>
      <c r="D161">
        <v>7.2</v>
      </c>
      <c r="E161">
        <v>34</v>
      </c>
      <c r="F161">
        <v>6</v>
      </c>
      <c r="G161" s="1">
        <v>45350.392361111102</v>
      </c>
      <c r="I161" s="96">
        <v>3307.9</v>
      </c>
      <c r="J161">
        <v>3745.4300000000003</v>
      </c>
      <c r="K161">
        <v>22.29</v>
      </c>
      <c r="L161">
        <v>90.86</v>
      </c>
      <c r="M161">
        <v>1.75</v>
      </c>
      <c r="N161">
        <v>331</v>
      </c>
      <c r="O161">
        <v>28.4</v>
      </c>
      <c r="P161">
        <v>3.73</v>
      </c>
      <c r="Q161" s="3">
        <v>7.3</v>
      </c>
      <c r="R161">
        <v>13.07</v>
      </c>
      <c r="S161">
        <v>1.9599999999999991</v>
      </c>
      <c r="T161">
        <v>4.8499999999999996</v>
      </c>
      <c r="U161">
        <v>0.08</v>
      </c>
      <c r="V161">
        <v>200.48</v>
      </c>
      <c r="W161">
        <v>32.9</v>
      </c>
      <c r="X161">
        <f t="shared" si="36"/>
        <v>3.2699999999999996</v>
      </c>
      <c r="Y161">
        <f t="shared" si="29"/>
        <v>6.5350000000000005E-2</v>
      </c>
      <c r="Z161">
        <f t="shared" si="30"/>
        <v>6.5193535514764575E-2</v>
      </c>
      <c r="AA161">
        <f t="shared" si="31"/>
        <v>2.419193934557063E-2</v>
      </c>
      <c r="AB161" s="3">
        <f t="shared" si="37"/>
        <v>1.92</v>
      </c>
      <c r="AC161">
        <v>34</v>
      </c>
      <c r="AD161">
        <v>7.2</v>
      </c>
      <c r="AE161">
        <v>50</v>
      </c>
      <c r="AF161" s="31">
        <v>4.0000000000000002E-4</v>
      </c>
      <c r="AG161" s="31">
        <f t="shared" si="32"/>
        <v>0.10724878079999998</v>
      </c>
      <c r="AH161" s="31">
        <f t="shared" si="27"/>
        <v>2.634425856</v>
      </c>
      <c r="AI161">
        <v>200</v>
      </c>
      <c r="AJ161" s="2">
        <v>2E-3</v>
      </c>
      <c r="AM161">
        <f t="shared" si="33"/>
        <v>1.6666666666666666E-2</v>
      </c>
      <c r="AN161">
        <f t="shared" si="34"/>
        <v>0</v>
      </c>
      <c r="AO161" s="3">
        <f t="shared" si="35"/>
        <v>0</v>
      </c>
      <c r="AP161" s="3">
        <f t="shared" si="28"/>
        <v>1.6666666666666666E-2</v>
      </c>
    </row>
    <row r="162" spans="1:42" x14ac:dyDescent="0.25">
      <c r="A162" s="2" t="s">
        <v>63</v>
      </c>
      <c r="B162" t="s">
        <v>51</v>
      </c>
      <c r="C162">
        <v>12</v>
      </c>
      <c r="D162">
        <v>7.1</v>
      </c>
      <c r="E162">
        <v>32.999999999999993</v>
      </c>
      <c r="F162">
        <v>6</v>
      </c>
      <c r="G162" s="1">
        <v>45350.396527777797</v>
      </c>
      <c r="I162" s="96">
        <v>3307.9</v>
      </c>
      <c r="J162">
        <v>2853.66</v>
      </c>
      <c r="K162">
        <v>18.05</v>
      </c>
      <c r="L162">
        <v>91.25</v>
      </c>
      <c r="M162">
        <v>2.27</v>
      </c>
      <c r="N162">
        <v>323</v>
      </c>
      <c r="O162">
        <v>30.4</v>
      </c>
      <c r="P162">
        <v>2.36</v>
      </c>
      <c r="Q162" s="3">
        <v>7.28</v>
      </c>
      <c r="R162">
        <v>9.7899999999999991</v>
      </c>
      <c r="S162">
        <v>2.2200000000000006</v>
      </c>
      <c r="T162">
        <v>3.94</v>
      </c>
      <c r="U162">
        <v>0.09</v>
      </c>
      <c r="V162">
        <v>197.2</v>
      </c>
      <c r="W162">
        <v>20.73</v>
      </c>
      <c r="X162">
        <f t="shared" si="36"/>
        <v>3.2800000000000011</v>
      </c>
      <c r="Y162">
        <f t="shared" si="29"/>
        <v>4.8949999999999994E-2</v>
      </c>
      <c r="Z162">
        <f t="shared" si="30"/>
        <v>4.9645030425963486E-2</v>
      </c>
      <c r="AA162">
        <f t="shared" si="31"/>
        <v>1.9979716024340771E-2</v>
      </c>
      <c r="AB162" s="3">
        <f t="shared" si="37"/>
        <v>2.16</v>
      </c>
      <c r="AC162">
        <v>34</v>
      </c>
      <c r="AD162">
        <v>7.2</v>
      </c>
      <c r="AE162">
        <v>50</v>
      </c>
      <c r="AF162" s="31">
        <v>4.0000000000000002E-4</v>
      </c>
      <c r="AG162" s="31">
        <f t="shared" si="32"/>
        <v>8.542704000000001E-2</v>
      </c>
      <c r="AH162" s="31">
        <f t="shared" si="27"/>
        <v>2.2925998080000003</v>
      </c>
      <c r="AI162">
        <v>200</v>
      </c>
      <c r="AJ162" s="2">
        <v>9.8420551885688001E-3</v>
      </c>
      <c r="AM162">
        <f t="shared" si="33"/>
        <v>0</v>
      </c>
      <c r="AN162">
        <f t="shared" si="34"/>
        <v>0</v>
      </c>
      <c r="AO162" s="3">
        <f t="shared" si="35"/>
        <v>0</v>
      </c>
      <c r="AP162" s="3">
        <f t="shared" si="28"/>
        <v>0</v>
      </c>
    </row>
    <row r="163" spans="1:42" x14ac:dyDescent="0.25">
      <c r="A163" s="2" t="s">
        <v>64</v>
      </c>
      <c r="B163" t="s">
        <v>46</v>
      </c>
      <c r="C163">
        <v>12</v>
      </c>
      <c r="D163">
        <v>7.1</v>
      </c>
      <c r="E163">
        <v>32.999999999999993</v>
      </c>
      <c r="F163">
        <v>6</v>
      </c>
      <c r="G163" s="1">
        <v>45350.401388888902</v>
      </c>
      <c r="I163" s="96">
        <v>3307.9</v>
      </c>
      <c r="J163">
        <v>2762.5650000000001</v>
      </c>
      <c r="K163">
        <v>18.940000000000001</v>
      </c>
      <c r="L163">
        <v>93.11</v>
      </c>
      <c r="M163">
        <v>1.96</v>
      </c>
      <c r="N163">
        <v>333</v>
      </c>
      <c r="O163">
        <v>28.1</v>
      </c>
      <c r="P163">
        <v>3.93</v>
      </c>
      <c r="Q163" s="3">
        <v>7.28</v>
      </c>
      <c r="R163">
        <v>13.65</v>
      </c>
      <c r="S163">
        <v>4.99</v>
      </c>
      <c r="T163">
        <v>2.64</v>
      </c>
      <c r="U163">
        <v>0.2</v>
      </c>
      <c r="V163">
        <v>200.7</v>
      </c>
      <c r="W163">
        <v>19.93</v>
      </c>
      <c r="X163">
        <f t="shared" si="36"/>
        <v>3.2800000000000011</v>
      </c>
      <c r="Y163">
        <f t="shared" si="29"/>
        <v>6.8250000000000005E-2</v>
      </c>
      <c r="Z163">
        <f t="shared" si="30"/>
        <v>6.8011958146487306E-2</v>
      </c>
      <c r="AA163">
        <f t="shared" si="31"/>
        <v>1.3153961136023918E-2</v>
      </c>
      <c r="AB163" s="3">
        <f t="shared" si="37"/>
        <v>4.8000000000000007</v>
      </c>
      <c r="AC163">
        <v>34</v>
      </c>
      <c r="AD163">
        <v>7.2</v>
      </c>
      <c r="AE163">
        <v>50</v>
      </c>
      <c r="AF163" s="31">
        <v>4.0000000000000002E-4</v>
      </c>
      <c r="AG163" s="31">
        <f t="shared" si="32"/>
        <v>9.1230192000000002E-2</v>
      </c>
      <c r="AH163" s="31">
        <f t="shared" si="27"/>
        <v>2.2735572480000004</v>
      </c>
      <c r="AI163">
        <v>200</v>
      </c>
      <c r="AJ163" s="2">
        <v>1.2609577687708999E-2</v>
      </c>
      <c r="AK163">
        <v>1.1383572770302599E-2</v>
      </c>
      <c r="AL163" s="74">
        <v>9.9999999999999995E-8</v>
      </c>
      <c r="AM163">
        <f t="shared" si="33"/>
        <v>0</v>
      </c>
      <c r="AN163">
        <f t="shared" si="34"/>
        <v>9.5195127291655482E-2</v>
      </c>
      <c r="AO163" s="3">
        <f t="shared" si="35"/>
        <v>2.0069999999999999E-5</v>
      </c>
      <c r="AP163" s="3">
        <f t="shared" si="28"/>
        <v>9.5195127291655482E-2</v>
      </c>
    </row>
    <row r="164" spans="1:42" x14ac:dyDescent="0.25">
      <c r="A164" s="2" t="s">
        <v>65</v>
      </c>
      <c r="B164" t="s">
        <v>49</v>
      </c>
      <c r="C164">
        <v>15</v>
      </c>
      <c r="D164">
        <v>7.3</v>
      </c>
      <c r="E164">
        <v>35</v>
      </c>
      <c r="F164">
        <v>6</v>
      </c>
      <c r="G164" s="1">
        <v>45350.406944444403</v>
      </c>
      <c r="I164" s="96">
        <v>3307.9</v>
      </c>
      <c r="J164">
        <v>3669.5250000000001</v>
      </c>
      <c r="K164">
        <v>22.32</v>
      </c>
      <c r="L164">
        <v>91.37</v>
      </c>
      <c r="M164">
        <v>2.0499999999999998</v>
      </c>
      <c r="N164">
        <v>336</v>
      </c>
      <c r="O164">
        <v>30.1</v>
      </c>
      <c r="P164">
        <v>3.4</v>
      </c>
      <c r="Q164" s="3">
        <v>7.3</v>
      </c>
      <c r="R164">
        <v>14.28</v>
      </c>
      <c r="S164">
        <v>2.7999999999999989</v>
      </c>
      <c r="T164">
        <v>5.65</v>
      </c>
      <c r="U164">
        <v>0.11</v>
      </c>
      <c r="V164">
        <v>200.91</v>
      </c>
      <c r="W164">
        <v>20.73</v>
      </c>
      <c r="X164">
        <f t="shared" si="36"/>
        <v>3.2800000000000011</v>
      </c>
      <c r="Y164">
        <f t="shared" si="29"/>
        <v>7.1399999999999991E-2</v>
      </c>
      <c r="Z164">
        <f t="shared" si="30"/>
        <v>7.1076601463341799E-2</v>
      </c>
      <c r="AA164">
        <f t="shared" si="31"/>
        <v>2.8122044696630336E-2</v>
      </c>
      <c r="AB164" s="3">
        <f t="shared" si="37"/>
        <v>2.64</v>
      </c>
      <c r="AC164">
        <v>34</v>
      </c>
      <c r="AD164">
        <v>7.2</v>
      </c>
      <c r="AE164">
        <v>50</v>
      </c>
      <c r="AF164" s="31">
        <v>4.0000000000000002E-4</v>
      </c>
      <c r="AG164" s="31">
        <f t="shared" si="32"/>
        <v>0.1076234688</v>
      </c>
      <c r="AH164" s="31">
        <f t="shared" si="27"/>
        <v>2.4647321087999998</v>
      </c>
      <c r="AI164">
        <v>200</v>
      </c>
      <c r="AJ164" s="2">
        <v>2.0000006627049999E-3</v>
      </c>
      <c r="AM164">
        <f t="shared" si="33"/>
        <v>1.6666672189208333E-2</v>
      </c>
      <c r="AN164">
        <f t="shared" si="34"/>
        <v>0</v>
      </c>
      <c r="AO164" s="3">
        <f t="shared" si="35"/>
        <v>0</v>
      </c>
      <c r="AP164" s="3">
        <f t="shared" si="28"/>
        <v>1.6666672189208333E-2</v>
      </c>
    </row>
    <row r="165" spans="1:42" x14ac:dyDescent="0.25">
      <c r="A165" s="2" t="s">
        <v>66</v>
      </c>
      <c r="B165" s="96" t="s">
        <v>46</v>
      </c>
      <c r="C165" s="96">
        <v>12</v>
      </c>
      <c r="D165" s="96">
        <v>7.2</v>
      </c>
      <c r="E165" s="96">
        <v>34</v>
      </c>
      <c r="F165" s="96">
        <v>6</v>
      </c>
      <c r="G165" s="97">
        <v>45350.411805555603</v>
      </c>
      <c r="I165" s="96">
        <v>3307.9</v>
      </c>
      <c r="J165" s="96">
        <v>3059.085</v>
      </c>
      <c r="K165" s="96">
        <v>20.91</v>
      </c>
      <c r="L165" s="96">
        <v>94.04</v>
      </c>
      <c r="M165" s="96">
        <v>1.59</v>
      </c>
      <c r="N165" s="96">
        <v>329</v>
      </c>
      <c r="O165" s="96">
        <v>33.5</v>
      </c>
      <c r="P165" s="96">
        <v>3.76</v>
      </c>
      <c r="Q165" s="3">
        <v>7.3</v>
      </c>
      <c r="R165" s="96">
        <v>13.89</v>
      </c>
      <c r="S165" s="96">
        <v>4.9399999999999977</v>
      </c>
      <c r="T165" s="96">
        <v>2.68</v>
      </c>
      <c r="U165" s="96">
        <v>0.2</v>
      </c>
      <c r="V165" s="96">
        <v>199.87</v>
      </c>
      <c r="W165" s="96">
        <v>21.53</v>
      </c>
      <c r="X165" s="96">
        <f t="shared" si="36"/>
        <v>3.2800000000000011</v>
      </c>
      <c r="Y165" s="96">
        <f t="shared" si="29"/>
        <v>6.9449999999999998E-2</v>
      </c>
      <c r="Z165" s="96">
        <f t="shared" si="30"/>
        <v>6.9495171861710114E-2</v>
      </c>
      <c r="AA165" s="96">
        <f t="shared" si="31"/>
        <v>1.3408715665182369E-2</v>
      </c>
      <c r="AB165" s="3">
        <f t="shared" si="37"/>
        <v>4.8000000000000007</v>
      </c>
      <c r="AC165" s="96">
        <v>34</v>
      </c>
      <c r="AD165" s="96">
        <v>7.2</v>
      </c>
      <c r="AE165" s="96">
        <v>50</v>
      </c>
      <c r="AF165" s="100">
        <v>4.0000000000000002E-4</v>
      </c>
      <c r="AG165" s="100">
        <f t="shared" si="32"/>
        <v>0.10030276079999999</v>
      </c>
      <c r="AH165" s="100">
        <f t="shared" si="27"/>
        <v>2.3114077055999998</v>
      </c>
      <c r="AI165" s="96">
        <v>200</v>
      </c>
      <c r="AJ165" s="2">
        <v>7.3308706165030003E-3</v>
      </c>
      <c r="AK165">
        <v>9.5590625860746993E-3</v>
      </c>
      <c r="AL165" s="74">
        <v>9.9999999999999995E-8</v>
      </c>
      <c r="AM165" s="96">
        <f t="shared" si="33"/>
        <v>0</v>
      </c>
      <c r="AN165" s="96">
        <f t="shared" si="34"/>
        <v>7.9607076628281259E-2</v>
      </c>
      <c r="AO165" s="3">
        <f t="shared" si="35"/>
        <v>1.9987E-5</v>
      </c>
      <c r="AP165" s="3">
        <f t="shared" si="28"/>
        <v>7.9607076628281259E-2</v>
      </c>
    </row>
    <row r="166" spans="1:42" x14ac:dyDescent="0.25">
      <c r="A166" s="2" t="s">
        <v>67</v>
      </c>
      <c r="B166" t="s">
        <v>49</v>
      </c>
      <c r="C166">
        <v>12</v>
      </c>
      <c r="D166">
        <v>7.1</v>
      </c>
      <c r="E166">
        <v>32.999999999999993</v>
      </c>
      <c r="F166">
        <v>6</v>
      </c>
      <c r="G166" s="1">
        <v>45350.422222222202</v>
      </c>
      <c r="I166" s="96">
        <v>3307.9</v>
      </c>
      <c r="J166">
        <v>3040.2449999999999</v>
      </c>
      <c r="K166">
        <v>20.7</v>
      </c>
      <c r="L166">
        <v>91.18</v>
      </c>
      <c r="M166">
        <v>2.2599999999999998</v>
      </c>
      <c r="N166">
        <v>339</v>
      </c>
      <c r="O166">
        <v>27.9</v>
      </c>
      <c r="P166">
        <v>2.46</v>
      </c>
      <c r="Q166" s="3">
        <v>7.28</v>
      </c>
      <c r="R166">
        <v>15.8</v>
      </c>
      <c r="S166">
        <v>2.9499999999999993</v>
      </c>
      <c r="T166">
        <v>4.0199999999999996</v>
      </c>
      <c r="U166">
        <v>0.12</v>
      </c>
      <c r="V166">
        <v>199.68</v>
      </c>
      <c r="W166">
        <v>20.73</v>
      </c>
      <c r="X166">
        <f t="shared" si="36"/>
        <v>3.2800000000000011</v>
      </c>
      <c r="Y166">
        <f t="shared" si="29"/>
        <v>7.9000000000000001E-2</v>
      </c>
      <c r="Z166">
        <f t="shared" si="30"/>
        <v>7.9126602564102561E-2</v>
      </c>
      <c r="AA166">
        <f t="shared" si="31"/>
        <v>2.0132211538461536E-2</v>
      </c>
      <c r="AB166" s="3">
        <f t="shared" si="37"/>
        <v>2.88</v>
      </c>
      <c r="AC166">
        <v>34</v>
      </c>
      <c r="AD166">
        <v>7.2</v>
      </c>
      <c r="AE166">
        <v>50</v>
      </c>
      <c r="AF166" s="31">
        <v>4.0000000000000002E-4</v>
      </c>
      <c r="AG166" s="31">
        <f t="shared" si="32"/>
        <v>9.9201024000000013E-2</v>
      </c>
      <c r="AH166" s="31">
        <f t="shared" si="27"/>
        <v>2.4245084160000001</v>
      </c>
      <c r="AI166">
        <v>200</v>
      </c>
      <c r="AJ166" s="2">
        <v>5.8283441133836003E-3</v>
      </c>
      <c r="AM166">
        <f t="shared" si="33"/>
        <v>4.8569534278196665E-2</v>
      </c>
      <c r="AN166">
        <f t="shared" si="34"/>
        <v>0</v>
      </c>
      <c r="AO166" s="3">
        <f t="shared" si="35"/>
        <v>0</v>
      </c>
      <c r="AP166" s="3">
        <f t="shared" si="28"/>
        <v>4.8569534278196665E-2</v>
      </c>
    </row>
    <row r="167" spans="1:42" x14ac:dyDescent="0.25">
      <c r="A167" s="2" t="s">
        <v>68</v>
      </c>
      <c r="B167" t="s">
        <v>51</v>
      </c>
      <c r="C167">
        <v>12</v>
      </c>
      <c r="D167">
        <v>7.3</v>
      </c>
      <c r="E167">
        <v>35</v>
      </c>
      <c r="F167">
        <v>6</v>
      </c>
      <c r="G167" s="1">
        <v>45350.427083333299</v>
      </c>
      <c r="I167" s="96">
        <v>3307.9</v>
      </c>
      <c r="J167">
        <v>2953.29</v>
      </c>
      <c r="K167">
        <v>18.739999999999998</v>
      </c>
      <c r="L167">
        <v>91.37</v>
      </c>
      <c r="M167">
        <v>2.2999999999999998</v>
      </c>
      <c r="N167">
        <v>328</v>
      </c>
      <c r="O167">
        <v>32.799999999999997</v>
      </c>
      <c r="P167">
        <v>3.03</v>
      </c>
      <c r="Q167" s="3">
        <v>7.29</v>
      </c>
      <c r="R167">
        <v>8.99</v>
      </c>
      <c r="S167">
        <v>2.2799999999999994</v>
      </c>
      <c r="T167">
        <v>5.4</v>
      </c>
      <c r="U167">
        <v>0.09</v>
      </c>
      <c r="V167">
        <v>197</v>
      </c>
      <c r="W167">
        <v>20.73</v>
      </c>
      <c r="X167">
        <f t="shared" si="36"/>
        <v>3.2800000000000011</v>
      </c>
      <c r="Y167">
        <f t="shared" si="29"/>
        <v>4.4950000000000004E-2</v>
      </c>
      <c r="Z167">
        <f t="shared" si="30"/>
        <v>4.5634517766497462E-2</v>
      </c>
      <c r="AA167">
        <f t="shared" si="31"/>
        <v>2.7411167512690356E-2</v>
      </c>
      <c r="AB167" s="3">
        <f t="shared" si="37"/>
        <v>2.16</v>
      </c>
      <c r="AC167">
        <v>34</v>
      </c>
      <c r="AD167">
        <v>7.2</v>
      </c>
      <c r="AE167">
        <v>50</v>
      </c>
      <c r="AF167" s="31">
        <v>4.0000000000000002E-4</v>
      </c>
      <c r="AG167" s="31">
        <f t="shared" si="32"/>
        <v>8.8602719999999996E-2</v>
      </c>
      <c r="AH167" s="31">
        <f t="shared" si="27"/>
        <v>2.2368705984000004</v>
      </c>
      <c r="AI167">
        <v>200</v>
      </c>
      <c r="AJ167" s="2">
        <v>1.0311549896525E-2</v>
      </c>
      <c r="AM167">
        <f t="shared" si="33"/>
        <v>0</v>
      </c>
      <c r="AN167">
        <f t="shared" si="34"/>
        <v>0</v>
      </c>
      <c r="AO167" s="3">
        <f t="shared" si="35"/>
        <v>0</v>
      </c>
      <c r="AP167" s="3">
        <f t="shared" si="28"/>
        <v>0</v>
      </c>
    </row>
    <row r="168" spans="1:42" x14ac:dyDescent="0.25">
      <c r="A168" s="2" t="s">
        <v>69</v>
      </c>
      <c r="B168" t="s">
        <v>51</v>
      </c>
      <c r="C168">
        <v>15</v>
      </c>
      <c r="D168">
        <v>7.2</v>
      </c>
      <c r="E168">
        <v>34</v>
      </c>
      <c r="F168">
        <v>6</v>
      </c>
      <c r="G168" s="1">
        <v>45350.431250000001</v>
      </c>
      <c r="I168" s="96">
        <v>3307.9</v>
      </c>
      <c r="J168">
        <v>3273.57</v>
      </c>
      <c r="K168">
        <v>20.13</v>
      </c>
      <c r="L168">
        <v>90.56</v>
      </c>
      <c r="M168">
        <v>2.35</v>
      </c>
      <c r="N168">
        <v>332</v>
      </c>
      <c r="O168">
        <v>32.5</v>
      </c>
      <c r="P168">
        <v>2.42</v>
      </c>
      <c r="Q168" s="3">
        <v>7.29</v>
      </c>
      <c r="R168">
        <v>10.62</v>
      </c>
      <c r="S168">
        <v>2.4600000000000009</v>
      </c>
      <c r="T168">
        <v>4.7699999999999996</v>
      </c>
      <c r="U168">
        <v>0.1</v>
      </c>
      <c r="V168">
        <v>199.84</v>
      </c>
      <c r="W168">
        <v>19.93</v>
      </c>
      <c r="X168">
        <f t="shared" si="36"/>
        <v>3.2800000000000011</v>
      </c>
      <c r="Y168">
        <f t="shared" si="29"/>
        <v>5.3099999999999994E-2</v>
      </c>
      <c r="Z168">
        <f t="shared" si="30"/>
        <v>5.3142514011208959E-2</v>
      </c>
      <c r="AA168">
        <f t="shared" si="31"/>
        <v>2.3869095276220973E-2</v>
      </c>
      <c r="AB168" s="3">
        <f t="shared" si="37"/>
        <v>2.4000000000000004</v>
      </c>
      <c r="AC168">
        <v>34</v>
      </c>
      <c r="AD168">
        <v>7.2</v>
      </c>
      <c r="AE168">
        <v>50</v>
      </c>
      <c r="AF168" s="31">
        <v>4.0000000000000002E-4</v>
      </c>
      <c r="AG168" s="31">
        <f t="shared" si="32"/>
        <v>9.6546700799999996E-2</v>
      </c>
      <c r="AH168" s="31">
        <f t="shared" si="27"/>
        <v>2.4408703295999996</v>
      </c>
      <c r="AI168">
        <v>200</v>
      </c>
      <c r="AJ168" s="2">
        <v>2.1457651519994E-3</v>
      </c>
      <c r="AM168">
        <f t="shared" si="33"/>
        <v>0</v>
      </c>
      <c r="AN168">
        <f t="shared" si="34"/>
        <v>0</v>
      </c>
      <c r="AO168" s="3">
        <f t="shared" si="35"/>
        <v>0</v>
      </c>
      <c r="AP168" s="3">
        <f t="shared" si="28"/>
        <v>0</v>
      </c>
    </row>
    <row r="169" spans="1:42" x14ac:dyDescent="0.25">
      <c r="A169" s="2" t="s">
        <v>70</v>
      </c>
      <c r="B169" t="s">
        <v>51</v>
      </c>
      <c r="C169">
        <v>15</v>
      </c>
      <c r="D169">
        <v>7.2</v>
      </c>
      <c r="E169">
        <v>34</v>
      </c>
      <c r="F169">
        <v>6</v>
      </c>
      <c r="G169" s="1">
        <v>45350.436111111099</v>
      </c>
      <c r="I169" s="96">
        <v>3307.9</v>
      </c>
      <c r="J169">
        <v>3422.49</v>
      </c>
      <c r="K169">
        <v>19.059999999999999</v>
      </c>
      <c r="L169">
        <v>91.84</v>
      </c>
      <c r="M169">
        <v>2.0099999999999998</v>
      </c>
      <c r="N169">
        <v>324</v>
      </c>
      <c r="O169">
        <v>26.7</v>
      </c>
      <c r="P169">
        <v>2.95</v>
      </c>
      <c r="Q169" s="3">
        <v>7.31</v>
      </c>
      <c r="R169">
        <v>10.51</v>
      </c>
      <c r="S169">
        <v>2.3499999999999996</v>
      </c>
      <c r="T169">
        <v>4.4000000000000004</v>
      </c>
      <c r="U169">
        <v>0.09</v>
      </c>
      <c r="V169">
        <v>197.93</v>
      </c>
      <c r="W169">
        <v>19.93</v>
      </c>
      <c r="X169">
        <f t="shared" si="36"/>
        <v>3.2800000000000011</v>
      </c>
      <c r="Y169">
        <f t="shared" si="29"/>
        <v>5.2549999999999999E-2</v>
      </c>
      <c r="Z169">
        <f t="shared" si="30"/>
        <v>5.3099580659829226E-2</v>
      </c>
      <c r="AA169">
        <f t="shared" si="31"/>
        <v>2.2230081341888547E-2</v>
      </c>
      <c r="AB169" s="3">
        <f t="shared" si="37"/>
        <v>2.16</v>
      </c>
      <c r="AC169">
        <v>34</v>
      </c>
      <c r="AD169">
        <v>7.2</v>
      </c>
      <c r="AE169">
        <v>50</v>
      </c>
      <c r="AF169" s="31">
        <v>4.0000000000000002E-4</v>
      </c>
      <c r="AG169" s="31">
        <f t="shared" si="32"/>
        <v>9.0541099200000003E-2</v>
      </c>
      <c r="AH169" s="31">
        <f t="shared" si="27"/>
        <v>2.4326203391999996</v>
      </c>
      <c r="AI169">
        <v>200</v>
      </c>
      <c r="AJ169" s="2">
        <v>2.5161359276455E-3</v>
      </c>
      <c r="AM169">
        <f t="shared" si="33"/>
        <v>0</v>
      </c>
      <c r="AN169">
        <f t="shared" si="34"/>
        <v>0</v>
      </c>
      <c r="AO169" s="3">
        <f t="shared" si="35"/>
        <v>0</v>
      </c>
      <c r="AP169" s="3">
        <f t="shared" si="28"/>
        <v>0</v>
      </c>
    </row>
    <row r="170" spans="1:42" ht="15.75" thickBot="1" x14ac:dyDescent="0.3">
      <c r="A170" s="2" t="s">
        <v>71</v>
      </c>
      <c r="B170" t="s">
        <v>51</v>
      </c>
      <c r="C170">
        <v>15</v>
      </c>
      <c r="D170">
        <v>7.2</v>
      </c>
      <c r="E170">
        <v>34</v>
      </c>
      <c r="F170">
        <v>6</v>
      </c>
      <c r="G170" s="1">
        <v>45350.440972222197</v>
      </c>
      <c r="I170" s="96">
        <v>3307.9</v>
      </c>
      <c r="J170">
        <v>3145.41</v>
      </c>
      <c r="K170">
        <v>18.809999999999999</v>
      </c>
      <c r="L170">
        <v>89.72</v>
      </c>
      <c r="M170">
        <v>2.14</v>
      </c>
      <c r="N170">
        <v>327</v>
      </c>
      <c r="O170">
        <v>33.299999999999997</v>
      </c>
      <c r="P170">
        <v>2.39</v>
      </c>
      <c r="Q170" s="3">
        <v>7.29</v>
      </c>
      <c r="R170">
        <v>9.83</v>
      </c>
      <c r="S170">
        <v>2.2699999999999996</v>
      </c>
      <c r="T170">
        <v>4.7</v>
      </c>
      <c r="U170">
        <v>0.09</v>
      </c>
      <c r="V170">
        <v>198.74</v>
      </c>
      <c r="W170">
        <v>19.93</v>
      </c>
      <c r="X170">
        <f t="shared" si="36"/>
        <v>3.2800000000000011</v>
      </c>
      <c r="Y170">
        <f t="shared" si="29"/>
        <v>4.9149999999999999E-2</v>
      </c>
      <c r="Z170">
        <f t="shared" si="30"/>
        <v>4.9461608131226728E-2</v>
      </c>
      <c r="AA170">
        <f t="shared" si="31"/>
        <v>2.364898862835866E-2</v>
      </c>
      <c r="AB170" s="3">
        <f t="shared" si="37"/>
        <v>2.16</v>
      </c>
      <c r="AC170">
        <v>34</v>
      </c>
      <c r="AD170">
        <v>7.2</v>
      </c>
      <c r="AE170">
        <v>50</v>
      </c>
      <c r="AF170" s="31">
        <v>4.0000000000000002E-4</v>
      </c>
      <c r="AG170" s="31">
        <f t="shared" si="32"/>
        <v>8.9719185599999987E-2</v>
      </c>
      <c r="AH170" s="31">
        <f t="shared" si="27"/>
        <v>2.438086464</v>
      </c>
      <c r="AI170">
        <v>200</v>
      </c>
      <c r="AJ170" s="2">
        <v>7.8767728684031903E-3</v>
      </c>
      <c r="AM170">
        <f t="shared" si="33"/>
        <v>0</v>
      </c>
      <c r="AN170">
        <f t="shared" si="34"/>
        <v>0</v>
      </c>
      <c r="AO170" s="3">
        <f t="shared" si="35"/>
        <v>0</v>
      </c>
      <c r="AP170" s="3">
        <f t="shared" si="28"/>
        <v>0</v>
      </c>
    </row>
    <row r="171" spans="1:42" x14ac:dyDescent="0.25">
      <c r="A171" s="7" t="s">
        <v>45</v>
      </c>
      <c r="B171" s="8" t="s">
        <v>46</v>
      </c>
      <c r="C171" s="8">
        <v>18</v>
      </c>
      <c r="D171" s="8">
        <v>7.1</v>
      </c>
      <c r="E171" s="8">
        <v>32.999999999999993</v>
      </c>
      <c r="F171" s="8">
        <v>7</v>
      </c>
      <c r="G171" s="9">
        <v>45351.444444444402</v>
      </c>
      <c r="H171" s="93"/>
      <c r="I171" s="8">
        <v>3888.32</v>
      </c>
      <c r="J171" s="8"/>
      <c r="K171" s="8">
        <v>21.54</v>
      </c>
      <c r="L171" s="8">
        <v>89.25</v>
      </c>
      <c r="M171" s="8">
        <v>1.66</v>
      </c>
      <c r="N171" s="8">
        <v>333</v>
      </c>
      <c r="O171" s="8">
        <v>31.2</v>
      </c>
      <c r="P171" s="8">
        <v>3.49</v>
      </c>
      <c r="Q171" s="75">
        <v>7.3</v>
      </c>
      <c r="R171" s="8">
        <v>15.64</v>
      </c>
      <c r="S171" s="8">
        <v>1.4299999999999997</v>
      </c>
      <c r="T171" s="8">
        <v>3.74</v>
      </c>
      <c r="U171" s="8">
        <v>0.06</v>
      </c>
      <c r="V171" s="8">
        <v>200.88</v>
      </c>
      <c r="W171" s="8">
        <v>35.479999999999997</v>
      </c>
      <c r="X171" s="8">
        <f t="shared" si="36"/>
        <v>2.75</v>
      </c>
      <c r="Y171" s="8">
        <f t="shared" si="29"/>
        <v>7.8200000000000006E-2</v>
      </c>
      <c r="Z171" s="8">
        <f t="shared" si="30"/>
        <v>7.7857427319792921E-2</v>
      </c>
      <c r="AA171" s="8">
        <f t="shared" si="31"/>
        <v>1.8618080446037438E-2</v>
      </c>
      <c r="AB171" s="75">
        <f t="shared" si="37"/>
        <v>1.44</v>
      </c>
      <c r="AC171" s="8">
        <v>34</v>
      </c>
      <c r="AD171" s="8">
        <v>7.2</v>
      </c>
      <c r="AE171" s="8">
        <v>50</v>
      </c>
      <c r="AF171" s="26">
        <v>4.0000000000000002E-4</v>
      </c>
      <c r="AG171" s="26">
        <f t="shared" si="32"/>
        <v>0.10384692479999999</v>
      </c>
      <c r="AH171" s="26">
        <f t="shared" si="27"/>
        <v>2.5647355007999995</v>
      </c>
      <c r="AI171" s="8">
        <v>200</v>
      </c>
      <c r="AJ171" s="7">
        <v>2.0000000006096001E-3</v>
      </c>
      <c r="AK171">
        <v>1.46841786657334E-2</v>
      </c>
      <c r="AL171">
        <v>0</v>
      </c>
      <c r="AM171" s="8">
        <f t="shared" si="33"/>
        <v>0</v>
      </c>
      <c r="AN171" s="8">
        <f t="shared" si="34"/>
        <v>0.12290657543218857</v>
      </c>
      <c r="AO171" s="75">
        <f t="shared" si="35"/>
        <v>0</v>
      </c>
      <c r="AP171" s="75">
        <f t="shared" ref="AP171:AP194" si="38">IF(IF(AND(AN171=0, AM171=0),0, IF(AN171&gt;0,AN171,AM171))=0,0,IF(AND(AN171=0, AM171=0),0, IF(AN171&gt;0,AN171,AM171)))</f>
        <v>0.12290657543218857</v>
      </c>
    </row>
    <row r="172" spans="1:42" x14ac:dyDescent="0.25">
      <c r="A172" s="2" t="s">
        <v>47</v>
      </c>
      <c r="B172" t="s">
        <v>46</v>
      </c>
      <c r="C172">
        <v>12</v>
      </c>
      <c r="D172">
        <v>7.3</v>
      </c>
      <c r="E172">
        <v>35</v>
      </c>
      <c r="F172">
        <v>7</v>
      </c>
      <c r="G172" s="1">
        <v>45351.449305555601</v>
      </c>
      <c r="I172" s="96">
        <v>3888.32</v>
      </c>
      <c r="K172">
        <v>23.02</v>
      </c>
      <c r="L172">
        <v>83.66</v>
      </c>
      <c r="M172">
        <v>1.7</v>
      </c>
      <c r="N172">
        <v>342</v>
      </c>
      <c r="O172">
        <v>34.5</v>
      </c>
      <c r="P172">
        <v>3.01</v>
      </c>
      <c r="Q172" s="3">
        <v>7.31</v>
      </c>
      <c r="R172">
        <v>18.88</v>
      </c>
      <c r="S172">
        <v>2.2900000000000027</v>
      </c>
      <c r="T172">
        <v>1.3</v>
      </c>
      <c r="U172">
        <v>0.11</v>
      </c>
      <c r="V172">
        <v>200</v>
      </c>
      <c r="W172">
        <v>25.08</v>
      </c>
      <c r="X172">
        <f t="shared" si="36"/>
        <v>2.75</v>
      </c>
      <c r="Y172">
        <f t="shared" si="29"/>
        <v>9.4399999999999998E-2</v>
      </c>
      <c r="Z172">
        <f t="shared" si="30"/>
        <v>9.4399999999999998E-2</v>
      </c>
      <c r="AA172">
        <f t="shared" si="31"/>
        <v>6.5000000000000006E-3</v>
      </c>
      <c r="AB172" s="3">
        <f t="shared" si="37"/>
        <v>2.64</v>
      </c>
      <c r="AC172">
        <v>34</v>
      </c>
      <c r="AD172">
        <v>7.2</v>
      </c>
      <c r="AE172">
        <v>50</v>
      </c>
      <c r="AF172" s="31">
        <v>4.0000000000000002E-4</v>
      </c>
      <c r="AG172" s="31">
        <f t="shared" si="32"/>
        <v>0.110496</v>
      </c>
      <c r="AH172" s="31">
        <f t="shared" si="27"/>
        <v>2.5563720960000005</v>
      </c>
      <c r="AI172">
        <v>200</v>
      </c>
      <c r="AJ172" s="2">
        <v>4.9202324994003996E-3</v>
      </c>
      <c r="AK172">
        <v>1.5594274146456101E-2</v>
      </c>
      <c r="AL172" s="74">
        <v>9.9999999999999995E-8</v>
      </c>
      <c r="AM172">
        <f t="shared" si="33"/>
        <v>0</v>
      </c>
      <c r="AN172">
        <f t="shared" si="34"/>
        <v>0.12995228455380084</v>
      </c>
      <c r="AO172" s="3">
        <f t="shared" si="35"/>
        <v>1.9999999999999998E-5</v>
      </c>
      <c r="AP172" s="3">
        <f t="shared" si="38"/>
        <v>0.12995228455380084</v>
      </c>
    </row>
    <row r="173" spans="1:42" x14ac:dyDescent="0.25">
      <c r="A173" s="2" t="s">
        <v>48</v>
      </c>
      <c r="B173" t="s">
        <v>49</v>
      </c>
      <c r="C173">
        <v>12</v>
      </c>
      <c r="D173">
        <v>7.2</v>
      </c>
      <c r="E173">
        <v>34</v>
      </c>
      <c r="F173">
        <v>7</v>
      </c>
      <c r="G173" s="1">
        <v>45351.454166666699</v>
      </c>
      <c r="I173" s="96">
        <v>3888.32</v>
      </c>
      <c r="K173">
        <v>19.93</v>
      </c>
      <c r="L173">
        <v>90.32</v>
      </c>
      <c r="M173">
        <v>1.75</v>
      </c>
      <c r="N173">
        <v>336</v>
      </c>
      <c r="O173">
        <v>32.4</v>
      </c>
      <c r="P173">
        <v>0.9</v>
      </c>
      <c r="Q173" s="3">
        <v>7.31</v>
      </c>
      <c r="R173">
        <v>20.25</v>
      </c>
      <c r="S173">
        <v>0.35000000000000142</v>
      </c>
      <c r="T173">
        <v>5.01</v>
      </c>
      <c r="U173">
        <v>0.02</v>
      </c>
      <c r="V173">
        <v>200.66</v>
      </c>
      <c r="W173">
        <v>25.08</v>
      </c>
      <c r="X173">
        <f t="shared" si="36"/>
        <v>2.75</v>
      </c>
      <c r="Y173">
        <f t="shared" si="29"/>
        <v>0.10125000000000001</v>
      </c>
      <c r="Z173">
        <f t="shared" si="30"/>
        <v>0.1009169739858467</v>
      </c>
      <c r="AA173">
        <f t="shared" si="31"/>
        <v>2.4967606897239109E-2</v>
      </c>
      <c r="AB173" s="3">
        <f t="shared" si="37"/>
        <v>0.48</v>
      </c>
      <c r="AC173">
        <v>34</v>
      </c>
      <c r="AD173">
        <v>7.2</v>
      </c>
      <c r="AE173">
        <v>50</v>
      </c>
      <c r="AF173" s="31">
        <v>4.0000000000000002E-4</v>
      </c>
      <c r="AG173" s="31">
        <f t="shared" si="32"/>
        <v>9.5979691199999995E-2</v>
      </c>
      <c r="AH173" s="31">
        <f t="shared" si="27"/>
        <v>2.3881328640000006</v>
      </c>
      <c r="AI173">
        <v>200</v>
      </c>
      <c r="AJ173" s="2">
        <v>2E-3</v>
      </c>
      <c r="AM173">
        <f t="shared" si="33"/>
        <v>1.6666666666666666E-2</v>
      </c>
      <c r="AN173">
        <f t="shared" si="34"/>
        <v>0</v>
      </c>
      <c r="AO173" s="3">
        <f t="shared" si="35"/>
        <v>0</v>
      </c>
      <c r="AP173" s="3">
        <f t="shared" si="38"/>
        <v>1.6666666666666666E-2</v>
      </c>
    </row>
    <row r="174" spans="1:42" x14ac:dyDescent="0.25">
      <c r="A174" s="2" t="s">
        <v>50</v>
      </c>
      <c r="B174" t="s">
        <v>51</v>
      </c>
      <c r="C174">
        <v>18</v>
      </c>
      <c r="D174">
        <v>7.3</v>
      </c>
      <c r="E174">
        <v>35</v>
      </c>
      <c r="F174">
        <v>7</v>
      </c>
      <c r="G174" s="1">
        <v>45351.458333333299</v>
      </c>
      <c r="I174" s="96">
        <v>3888.32</v>
      </c>
      <c r="K174">
        <v>21.06</v>
      </c>
      <c r="L174">
        <v>89.39</v>
      </c>
      <c r="M174">
        <v>1.56</v>
      </c>
      <c r="N174">
        <v>339</v>
      </c>
      <c r="O174">
        <v>26.9</v>
      </c>
      <c r="P174">
        <v>3.07</v>
      </c>
      <c r="Q174" s="3">
        <v>7.31</v>
      </c>
      <c r="R174">
        <v>14.58</v>
      </c>
      <c r="S174">
        <v>2.0400000000000009</v>
      </c>
      <c r="T174">
        <v>5.57</v>
      </c>
      <c r="U174">
        <v>0.1</v>
      </c>
      <c r="V174">
        <v>198.13</v>
      </c>
      <c r="W174">
        <v>35.299999999999997</v>
      </c>
      <c r="X174">
        <f t="shared" si="36"/>
        <v>1.769999999999996</v>
      </c>
      <c r="Y174">
        <f t="shared" si="29"/>
        <v>7.2900000000000006E-2</v>
      </c>
      <c r="Z174">
        <f t="shared" si="30"/>
        <v>7.3588048251148244E-2</v>
      </c>
      <c r="AA174">
        <f t="shared" si="31"/>
        <v>2.8112855196083381E-2</v>
      </c>
      <c r="AB174" s="3">
        <f t="shared" si="37"/>
        <v>2.4000000000000004</v>
      </c>
      <c r="AC174">
        <v>34</v>
      </c>
      <c r="AD174">
        <v>7.2</v>
      </c>
      <c r="AE174">
        <v>50</v>
      </c>
      <c r="AF174" s="31">
        <v>4.0000000000000002E-4</v>
      </c>
      <c r="AG174" s="31">
        <f t="shared" si="32"/>
        <v>0.10014282719999999</v>
      </c>
      <c r="AH174" s="31">
        <f t="shared" si="27"/>
        <v>2.5020576000000001</v>
      </c>
      <c r="AI174">
        <v>200</v>
      </c>
      <c r="AJ174" s="2">
        <v>2.0000000168288999E-3</v>
      </c>
      <c r="AM174">
        <f t="shared" si="33"/>
        <v>0</v>
      </c>
      <c r="AN174">
        <f t="shared" si="34"/>
        <v>0</v>
      </c>
      <c r="AO174" s="3">
        <f t="shared" si="35"/>
        <v>0</v>
      </c>
      <c r="AP174" s="3">
        <f t="shared" si="38"/>
        <v>0</v>
      </c>
    </row>
    <row r="175" spans="1:42" x14ac:dyDescent="0.25">
      <c r="A175" s="2" t="s">
        <v>52</v>
      </c>
      <c r="B175" t="s">
        <v>49</v>
      </c>
      <c r="C175">
        <v>18</v>
      </c>
      <c r="D175">
        <v>7.3</v>
      </c>
      <c r="E175">
        <v>35</v>
      </c>
      <c r="F175">
        <v>7</v>
      </c>
      <c r="G175" s="1">
        <v>45351.461805555598</v>
      </c>
      <c r="I175" s="96">
        <v>3888.32</v>
      </c>
      <c r="K175">
        <v>19.690000000000001</v>
      </c>
      <c r="L175">
        <v>88.84</v>
      </c>
      <c r="M175">
        <v>1.47</v>
      </c>
      <c r="N175">
        <v>363</v>
      </c>
      <c r="O175">
        <v>31.3</v>
      </c>
      <c r="P175">
        <v>2.17</v>
      </c>
      <c r="Q175" s="3">
        <v>7.31</v>
      </c>
      <c r="R175">
        <v>12.35</v>
      </c>
      <c r="S175">
        <v>1.8800000000000008</v>
      </c>
      <c r="T175">
        <v>4.96</v>
      </c>
      <c r="U175">
        <v>0.09</v>
      </c>
      <c r="V175">
        <v>197.76</v>
      </c>
      <c r="W175">
        <v>36.28</v>
      </c>
      <c r="X175">
        <f t="shared" si="36"/>
        <v>2.75</v>
      </c>
      <c r="Y175">
        <f t="shared" si="29"/>
        <v>6.1749999999999999E-2</v>
      </c>
      <c r="Z175">
        <f t="shared" si="30"/>
        <v>6.2449433656957931E-2</v>
      </c>
      <c r="AA175">
        <f t="shared" si="31"/>
        <v>2.5080906148867314E-2</v>
      </c>
      <c r="AB175" s="3">
        <f t="shared" si="37"/>
        <v>2.16</v>
      </c>
      <c r="AC175">
        <v>34</v>
      </c>
      <c r="AD175">
        <v>7.2</v>
      </c>
      <c r="AE175">
        <v>50</v>
      </c>
      <c r="AF175" s="31">
        <v>4.0000000000000002E-4</v>
      </c>
      <c r="AG175" s="31">
        <f t="shared" si="32"/>
        <v>9.3453465600000007E-2</v>
      </c>
      <c r="AH175" s="31">
        <f t="shared" si="27"/>
        <v>2.1831649344000001</v>
      </c>
      <c r="AI175">
        <v>200</v>
      </c>
      <c r="AJ175" s="2">
        <v>9.4387480012367003E-3</v>
      </c>
      <c r="AM175">
        <f t="shared" si="33"/>
        <v>7.8656233343639165E-2</v>
      </c>
      <c r="AN175">
        <f t="shared" si="34"/>
        <v>0</v>
      </c>
      <c r="AO175" s="3">
        <f t="shared" si="35"/>
        <v>0</v>
      </c>
      <c r="AP175" s="3">
        <f t="shared" si="38"/>
        <v>7.8656233343639165E-2</v>
      </c>
    </row>
    <row r="176" spans="1:42" x14ac:dyDescent="0.25">
      <c r="A176" s="2" t="s">
        <v>53</v>
      </c>
      <c r="B176" s="96" t="s">
        <v>49</v>
      </c>
      <c r="C176" s="96">
        <v>12</v>
      </c>
      <c r="D176" s="96">
        <v>7.3</v>
      </c>
      <c r="E176" s="96">
        <v>35</v>
      </c>
      <c r="F176" s="96">
        <v>7</v>
      </c>
      <c r="G176" s="97">
        <v>45351.465972222199</v>
      </c>
      <c r="I176" s="96">
        <v>3888.32</v>
      </c>
      <c r="J176" s="96"/>
      <c r="K176" s="96">
        <v>22.03</v>
      </c>
      <c r="L176" s="96">
        <v>90.72</v>
      </c>
      <c r="M176" s="96">
        <v>1.92</v>
      </c>
      <c r="N176" s="96">
        <v>355</v>
      </c>
      <c r="O176" s="96">
        <v>29.2</v>
      </c>
      <c r="P176" s="96">
        <v>2.91</v>
      </c>
      <c r="Q176" s="3">
        <v>7.23</v>
      </c>
      <c r="R176" s="96">
        <v>22.29</v>
      </c>
      <c r="S176" s="96">
        <v>0.33999999999999986</v>
      </c>
      <c r="T176" s="96">
        <v>4.7300000000000004</v>
      </c>
      <c r="U176" s="96">
        <v>0.02</v>
      </c>
      <c r="V176" s="96">
        <v>200.81</v>
      </c>
      <c r="W176" s="96">
        <v>24.9</v>
      </c>
      <c r="X176" s="96">
        <f t="shared" si="36"/>
        <v>1.7699999999999996</v>
      </c>
      <c r="Y176" s="96">
        <f t="shared" si="29"/>
        <v>0.11144999999999999</v>
      </c>
      <c r="Z176" s="96">
        <f t="shared" si="30"/>
        <v>0.11100044818485134</v>
      </c>
      <c r="AA176" s="96">
        <f t="shared" si="31"/>
        <v>2.3554603854389723E-2</v>
      </c>
      <c r="AB176" s="3">
        <f t="shared" si="37"/>
        <v>0.48</v>
      </c>
      <c r="AC176" s="96">
        <v>34</v>
      </c>
      <c r="AD176" s="96">
        <v>7.2</v>
      </c>
      <c r="AE176" s="96">
        <v>50</v>
      </c>
      <c r="AF176" s="100">
        <v>4.0000000000000002E-4</v>
      </c>
      <c r="AG176" s="100">
        <f t="shared" si="32"/>
        <v>0.10617226320000001</v>
      </c>
      <c r="AH176" s="100">
        <f t="shared" si="27"/>
        <v>2.4807860352000004</v>
      </c>
      <c r="AI176" s="96">
        <v>200</v>
      </c>
      <c r="AJ176" s="2">
        <v>2E-3</v>
      </c>
      <c r="AK176" s="96"/>
      <c r="AL176" s="96"/>
      <c r="AM176" s="96">
        <f t="shared" si="33"/>
        <v>1.6666666666666666E-2</v>
      </c>
      <c r="AN176" s="96">
        <f t="shared" si="34"/>
        <v>0</v>
      </c>
      <c r="AO176" s="3">
        <f t="shared" si="35"/>
        <v>0</v>
      </c>
      <c r="AP176" s="3">
        <f t="shared" si="38"/>
        <v>1.6666666666666666E-2</v>
      </c>
    </row>
    <row r="177" spans="1:42" x14ac:dyDescent="0.25">
      <c r="A177" s="2" t="s">
        <v>54</v>
      </c>
      <c r="B177" t="s">
        <v>46</v>
      </c>
      <c r="C177">
        <v>18</v>
      </c>
      <c r="D177">
        <v>7.3</v>
      </c>
      <c r="E177">
        <v>35</v>
      </c>
      <c r="F177">
        <v>7</v>
      </c>
      <c r="G177" s="1">
        <v>45351.470138888901</v>
      </c>
      <c r="I177" s="96">
        <v>3888.32</v>
      </c>
      <c r="K177">
        <v>23.99</v>
      </c>
      <c r="L177">
        <v>89.22</v>
      </c>
      <c r="M177">
        <v>1.59</v>
      </c>
      <c r="N177" s="78">
        <v>0</v>
      </c>
      <c r="O177">
        <v>29.8</v>
      </c>
      <c r="P177">
        <v>2.85</v>
      </c>
      <c r="Q177" s="3">
        <v>7.31</v>
      </c>
      <c r="R177">
        <v>17.440000000000001</v>
      </c>
      <c r="S177">
        <v>2.7099999999999973</v>
      </c>
      <c r="T177">
        <v>2.86</v>
      </c>
      <c r="U177">
        <v>0.14000000000000001</v>
      </c>
      <c r="V177">
        <v>202.22</v>
      </c>
      <c r="W177">
        <v>34.5</v>
      </c>
      <c r="X177">
        <f t="shared" si="36"/>
        <v>1.7700000000000031</v>
      </c>
      <c r="Y177">
        <f t="shared" si="29"/>
        <v>8.72E-2</v>
      </c>
      <c r="Z177">
        <f t="shared" si="30"/>
        <v>8.6242705963801805E-2</v>
      </c>
      <c r="AA177">
        <f t="shared" si="31"/>
        <v>1.4143012560577588E-2</v>
      </c>
      <c r="AB177" s="3">
        <f t="shared" si="37"/>
        <v>3.3600000000000003</v>
      </c>
      <c r="AC177">
        <v>34</v>
      </c>
      <c r="AD177">
        <v>7.2</v>
      </c>
      <c r="AE177">
        <v>50</v>
      </c>
      <c r="AF177" s="31">
        <v>4.0000000000000002E-4</v>
      </c>
      <c r="AG177" s="31">
        <f t="shared" si="32"/>
        <v>0.11643018719999999</v>
      </c>
      <c r="AH177" s="31">
        <f t="shared" si="27"/>
        <v>2.6098813440000002</v>
      </c>
      <c r="AI177">
        <v>200</v>
      </c>
      <c r="AJ177" s="2">
        <v>2E-3</v>
      </c>
      <c r="AK177">
        <v>1.24654394765683E-2</v>
      </c>
      <c r="AL177" s="74">
        <v>9.9999999999999995E-8</v>
      </c>
      <c r="AM177">
        <f t="shared" si="33"/>
        <v>0</v>
      </c>
      <c r="AN177">
        <f t="shared" si="34"/>
        <v>0.1050317154563184</v>
      </c>
      <c r="AO177" s="3">
        <f t="shared" si="35"/>
        <v>2.0222000000000001E-5</v>
      </c>
      <c r="AP177" s="3">
        <f t="shared" si="38"/>
        <v>0.1050317154563184</v>
      </c>
    </row>
    <row r="178" spans="1:42" x14ac:dyDescent="0.25">
      <c r="A178" s="2" t="s">
        <v>55</v>
      </c>
      <c r="B178" t="s">
        <v>51</v>
      </c>
      <c r="C178">
        <v>15</v>
      </c>
      <c r="D178">
        <v>7.2</v>
      </c>
      <c r="E178">
        <v>34</v>
      </c>
      <c r="F178">
        <v>7</v>
      </c>
      <c r="G178" s="1">
        <v>45351.476388888899</v>
      </c>
      <c r="I178" s="96">
        <v>3888.32</v>
      </c>
      <c r="K178">
        <v>18.32</v>
      </c>
      <c r="L178">
        <v>86.99</v>
      </c>
      <c r="M178">
        <v>2.09</v>
      </c>
      <c r="N178">
        <v>334</v>
      </c>
      <c r="O178">
        <v>31.2</v>
      </c>
      <c r="P178">
        <v>2.0499999999999998</v>
      </c>
      <c r="Q178" s="3">
        <v>7.32</v>
      </c>
      <c r="R178">
        <v>12.7</v>
      </c>
      <c r="S178">
        <v>1.8200000000000003</v>
      </c>
      <c r="T178">
        <v>4.66</v>
      </c>
      <c r="U178">
        <v>0.09</v>
      </c>
      <c r="V178">
        <v>198.43</v>
      </c>
      <c r="W178">
        <v>23.3</v>
      </c>
      <c r="X178">
        <f t="shared" si="36"/>
        <v>1.7699999999999996</v>
      </c>
      <c r="Y178">
        <f t="shared" si="29"/>
        <v>6.3500000000000001E-2</v>
      </c>
      <c r="Z178">
        <f t="shared" si="30"/>
        <v>6.4002418989064142E-2</v>
      </c>
      <c r="AA178">
        <f t="shared" si="31"/>
        <v>2.3484352164491257E-2</v>
      </c>
      <c r="AB178" s="3">
        <f t="shared" si="37"/>
        <v>2.16</v>
      </c>
      <c r="AC178">
        <v>34</v>
      </c>
      <c r="AD178">
        <v>7.2</v>
      </c>
      <c r="AE178">
        <v>50</v>
      </c>
      <c r="AF178" s="31">
        <v>4.0000000000000002E-4</v>
      </c>
      <c r="AG178" s="31">
        <f t="shared" si="32"/>
        <v>8.72457024E-2</v>
      </c>
      <c r="AH178" s="31">
        <f t="shared" si="27"/>
        <v>2.0547924480000002</v>
      </c>
      <c r="AI178">
        <v>200</v>
      </c>
      <c r="AJ178" s="2">
        <v>5.0257341141739997E-3</v>
      </c>
      <c r="AM178">
        <f t="shared" si="33"/>
        <v>0</v>
      </c>
      <c r="AN178">
        <f t="shared" si="34"/>
        <v>0</v>
      </c>
      <c r="AO178" s="3">
        <f t="shared" si="35"/>
        <v>0</v>
      </c>
      <c r="AP178" s="3">
        <f t="shared" si="38"/>
        <v>0</v>
      </c>
    </row>
    <row r="179" spans="1:42" x14ac:dyDescent="0.25">
      <c r="A179" s="2" t="s">
        <v>56</v>
      </c>
      <c r="B179" t="s">
        <v>49</v>
      </c>
      <c r="C179">
        <v>18</v>
      </c>
      <c r="D179">
        <v>7.1</v>
      </c>
      <c r="E179">
        <v>32.999999999999993</v>
      </c>
      <c r="F179">
        <v>7</v>
      </c>
      <c r="G179" s="1">
        <v>45351.493750000001</v>
      </c>
      <c r="I179" s="96">
        <v>3888.32</v>
      </c>
      <c r="K179">
        <v>19.829999999999998</v>
      </c>
      <c r="L179">
        <v>82.54</v>
      </c>
      <c r="M179">
        <v>1.69</v>
      </c>
      <c r="N179">
        <v>329</v>
      </c>
      <c r="O179">
        <v>34</v>
      </c>
      <c r="P179">
        <v>1.2</v>
      </c>
      <c r="Q179" s="3">
        <v>7.32</v>
      </c>
      <c r="R179">
        <v>12.49</v>
      </c>
      <c r="S179">
        <v>1.0499999999999989</v>
      </c>
      <c r="T179">
        <v>6</v>
      </c>
      <c r="U179">
        <v>0.06</v>
      </c>
      <c r="V179">
        <v>200.64</v>
      </c>
      <c r="W179">
        <v>33.700000000000003</v>
      </c>
      <c r="X179">
        <f t="shared" si="36"/>
        <v>1.7700000000000031</v>
      </c>
      <c r="Y179">
        <f t="shared" si="29"/>
        <v>6.2449999999999999E-2</v>
      </c>
      <c r="Z179">
        <f t="shared" si="30"/>
        <v>6.2250797448165876E-2</v>
      </c>
      <c r="AA179">
        <f t="shared" si="31"/>
        <v>2.9904306220095697E-2</v>
      </c>
      <c r="AB179" s="3">
        <f t="shared" si="37"/>
        <v>1.44</v>
      </c>
      <c r="AC179">
        <v>34</v>
      </c>
      <c r="AD179">
        <v>7.2</v>
      </c>
      <c r="AE179">
        <v>50</v>
      </c>
      <c r="AF179" s="31">
        <v>4.0000000000000002E-4</v>
      </c>
      <c r="AG179" s="31">
        <f t="shared" si="32"/>
        <v>9.5488588799999982E-2</v>
      </c>
      <c r="AH179" s="31">
        <f t="shared" ref="AH179:AH242" si="39">AG155*24</f>
        <v>2.2456937664000005</v>
      </c>
      <c r="AI179">
        <v>200</v>
      </c>
      <c r="AJ179" s="2">
        <v>2E-3</v>
      </c>
      <c r="AM179">
        <f t="shared" si="33"/>
        <v>1.6666666666666666E-2</v>
      </c>
      <c r="AN179">
        <f t="shared" si="34"/>
        <v>0</v>
      </c>
      <c r="AO179" s="3">
        <f t="shared" si="35"/>
        <v>0</v>
      </c>
      <c r="AP179" s="3">
        <f t="shared" si="38"/>
        <v>1.6666666666666666E-2</v>
      </c>
    </row>
    <row r="180" spans="1:42" x14ac:dyDescent="0.25">
      <c r="A180" s="2" t="s">
        <v>57</v>
      </c>
      <c r="B180" t="s">
        <v>46</v>
      </c>
      <c r="C180">
        <v>18</v>
      </c>
      <c r="D180">
        <v>7.2</v>
      </c>
      <c r="E180">
        <v>34</v>
      </c>
      <c r="F180">
        <v>7</v>
      </c>
      <c r="G180" s="1">
        <v>45351.506249999999</v>
      </c>
      <c r="I180" s="96">
        <v>3888.32</v>
      </c>
      <c r="K180">
        <v>22.12</v>
      </c>
      <c r="L180">
        <v>89.5</v>
      </c>
      <c r="M180">
        <v>1.4</v>
      </c>
      <c r="N180">
        <v>342</v>
      </c>
      <c r="O180">
        <v>29.6</v>
      </c>
      <c r="P180">
        <v>3.89</v>
      </c>
      <c r="Q180" s="3">
        <v>7.31</v>
      </c>
      <c r="R180">
        <v>19.41</v>
      </c>
      <c r="S180">
        <v>2.3000000000000007</v>
      </c>
      <c r="T180">
        <v>2.0699999999999998</v>
      </c>
      <c r="U180">
        <v>0.12</v>
      </c>
      <c r="V180">
        <v>203.5</v>
      </c>
      <c r="W180">
        <v>34.5</v>
      </c>
      <c r="X180">
        <f t="shared" si="36"/>
        <v>1.7700000000000031</v>
      </c>
      <c r="Y180">
        <f t="shared" si="29"/>
        <v>9.7049999999999997E-2</v>
      </c>
      <c r="Z180">
        <f t="shared" si="30"/>
        <v>9.5380835380835388E-2</v>
      </c>
      <c r="AA180">
        <f t="shared" si="31"/>
        <v>1.0171990171990171E-2</v>
      </c>
      <c r="AB180" s="3">
        <f t="shared" si="37"/>
        <v>2.88</v>
      </c>
      <c r="AC180">
        <v>34</v>
      </c>
      <c r="AD180">
        <v>7.2</v>
      </c>
      <c r="AE180">
        <v>50</v>
      </c>
      <c r="AF180" s="31">
        <v>4.0000000000000002E-4</v>
      </c>
      <c r="AG180" s="31">
        <f t="shared" si="32"/>
        <v>0.10803407999999999</v>
      </c>
      <c r="AH180" s="31">
        <f t="shared" si="39"/>
        <v>2.6030457216</v>
      </c>
      <c r="AI180">
        <v>200</v>
      </c>
      <c r="AJ180" s="2">
        <v>2E-3</v>
      </c>
      <c r="AK180">
        <v>8.25331900079849E-3</v>
      </c>
      <c r="AL180" s="74">
        <v>9.9999999999999995E-8</v>
      </c>
      <c r="AM180">
        <f t="shared" si="33"/>
        <v>0</v>
      </c>
      <c r="AN180">
        <f t="shared" si="34"/>
        <v>6.9981267360937197E-2</v>
      </c>
      <c r="AO180" s="3">
        <f t="shared" si="35"/>
        <v>2.035E-5</v>
      </c>
      <c r="AP180" s="3">
        <f t="shared" si="38"/>
        <v>6.9981267360937197E-2</v>
      </c>
    </row>
    <row r="181" spans="1:42" x14ac:dyDescent="0.25">
      <c r="A181" s="2" t="s">
        <v>58</v>
      </c>
      <c r="B181" t="s">
        <v>51</v>
      </c>
      <c r="C181">
        <v>18</v>
      </c>
      <c r="D181">
        <v>7.1</v>
      </c>
      <c r="E181">
        <v>32.999999999999993</v>
      </c>
      <c r="F181">
        <v>7</v>
      </c>
      <c r="G181" s="1">
        <v>45351.510416666701</v>
      </c>
      <c r="I181" s="96">
        <v>3888.32</v>
      </c>
      <c r="K181">
        <v>19.760000000000002</v>
      </c>
      <c r="L181">
        <v>86.57</v>
      </c>
      <c r="M181">
        <v>1.24</v>
      </c>
      <c r="N181">
        <v>331</v>
      </c>
      <c r="O181">
        <v>30.7</v>
      </c>
      <c r="P181">
        <v>3.48</v>
      </c>
      <c r="Q181" s="3">
        <v>7.31</v>
      </c>
      <c r="R181">
        <v>14.87</v>
      </c>
      <c r="S181">
        <v>2.0400000000000009</v>
      </c>
      <c r="T181">
        <v>4.6399999999999997</v>
      </c>
      <c r="U181">
        <v>0.1</v>
      </c>
      <c r="V181">
        <v>208.96</v>
      </c>
      <c r="W181">
        <v>33.700000000000003</v>
      </c>
      <c r="X181">
        <f t="shared" si="36"/>
        <v>1.7700000000000031</v>
      </c>
      <c r="Y181">
        <f t="shared" si="29"/>
        <v>7.4349999999999999E-2</v>
      </c>
      <c r="Z181">
        <f t="shared" si="30"/>
        <v>7.1161944869831545E-2</v>
      </c>
      <c r="AA181">
        <f t="shared" si="31"/>
        <v>2.2205206738131696E-2</v>
      </c>
      <c r="AB181" s="3">
        <f t="shared" si="37"/>
        <v>2.4000000000000004</v>
      </c>
      <c r="AC181">
        <v>34</v>
      </c>
      <c r="AD181">
        <v>7.2</v>
      </c>
      <c r="AE181">
        <v>50</v>
      </c>
      <c r="AF181" s="31">
        <v>4.0000000000000002E-4</v>
      </c>
      <c r="AG181" s="31">
        <f t="shared" si="32"/>
        <v>9.9097190400000021E-2</v>
      </c>
      <c r="AH181" s="31">
        <f t="shared" si="39"/>
        <v>2.5237536768000002</v>
      </c>
      <c r="AI181">
        <v>200</v>
      </c>
      <c r="AJ181" s="2">
        <v>2E-3</v>
      </c>
      <c r="AM181">
        <f t="shared" si="33"/>
        <v>0</v>
      </c>
      <c r="AN181">
        <f t="shared" si="34"/>
        <v>0</v>
      </c>
      <c r="AO181" s="3">
        <f t="shared" si="35"/>
        <v>0</v>
      </c>
      <c r="AP181" s="3">
        <f t="shared" si="38"/>
        <v>0</v>
      </c>
    </row>
    <row r="182" spans="1:42" x14ac:dyDescent="0.25">
      <c r="A182" s="2" t="s">
        <v>59</v>
      </c>
      <c r="B182" t="s">
        <v>46</v>
      </c>
      <c r="C182">
        <v>15</v>
      </c>
      <c r="D182">
        <v>7.1</v>
      </c>
      <c r="E182">
        <v>32.999999999999993</v>
      </c>
      <c r="F182">
        <v>7</v>
      </c>
      <c r="G182" s="1">
        <v>45351.514583333301</v>
      </c>
      <c r="I182" s="96">
        <v>3888.32</v>
      </c>
      <c r="K182">
        <v>20.6</v>
      </c>
      <c r="L182">
        <v>90.27</v>
      </c>
      <c r="M182">
        <v>1.69</v>
      </c>
      <c r="N182">
        <v>340</v>
      </c>
      <c r="O182">
        <v>29.8</v>
      </c>
      <c r="P182">
        <v>3.58</v>
      </c>
      <c r="Q182" s="3">
        <v>7.3</v>
      </c>
      <c r="R182">
        <v>17.41</v>
      </c>
      <c r="S182">
        <v>2</v>
      </c>
      <c r="T182">
        <v>2.78</v>
      </c>
      <c r="U182">
        <v>0.09</v>
      </c>
      <c r="V182">
        <v>204.03</v>
      </c>
      <c r="W182">
        <v>21.7</v>
      </c>
      <c r="X182">
        <f t="shared" si="36"/>
        <v>1.7699999999999996</v>
      </c>
      <c r="Y182">
        <f t="shared" si="29"/>
        <v>8.7050000000000002E-2</v>
      </c>
      <c r="Z182">
        <f t="shared" si="30"/>
        <v>8.5330588638925647E-2</v>
      </c>
      <c r="AA182">
        <f t="shared" si="31"/>
        <v>1.3625447238151251E-2</v>
      </c>
      <c r="AB182" s="3">
        <f t="shared" si="37"/>
        <v>2.16</v>
      </c>
      <c r="AC182">
        <v>34</v>
      </c>
      <c r="AD182">
        <v>7.2</v>
      </c>
      <c r="AE182">
        <v>50</v>
      </c>
      <c r="AF182" s="31">
        <v>4.0000000000000002E-4</v>
      </c>
      <c r="AG182" s="31">
        <f t="shared" si="32"/>
        <v>0.10087243200000001</v>
      </c>
      <c r="AH182" s="31">
        <f t="shared" si="39"/>
        <v>2.372758272</v>
      </c>
      <c r="AI182">
        <v>200</v>
      </c>
      <c r="AJ182" s="2">
        <v>2E-3</v>
      </c>
      <c r="AK182">
        <v>1.6003130718207199E-2</v>
      </c>
      <c r="AL182" s="74">
        <v>9.9999999999999995E-8</v>
      </c>
      <c r="AM182">
        <f t="shared" si="33"/>
        <v>0</v>
      </c>
      <c r="AN182">
        <f t="shared" si="34"/>
        <v>0.13604661501815896</v>
      </c>
      <c r="AO182" s="3">
        <f t="shared" si="35"/>
        <v>2.0402999999999998E-5</v>
      </c>
      <c r="AP182" s="3">
        <f t="shared" si="38"/>
        <v>0.13604661501815896</v>
      </c>
    </row>
    <row r="183" spans="1:42" x14ac:dyDescent="0.25">
      <c r="A183" s="2" t="s">
        <v>60</v>
      </c>
      <c r="B183" t="s">
        <v>49</v>
      </c>
      <c r="C183">
        <v>15</v>
      </c>
      <c r="D183">
        <v>7.1</v>
      </c>
      <c r="E183">
        <v>32.999999999999993</v>
      </c>
      <c r="F183">
        <v>7</v>
      </c>
      <c r="G183" s="1">
        <v>45351.518750000003</v>
      </c>
      <c r="I183" s="96">
        <v>3888.32</v>
      </c>
      <c r="K183">
        <v>21.21</v>
      </c>
      <c r="L183">
        <v>89.6</v>
      </c>
      <c r="M183">
        <v>1.63</v>
      </c>
      <c r="N183">
        <v>332</v>
      </c>
      <c r="O183">
        <v>31.4</v>
      </c>
      <c r="P183">
        <v>1.77</v>
      </c>
      <c r="Q183" s="3">
        <v>7.32</v>
      </c>
      <c r="R183">
        <v>17.809999999999999</v>
      </c>
      <c r="S183">
        <v>0.33999999999999986</v>
      </c>
      <c r="T183">
        <v>4.5199999999999996</v>
      </c>
      <c r="U183">
        <v>0.02</v>
      </c>
      <c r="V183">
        <v>203.11</v>
      </c>
      <c r="W183">
        <v>21.7</v>
      </c>
      <c r="X183">
        <f t="shared" si="36"/>
        <v>1.7699999999999996</v>
      </c>
      <c r="Y183">
        <f t="shared" si="29"/>
        <v>8.904999999999999E-2</v>
      </c>
      <c r="Z183">
        <f t="shared" si="30"/>
        <v>8.7686475308945883E-2</v>
      </c>
      <c r="AA183">
        <f t="shared" si="31"/>
        <v>2.2253951061001424E-2</v>
      </c>
      <c r="AB183" s="3">
        <f t="shared" si="37"/>
        <v>0.48</v>
      </c>
      <c r="AC183">
        <v>34</v>
      </c>
      <c r="AD183">
        <v>7.2</v>
      </c>
      <c r="AE183">
        <v>50</v>
      </c>
      <c r="AF183" s="31">
        <v>4.0000000000000002E-4</v>
      </c>
      <c r="AG183" s="31">
        <f t="shared" si="32"/>
        <v>0.1033911144</v>
      </c>
      <c r="AH183" s="31">
        <f t="shared" si="39"/>
        <v>2.4996121344000004</v>
      </c>
      <c r="AI183">
        <v>200</v>
      </c>
      <c r="AJ183" s="2">
        <v>2E-3</v>
      </c>
      <c r="AM183">
        <f t="shared" si="33"/>
        <v>1.6666666666666666E-2</v>
      </c>
      <c r="AN183">
        <f t="shared" si="34"/>
        <v>0</v>
      </c>
      <c r="AO183" s="3">
        <f t="shared" si="35"/>
        <v>0</v>
      </c>
      <c r="AP183" s="3">
        <f t="shared" si="38"/>
        <v>1.6666666666666666E-2</v>
      </c>
    </row>
    <row r="184" spans="1:42" x14ac:dyDescent="0.25">
      <c r="A184" s="2" t="s">
        <v>61</v>
      </c>
      <c r="B184" t="s">
        <v>46</v>
      </c>
      <c r="C184">
        <v>15</v>
      </c>
      <c r="D184">
        <v>7.3</v>
      </c>
      <c r="E184">
        <v>35</v>
      </c>
      <c r="F184">
        <v>7</v>
      </c>
      <c r="G184" s="1">
        <v>45351.5222222222</v>
      </c>
      <c r="I184" s="96">
        <v>3888.32</v>
      </c>
      <c r="K184">
        <v>22.05</v>
      </c>
      <c r="L184">
        <v>91.14</v>
      </c>
      <c r="M184">
        <v>1.49</v>
      </c>
      <c r="N184">
        <v>336</v>
      </c>
      <c r="O184">
        <v>28.8</v>
      </c>
      <c r="P184">
        <v>3.19</v>
      </c>
      <c r="Q184" s="3">
        <v>7.3</v>
      </c>
      <c r="R184">
        <v>18.899999999999999</v>
      </c>
      <c r="S184">
        <v>2.7900000000000027</v>
      </c>
      <c r="T184">
        <v>1.72</v>
      </c>
      <c r="U184">
        <v>0.16</v>
      </c>
      <c r="V184">
        <v>201.7</v>
      </c>
      <c r="W184">
        <v>22.68</v>
      </c>
      <c r="X184">
        <f t="shared" si="36"/>
        <v>1.7800000000000011</v>
      </c>
      <c r="Y184">
        <f t="shared" si="29"/>
        <v>9.4499999999999987E-2</v>
      </c>
      <c r="Z184">
        <f t="shared" si="30"/>
        <v>9.3703520079325725E-2</v>
      </c>
      <c r="AA184">
        <f t="shared" si="31"/>
        <v>8.5275161130391672E-3</v>
      </c>
      <c r="AB184" s="3">
        <f t="shared" si="37"/>
        <v>3.84</v>
      </c>
      <c r="AC184">
        <v>34</v>
      </c>
      <c r="AD184">
        <v>7.2</v>
      </c>
      <c r="AE184">
        <v>50</v>
      </c>
      <c r="AF184" s="31">
        <v>4.0000000000000002E-4</v>
      </c>
      <c r="AG184" s="31">
        <f t="shared" si="32"/>
        <v>0.10673964000000001</v>
      </c>
      <c r="AH184" s="31">
        <f t="shared" si="39"/>
        <v>2.8716508799999998</v>
      </c>
      <c r="AI184">
        <v>200</v>
      </c>
      <c r="AJ184" s="2">
        <v>2.0000000235005999E-3</v>
      </c>
      <c r="AK184">
        <v>5.5107458810757003E-3</v>
      </c>
      <c r="AL184" s="74">
        <v>9.9999999999999995E-8</v>
      </c>
      <c r="AM184">
        <f t="shared" si="33"/>
        <v>0</v>
      </c>
      <c r="AN184">
        <f t="shared" si="34"/>
        <v>4.6313226842207032E-2</v>
      </c>
      <c r="AO184" s="3">
        <f t="shared" si="35"/>
        <v>2.0169999999999998E-5</v>
      </c>
      <c r="AP184" s="3">
        <f t="shared" si="38"/>
        <v>4.6313226842207032E-2</v>
      </c>
    </row>
    <row r="185" spans="1:42" x14ac:dyDescent="0.25">
      <c r="A185" s="2" t="s">
        <v>62</v>
      </c>
      <c r="B185" t="s">
        <v>49</v>
      </c>
      <c r="C185">
        <v>18</v>
      </c>
      <c r="D185">
        <v>7.2</v>
      </c>
      <c r="E185">
        <v>34</v>
      </c>
      <c r="F185">
        <v>7</v>
      </c>
      <c r="G185" s="1">
        <v>45351.526388888902</v>
      </c>
      <c r="I185" s="96">
        <v>3888.32</v>
      </c>
      <c r="K185">
        <v>20.97</v>
      </c>
      <c r="L185">
        <v>89.01</v>
      </c>
      <c r="M185">
        <v>1.32</v>
      </c>
      <c r="N185" s="78">
        <v>0</v>
      </c>
      <c r="O185">
        <v>32.299999999999997</v>
      </c>
      <c r="P185">
        <v>2.73</v>
      </c>
      <c r="Q185" s="3">
        <v>7.31</v>
      </c>
      <c r="R185">
        <v>15.03</v>
      </c>
      <c r="S185">
        <v>0.33999999999999986</v>
      </c>
      <c r="T185">
        <v>4.8499999999999996</v>
      </c>
      <c r="U185">
        <v>0.02</v>
      </c>
      <c r="V185">
        <v>201.24</v>
      </c>
      <c r="W185">
        <v>34.68</v>
      </c>
      <c r="X185">
        <f t="shared" si="36"/>
        <v>1.7800000000000011</v>
      </c>
      <c r="Y185">
        <f t="shared" si="29"/>
        <v>7.5149999999999995E-2</v>
      </c>
      <c r="Z185">
        <f t="shared" si="30"/>
        <v>7.4686940966010723E-2</v>
      </c>
      <c r="AA185">
        <f t="shared" si="31"/>
        <v>2.4100576426157819E-2</v>
      </c>
      <c r="AB185" s="3">
        <f t="shared" si="37"/>
        <v>0.48</v>
      </c>
      <c r="AC185">
        <v>34</v>
      </c>
      <c r="AD185">
        <v>7.2</v>
      </c>
      <c r="AE185">
        <v>50</v>
      </c>
      <c r="AF185" s="31">
        <v>4.0000000000000002E-4</v>
      </c>
      <c r="AG185" s="31">
        <f t="shared" si="32"/>
        <v>0.1012800672</v>
      </c>
      <c r="AH185" s="31">
        <f t="shared" si="39"/>
        <v>2.5739707391999995</v>
      </c>
      <c r="AI185">
        <v>200</v>
      </c>
      <c r="AJ185" s="2">
        <v>2.0000000023469998E-3</v>
      </c>
      <c r="AM185">
        <f t="shared" si="33"/>
        <v>1.6666666686225001E-2</v>
      </c>
      <c r="AN185">
        <f t="shared" si="34"/>
        <v>0</v>
      </c>
      <c r="AO185" s="3">
        <f t="shared" si="35"/>
        <v>0</v>
      </c>
      <c r="AP185" s="3">
        <f t="shared" si="38"/>
        <v>1.6666666686225001E-2</v>
      </c>
    </row>
    <row r="186" spans="1:42" x14ac:dyDescent="0.25">
      <c r="A186" s="2" t="s">
        <v>63</v>
      </c>
      <c r="B186" t="s">
        <v>51</v>
      </c>
      <c r="C186">
        <v>12</v>
      </c>
      <c r="D186">
        <v>7.1</v>
      </c>
      <c r="E186">
        <v>32.999999999999993</v>
      </c>
      <c r="F186">
        <v>7</v>
      </c>
      <c r="G186" s="1">
        <v>45351.53125</v>
      </c>
      <c r="I186" s="96">
        <v>3888.32</v>
      </c>
      <c r="K186">
        <v>18.32</v>
      </c>
      <c r="L186">
        <v>90.47</v>
      </c>
      <c r="M186">
        <v>1.61</v>
      </c>
      <c r="N186">
        <v>358</v>
      </c>
      <c r="O186">
        <v>39.299999999999997</v>
      </c>
      <c r="P186">
        <v>2.15</v>
      </c>
      <c r="Q186" s="3">
        <v>7.33</v>
      </c>
      <c r="R186">
        <v>12.01</v>
      </c>
      <c r="S186">
        <v>1.7799999999999994</v>
      </c>
      <c r="T186">
        <v>3.94</v>
      </c>
      <c r="U186">
        <v>0.09</v>
      </c>
      <c r="V186">
        <v>198.35</v>
      </c>
      <c r="W186">
        <v>22.5</v>
      </c>
      <c r="X186">
        <f t="shared" si="36"/>
        <v>1.7699999999999996</v>
      </c>
      <c r="Y186">
        <f t="shared" si="29"/>
        <v>6.0049999999999999E-2</v>
      </c>
      <c r="Z186">
        <f t="shared" si="30"/>
        <v>6.0549533652634234E-2</v>
      </c>
      <c r="AA186">
        <f t="shared" si="31"/>
        <v>1.9863876985127302E-2</v>
      </c>
      <c r="AB186" s="3">
        <f t="shared" si="37"/>
        <v>2.16</v>
      </c>
      <c r="AC186">
        <v>34</v>
      </c>
      <c r="AD186">
        <v>7.2</v>
      </c>
      <c r="AE186">
        <v>50</v>
      </c>
      <c r="AF186" s="31">
        <v>4.0000000000000002E-4</v>
      </c>
      <c r="AG186" s="31">
        <f t="shared" si="32"/>
        <v>8.7210527999999995E-2</v>
      </c>
      <c r="AH186" s="31">
        <f t="shared" si="39"/>
        <v>2.0502489600000002</v>
      </c>
      <c r="AI186">
        <v>200</v>
      </c>
      <c r="AJ186" s="2">
        <v>1.0514942708317E-2</v>
      </c>
      <c r="AM186">
        <f t="shared" si="33"/>
        <v>0</v>
      </c>
      <c r="AN186">
        <f t="shared" si="34"/>
        <v>0</v>
      </c>
      <c r="AO186" s="3">
        <f t="shared" si="35"/>
        <v>0</v>
      </c>
      <c r="AP186" s="3">
        <f t="shared" si="38"/>
        <v>0</v>
      </c>
    </row>
    <row r="187" spans="1:42" x14ac:dyDescent="0.25">
      <c r="A187" s="2" t="s">
        <v>64</v>
      </c>
      <c r="B187" s="96" t="s">
        <v>46</v>
      </c>
      <c r="C187" s="96">
        <v>12</v>
      </c>
      <c r="D187" s="96">
        <v>7.1</v>
      </c>
      <c r="E187" s="96">
        <v>32.999999999999993</v>
      </c>
      <c r="F187" s="96">
        <v>7</v>
      </c>
      <c r="G187" s="97">
        <v>45351.535416666702</v>
      </c>
      <c r="I187" s="96">
        <v>3888.32</v>
      </c>
      <c r="J187" s="96"/>
      <c r="K187" s="96">
        <v>20.2</v>
      </c>
      <c r="L187" s="96">
        <v>91.3</v>
      </c>
      <c r="M187" s="96">
        <v>1.8</v>
      </c>
      <c r="N187" s="99">
        <v>702</v>
      </c>
      <c r="O187" s="96">
        <v>28.7</v>
      </c>
      <c r="P187" s="96">
        <v>5.59</v>
      </c>
      <c r="Q187" s="3">
        <v>7.2</v>
      </c>
      <c r="R187" s="96">
        <v>18.64</v>
      </c>
      <c r="S187" s="96">
        <v>1.8399999999999999</v>
      </c>
      <c r="T187" s="96">
        <v>2.64</v>
      </c>
      <c r="U187" s="96">
        <v>0.1</v>
      </c>
      <c r="V187" s="96">
        <v>202.4</v>
      </c>
      <c r="W187" s="96">
        <v>22.5</v>
      </c>
      <c r="X187" s="96">
        <f t="shared" si="36"/>
        <v>2.5700000000000003</v>
      </c>
      <c r="Y187" s="96">
        <f t="shared" si="29"/>
        <v>9.3200000000000005E-2</v>
      </c>
      <c r="Z187" s="96">
        <f t="shared" si="30"/>
        <v>9.2094861660079047E-2</v>
      </c>
      <c r="AA187" s="96">
        <f t="shared" si="31"/>
        <v>1.3043478260869566E-2</v>
      </c>
      <c r="AB187" s="3">
        <f t="shared" si="37"/>
        <v>2.4000000000000004</v>
      </c>
      <c r="AC187" s="96">
        <v>34</v>
      </c>
      <c r="AD187" s="96">
        <v>7.2</v>
      </c>
      <c r="AE187" s="96">
        <v>50</v>
      </c>
      <c r="AF187" s="100">
        <v>4.0000000000000002E-4</v>
      </c>
      <c r="AG187" s="100">
        <f t="shared" si="32"/>
        <v>9.8123520000000006E-2</v>
      </c>
      <c r="AH187" s="100">
        <f t="shared" si="39"/>
        <v>2.1895246080000001</v>
      </c>
      <c r="AI187" s="96">
        <v>200</v>
      </c>
      <c r="AJ187" s="2">
        <v>2.0000000100982998E-3</v>
      </c>
      <c r="AK187" s="96">
        <v>5.1755097437583197E-3</v>
      </c>
      <c r="AL187" s="104">
        <v>9.9999999999999995E-8</v>
      </c>
      <c r="AM187" s="96">
        <f t="shared" si="33"/>
        <v>0</v>
      </c>
      <c r="AN187" s="96">
        <f t="shared" si="34"/>
        <v>4.36467988390285E-2</v>
      </c>
      <c r="AO187" s="3">
        <f t="shared" si="35"/>
        <v>2.0239999999999999E-5</v>
      </c>
      <c r="AP187" s="3">
        <f t="shared" si="38"/>
        <v>4.36467988390285E-2</v>
      </c>
    </row>
    <row r="188" spans="1:42" x14ac:dyDescent="0.25">
      <c r="A188" s="2" t="s">
        <v>65</v>
      </c>
      <c r="B188" t="s">
        <v>49</v>
      </c>
      <c r="C188">
        <v>15</v>
      </c>
      <c r="D188">
        <v>7.3</v>
      </c>
      <c r="E188">
        <v>35</v>
      </c>
      <c r="F188">
        <v>7</v>
      </c>
      <c r="G188" s="1">
        <v>45351.538888888899</v>
      </c>
      <c r="I188" s="96">
        <v>3888.32</v>
      </c>
      <c r="K188">
        <v>19.739999999999998</v>
      </c>
      <c r="L188">
        <v>90.14</v>
      </c>
      <c r="M188">
        <v>1.68</v>
      </c>
      <c r="N188" s="78">
        <v>2146</v>
      </c>
      <c r="O188">
        <v>31.2</v>
      </c>
      <c r="P188">
        <v>2.25</v>
      </c>
      <c r="Q188" s="3">
        <v>7.31</v>
      </c>
      <c r="R188">
        <v>17.079999999999998</v>
      </c>
      <c r="S188">
        <v>0.35000000000000142</v>
      </c>
      <c r="T188">
        <v>5.65</v>
      </c>
      <c r="U188">
        <v>0.02</v>
      </c>
      <c r="V188">
        <v>202.16</v>
      </c>
      <c r="W188">
        <v>22.5</v>
      </c>
      <c r="X188">
        <f t="shared" si="36"/>
        <v>1.7699999999999996</v>
      </c>
      <c r="Y188">
        <f t="shared" si="29"/>
        <v>8.539999999999999E-2</v>
      </c>
      <c r="Z188">
        <f t="shared" si="30"/>
        <v>8.4487534626038779E-2</v>
      </c>
      <c r="AA188">
        <f t="shared" si="31"/>
        <v>2.7948159873367632E-2</v>
      </c>
      <c r="AB188" s="3">
        <f t="shared" si="37"/>
        <v>0.48</v>
      </c>
      <c r="AC188">
        <v>34</v>
      </c>
      <c r="AD188">
        <v>7.2</v>
      </c>
      <c r="AE188">
        <v>50</v>
      </c>
      <c r="AF188" s="31">
        <v>4.0000000000000002E-4</v>
      </c>
      <c r="AG188" s="31">
        <f t="shared" si="32"/>
        <v>9.5775321599999991E-2</v>
      </c>
      <c r="AH188" s="31">
        <f t="shared" si="39"/>
        <v>2.5829632511999998</v>
      </c>
      <c r="AI188">
        <v>200</v>
      </c>
      <c r="AJ188" s="2">
        <v>2E-3</v>
      </c>
      <c r="AM188">
        <f t="shared" si="33"/>
        <v>1.6666666666666666E-2</v>
      </c>
      <c r="AN188">
        <f t="shared" si="34"/>
        <v>0</v>
      </c>
      <c r="AO188" s="3">
        <f t="shared" si="35"/>
        <v>0</v>
      </c>
      <c r="AP188" s="3">
        <f t="shared" si="38"/>
        <v>1.6666666666666666E-2</v>
      </c>
    </row>
    <row r="189" spans="1:42" x14ac:dyDescent="0.25">
      <c r="A189" s="2" t="s">
        <v>66</v>
      </c>
      <c r="B189" t="s">
        <v>46</v>
      </c>
      <c r="C189">
        <v>12</v>
      </c>
      <c r="D189">
        <v>7.2</v>
      </c>
      <c r="E189">
        <v>34</v>
      </c>
      <c r="F189">
        <v>7</v>
      </c>
      <c r="G189" s="1">
        <v>45351.543055555601</v>
      </c>
      <c r="I189" s="96">
        <v>3888.32</v>
      </c>
      <c r="K189">
        <v>21.91</v>
      </c>
      <c r="L189">
        <v>91.61</v>
      </c>
      <c r="M189">
        <v>1.55</v>
      </c>
      <c r="N189">
        <v>353</v>
      </c>
      <c r="O189">
        <v>33.1</v>
      </c>
      <c r="P189">
        <v>6.11</v>
      </c>
      <c r="Q189" s="3">
        <v>7.21</v>
      </c>
      <c r="R189">
        <v>18.829999999999998</v>
      </c>
      <c r="S189">
        <v>1.5500000000000007</v>
      </c>
      <c r="T189">
        <v>2.68</v>
      </c>
      <c r="U189">
        <v>0.08</v>
      </c>
      <c r="V189">
        <v>202.64</v>
      </c>
      <c r="W189">
        <v>23.3</v>
      </c>
      <c r="X189">
        <f t="shared" si="36"/>
        <v>1.7699999999999996</v>
      </c>
      <c r="Y189">
        <f t="shared" si="29"/>
        <v>9.4149999999999998E-2</v>
      </c>
      <c r="Z189">
        <f t="shared" si="30"/>
        <v>9.2923410975128309E-2</v>
      </c>
      <c r="AA189">
        <f t="shared" si="31"/>
        <v>1.32254243979471E-2</v>
      </c>
      <c r="AB189" s="3">
        <f t="shared" si="37"/>
        <v>1.92</v>
      </c>
      <c r="AC189">
        <v>34</v>
      </c>
      <c r="AD189">
        <v>7.2</v>
      </c>
      <c r="AE189">
        <v>50</v>
      </c>
      <c r="AF189" s="31">
        <v>4.0000000000000002E-4</v>
      </c>
      <c r="AG189" s="31">
        <f t="shared" si="32"/>
        <v>0.1065562176</v>
      </c>
      <c r="AH189" s="31">
        <f t="shared" si="39"/>
        <v>2.4072662591999996</v>
      </c>
      <c r="AI189">
        <v>200</v>
      </c>
      <c r="AJ189" s="2">
        <v>2.0000000091995999E-3</v>
      </c>
      <c r="AK189">
        <v>4.3843014225786302E-3</v>
      </c>
      <c r="AL189" s="74">
        <v>9.9999999999999995E-8</v>
      </c>
      <c r="AM189">
        <f t="shared" si="33"/>
        <v>0</v>
      </c>
      <c r="AN189">
        <f t="shared" si="34"/>
        <v>3.7018118344638896E-2</v>
      </c>
      <c r="AO189" s="3">
        <f t="shared" si="35"/>
        <v>2.0263999999999998E-5</v>
      </c>
      <c r="AP189" s="3">
        <f t="shared" si="38"/>
        <v>3.7018118344638896E-2</v>
      </c>
    </row>
    <row r="190" spans="1:42" x14ac:dyDescent="0.25">
      <c r="A190" s="2" t="s">
        <v>67</v>
      </c>
      <c r="B190" t="s">
        <v>49</v>
      </c>
      <c r="C190">
        <v>12</v>
      </c>
      <c r="D190">
        <v>7.1</v>
      </c>
      <c r="E190">
        <v>32.999999999999993</v>
      </c>
      <c r="F190">
        <v>7</v>
      </c>
      <c r="G190" s="1">
        <v>45351.547916666699</v>
      </c>
      <c r="I190" s="96">
        <v>3888.32</v>
      </c>
      <c r="K190">
        <v>19.329999999999998</v>
      </c>
      <c r="L190">
        <v>89.68</v>
      </c>
      <c r="M190">
        <v>1.95</v>
      </c>
      <c r="N190">
        <v>334</v>
      </c>
      <c r="O190">
        <v>28.1</v>
      </c>
      <c r="P190">
        <v>0.54</v>
      </c>
      <c r="Q190" s="3">
        <v>7.32</v>
      </c>
      <c r="R190">
        <v>18.75</v>
      </c>
      <c r="S190">
        <v>0.92999999999999972</v>
      </c>
      <c r="T190">
        <v>5.26</v>
      </c>
      <c r="U190">
        <v>0.05</v>
      </c>
      <c r="V190">
        <v>201.63</v>
      </c>
      <c r="W190">
        <v>22.5</v>
      </c>
      <c r="X190">
        <f t="shared" si="36"/>
        <v>1.7699999999999996</v>
      </c>
      <c r="Y190">
        <f t="shared" si="29"/>
        <v>9.375E-2</v>
      </c>
      <c r="Z190">
        <f t="shared" si="30"/>
        <v>9.2992114268710013E-2</v>
      </c>
      <c r="AA190">
        <f t="shared" si="31"/>
        <v>2.608738778951545E-2</v>
      </c>
      <c r="AB190" s="3">
        <f t="shared" si="37"/>
        <v>1.2000000000000002</v>
      </c>
      <c r="AC190">
        <v>34</v>
      </c>
      <c r="AD190">
        <v>7.2</v>
      </c>
      <c r="AE190">
        <v>50</v>
      </c>
      <c r="AF190" s="31">
        <v>4.0000000000000002E-4</v>
      </c>
      <c r="AG190" s="31">
        <f t="shared" si="32"/>
        <v>9.354018959999999E-2</v>
      </c>
      <c r="AH190" s="31">
        <f t="shared" si="39"/>
        <v>2.3808245760000002</v>
      </c>
      <c r="AI190">
        <v>200</v>
      </c>
      <c r="AJ190" s="2">
        <v>2E-3</v>
      </c>
      <c r="AM190">
        <f t="shared" si="33"/>
        <v>1.6666666666666666E-2</v>
      </c>
      <c r="AN190">
        <f t="shared" si="34"/>
        <v>0</v>
      </c>
      <c r="AO190" s="3">
        <f t="shared" si="35"/>
        <v>0</v>
      </c>
      <c r="AP190" s="3">
        <f t="shared" si="38"/>
        <v>1.6666666666666666E-2</v>
      </c>
    </row>
    <row r="191" spans="1:42" x14ac:dyDescent="0.25">
      <c r="A191" s="2" t="s">
        <v>68</v>
      </c>
      <c r="B191" t="s">
        <v>51</v>
      </c>
      <c r="C191">
        <v>12</v>
      </c>
      <c r="D191">
        <v>7.3</v>
      </c>
      <c r="E191">
        <v>35</v>
      </c>
      <c r="F191">
        <v>7</v>
      </c>
      <c r="G191" s="1">
        <v>45351.551388888904</v>
      </c>
      <c r="I191" s="96">
        <v>3888.32</v>
      </c>
      <c r="K191">
        <v>18.46</v>
      </c>
      <c r="L191">
        <v>89.4</v>
      </c>
      <c r="M191">
        <v>1.87</v>
      </c>
      <c r="N191">
        <v>329</v>
      </c>
      <c r="O191">
        <v>35.5</v>
      </c>
      <c r="P191">
        <v>2.98</v>
      </c>
      <c r="Q191" s="3">
        <v>7.31</v>
      </c>
      <c r="R191">
        <v>11.27</v>
      </c>
      <c r="S191">
        <v>1.8000000000000007</v>
      </c>
      <c r="T191">
        <v>5.4</v>
      </c>
      <c r="U191">
        <v>0.09</v>
      </c>
      <c r="V191">
        <v>198.37</v>
      </c>
      <c r="W191">
        <v>22.5</v>
      </c>
      <c r="X191">
        <f t="shared" si="36"/>
        <v>1.7699999999999996</v>
      </c>
      <c r="Y191">
        <f t="shared" si="29"/>
        <v>5.6349999999999997E-2</v>
      </c>
      <c r="Z191">
        <f t="shared" si="30"/>
        <v>5.6813026163230321E-2</v>
      </c>
      <c r="AA191">
        <f t="shared" si="31"/>
        <v>2.7221858143872561E-2</v>
      </c>
      <c r="AB191" s="3">
        <f t="shared" si="37"/>
        <v>2.16</v>
      </c>
      <c r="AC191">
        <v>34</v>
      </c>
      <c r="AD191">
        <v>7.2</v>
      </c>
      <c r="AE191">
        <v>50</v>
      </c>
      <c r="AF191" s="31">
        <v>4.0000000000000002E-4</v>
      </c>
      <c r="AG191" s="31">
        <f t="shared" si="32"/>
        <v>8.7885844800000001E-2</v>
      </c>
      <c r="AH191" s="31">
        <f t="shared" si="39"/>
        <v>2.1264652799999997</v>
      </c>
      <c r="AI191">
        <v>200</v>
      </c>
      <c r="AJ191" s="2">
        <v>2.0000000107349E-3</v>
      </c>
      <c r="AM191">
        <f t="shared" si="33"/>
        <v>0</v>
      </c>
      <c r="AN191">
        <f t="shared" si="34"/>
        <v>0</v>
      </c>
      <c r="AO191" s="3">
        <f t="shared" si="35"/>
        <v>0</v>
      </c>
      <c r="AP191" s="3">
        <f t="shared" si="38"/>
        <v>0</v>
      </c>
    </row>
    <row r="192" spans="1:42" x14ac:dyDescent="0.25">
      <c r="A192" s="2" t="s">
        <v>69</v>
      </c>
      <c r="B192" t="s">
        <v>51</v>
      </c>
      <c r="C192">
        <v>15</v>
      </c>
      <c r="D192">
        <v>7.2</v>
      </c>
      <c r="E192">
        <v>34</v>
      </c>
      <c r="F192">
        <v>7</v>
      </c>
      <c r="G192" s="1">
        <v>45351.556250000001</v>
      </c>
      <c r="I192" s="96">
        <v>3888.32</v>
      </c>
      <c r="K192">
        <v>18.95</v>
      </c>
      <c r="L192">
        <v>89.53</v>
      </c>
      <c r="M192">
        <v>1.92</v>
      </c>
      <c r="N192">
        <v>337</v>
      </c>
      <c r="O192">
        <v>33.700000000000003</v>
      </c>
      <c r="P192">
        <v>2.61</v>
      </c>
      <c r="Q192" s="3">
        <v>7.31</v>
      </c>
      <c r="R192">
        <v>13.08</v>
      </c>
      <c r="S192">
        <v>1.9000000000000004</v>
      </c>
      <c r="T192">
        <v>4.7699999999999996</v>
      </c>
      <c r="U192">
        <v>0.09</v>
      </c>
      <c r="V192">
        <v>201.55</v>
      </c>
      <c r="W192">
        <v>21.7</v>
      </c>
      <c r="X192">
        <f t="shared" si="36"/>
        <v>1.7699999999999996</v>
      </c>
      <c r="Y192">
        <f t="shared" si="29"/>
        <v>6.54E-2</v>
      </c>
      <c r="Z192">
        <f t="shared" si="30"/>
        <v>6.4897047878938227E-2</v>
      </c>
      <c r="AA192">
        <f t="shared" si="31"/>
        <v>2.3666583974199948E-2</v>
      </c>
      <c r="AB192" s="3">
        <f t="shared" si="37"/>
        <v>2.16</v>
      </c>
      <c r="AC192">
        <v>34</v>
      </c>
      <c r="AD192">
        <v>7.2</v>
      </c>
      <c r="AE192">
        <v>50</v>
      </c>
      <c r="AF192" s="31">
        <v>4.0000000000000002E-4</v>
      </c>
      <c r="AG192" s="31">
        <f t="shared" si="32"/>
        <v>9.166494E-2</v>
      </c>
      <c r="AH192" s="31">
        <f t="shared" si="39"/>
        <v>2.3171208191999999</v>
      </c>
      <c r="AI192">
        <v>200</v>
      </c>
      <c r="AJ192" s="2">
        <v>6.3557571003017002E-3</v>
      </c>
      <c r="AM192">
        <f t="shared" si="33"/>
        <v>0</v>
      </c>
      <c r="AN192">
        <f t="shared" si="34"/>
        <v>0</v>
      </c>
      <c r="AO192" s="3">
        <f t="shared" si="35"/>
        <v>0</v>
      </c>
      <c r="AP192" s="3">
        <f t="shared" si="38"/>
        <v>0</v>
      </c>
    </row>
    <row r="193" spans="1:42" x14ac:dyDescent="0.25">
      <c r="A193" s="2" t="s">
        <v>70</v>
      </c>
      <c r="B193" t="s">
        <v>51</v>
      </c>
      <c r="C193">
        <v>15</v>
      </c>
      <c r="D193">
        <v>7.2</v>
      </c>
      <c r="E193">
        <v>34</v>
      </c>
      <c r="F193">
        <v>7</v>
      </c>
      <c r="G193" s="1">
        <v>45351.560416666704</v>
      </c>
      <c r="I193" s="96">
        <v>3888.32</v>
      </c>
      <c r="K193">
        <v>19.61</v>
      </c>
      <c r="L193">
        <v>89.49</v>
      </c>
      <c r="M193">
        <v>1.66</v>
      </c>
      <c r="N193" s="78">
        <v>0</v>
      </c>
      <c r="O193">
        <v>28.7</v>
      </c>
      <c r="P193">
        <v>3.29</v>
      </c>
      <c r="Q193" s="3">
        <v>7.3</v>
      </c>
      <c r="R193">
        <v>12.86</v>
      </c>
      <c r="S193">
        <v>1.9500000000000011</v>
      </c>
      <c r="T193">
        <v>4.4000000000000004</v>
      </c>
      <c r="U193">
        <v>0.09</v>
      </c>
      <c r="V193">
        <v>199.27</v>
      </c>
      <c r="W193">
        <v>21.7</v>
      </c>
      <c r="X193">
        <f t="shared" si="36"/>
        <v>1.7699999999999996</v>
      </c>
      <c r="Y193">
        <f t="shared" si="29"/>
        <v>6.4299999999999996E-2</v>
      </c>
      <c r="Z193">
        <f t="shared" si="30"/>
        <v>6.4535554774928477E-2</v>
      </c>
      <c r="AA193">
        <f t="shared" si="31"/>
        <v>2.2080594168715814E-2</v>
      </c>
      <c r="AB193" s="3">
        <f t="shared" si="37"/>
        <v>2.16</v>
      </c>
      <c r="AC193">
        <v>34</v>
      </c>
      <c r="AD193">
        <v>7.2</v>
      </c>
      <c r="AE193">
        <v>50</v>
      </c>
      <c r="AF193" s="31">
        <v>4.0000000000000002E-4</v>
      </c>
      <c r="AG193" s="31">
        <f t="shared" si="32"/>
        <v>9.3784432800000012E-2</v>
      </c>
      <c r="AH193" s="31">
        <f t="shared" si="39"/>
        <v>2.1729863808000003</v>
      </c>
      <c r="AI193">
        <v>200</v>
      </c>
      <c r="AJ193" s="2">
        <v>3.6299992040052E-3</v>
      </c>
      <c r="AM193">
        <f t="shared" si="33"/>
        <v>0</v>
      </c>
      <c r="AN193">
        <f t="shared" si="34"/>
        <v>0</v>
      </c>
      <c r="AO193" s="3">
        <f t="shared" si="35"/>
        <v>0</v>
      </c>
      <c r="AP193" s="3">
        <f t="shared" si="38"/>
        <v>0</v>
      </c>
    </row>
    <row r="194" spans="1:42" ht="15.75" thickBot="1" x14ac:dyDescent="0.3">
      <c r="A194" s="12" t="s">
        <v>71</v>
      </c>
      <c r="B194" s="13" t="s">
        <v>51</v>
      </c>
      <c r="C194" s="13">
        <v>15</v>
      </c>
      <c r="D194" s="13">
        <v>7.2</v>
      </c>
      <c r="E194" s="13">
        <v>34</v>
      </c>
      <c r="F194" s="13">
        <v>7</v>
      </c>
      <c r="G194" s="14">
        <v>45351.564583333296</v>
      </c>
      <c r="H194" s="95"/>
      <c r="I194" s="13">
        <v>3888.32</v>
      </c>
      <c r="J194" s="13"/>
      <c r="K194" s="13">
        <v>16.690000000000001</v>
      </c>
      <c r="L194" s="13">
        <v>87.34</v>
      </c>
      <c r="M194" s="13">
        <v>1.74</v>
      </c>
      <c r="N194" s="13">
        <v>332</v>
      </c>
      <c r="O194" s="13">
        <v>35</v>
      </c>
      <c r="P194" s="13">
        <v>2.64</v>
      </c>
      <c r="Q194" s="77">
        <v>7.32</v>
      </c>
      <c r="R194" s="13">
        <v>12.1</v>
      </c>
      <c r="S194" s="13">
        <v>1.6600000000000001</v>
      </c>
      <c r="T194" s="13">
        <v>4.7</v>
      </c>
      <c r="U194" s="13">
        <v>0.08</v>
      </c>
      <c r="V194" s="13">
        <v>200.26</v>
      </c>
      <c r="W194" s="13">
        <v>21.7</v>
      </c>
      <c r="X194" s="13">
        <f t="shared" si="36"/>
        <v>1.7699999999999996</v>
      </c>
      <c r="Y194" s="13">
        <f t="shared" si="29"/>
        <v>6.0499999999999998E-2</v>
      </c>
      <c r="Z194" s="13">
        <f t="shared" si="30"/>
        <v>6.0421452112254068E-2</v>
      </c>
      <c r="AA194" s="13">
        <f t="shared" si="31"/>
        <v>2.3469489663437534E-2</v>
      </c>
      <c r="AB194" s="77">
        <f t="shared" si="37"/>
        <v>1.92</v>
      </c>
      <c r="AC194" s="13">
        <v>34</v>
      </c>
      <c r="AD194" s="13">
        <v>7.2</v>
      </c>
      <c r="AE194" s="13">
        <v>50</v>
      </c>
      <c r="AF194" s="36">
        <v>4.0000000000000002E-4</v>
      </c>
      <c r="AG194" s="36">
        <f t="shared" si="32"/>
        <v>8.0216145599999997E-2</v>
      </c>
      <c r="AH194" s="36">
        <f t="shared" si="39"/>
        <v>2.1532604543999998</v>
      </c>
      <c r="AI194" s="13">
        <v>200</v>
      </c>
      <c r="AJ194" s="12">
        <v>1.22982613951402E-2</v>
      </c>
      <c r="AK194" s="13"/>
      <c r="AL194" s="13"/>
      <c r="AM194" s="13">
        <f t="shared" si="33"/>
        <v>0</v>
      </c>
      <c r="AN194" s="13">
        <f t="shared" si="34"/>
        <v>0</v>
      </c>
      <c r="AO194" s="77">
        <f t="shared" si="35"/>
        <v>0</v>
      </c>
      <c r="AP194" s="77">
        <f t="shared" si="38"/>
        <v>0</v>
      </c>
    </row>
    <row r="195" spans="1:42" x14ac:dyDescent="0.25">
      <c r="A195" s="7" t="s">
        <v>45</v>
      </c>
      <c r="B195" s="8" t="s">
        <v>46</v>
      </c>
      <c r="C195" s="8">
        <v>18</v>
      </c>
      <c r="D195" s="8">
        <v>7.1</v>
      </c>
      <c r="E195" s="8">
        <v>32.999999999999993</v>
      </c>
      <c r="F195" s="8">
        <v>8</v>
      </c>
      <c r="G195" s="9">
        <v>45352.261805555601</v>
      </c>
      <c r="H195" s="93"/>
      <c r="I195" s="8">
        <v>4309.7</v>
      </c>
      <c r="J195" s="8">
        <v>4408.0349999999999</v>
      </c>
      <c r="K195" s="8">
        <v>19.760000000000002</v>
      </c>
      <c r="L195" s="8">
        <v>87.38</v>
      </c>
      <c r="M195" s="8">
        <v>1.33</v>
      </c>
      <c r="N195" s="8">
        <v>330</v>
      </c>
      <c r="O195" s="8">
        <v>30.4</v>
      </c>
      <c r="P195" s="8">
        <v>1.86</v>
      </c>
      <c r="Q195" s="75">
        <v>7.31</v>
      </c>
      <c r="R195" s="8">
        <v>17.07</v>
      </c>
      <c r="S195" s="8">
        <v>2.7399999999999984</v>
      </c>
      <c r="T195" s="8">
        <v>3.74</v>
      </c>
      <c r="U195" s="8">
        <v>0.12</v>
      </c>
      <c r="V195" s="8">
        <v>199.57</v>
      </c>
      <c r="W195" s="8">
        <v>38.75</v>
      </c>
      <c r="X195" s="8">
        <f t="shared" si="36"/>
        <v>3.2700000000000031</v>
      </c>
      <c r="Y195" s="8">
        <f t="shared" ref="Y195:Y258" si="40">R195/AI195</f>
        <v>8.5349999999999995E-2</v>
      </c>
      <c r="Z195" s="8">
        <f t="shared" ref="Z195:Z258" si="41">R195/V195</f>
        <v>8.5533897880442952E-2</v>
      </c>
      <c r="AA195" s="8">
        <f t="shared" ref="AA195:AA258" si="42">T195/V195</f>
        <v>1.8740291626998046E-2</v>
      </c>
      <c r="AB195" s="75">
        <f t="shared" si="37"/>
        <v>2.88</v>
      </c>
      <c r="AC195" s="8">
        <v>34</v>
      </c>
      <c r="AD195" s="8">
        <v>7.2</v>
      </c>
      <c r="AE195" s="8">
        <v>50</v>
      </c>
      <c r="AF195" s="26">
        <v>4.0000000000000002E-4</v>
      </c>
      <c r="AG195" s="26">
        <f t="shared" ref="AG195:AG258" si="43">AF195*K195*V195*0.06</f>
        <v>9.4644076800000004E-2</v>
      </c>
      <c r="AH195" s="26">
        <f t="shared" si="39"/>
        <v>2.4923261951999995</v>
      </c>
      <c r="AI195" s="8">
        <v>200</v>
      </c>
      <c r="AJ195" s="7">
        <v>1.0000000007380999E-3</v>
      </c>
      <c r="AK195">
        <v>1.1270202414991499E-2</v>
      </c>
      <c r="AL195">
        <v>0</v>
      </c>
      <c r="AM195" s="8">
        <f t="shared" ref="AM195:AM258" si="44">IF(B195="Python",AJ195*AI195/24,0)</f>
        <v>0</v>
      </c>
      <c r="AN195" s="8">
        <f t="shared" ref="AN195:AN258" si="45">IF(B195="Julia",AK195*V195/24,0)</f>
        <v>9.3716428998327231E-2</v>
      </c>
      <c r="AO195" s="75">
        <f t="shared" ref="AO195:AO258" si="46">AL195*V195</f>
        <v>0</v>
      </c>
      <c r="AP195" s="75">
        <f t="shared" ref="AP195:AP218" si="47">IF(IF(AND(AN195=0, AM195=0),0, IF(AN195&gt;0,AN195,AM195))=0,0,IF(AND(AN195=0, AM195=0),0, IF(AN195&gt;0,AN195,AM195)))</f>
        <v>9.3716428998327231E-2</v>
      </c>
    </row>
    <row r="196" spans="1:42" x14ac:dyDescent="0.25">
      <c r="A196" s="2" t="s">
        <v>47</v>
      </c>
      <c r="B196" t="s">
        <v>46</v>
      </c>
      <c r="C196">
        <v>12</v>
      </c>
      <c r="D196">
        <v>7.3</v>
      </c>
      <c r="E196">
        <v>35</v>
      </c>
      <c r="F196">
        <v>8</v>
      </c>
      <c r="G196" s="1">
        <v>45352.266666666699</v>
      </c>
      <c r="I196" s="96">
        <v>4309.7</v>
      </c>
      <c r="J196">
        <v>4162.2150000000001</v>
      </c>
      <c r="K196">
        <v>19.73</v>
      </c>
      <c r="L196">
        <v>82.47</v>
      </c>
      <c r="M196">
        <v>1.58</v>
      </c>
      <c r="N196" s="78">
        <v>0</v>
      </c>
      <c r="O196">
        <v>32.4</v>
      </c>
      <c r="P196">
        <v>2.48</v>
      </c>
      <c r="Q196" s="3">
        <v>7.31</v>
      </c>
      <c r="R196">
        <v>21.17</v>
      </c>
      <c r="S196">
        <v>2.9899999999999984</v>
      </c>
      <c r="T196">
        <v>1.3</v>
      </c>
      <c r="U196">
        <v>0.13</v>
      </c>
      <c r="V196">
        <v>199.49</v>
      </c>
      <c r="W196">
        <v>28.35</v>
      </c>
      <c r="X196">
        <f t="shared" si="36"/>
        <v>3.2700000000000031</v>
      </c>
      <c r="Y196">
        <f t="shared" si="40"/>
        <v>0.10585000000000001</v>
      </c>
      <c r="Z196">
        <f t="shared" si="41"/>
        <v>0.1061206075492506</v>
      </c>
      <c r="AA196">
        <f t="shared" si="42"/>
        <v>6.516617374304476E-3</v>
      </c>
      <c r="AB196" s="3">
        <f t="shared" si="37"/>
        <v>3.12</v>
      </c>
      <c r="AC196">
        <v>34</v>
      </c>
      <c r="AD196">
        <v>7.2</v>
      </c>
      <c r="AE196">
        <v>50</v>
      </c>
      <c r="AF196" s="31">
        <v>4.0000000000000002E-4</v>
      </c>
      <c r="AG196" s="31">
        <f t="shared" si="43"/>
        <v>9.4462504799999999E-2</v>
      </c>
      <c r="AH196" s="31">
        <f t="shared" si="39"/>
        <v>2.651904</v>
      </c>
      <c r="AI196">
        <v>200</v>
      </c>
      <c r="AJ196" s="2">
        <v>1.0000000044537E-3</v>
      </c>
      <c r="AK196">
        <v>1.6592831008579001E-2</v>
      </c>
      <c r="AL196" s="74">
        <v>9.9999999999999995E-8</v>
      </c>
      <c r="AM196">
        <f t="shared" si="44"/>
        <v>0</v>
      </c>
      <c r="AN196">
        <f t="shared" si="45"/>
        <v>0.13792099407922606</v>
      </c>
      <c r="AO196" s="3">
        <f t="shared" si="46"/>
        <v>1.9949000000000002E-5</v>
      </c>
      <c r="AP196" s="3">
        <f t="shared" si="47"/>
        <v>0.13792099407922606</v>
      </c>
    </row>
    <row r="197" spans="1:42" x14ac:dyDescent="0.25">
      <c r="A197" s="2" t="s">
        <v>48</v>
      </c>
      <c r="B197" t="s">
        <v>49</v>
      </c>
      <c r="C197">
        <v>12</v>
      </c>
      <c r="D197">
        <v>7.2</v>
      </c>
      <c r="E197">
        <v>34</v>
      </c>
      <c r="F197">
        <v>8</v>
      </c>
      <c r="G197" s="1">
        <v>45352.271527777797</v>
      </c>
      <c r="I197" s="96">
        <v>4309.7</v>
      </c>
      <c r="J197">
        <v>4467.8999999999996</v>
      </c>
      <c r="K197">
        <v>18.71</v>
      </c>
      <c r="L197">
        <v>86.96</v>
      </c>
      <c r="M197">
        <v>1.4</v>
      </c>
      <c r="N197" s="78">
        <v>0</v>
      </c>
      <c r="O197">
        <v>35.5</v>
      </c>
      <c r="P197">
        <v>0.25</v>
      </c>
      <c r="Q197" s="3">
        <v>7.33</v>
      </c>
      <c r="R197">
        <v>20.6</v>
      </c>
      <c r="S197">
        <v>0.35999999999999943</v>
      </c>
      <c r="T197">
        <v>6.39</v>
      </c>
      <c r="U197">
        <v>0.02</v>
      </c>
      <c r="V197">
        <v>199.57</v>
      </c>
      <c r="W197">
        <v>28.35</v>
      </c>
      <c r="X197">
        <f t="shared" si="36"/>
        <v>3.2700000000000031</v>
      </c>
      <c r="Y197">
        <f t="shared" si="40"/>
        <v>0.10300000000000001</v>
      </c>
      <c r="Z197">
        <f t="shared" si="41"/>
        <v>0.10322192714335823</v>
      </c>
      <c r="AA197">
        <f t="shared" si="42"/>
        <v>3.2018840507090245E-2</v>
      </c>
      <c r="AB197" s="3">
        <f t="shared" si="37"/>
        <v>0.48</v>
      </c>
      <c r="AC197">
        <v>34</v>
      </c>
      <c r="AD197">
        <v>7.2</v>
      </c>
      <c r="AE197">
        <v>50</v>
      </c>
      <c r="AF197" s="31">
        <v>4.0000000000000002E-4</v>
      </c>
      <c r="AG197" s="31">
        <f t="shared" si="43"/>
        <v>8.9614912800000016E-2</v>
      </c>
      <c r="AH197" s="31">
        <f t="shared" si="39"/>
        <v>2.3035125887999999</v>
      </c>
      <c r="AI197">
        <v>200</v>
      </c>
      <c r="AJ197" s="2">
        <v>1E-3</v>
      </c>
      <c r="AM197">
        <f t="shared" si="44"/>
        <v>8.3333333333333332E-3</v>
      </c>
      <c r="AN197">
        <f t="shared" si="45"/>
        <v>0</v>
      </c>
      <c r="AO197" s="3">
        <f t="shared" si="46"/>
        <v>0</v>
      </c>
      <c r="AP197" s="3">
        <f t="shared" si="47"/>
        <v>8.3333333333333332E-3</v>
      </c>
    </row>
    <row r="198" spans="1:42" x14ac:dyDescent="0.25">
      <c r="A198" s="2" t="s">
        <v>50</v>
      </c>
      <c r="B198" s="96" t="s">
        <v>51</v>
      </c>
      <c r="C198" s="96">
        <v>18</v>
      </c>
      <c r="D198" s="96">
        <v>7.3</v>
      </c>
      <c r="E198" s="96">
        <v>35</v>
      </c>
      <c r="F198" s="96">
        <v>8</v>
      </c>
      <c r="G198" s="97">
        <v>45352.276388888902</v>
      </c>
      <c r="I198" s="96">
        <v>4309.7</v>
      </c>
      <c r="J198" s="96">
        <v>4975.6350000000002</v>
      </c>
      <c r="K198" s="96">
        <v>19.07</v>
      </c>
      <c r="L198" s="96">
        <v>87.26</v>
      </c>
      <c r="M198" s="96">
        <v>1.42</v>
      </c>
      <c r="N198" s="99">
        <v>1322</v>
      </c>
      <c r="O198" s="96">
        <v>26.9</v>
      </c>
      <c r="P198" s="96">
        <v>2.97</v>
      </c>
      <c r="Q198" s="3">
        <v>7.31</v>
      </c>
      <c r="R198" s="96">
        <v>16.62</v>
      </c>
      <c r="S198" s="96">
        <v>2.0799999999999983</v>
      </c>
      <c r="T198" s="96">
        <v>5.57</v>
      </c>
      <c r="U198" s="96">
        <v>0.09</v>
      </c>
      <c r="V198" s="96">
        <v>197.05</v>
      </c>
      <c r="W198" s="96">
        <v>38.58</v>
      </c>
      <c r="X198" s="96">
        <f t="shared" si="36"/>
        <v>3.2800000000000011</v>
      </c>
      <c r="Y198" s="96">
        <f t="shared" si="40"/>
        <v>8.3100000000000007E-2</v>
      </c>
      <c r="Z198" s="96">
        <f t="shared" si="41"/>
        <v>8.4344075107840644E-2</v>
      </c>
      <c r="AA198" s="96">
        <f t="shared" si="42"/>
        <v>2.826693732555189E-2</v>
      </c>
      <c r="AB198" s="3">
        <f t="shared" si="37"/>
        <v>2.16</v>
      </c>
      <c r="AC198" s="96">
        <v>34</v>
      </c>
      <c r="AD198" s="96">
        <v>7.2</v>
      </c>
      <c r="AE198" s="96">
        <v>50</v>
      </c>
      <c r="AF198" s="100">
        <v>4.0000000000000002E-4</v>
      </c>
      <c r="AG198" s="100">
        <f t="shared" si="43"/>
        <v>9.0185844000000001E-2</v>
      </c>
      <c r="AH198" s="100">
        <f t="shared" si="39"/>
        <v>2.4034278527999997</v>
      </c>
      <c r="AI198" s="96">
        <v>200</v>
      </c>
      <c r="AJ198" s="2">
        <v>1E-3</v>
      </c>
      <c r="AK198" s="96"/>
      <c r="AL198" s="96"/>
      <c r="AM198" s="96">
        <f t="shared" si="44"/>
        <v>0</v>
      </c>
      <c r="AN198" s="96">
        <f t="shared" si="45"/>
        <v>0</v>
      </c>
      <c r="AO198" s="3">
        <f t="shared" si="46"/>
        <v>0</v>
      </c>
      <c r="AP198" s="3">
        <f t="shared" si="47"/>
        <v>0</v>
      </c>
    </row>
    <row r="199" spans="1:42" x14ac:dyDescent="0.25">
      <c r="A199" s="2" t="s">
        <v>52</v>
      </c>
      <c r="B199" t="s">
        <v>49</v>
      </c>
      <c r="C199">
        <v>18</v>
      </c>
      <c r="D199">
        <v>7.3</v>
      </c>
      <c r="E199">
        <v>35</v>
      </c>
      <c r="F199">
        <v>8</v>
      </c>
      <c r="G199" s="1">
        <v>45352.281944444403</v>
      </c>
      <c r="I199" s="96">
        <v>4309.7</v>
      </c>
      <c r="J199">
        <v>4436.2349999999997</v>
      </c>
      <c r="K199">
        <v>20.54</v>
      </c>
      <c r="L199">
        <v>87.02</v>
      </c>
      <c r="M199">
        <v>1.1200000000000001</v>
      </c>
      <c r="N199" s="78">
        <v>0</v>
      </c>
      <c r="O199">
        <v>33.4</v>
      </c>
      <c r="P199">
        <v>2.2400000000000002</v>
      </c>
      <c r="Q199" s="3">
        <v>7.31</v>
      </c>
      <c r="R199">
        <v>14.23</v>
      </c>
      <c r="S199">
        <v>1.6899999999999995</v>
      </c>
      <c r="T199">
        <v>4.96</v>
      </c>
      <c r="U199">
        <v>0.08</v>
      </c>
      <c r="V199">
        <v>197.12</v>
      </c>
      <c r="W199">
        <v>39.549999999999997</v>
      </c>
      <c r="X199">
        <f t="shared" si="36"/>
        <v>3.269999999999996</v>
      </c>
      <c r="Y199">
        <f t="shared" si="40"/>
        <v>7.1150000000000005E-2</v>
      </c>
      <c r="Z199">
        <f t="shared" si="41"/>
        <v>7.2189529220779217E-2</v>
      </c>
      <c r="AA199">
        <f t="shared" si="42"/>
        <v>2.516233766233766E-2</v>
      </c>
      <c r="AB199" s="3">
        <f t="shared" si="37"/>
        <v>1.92</v>
      </c>
      <c r="AC199">
        <v>34</v>
      </c>
      <c r="AD199">
        <v>7.2</v>
      </c>
      <c r="AE199">
        <v>50</v>
      </c>
      <c r="AF199" s="31">
        <v>4.0000000000000002E-4</v>
      </c>
      <c r="AG199" s="31">
        <f t="shared" si="43"/>
        <v>9.7172275199999991E-2</v>
      </c>
      <c r="AH199" s="31">
        <f t="shared" si="39"/>
        <v>2.2428831744000002</v>
      </c>
      <c r="AI199">
        <v>200</v>
      </c>
      <c r="AJ199" s="2">
        <v>5.6638160799607996E-3</v>
      </c>
      <c r="AM199">
        <f t="shared" si="44"/>
        <v>4.7198467333006665E-2</v>
      </c>
      <c r="AN199">
        <f t="shared" si="45"/>
        <v>0</v>
      </c>
      <c r="AO199" s="3">
        <f t="shared" si="46"/>
        <v>0</v>
      </c>
      <c r="AP199" s="3">
        <f t="shared" si="47"/>
        <v>4.7198467333006665E-2</v>
      </c>
    </row>
    <row r="200" spans="1:42" x14ac:dyDescent="0.25">
      <c r="A200" s="2" t="s">
        <v>53</v>
      </c>
      <c r="B200" t="s">
        <v>49</v>
      </c>
      <c r="C200">
        <v>12</v>
      </c>
      <c r="D200">
        <v>7.3</v>
      </c>
      <c r="E200">
        <v>35</v>
      </c>
      <c r="F200">
        <v>8</v>
      </c>
      <c r="G200" s="1">
        <v>45352.286111111098</v>
      </c>
      <c r="I200" s="96">
        <v>4309.7</v>
      </c>
      <c r="J200">
        <v>4555.9799999999996</v>
      </c>
      <c r="K200">
        <v>19.98</v>
      </c>
      <c r="L200">
        <v>85.03</v>
      </c>
      <c r="M200">
        <v>1.5</v>
      </c>
      <c r="N200">
        <v>290</v>
      </c>
      <c r="O200">
        <v>30.8</v>
      </c>
      <c r="P200">
        <v>0.09</v>
      </c>
      <c r="Q200" s="3">
        <v>7.34</v>
      </c>
      <c r="R200">
        <v>22.63</v>
      </c>
      <c r="S200">
        <v>0.35999999999999943</v>
      </c>
      <c r="T200">
        <v>6.19</v>
      </c>
      <c r="U200">
        <v>0.02</v>
      </c>
      <c r="V200">
        <v>199.43</v>
      </c>
      <c r="W200">
        <v>28.18</v>
      </c>
      <c r="X200">
        <f t="shared" si="36"/>
        <v>3.2800000000000011</v>
      </c>
      <c r="Y200">
        <f t="shared" si="40"/>
        <v>0.11315</v>
      </c>
      <c r="Z200">
        <f t="shared" si="41"/>
        <v>0.1134733991876849</v>
      </c>
      <c r="AA200">
        <f t="shared" si="42"/>
        <v>3.1038459609888183E-2</v>
      </c>
      <c r="AB200" s="3">
        <f t="shared" si="37"/>
        <v>0.48</v>
      </c>
      <c r="AC200">
        <v>34</v>
      </c>
      <c r="AD200">
        <v>7.2</v>
      </c>
      <c r="AE200">
        <v>50</v>
      </c>
      <c r="AF200" s="31">
        <v>4.0000000000000002E-4</v>
      </c>
      <c r="AG200" s="31">
        <f t="shared" si="43"/>
        <v>9.5630673600000007E-2</v>
      </c>
      <c r="AH200" s="31">
        <f t="shared" si="39"/>
        <v>2.5481343168000001</v>
      </c>
      <c r="AI200">
        <v>200</v>
      </c>
      <c r="AJ200" s="2">
        <v>1.0000000216939E-3</v>
      </c>
      <c r="AM200">
        <f t="shared" si="44"/>
        <v>8.3333335141158333E-3</v>
      </c>
      <c r="AN200">
        <f t="shared" si="45"/>
        <v>0</v>
      </c>
      <c r="AO200" s="3">
        <f t="shared" si="46"/>
        <v>0</v>
      </c>
      <c r="AP200" s="3">
        <f t="shared" si="47"/>
        <v>8.3333335141158333E-3</v>
      </c>
    </row>
    <row r="201" spans="1:42" x14ac:dyDescent="0.25">
      <c r="A201" s="2" t="s">
        <v>54</v>
      </c>
      <c r="B201" t="s">
        <v>46</v>
      </c>
      <c r="C201">
        <v>18</v>
      </c>
      <c r="D201">
        <v>7.3</v>
      </c>
      <c r="E201">
        <v>35</v>
      </c>
      <c r="F201">
        <v>8</v>
      </c>
      <c r="G201" s="1">
        <v>45352.290972222203</v>
      </c>
      <c r="I201" s="96">
        <v>4309.7</v>
      </c>
      <c r="J201">
        <v>4830.4949999999999</v>
      </c>
      <c r="K201">
        <v>22.03</v>
      </c>
      <c r="L201">
        <v>86.75</v>
      </c>
      <c r="M201">
        <v>1.47</v>
      </c>
      <c r="N201" s="78">
        <v>0</v>
      </c>
      <c r="O201">
        <v>30.1</v>
      </c>
      <c r="P201">
        <v>2.42</v>
      </c>
      <c r="Q201" s="3">
        <v>7.3</v>
      </c>
      <c r="R201">
        <v>20.149999999999999</v>
      </c>
      <c r="S201">
        <v>2.5100000000000016</v>
      </c>
      <c r="T201">
        <v>2.86</v>
      </c>
      <c r="U201">
        <v>0.11</v>
      </c>
      <c r="V201">
        <v>201.76</v>
      </c>
      <c r="W201">
        <v>37.78</v>
      </c>
      <c r="X201">
        <f t="shared" si="36"/>
        <v>3.2800000000000011</v>
      </c>
      <c r="Y201">
        <f t="shared" si="40"/>
        <v>0.10074999999999999</v>
      </c>
      <c r="Z201">
        <f t="shared" si="41"/>
        <v>9.9871134020618549E-2</v>
      </c>
      <c r="AA201">
        <f t="shared" si="42"/>
        <v>1.4175257731958763E-2</v>
      </c>
      <c r="AB201" s="3">
        <f t="shared" si="37"/>
        <v>2.64</v>
      </c>
      <c r="AC201">
        <v>34</v>
      </c>
      <c r="AD201">
        <v>7.2</v>
      </c>
      <c r="AE201">
        <v>50</v>
      </c>
      <c r="AF201" s="31">
        <v>4.0000000000000002E-4</v>
      </c>
      <c r="AG201" s="31">
        <f t="shared" si="43"/>
        <v>0.10667454719999998</v>
      </c>
      <c r="AH201" s="31">
        <f t="shared" si="39"/>
        <v>2.7943244927999999</v>
      </c>
      <c r="AI201">
        <v>200</v>
      </c>
      <c r="AJ201" s="2">
        <v>1.0000000043486001E-3</v>
      </c>
      <c r="AK201">
        <v>1.67717452728617E-2</v>
      </c>
      <c r="AL201" s="74">
        <v>9.9999999999999995E-8</v>
      </c>
      <c r="AM201">
        <f t="shared" si="44"/>
        <v>0</v>
      </c>
      <c r="AN201">
        <f t="shared" si="45"/>
        <v>0.1409944719271907</v>
      </c>
      <c r="AO201" s="3">
        <f t="shared" si="46"/>
        <v>2.0175999999999998E-5</v>
      </c>
      <c r="AP201" s="3">
        <f t="shared" si="47"/>
        <v>0.1409944719271907</v>
      </c>
    </row>
    <row r="202" spans="1:42" x14ac:dyDescent="0.25">
      <c r="A202" s="2" t="s">
        <v>55</v>
      </c>
      <c r="B202" t="s">
        <v>51</v>
      </c>
      <c r="C202">
        <v>15</v>
      </c>
      <c r="D202">
        <v>7.2</v>
      </c>
      <c r="E202">
        <v>34</v>
      </c>
      <c r="F202">
        <v>8</v>
      </c>
      <c r="G202" s="1">
        <v>45352.296527777798</v>
      </c>
      <c r="I202" s="96">
        <v>4309.7</v>
      </c>
      <c r="J202">
        <v>4161</v>
      </c>
      <c r="K202">
        <v>18.93</v>
      </c>
      <c r="L202">
        <v>85.86</v>
      </c>
      <c r="M202">
        <v>1.91</v>
      </c>
      <c r="N202" s="78">
        <v>0</v>
      </c>
      <c r="O202">
        <v>31.2</v>
      </c>
      <c r="P202">
        <v>1.98</v>
      </c>
      <c r="Q202" s="3">
        <v>7.3</v>
      </c>
      <c r="R202">
        <v>14.52</v>
      </c>
      <c r="S202">
        <v>2.0300000000000011</v>
      </c>
      <c r="T202">
        <v>4.66</v>
      </c>
      <c r="U202">
        <v>0.09</v>
      </c>
      <c r="V202">
        <v>197.66</v>
      </c>
      <c r="W202">
        <v>26.58</v>
      </c>
      <c r="X202">
        <f t="shared" si="36"/>
        <v>3.2799999999999976</v>
      </c>
      <c r="Y202">
        <f t="shared" si="40"/>
        <v>7.2599999999999998E-2</v>
      </c>
      <c r="Z202">
        <f t="shared" si="41"/>
        <v>7.3459475867651516E-2</v>
      </c>
      <c r="AA202">
        <f t="shared" si="42"/>
        <v>2.3575837296367502E-2</v>
      </c>
      <c r="AB202" s="3">
        <f t="shared" si="37"/>
        <v>2.16</v>
      </c>
      <c r="AC202">
        <v>34</v>
      </c>
      <c r="AD202">
        <v>7.2</v>
      </c>
      <c r="AE202">
        <v>50</v>
      </c>
      <c r="AF202" s="31">
        <v>4.0000000000000002E-4</v>
      </c>
      <c r="AG202" s="31">
        <f t="shared" si="43"/>
        <v>8.9800891199999996E-2</v>
      </c>
      <c r="AH202" s="31">
        <f t="shared" si="39"/>
        <v>2.0938968575999999</v>
      </c>
      <c r="AI202">
        <v>200</v>
      </c>
      <c r="AJ202" s="2">
        <v>8.7066282782583999E-3</v>
      </c>
      <c r="AM202">
        <f t="shared" si="44"/>
        <v>0</v>
      </c>
      <c r="AN202">
        <f t="shared" si="45"/>
        <v>0</v>
      </c>
      <c r="AO202" s="3">
        <f t="shared" si="46"/>
        <v>0</v>
      </c>
      <c r="AP202" s="3">
        <f t="shared" si="47"/>
        <v>0</v>
      </c>
    </row>
    <row r="203" spans="1:42" x14ac:dyDescent="0.25">
      <c r="A203" s="2" t="s">
        <v>56</v>
      </c>
      <c r="B203" t="s">
        <v>49</v>
      </c>
      <c r="C203">
        <v>18</v>
      </c>
      <c r="D203">
        <v>7.1</v>
      </c>
      <c r="E203">
        <v>32.999999999999993</v>
      </c>
      <c r="F203">
        <v>8</v>
      </c>
      <c r="G203" s="1">
        <v>45352.300694444399</v>
      </c>
      <c r="I203" s="96">
        <v>4309.7</v>
      </c>
      <c r="J203">
        <v>4362.09</v>
      </c>
      <c r="K203">
        <v>20.12</v>
      </c>
      <c r="L203">
        <v>80.56</v>
      </c>
      <c r="M203">
        <v>1.44</v>
      </c>
      <c r="N203" s="78">
        <v>0</v>
      </c>
      <c r="O203">
        <v>33.200000000000003</v>
      </c>
      <c r="P203">
        <v>2.69</v>
      </c>
      <c r="Q203" s="3">
        <v>7.31</v>
      </c>
      <c r="R203">
        <v>13.54</v>
      </c>
      <c r="S203">
        <v>0.43000000000000149</v>
      </c>
      <c r="T203">
        <v>6</v>
      </c>
      <c r="U203">
        <v>0.02</v>
      </c>
      <c r="V203">
        <v>199.18</v>
      </c>
      <c r="W203">
        <v>36.979999999999997</v>
      </c>
      <c r="X203">
        <f t="shared" si="36"/>
        <v>3.279999999999994</v>
      </c>
      <c r="Y203">
        <f t="shared" si="40"/>
        <v>6.7699999999999996E-2</v>
      </c>
      <c r="Z203">
        <f t="shared" si="41"/>
        <v>6.7978712722160856E-2</v>
      </c>
      <c r="AA203">
        <f t="shared" si="42"/>
        <v>3.0123506376142181E-2</v>
      </c>
      <c r="AB203" s="3">
        <f t="shared" si="37"/>
        <v>0.48</v>
      </c>
      <c r="AC203">
        <v>34</v>
      </c>
      <c r="AD203">
        <v>7.2</v>
      </c>
      <c r="AE203">
        <v>50</v>
      </c>
      <c r="AF203" s="31">
        <v>4.0000000000000002E-4</v>
      </c>
      <c r="AG203" s="31">
        <f t="shared" si="43"/>
        <v>9.6180038400000015E-2</v>
      </c>
      <c r="AH203" s="31">
        <f t="shared" si="39"/>
        <v>2.2917261311999995</v>
      </c>
      <c r="AI203">
        <v>200</v>
      </c>
      <c r="AJ203" s="2">
        <v>4.7408047146185999E-3</v>
      </c>
      <c r="AM203">
        <f t="shared" si="44"/>
        <v>3.9506705955155E-2</v>
      </c>
      <c r="AN203">
        <f t="shared" si="45"/>
        <v>0</v>
      </c>
      <c r="AO203" s="3">
        <f t="shared" si="46"/>
        <v>0</v>
      </c>
      <c r="AP203" s="3">
        <f t="shared" si="47"/>
        <v>3.9506705955155E-2</v>
      </c>
    </row>
    <row r="204" spans="1:42" x14ac:dyDescent="0.25">
      <c r="A204" s="2" t="s">
        <v>57</v>
      </c>
      <c r="B204" t="s">
        <v>46</v>
      </c>
      <c r="C204">
        <v>18</v>
      </c>
      <c r="D204">
        <v>7.2</v>
      </c>
      <c r="E204">
        <v>34</v>
      </c>
      <c r="F204">
        <v>8</v>
      </c>
      <c r="G204" s="1">
        <v>45352.306250000001</v>
      </c>
      <c r="I204" s="96">
        <v>4309.7</v>
      </c>
      <c r="J204">
        <v>4503.165</v>
      </c>
      <c r="K204">
        <v>20.57</v>
      </c>
      <c r="L204">
        <v>87.69</v>
      </c>
      <c r="M204">
        <v>1.1299999999999999</v>
      </c>
      <c r="N204" s="78">
        <v>0</v>
      </c>
      <c r="O204">
        <v>32.6</v>
      </c>
      <c r="P204">
        <v>2.25</v>
      </c>
      <c r="Q204" s="3">
        <v>7.31</v>
      </c>
      <c r="R204">
        <v>21.71</v>
      </c>
      <c r="S204">
        <v>1.759999999999998</v>
      </c>
      <c r="T204">
        <v>2.0699999999999998</v>
      </c>
      <c r="U204">
        <v>7.0000000000000007E-2</v>
      </c>
      <c r="V204">
        <v>202.39</v>
      </c>
      <c r="W204">
        <v>37.78</v>
      </c>
      <c r="X204">
        <f t="shared" si="36"/>
        <v>3.2800000000000011</v>
      </c>
      <c r="Y204">
        <f t="shared" si="40"/>
        <v>0.10855000000000001</v>
      </c>
      <c r="Z204">
        <f t="shared" si="41"/>
        <v>0.10726814565937054</v>
      </c>
      <c r="AA204">
        <f t="shared" si="42"/>
        <v>1.0227778052275311E-2</v>
      </c>
      <c r="AB204" s="3">
        <f t="shared" si="37"/>
        <v>1.6800000000000002</v>
      </c>
      <c r="AC204">
        <v>34</v>
      </c>
      <c r="AD204">
        <v>7.2</v>
      </c>
      <c r="AE204">
        <v>50</v>
      </c>
      <c r="AF204" s="31">
        <v>4.0000000000000002E-4</v>
      </c>
      <c r="AG204" s="31">
        <f t="shared" si="43"/>
        <v>9.9915895199999993E-2</v>
      </c>
      <c r="AH204" s="31">
        <f t="shared" si="39"/>
        <v>2.5928179199999999</v>
      </c>
      <c r="AI204">
        <v>200</v>
      </c>
      <c r="AJ204" s="2">
        <v>1E-3</v>
      </c>
      <c r="AK204">
        <v>1.7083296313655801E-2</v>
      </c>
      <c r="AL204" s="74">
        <v>9.9999999999999995E-8</v>
      </c>
      <c r="AM204">
        <f t="shared" si="44"/>
        <v>0</v>
      </c>
      <c r="AN204">
        <f t="shared" si="45"/>
        <v>0.1440620142050332</v>
      </c>
      <c r="AO204" s="3">
        <f t="shared" si="46"/>
        <v>2.0238999999999997E-5</v>
      </c>
      <c r="AP204" s="3">
        <f t="shared" si="47"/>
        <v>0.1440620142050332</v>
      </c>
    </row>
    <row r="205" spans="1:42" x14ac:dyDescent="0.25">
      <c r="A205" s="2" t="s">
        <v>58</v>
      </c>
      <c r="B205" t="s">
        <v>51</v>
      </c>
      <c r="C205">
        <v>18</v>
      </c>
      <c r="D205">
        <v>7.1</v>
      </c>
      <c r="E205">
        <v>32.999999999999993</v>
      </c>
      <c r="F205">
        <v>8</v>
      </c>
      <c r="G205" s="1">
        <v>45352.311111111099</v>
      </c>
      <c r="I205" s="96">
        <v>4309.7</v>
      </c>
      <c r="J205">
        <v>4726.0200000000004</v>
      </c>
      <c r="K205">
        <v>19.52</v>
      </c>
      <c r="L205">
        <v>86.08</v>
      </c>
      <c r="M205">
        <v>1.01</v>
      </c>
      <c r="N205">
        <v>331</v>
      </c>
      <c r="O205">
        <v>31.1</v>
      </c>
      <c r="P205">
        <v>3.35</v>
      </c>
      <c r="Q205" s="3">
        <v>7.31</v>
      </c>
      <c r="R205">
        <v>16.91</v>
      </c>
      <c r="S205">
        <v>2.2399999999999984</v>
      </c>
      <c r="T205">
        <v>4.6399999999999997</v>
      </c>
      <c r="U205">
        <v>0.1</v>
      </c>
      <c r="V205">
        <v>208.31</v>
      </c>
      <c r="W205">
        <v>36.979999999999997</v>
      </c>
      <c r="X205">
        <f t="shared" si="36"/>
        <v>3.279999999999994</v>
      </c>
      <c r="Y205">
        <f t="shared" si="40"/>
        <v>8.455E-2</v>
      </c>
      <c r="Z205">
        <f t="shared" si="41"/>
        <v>8.1177091834285439E-2</v>
      </c>
      <c r="AA205">
        <f t="shared" si="42"/>
        <v>2.2274494743411262E-2</v>
      </c>
      <c r="AB205" s="3">
        <f t="shared" si="37"/>
        <v>2.4000000000000004</v>
      </c>
      <c r="AC205">
        <v>34</v>
      </c>
      <c r="AD205">
        <v>7.2</v>
      </c>
      <c r="AE205">
        <v>50</v>
      </c>
      <c r="AF205" s="31">
        <v>4.0000000000000002E-4</v>
      </c>
      <c r="AG205" s="31">
        <f t="shared" si="43"/>
        <v>9.7589068799999998E-2</v>
      </c>
      <c r="AH205" s="31">
        <f t="shared" si="39"/>
        <v>2.3783325696000004</v>
      </c>
      <c r="AI205">
        <v>200</v>
      </c>
      <c r="AJ205" s="2">
        <v>1.0000000017913999E-3</v>
      </c>
      <c r="AM205">
        <f t="shared" si="44"/>
        <v>0</v>
      </c>
      <c r="AN205">
        <f t="shared" si="45"/>
        <v>0</v>
      </c>
      <c r="AO205" s="3">
        <f t="shared" si="46"/>
        <v>0</v>
      </c>
      <c r="AP205" s="3">
        <f t="shared" si="47"/>
        <v>0</v>
      </c>
    </row>
    <row r="206" spans="1:42" x14ac:dyDescent="0.25">
      <c r="A206" s="2" t="s">
        <v>59</v>
      </c>
      <c r="B206" t="s">
        <v>46</v>
      </c>
      <c r="C206">
        <v>15</v>
      </c>
      <c r="D206">
        <v>7.1</v>
      </c>
      <c r="E206">
        <v>32.999999999999993</v>
      </c>
      <c r="F206">
        <v>8</v>
      </c>
      <c r="G206" s="1">
        <v>45352.315972222197</v>
      </c>
      <c r="I206" s="96">
        <v>4309.7</v>
      </c>
      <c r="J206">
        <v>4117.47</v>
      </c>
      <c r="K206">
        <v>19.57</v>
      </c>
      <c r="L206">
        <v>88.52</v>
      </c>
      <c r="M206">
        <v>1.52</v>
      </c>
      <c r="N206" s="78">
        <v>0</v>
      </c>
      <c r="O206">
        <v>30.9</v>
      </c>
      <c r="P206">
        <v>2.12</v>
      </c>
      <c r="Q206" s="3">
        <v>7.31</v>
      </c>
      <c r="R206">
        <v>19.41</v>
      </c>
      <c r="S206">
        <v>3.129999999999999</v>
      </c>
      <c r="T206">
        <v>2.78</v>
      </c>
      <c r="U206">
        <v>0.14000000000000001</v>
      </c>
      <c r="V206">
        <v>202.9</v>
      </c>
      <c r="W206">
        <v>24.98</v>
      </c>
      <c r="X206">
        <f t="shared" si="36"/>
        <v>3.2800000000000011</v>
      </c>
      <c r="Y206">
        <f t="shared" si="40"/>
        <v>9.7049999999999997E-2</v>
      </c>
      <c r="Z206">
        <f t="shared" si="41"/>
        <v>9.5662888122227702E-2</v>
      </c>
      <c r="AA206">
        <f t="shared" si="42"/>
        <v>1.3701330704780679E-2</v>
      </c>
      <c r="AB206" s="3">
        <f t="shared" si="37"/>
        <v>3.3600000000000003</v>
      </c>
      <c r="AC206">
        <v>34</v>
      </c>
      <c r="AD206">
        <v>7.2</v>
      </c>
      <c r="AE206">
        <v>50</v>
      </c>
      <c r="AF206" s="31">
        <v>4.0000000000000002E-4</v>
      </c>
      <c r="AG206" s="31">
        <f t="shared" si="43"/>
        <v>9.5298071999999998E-2</v>
      </c>
      <c r="AH206" s="31">
        <f t="shared" si="39"/>
        <v>2.4209383680000003</v>
      </c>
      <c r="AI206">
        <v>200</v>
      </c>
      <c r="AJ206" s="2">
        <v>1E-3</v>
      </c>
      <c r="AK206">
        <v>1.6559944231810401E-2</v>
      </c>
      <c r="AL206" s="74">
        <v>9.9999999999999995E-8</v>
      </c>
      <c r="AM206">
        <f t="shared" si="44"/>
        <v>0</v>
      </c>
      <c r="AN206">
        <f t="shared" si="45"/>
        <v>0.14000052852643044</v>
      </c>
      <c r="AO206" s="3">
        <f t="shared" si="46"/>
        <v>2.0290000000000001E-5</v>
      </c>
      <c r="AP206" s="3">
        <f t="shared" si="47"/>
        <v>0.14000052852643044</v>
      </c>
    </row>
    <row r="207" spans="1:42" x14ac:dyDescent="0.25">
      <c r="A207" s="2" t="s">
        <v>60</v>
      </c>
      <c r="B207" t="s">
        <v>49</v>
      </c>
      <c r="C207">
        <v>15</v>
      </c>
      <c r="D207">
        <v>7.1</v>
      </c>
      <c r="E207">
        <v>32.999999999999993</v>
      </c>
      <c r="F207">
        <v>8</v>
      </c>
      <c r="G207" s="1">
        <v>45352.320833333302</v>
      </c>
      <c r="I207" s="96">
        <v>4309.7</v>
      </c>
      <c r="J207">
        <v>4643.8500000000004</v>
      </c>
      <c r="K207">
        <v>19.28</v>
      </c>
      <c r="L207">
        <v>86.95</v>
      </c>
      <c r="M207">
        <v>1.31</v>
      </c>
      <c r="N207">
        <v>325</v>
      </c>
      <c r="O207">
        <v>35.9</v>
      </c>
      <c r="P207">
        <v>0.19</v>
      </c>
      <c r="Q207" s="3">
        <v>7.32</v>
      </c>
      <c r="R207">
        <v>18.149999999999999</v>
      </c>
      <c r="S207">
        <v>0.37000000000000099</v>
      </c>
      <c r="T207">
        <v>5.95</v>
      </c>
      <c r="U207">
        <v>0.02</v>
      </c>
      <c r="V207">
        <v>202.37</v>
      </c>
      <c r="W207">
        <v>24.98</v>
      </c>
      <c r="X207">
        <f t="shared" si="36"/>
        <v>3.2800000000000011</v>
      </c>
      <c r="Y207">
        <f t="shared" si="40"/>
        <v>9.0749999999999997E-2</v>
      </c>
      <c r="Z207">
        <f t="shared" si="41"/>
        <v>8.9687206601769029E-2</v>
      </c>
      <c r="AA207">
        <f t="shared" si="42"/>
        <v>2.940159114493255E-2</v>
      </c>
      <c r="AB207" s="3">
        <f t="shared" si="37"/>
        <v>0.48</v>
      </c>
      <c r="AC207">
        <v>34</v>
      </c>
      <c r="AD207">
        <v>7.2</v>
      </c>
      <c r="AE207">
        <v>50</v>
      </c>
      <c r="AF207" s="31">
        <v>4.0000000000000002E-4</v>
      </c>
      <c r="AG207" s="31">
        <f t="shared" si="43"/>
        <v>9.3640646400000013E-2</v>
      </c>
      <c r="AH207" s="31">
        <f t="shared" si="39"/>
        <v>2.4813867456000001</v>
      </c>
      <c r="AI207">
        <v>200</v>
      </c>
      <c r="AJ207" s="2">
        <v>1E-3</v>
      </c>
      <c r="AM207">
        <f t="shared" si="44"/>
        <v>8.3333333333333332E-3</v>
      </c>
      <c r="AN207">
        <f t="shared" si="45"/>
        <v>0</v>
      </c>
      <c r="AO207" s="3">
        <f t="shared" si="46"/>
        <v>0</v>
      </c>
      <c r="AP207" s="3">
        <f t="shared" si="47"/>
        <v>8.3333333333333332E-3</v>
      </c>
    </row>
    <row r="208" spans="1:42" x14ac:dyDescent="0.25">
      <c r="A208" s="2" t="s">
        <v>61</v>
      </c>
      <c r="B208" t="s">
        <v>46</v>
      </c>
      <c r="C208">
        <v>15</v>
      </c>
      <c r="D208">
        <v>7.3</v>
      </c>
      <c r="E208">
        <v>35</v>
      </c>
      <c r="F208">
        <v>8</v>
      </c>
      <c r="G208" s="1">
        <v>45352.256944444402</v>
      </c>
      <c r="I208" s="96">
        <v>4309.7</v>
      </c>
      <c r="J208">
        <v>4672.1400000000003</v>
      </c>
      <c r="K208">
        <v>23</v>
      </c>
      <c r="L208">
        <v>90.14</v>
      </c>
      <c r="M208">
        <v>1.34</v>
      </c>
      <c r="N208" s="78">
        <v>0</v>
      </c>
      <c r="O208">
        <v>28.4</v>
      </c>
      <c r="P208">
        <v>2.31</v>
      </c>
      <c r="Q208" s="3">
        <v>7.3</v>
      </c>
      <c r="R208">
        <v>21.69</v>
      </c>
      <c r="S208">
        <v>1.1999999999999993</v>
      </c>
      <c r="T208">
        <v>1.72</v>
      </c>
      <c r="U208">
        <v>0.05</v>
      </c>
      <c r="V208">
        <v>200.52</v>
      </c>
      <c r="W208">
        <v>25.95</v>
      </c>
      <c r="X208">
        <f t="shared" si="36"/>
        <v>3.2699999999999996</v>
      </c>
      <c r="Y208">
        <f t="shared" si="40"/>
        <v>0.10845</v>
      </c>
      <c r="Z208">
        <f t="shared" si="41"/>
        <v>0.10816876122082586</v>
      </c>
      <c r="AA208">
        <f t="shared" si="42"/>
        <v>8.5776979852383792E-3</v>
      </c>
      <c r="AB208" s="3">
        <f t="shared" si="37"/>
        <v>1.2000000000000002</v>
      </c>
      <c r="AC208">
        <v>34</v>
      </c>
      <c r="AD208">
        <v>7.2</v>
      </c>
      <c r="AE208">
        <v>50</v>
      </c>
      <c r="AF208" s="31">
        <v>4.0000000000000002E-4</v>
      </c>
      <c r="AG208" s="31">
        <f t="shared" si="43"/>
        <v>0.11068704</v>
      </c>
      <c r="AH208" s="31">
        <f t="shared" si="39"/>
        <v>2.5617513600000001</v>
      </c>
      <c r="AI208">
        <v>200</v>
      </c>
      <c r="AJ208" s="2">
        <v>1.0000004317363999E-3</v>
      </c>
      <c r="AK208">
        <v>1.7213758315845502E-2</v>
      </c>
      <c r="AL208" s="74">
        <v>9.9999999999999995E-8</v>
      </c>
      <c r="AM208">
        <f t="shared" si="44"/>
        <v>0</v>
      </c>
      <c r="AN208">
        <f t="shared" si="45"/>
        <v>0.14382095072888917</v>
      </c>
      <c r="AO208" s="3">
        <f t="shared" si="46"/>
        <v>2.0052E-5</v>
      </c>
      <c r="AP208" s="3">
        <f t="shared" si="47"/>
        <v>0.14382095072888917</v>
      </c>
    </row>
    <row r="209" spans="1:42" x14ac:dyDescent="0.25">
      <c r="A209" s="2" t="s">
        <v>62</v>
      </c>
      <c r="B209" t="s">
        <v>49</v>
      </c>
      <c r="C209">
        <v>18</v>
      </c>
      <c r="D209">
        <v>7.2</v>
      </c>
      <c r="E209">
        <v>34</v>
      </c>
      <c r="F209">
        <v>8</v>
      </c>
      <c r="G209" s="1">
        <v>45352.324999999997</v>
      </c>
      <c r="I209" s="96">
        <v>4309.7</v>
      </c>
      <c r="J209">
        <v>4679.3549999999996</v>
      </c>
      <c r="K209">
        <v>20.059999999999999</v>
      </c>
      <c r="L209">
        <v>87.1</v>
      </c>
      <c r="M209">
        <v>1</v>
      </c>
      <c r="N209" s="78">
        <v>0</v>
      </c>
      <c r="O209">
        <v>37.799999999999997</v>
      </c>
      <c r="P209">
        <v>1.23</v>
      </c>
      <c r="Q209" s="3">
        <v>7.33</v>
      </c>
      <c r="R209">
        <v>15.37</v>
      </c>
      <c r="S209">
        <v>0.37000000000000099</v>
      </c>
      <c r="T209">
        <v>5.74</v>
      </c>
      <c r="U209">
        <v>0.02</v>
      </c>
      <c r="V209">
        <v>199.76</v>
      </c>
      <c r="W209">
        <v>37.950000000000003</v>
      </c>
      <c r="X209">
        <f t="shared" si="36"/>
        <v>3.2700000000000031</v>
      </c>
      <c r="Y209">
        <f t="shared" si="40"/>
        <v>7.6850000000000002E-2</v>
      </c>
      <c r="Z209">
        <f t="shared" si="41"/>
        <v>7.6942330796956351E-2</v>
      </c>
      <c r="AA209">
        <f t="shared" si="42"/>
        <v>2.8734481377653186E-2</v>
      </c>
      <c r="AB209" s="3">
        <f t="shared" si="37"/>
        <v>0.48</v>
      </c>
      <c r="AC209">
        <v>34</v>
      </c>
      <c r="AD209">
        <v>7.2</v>
      </c>
      <c r="AE209">
        <v>50</v>
      </c>
      <c r="AF209" s="31">
        <v>4.0000000000000002E-4</v>
      </c>
      <c r="AG209" s="31">
        <f t="shared" si="43"/>
        <v>9.6172454399999996E-2</v>
      </c>
      <c r="AH209" s="31">
        <f t="shared" si="39"/>
        <v>2.4307216128000002</v>
      </c>
      <c r="AI209">
        <v>200</v>
      </c>
      <c r="AJ209" s="2">
        <v>1E-3</v>
      </c>
      <c r="AM209">
        <f t="shared" si="44"/>
        <v>8.3333333333333332E-3</v>
      </c>
      <c r="AN209">
        <f t="shared" si="45"/>
        <v>0</v>
      </c>
      <c r="AO209" s="3">
        <f t="shared" si="46"/>
        <v>0</v>
      </c>
      <c r="AP209" s="3">
        <f t="shared" si="47"/>
        <v>8.3333333333333332E-3</v>
      </c>
    </row>
    <row r="210" spans="1:42" x14ac:dyDescent="0.25">
      <c r="A210" s="2" t="s">
        <v>63</v>
      </c>
      <c r="B210" t="s">
        <v>51</v>
      </c>
      <c r="C210">
        <v>12</v>
      </c>
      <c r="D210">
        <v>7.1</v>
      </c>
      <c r="E210">
        <v>32.999999999999993</v>
      </c>
      <c r="F210">
        <v>8</v>
      </c>
      <c r="G210" s="1">
        <v>45352.3305555556</v>
      </c>
      <c r="I210" s="96">
        <v>4309.7</v>
      </c>
      <c r="J210">
        <v>3908.7049999999999</v>
      </c>
      <c r="K210">
        <v>17</v>
      </c>
      <c r="L210">
        <v>90.53</v>
      </c>
      <c r="M210">
        <v>1.56</v>
      </c>
      <c r="N210" s="78">
        <v>0</v>
      </c>
      <c r="O210">
        <v>38</v>
      </c>
      <c r="P210">
        <v>2.41</v>
      </c>
      <c r="Q210" s="3">
        <v>7.3</v>
      </c>
      <c r="R210">
        <v>13.79</v>
      </c>
      <c r="S210">
        <v>1.8400000000000016</v>
      </c>
      <c r="T210">
        <v>3.94</v>
      </c>
      <c r="U210">
        <v>0.08</v>
      </c>
      <c r="V210">
        <v>197.72</v>
      </c>
      <c r="W210">
        <v>25.78</v>
      </c>
      <c r="X210">
        <f t="shared" si="36"/>
        <v>3.2800000000000011</v>
      </c>
      <c r="Y210">
        <f t="shared" si="40"/>
        <v>6.8949999999999997E-2</v>
      </c>
      <c r="Z210">
        <f t="shared" si="41"/>
        <v>6.9745094072425642E-2</v>
      </c>
      <c r="AA210">
        <f t="shared" si="42"/>
        <v>1.9927169734978756E-2</v>
      </c>
      <c r="AB210" s="3">
        <f t="shared" si="37"/>
        <v>1.92</v>
      </c>
      <c r="AC210">
        <v>34</v>
      </c>
      <c r="AD210">
        <v>7.2</v>
      </c>
      <c r="AE210">
        <v>50</v>
      </c>
      <c r="AF210" s="31">
        <v>4.0000000000000002E-4</v>
      </c>
      <c r="AG210" s="31">
        <f t="shared" si="43"/>
        <v>8.0669760000000007E-2</v>
      </c>
      <c r="AH210" s="31">
        <f t="shared" si="39"/>
        <v>2.0930526719999998</v>
      </c>
      <c r="AI210">
        <v>200</v>
      </c>
      <c r="AJ210" s="2">
        <v>7.5232839682831997E-3</v>
      </c>
      <c r="AM210">
        <f t="shared" si="44"/>
        <v>0</v>
      </c>
      <c r="AN210">
        <f t="shared" si="45"/>
        <v>0</v>
      </c>
      <c r="AO210" s="3">
        <f t="shared" si="46"/>
        <v>0</v>
      </c>
      <c r="AP210" s="3">
        <f t="shared" si="47"/>
        <v>0</v>
      </c>
    </row>
    <row r="211" spans="1:42" x14ac:dyDescent="0.25">
      <c r="A211" s="2" t="s">
        <v>64</v>
      </c>
      <c r="B211" t="s">
        <v>46</v>
      </c>
      <c r="C211">
        <v>12</v>
      </c>
      <c r="D211">
        <v>7.1</v>
      </c>
      <c r="E211">
        <v>32.999999999999993</v>
      </c>
      <c r="F211">
        <v>8</v>
      </c>
      <c r="G211" s="1">
        <v>45352.340277777803</v>
      </c>
      <c r="I211" s="96">
        <v>4309.7</v>
      </c>
      <c r="J211">
        <v>4085.31</v>
      </c>
      <c r="K211">
        <v>18.239999999999998</v>
      </c>
      <c r="L211">
        <v>89.29</v>
      </c>
      <c r="M211">
        <v>1.57</v>
      </c>
      <c r="N211">
        <v>343</v>
      </c>
      <c r="O211">
        <v>28.1</v>
      </c>
      <c r="P211">
        <v>3.33</v>
      </c>
      <c r="Q211" s="3">
        <v>7.25</v>
      </c>
      <c r="R211">
        <v>20.48</v>
      </c>
      <c r="S211">
        <v>1.1099999999999994</v>
      </c>
      <c r="T211">
        <v>2.64</v>
      </c>
      <c r="U211">
        <v>0.04</v>
      </c>
      <c r="V211">
        <v>200.45</v>
      </c>
      <c r="W211">
        <v>25.78</v>
      </c>
      <c r="X211">
        <f t="shared" si="36"/>
        <v>3.2800000000000011</v>
      </c>
      <c r="Y211">
        <f t="shared" si="40"/>
        <v>0.1024</v>
      </c>
      <c r="Z211">
        <f t="shared" si="41"/>
        <v>0.10217011723621852</v>
      </c>
      <c r="AA211">
        <f t="shared" si="42"/>
        <v>1.3170366674981294E-2</v>
      </c>
      <c r="AB211" s="3">
        <f t="shared" si="37"/>
        <v>0.96</v>
      </c>
      <c r="AC211">
        <v>34</v>
      </c>
      <c r="AD211">
        <v>7.2</v>
      </c>
      <c r="AE211">
        <v>50</v>
      </c>
      <c r="AF211" s="31">
        <v>4.0000000000000002E-4</v>
      </c>
      <c r="AG211" s="31">
        <f t="shared" si="43"/>
        <v>8.7748991999999984E-2</v>
      </c>
      <c r="AH211" s="31">
        <f t="shared" si="39"/>
        <v>2.35496448</v>
      </c>
      <c r="AI211">
        <v>200</v>
      </c>
      <c r="AJ211" s="2">
        <v>1.0000000002101E-3</v>
      </c>
      <c r="AK211">
        <v>1.73369278359722E-2</v>
      </c>
      <c r="AL211" s="74">
        <v>9.9999999999999995E-8</v>
      </c>
      <c r="AM211">
        <f t="shared" si="44"/>
        <v>0</v>
      </c>
      <c r="AN211">
        <f t="shared" si="45"/>
        <v>0.14479946603002614</v>
      </c>
      <c r="AO211" s="3">
        <f t="shared" si="46"/>
        <v>2.0044999999999999E-5</v>
      </c>
      <c r="AP211" s="3">
        <f t="shared" si="47"/>
        <v>0.14479946603002614</v>
      </c>
    </row>
    <row r="212" spans="1:42" x14ac:dyDescent="0.25">
      <c r="A212" s="2" t="s">
        <v>65</v>
      </c>
      <c r="B212" t="s">
        <v>49</v>
      </c>
      <c r="C212">
        <v>15</v>
      </c>
      <c r="D212">
        <v>7.3</v>
      </c>
      <c r="E212">
        <v>35</v>
      </c>
      <c r="F212">
        <v>8</v>
      </c>
      <c r="G212" s="1">
        <v>45352.345833333296</v>
      </c>
      <c r="I212" s="96">
        <v>4309.7</v>
      </c>
      <c r="J212">
        <v>4629.3049999999994</v>
      </c>
      <c r="K212">
        <v>20.72</v>
      </c>
      <c r="L212">
        <v>88.18</v>
      </c>
      <c r="M212">
        <v>1.42</v>
      </c>
      <c r="N212">
        <v>326</v>
      </c>
      <c r="O212">
        <v>35</v>
      </c>
      <c r="P212">
        <v>0.47</v>
      </c>
      <c r="Q212" s="3">
        <v>7.31</v>
      </c>
      <c r="R212">
        <v>17.43</v>
      </c>
      <c r="S212">
        <v>0.37000000000000099</v>
      </c>
      <c r="T212">
        <v>6.93</v>
      </c>
      <c r="U212">
        <v>0.02</v>
      </c>
      <c r="V212">
        <v>201.08</v>
      </c>
      <c r="W212">
        <v>25.78</v>
      </c>
      <c r="X212">
        <f t="shared" si="36"/>
        <v>3.2800000000000011</v>
      </c>
      <c r="Y212">
        <f t="shared" si="40"/>
        <v>8.7150000000000005E-2</v>
      </c>
      <c r="Z212">
        <f t="shared" si="41"/>
        <v>8.6681917644718512E-2</v>
      </c>
      <c r="AA212">
        <f t="shared" si="42"/>
        <v>3.4463894967177236E-2</v>
      </c>
      <c r="AB212" s="3">
        <f t="shared" si="37"/>
        <v>0.48</v>
      </c>
      <c r="AC212">
        <v>34</v>
      </c>
      <c r="AD212">
        <v>7.2</v>
      </c>
      <c r="AE212">
        <v>50</v>
      </c>
      <c r="AF212" s="31">
        <v>4.0000000000000002E-4</v>
      </c>
      <c r="AG212" s="31">
        <f t="shared" si="43"/>
        <v>9.9993062399999999E-2</v>
      </c>
      <c r="AH212" s="31">
        <f t="shared" si="39"/>
        <v>2.2986077183999996</v>
      </c>
      <c r="AI212">
        <v>200</v>
      </c>
      <c r="AJ212" s="2">
        <v>1.0000000007913E-3</v>
      </c>
      <c r="AM212">
        <f t="shared" si="44"/>
        <v>8.3333333399274994E-3</v>
      </c>
      <c r="AN212">
        <f t="shared" si="45"/>
        <v>0</v>
      </c>
      <c r="AO212" s="3">
        <f t="shared" si="46"/>
        <v>0</v>
      </c>
      <c r="AP212" s="3">
        <f t="shared" si="47"/>
        <v>8.3333333399274994E-3</v>
      </c>
    </row>
    <row r="213" spans="1:42" x14ac:dyDescent="0.25">
      <c r="A213" s="2" t="s">
        <v>66</v>
      </c>
      <c r="B213" t="s">
        <v>46</v>
      </c>
      <c r="C213">
        <v>12</v>
      </c>
      <c r="D213">
        <v>7.2</v>
      </c>
      <c r="E213">
        <v>34</v>
      </c>
      <c r="F213">
        <v>8</v>
      </c>
      <c r="G213" s="1">
        <v>45352.350694444402</v>
      </c>
      <c r="I213" s="96">
        <v>4309.7</v>
      </c>
      <c r="J213">
        <v>4361.8950000000004</v>
      </c>
      <c r="K213">
        <v>20.260000000000002</v>
      </c>
      <c r="L213">
        <v>90.38</v>
      </c>
      <c r="M213">
        <v>1.27</v>
      </c>
      <c r="N213" s="78">
        <v>0</v>
      </c>
      <c r="O213">
        <v>31.4</v>
      </c>
      <c r="P213">
        <v>3.61</v>
      </c>
      <c r="Q213" s="3">
        <v>7.27</v>
      </c>
      <c r="R213">
        <v>20.38</v>
      </c>
      <c r="S213">
        <v>0.92000000000000171</v>
      </c>
      <c r="T213">
        <v>2.68</v>
      </c>
      <c r="U213">
        <v>0.04</v>
      </c>
      <c r="V213">
        <v>200.59</v>
      </c>
      <c r="W213">
        <v>26.58</v>
      </c>
      <c r="X213">
        <f t="shared" si="36"/>
        <v>3.2799999999999976</v>
      </c>
      <c r="Y213">
        <f t="shared" si="40"/>
        <v>0.10189999999999999</v>
      </c>
      <c r="Z213">
        <f t="shared" si="41"/>
        <v>0.10160027917642953</v>
      </c>
      <c r="AA213">
        <f t="shared" si="42"/>
        <v>1.3360586270502019E-2</v>
      </c>
      <c r="AB213" s="3">
        <f t="shared" si="37"/>
        <v>0.96</v>
      </c>
      <c r="AC213">
        <v>34</v>
      </c>
      <c r="AD213">
        <v>7.2</v>
      </c>
      <c r="AE213">
        <v>50</v>
      </c>
      <c r="AF213" s="31">
        <v>4.0000000000000002E-4</v>
      </c>
      <c r="AG213" s="31">
        <f t="shared" si="43"/>
        <v>9.7534881600000026E-2</v>
      </c>
      <c r="AH213" s="31">
        <f t="shared" si="39"/>
        <v>2.5573492224000001</v>
      </c>
      <c r="AI213">
        <v>200</v>
      </c>
      <c r="AJ213" s="2">
        <v>1.0000000042481999E-3</v>
      </c>
      <c r="AK213">
        <v>1.74120771298421E-2</v>
      </c>
      <c r="AL213" s="74">
        <v>9.9999999999999995E-8</v>
      </c>
      <c r="AM213">
        <f t="shared" si="44"/>
        <v>0</v>
      </c>
      <c r="AN213">
        <f t="shared" si="45"/>
        <v>0.14552868964479279</v>
      </c>
      <c r="AO213" s="3">
        <f t="shared" si="46"/>
        <v>2.0058999999999999E-5</v>
      </c>
      <c r="AP213" s="3">
        <f t="shared" si="47"/>
        <v>0.14552868964479279</v>
      </c>
    </row>
    <row r="214" spans="1:42" x14ac:dyDescent="0.25">
      <c r="A214" s="2" t="s">
        <v>67</v>
      </c>
      <c r="B214" t="s">
        <v>49</v>
      </c>
      <c r="C214">
        <v>12</v>
      </c>
      <c r="D214">
        <v>7.1</v>
      </c>
      <c r="E214">
        <v>32.999999999999993</v>
      </c>
      <c r="F214">
        <v>8</v>
      </c>
      <c r="G214" s="1">
        <v>45352.355555555601</v>
      </c>
      <c r="I214" s="96">
        <v>4309.7</v>
      </c>
      <c r="J214">
        <v>4334.5200000000004</v>
      </c>
      <c r="K214">
        <v>19.05</v>
      </c>
      <c r="L214">
        <v>87.8</v>
      </c>
      <c r="M214">
        <v>1.77</v>
      </c>
      <c r="N214" s="78">
        <v>0</v>
      </c>
      <c r="O214">
        <v>29</v>
      </c>
      <c r="P214">
        <v>0.78</v>
      </c>
      <c r="Q214" s="3">
        <v>7.3</v>
      </c>
      <c r="R214">
        <v>19.68</v>
      </c>
      <c r="S214">
        <v>0.37999999999999901</v>
      </c>
      <c r="T214">
        <v>6.38</v>
      </c>
      <c r="U214">
        <v>0.02</v>
      </c>
      <c r="V214">
        <v>200.27</v>
      </c>
      <c r="W214">
        <v>25.78</v>
      </c>
      <c r="X214">
        <f t="shared" si="36"/>
        <v>3.2800000000000011</v>
      </c>
      <c r="Y214">
        <f t="shared" si="40"/>
        <v>9.8400000000000001E-2</v>
      </c>
      <c r="Z214">
        <f t="shared" si="41"/>
        <v>9.8267339092225486E-2</v>
      </c>
      <c r="AA214">
        <f t="shared" si="42"/>
        <v>3.1856993059369849E-2</v>
      </c>
      <c r="AB214" s="3">
        <f t="shared" si="37"/>
        <v>0.48</v>
      </c>
      <c r="AC214">
        <v>34</v>
      </c>
      <c r="AD214">
        <v>7.2</v>
      </c>
      <c r="AE214">
        <v>50</v>
      </c>
      <c r="AF214" s="31">
        <v>4.0000000000000002E-4</v>
      </c>
      <c r="AG214" s="31">
        <f t="shared" si="43"/>
        <v>9.1563444000000008E-2</v>
      </c>
      <c r="AH214" s="31">
        <f t="shared" si="39"/>
        <v>2.2449645503999998</v>
      </c>
      <c r="AI214">
        <v>200</v>
      </c>
      <c r="AJ214" s="2">
        <v>1.0000000002950999E-3</v>
      </c>
      <c r="AM214">
        <f t="shared" si="44"/>
        <v>8.333333335792498E-3</v>
      </c>
      <c r="AN214">
        <f t="shared" si="45"/>
        <v>0</v>
      </c>
      <c r="AO214" s="3">
        <f t="shared" si="46"/>
        <v>0</v>
      </c>
      <c r="AP214" s="3">
        <f t="shared" si="47"/>
        <v>8.333333335792498E-3</v>
      </c>
    </row>
    <row r="215" spans="1:42" x14ac:dyDescent="0.25">
      <c r="A215" s="2" t="s">
        <v>68</v>
      </c>
      <c r="B215" t="s">
        <v>51</v>
      </c>
      <c r="C215">
        <v>12</v>
      </c>
      <c r="D215">
        <v>7.3</v>
      </c>
      <c r="E215">
        <v>35</v>
      </c>
      <c r="F215">
        <v>8</v>
      </c>
      <c r="G215" s="1">
        <v>45352.360416666699</v>
      </c>
      <c r="I215" s="96">
        <v>4309.7</v>
      </c>
      <c r="J215">
        <v>3946.44</v>
      </c>
      <c r="K215">
        <v>16.73</v>
      </c>
      <c r="L215">
        <v>89.89</v>
      </c>
      <c r="M215">
        <v>1.62</v>
      </c>
      <c r="N215" s="78">
        <v>0</v>
      </c>
      <c r="O215">
        <v>37.799999999999997</v>
      </c>
      <c r="P215">
        <v>3.02</v>
      </c>
      <c r="Q215" s="3">
        <v>7.32</v>
      </c>
      <c r="R215">
        <v>13.07</v>
      </c>
      <c r="S215">
        <v>1.83</v>
      </c>
      <c r="T215">
        <v>5.4</v>
      </c>
      <c r="U215">
        <v>0.08</v>
      </c>
      <c r="V215">
        <v>197.6</v>
      </c>
      <c r="W215">
        <v>25.78</v>
      </c>
      <c r="X215">
        <f t="shared" si="36"/>
        <v>3.2800000000000011</v>
      </c>
      <c r="Y215">
        <f t="shared" si="40"/>
        <v>6.5350000000000005E-2</v>
      </c>
      <c r="Z215">
        <f t="shared" si="41"/>
        <v>6.6143724696356279E-2</v>
      </c>
      <c r="AA215">
        <f t="shared" si="42"/>
        <v>2.7327935222672066E-2</v>
      </c>
      <c r="AB215" s="3">
        <f t="shared" si="37"/>
        <v>1.92</v>
      </c>
      <c r="AC215">
        <v>34</v>
      </c>
      <c r="AD215">
        <v>7.2</v>
      </c>
      <c r="AE215">
        <v>50</v>
      </c>
      <c r="AF215" s="31">
        <v>4.0000000000000002E-4</v>
      </c>
      <c r="AG215" s="31">
        <f t="shared" si="43"/>
        <v>7.9340352000000003E-2</v>
      </c>
      <c r="AH215" s="31">
        <f t="shared" si="39"/>
        <v>2.1092602752</v>
      </c>
      <c r="AI215">
        <v>200</v>
      </c>
      <c r="AJ215" s="2">
        <v>1.9757521655335E-3</v>
      </c>
      <c r="AM215">
        <f t="shared" si="44"/>
        <v>0</v>
      </c>
      <c r="AN215">
        <f t="shared" si="45"/>
        <v>0</v>
      </c>
      <c r="AO215" s="3">
        <f t="shared" si="46"/>
        <v>0</v>
      </c>
      <c r="AP215" s="3">
        <f t="shared" si="47"/>
        <v>0</v>
      </c>
    </row>
    <row r="216" spans="1:42" x14ac:dyDescent="0.25">
      <c r="A216" s="2" t="s">
        <v>69</v>
      </c>
      <c r="B216" t="s">
        <v>51</v>
      </c>
      <c r="C216">
        <v>15</v>
      </c>
      <c r="D216">
        <v>7.2</v>
      </c>
      <c r="E216">
        <v>34</v>
      </c>
      <c r="F216">
        <v>8</v>
      </c>
      <c r="G216" s="1">
        <v>45352.3659722222</v>
      </c>
      <c r="I216" s="96">
        <v>4309.7</v>
      </c>
      <c r="J216">
        <v>4365.33</v>
      </c>
      <c r="K216">
        <v>18.28</v>
      </c>
      <c r="L216">
        <v>89.84</v>
      </c>
      <c r="M216">
        <v>1.72</v>
      </c>
      <c r="N216" s="78">
        <v>0</v>
      </c>
      <c r="O216">
        <v>35.1</v>
      </c>
      <c r="P216">
        <v>2.64</v>
      </c>
      <c r="Q216" s="3">
        <v>7.3</v>
      </c>
      <c r="R216">
        <v>14.98</v>
      </c>
      <c r="S216">
        <v>2.0199999999999996</v>
      </c>
      <c r="T216">
        <v>4.7699999999999996</v>
      </c>
      <c r="U216">
        <v>0.09</v>
      </c>
      <c r="V216">
        <v>200.94</v>
      </c>
      <c r="W216">
        <v>24.98</v>
      </c>
      <c r="X216">
        <f t="shared" si="36"/>
        <v>3.2800000000000011</v>
      </c>
      <c r="Y216">
        <f t="shared" si="40"/>
        <v>7.4900000000000008E-2</v>
      </c>
      <c r="Z216">
        <f t="shared" si="41"/>
        <v>7.454961680103514E-2</v>
      </c>
      <c r="AA216">
        <f t="shared" si="42"/>
        <v>2.3738429381905044E-2</v>
      </c>
      <c r="AB216" s="3">
        <f t="shared" si="37"/>
        <v>2.16</v>
      </c>
      <c r="AC216">
        <v>34</v>
      </c>
      <c r="AD216">
        <v>7.2</v>
      </c>
      <c r="AE216">
        <v>50</v>
      </c>
      <c r="AF216" s="31">
        <v>4.0000000000000002E-4</v>
      </c>
      <c r="AG216" s="31">
        <f t="shared" si="43"/>
        <v>8.8156396800000009E-2</v>
      </c>
      <c r="AH216" s="31">
        <f t="shared" si="39"/>
        <v>2.1999585599999998</v>
      </c>
      <c r="AI216">
        <v>200</v>
      </c>
      <c r="AJ216" s="2">
        <v>3.9685696762302002E-3</v>
      </c>
      <c r="AM216">
        <f t="shared" si="44"/>
        <v>0</v>
      </c>
      <c r="AN216">
        <f t="shared" si="45"/>
        <v>0</v>
      </c>
      <c r="AO216" s="3">
        <f t="shared" si="46"/>
        <v>0</v>
      </c>
      <c r="AP216" s="3">
        <f t="shared" si="47"/>
        <v>0</v>
      </c>
    </row>
    <row r="217" spans="1:42" x14ac:dyDescent="0.25">
      <c r="A217" s="2" t="s">
        <v>70</v>
      </c>
      <c r="B217" t="s">
        <v>51</v>
      </c>
      <c r="C217">
        <v>15</v>
      </c>
      <c r="D217">
        <v>7.2</v>
      </c>
      <c r="E217">
        <v>34</v>
      </c>
      <c r="F217">
        <v>8</v>
      </c>
      <c r="G217" s="1">
        <v>45352.369444444397</v>
      </c>
      <c r="I217" s="96">
        <v>4309.7</v>
      </c>
      <c r="J217">
        <v>4380.84</v>
      </c>
      <c r="K217">
        <v>19.93</v>
      </c>
      <c r="L217">
        <v>90.3</v>
      </c>
      <c r="M217">
        <v>1.41</v>
      </c>
      <c r="N217">
        <v>341</v>
      </c>
      <c r="O217">
        <v>30.4</v>
      </c>
      <c r="P217">
        <v>3.39</v>
      </c>
      <c r="Q217" s="3">
        <v>7.31</v>
      </c>
      <c r="R217">
        <v>14.81</v>
      </c>
      <c r="S217">
        <v>2.1899999999999995</v>
      </c>
      <c r="T217">
        <v>4.4000000000000004</v>
      </c>
      <c r="U217">
        <v>0.09</v>
      </c>
      <c r="V217">
        <v>198.52</v>
      </c>
      <c r="W217">
        <v>24.98</v>
      </c>
      <c r="X217">
        <f t="shared" si="36"/>
        <v>3.2800000000000011</v>
      </c>
      <c r="Y217">
        <f t="shared" si="40"/>
        <v>7.4050000000000005E-2</v>
      </c>
      <c r="Z217">
        <f t="shared" si="41"/>
        <v>7.4602055208543225E-2</v>
      </c>
      <c r="AA217">
        <f t="shared" si="42"/>
        <v>2.2164013701390289E-2</v>
      </c>
      <c r="AB217" s="3">
        <f t="shared" si="37"/>
        <v>2.16</v>
      </c>
      <c r="AC217">
        <v>34</v>
      </c>
      <c r="AD217">
        <v>7.2</v>
      </c>
      <c r="AE217">
        <v>50</v>
      </c>
      <c r="AF217" s="31">
        <v>4.0000000000000002E-4</v>
      </c>
      <c r="AG217" s="31">
        <f t="shared" si="43"/>
        <v>9.49560864E-2</v>
      </c>
      <c r="AH217" s="31">
        <f t="shared" si="39"/>
        <v>2.2508263872000001</v>
      </c>
      <c r="AI217">
        <v>200</v>
      </c>
      <c r="AJ217" s="2">
        <v>3.5894588917501002E-3</v>
      </c>
      <c r="AM217">
        <f t="shared" si="44"/>
        <v>0</v>
      </c>
      <c r="AN217">
        <f t="shared" si="45"/>
        <v>0</v>
      </c>
      <c r="AO217" s="3">
        <f t="shared" si="46"/>
        <v>0</v>
      </c>
      <c r="AP217" s="3">
        <f t="shared" si="47"/>
        <v>0</v>
      </c>
    </row>
    <row r="218" spans="1:42" ht="15.75" thickBot="1" x14ac:dyDescent="0.3">
      <c r="A218" s="12" t="s">
        <v>71</v>
      </c>
      <c r="B218" s="13" t="s">
        <v>51</v>
      </c>
      <c r="C218" s="13">
        <v>15</v>
      </c>
      <c r="D218" s="13">
        <v>7.2</v>
      </c>
      <c r="E218" s="13">
        <v>34</v>
      </c>
      <c r="F218" s="13">
        <v>8</v>
      </c>
      <c r="G218" s="14">
        <v>45352.373611111099</v>
      </c>
      <c r="H218" s="95"/>
      <c r="I218" s="13">
        <v>4309.7</v>
      </c>
      <c r="J218" s="13">
        <v>4027.125</v>
      </c>
      <c r="K218" s="13">
        <v>17.59</v>
      </c>
      <c r="L218" s="13">
        <v>87.1</v>
      </c>
      <c r="M218" s="13">
        <v>1.62</v>
      </c>
      <c r="N218" s="79">
        <v>2243</v>
      </c>
      <c r="O218" s="13">
        <v>33.5</v>
      </c>
      <c r="P218" s="13">
        <v>2.59</v>
      </c>
      <c r="Q218" s="77">
        <v>7.3</v>
      </c>
      <c r="R218" s="13">
        <v>13.76</v>
      </c>
      <c r="S218" s="13">
        <v>1.9500000000000011</v>
      </c>
      <c r="T218" s="13">
        <v>4.7</v>
      </c>
      <c r="U218" s="13">
        <v>0.08</v>
      </c>
      <c r="V218" s="13">
        <v>199.47</v>
      </c>
      <c r="W218" s="13">
        <v>24.98</v>
      </c>
      <c r="X218" s="13">
        <f t="shared" si="36"/>
        <v>3.2800000000000011</v>
      </c>
      <c r="Y218" s="13">
        <f t="shared" si="40"/>
        <v>6.88E-2</v>
      </c>
      <c r="Z218" s="13">
        <f t="shared" si="41"/>
        <v>6.8982804431744121E-2</v>
      </c>
      <c r="AA218" s="13">
        <f t="shared" si="42"/>
        <v>2.3562440467238183E-2</v>
      </c>
      <c r="AB218" s="77">
        <f t="shared" si="37"/>
        <v>1.92</v>
      </c>
      <c r="AC218" s="13">
        <v>34</v>
      </c>
      <c r="AD218" s="13">
        <v>7.2</v>
      </c>
      <c r="AE218" s="13">
        <v>50</v>
      </c>
      <c r="AF218" s="36">
        <v>4.0000000000000002E-4</v>
      </c>
      <c r="AG218" s="36">
        <f t="shared" si="43"/>
        <v>8.4208255200000012E-2</v>
      </c>
      <c r="AH218" s="36">
        <f t="shared" si="39"/>
        <v>1.9251874943999998</v>
      </c>
      <c r="AI218" s="13">
        <v>200</v>
      </c>
      <c r="AJ218" s="12">
        <v>1.1172884080812601E-2</v>
      </c>
      <c r="AK218" s="13"/>
      <c r="AL218" s="13"/>
      <c r="AM218" s="13">
        <f t="shared" si="44"/>
        <v>0</v>
      </c>
      <c r="AN218" s="13">
        <f t="shared" si="45"/>
        <v>0</v>
      </c>
      <c r="AO218" s="77">
        <f t="shared" si="46"/>
        <v>0</v>
      </c>
      <c r="AP218" s="77">
        <f t="shared" si="47"/>
        <v>0</v>
      </c>
    </row>
    <row r="219" spans="1:42" x14ac:dyDescent="0.25">
      <c r="A219" s="96" t="s">
        <v>45</v>
      </c>
      <c r="B219" t="s">
        <v>46</v>
      </c>
      <c r="C219">
        <v>18</v>
      </c>
      <c r="D219">
        <v>7.1</v>
      </c>
      <c r="E219">
        <v>32.999999999999993</v>
      </c>
      <c r="F219">
        <v>9</v>
      </c>
      <c r="G219" s="1">
        <v>45353.262499999997</v>
      </c>
      <c r="I219" s="96">
        <v>4805.7299999999996</v>
      </c>
      <c r="K219">
        <v>18.12</v>
      </c>
      <c r="L219">
        <v>83.77</v>
      </c>
      <c r="M219">
        <v>1.1599999999999999</v>
      </c>
      <c r="O219">
        <v>30.2</v>
      </c>
      <c r="P219">
        <v>2.34</v>
      </c>
      <c r="Q219" s="3">
        <v>7.3</v>
      </c>
      <c r="R219">
        <v>19.809999999999999</v>
      </c>
      <c r="S219">
        <v>2.2000000000000028</v>
      </c>
      <c r="T219">
        <v>3.74</v>
      </c>
      <c r="U219">
        <v>0.09</v>
      </c>
      <c r="V219">
        <v>200.67</v>
      </c>
      <c r="W219">
        <v>41.5</v>
      </c>
      <c r="X219">
        <f t="shared" ref="X219:X282" si="48">W219-W195</f>
        <v>2.75</v>
      </c>
      <c r="Y219">
        <f t="shared" si="40"/>
        <v>9.9049999999999999E-2</v>
      </c>
      <c r="Z219">
        <f t="shared" si="41"/>
        <v>9.8719290377236257E-2</v>
      </c>
      <c r="AA219">
        <f t="shared" si="42"/>
        <v>1.8637564160063787E-2</v>
      </c>
      <c r="AB219" s="3">
        <f t="shared" ref="AB219:AB282" si="49">U219*24</f>
        <v>2.16</v>
      </c>
      <c r="AC219">
        <v>34</v>
      </c>
      <c r="AD219">
        <v>7.2</v>
      </c>
      <c r="AE219">
        <v>50</v>
      </c>
      <c r="AF219" s="31">
        <v>4.0000000000000002E-4</v>
      </c>
      <c r="AG219" s="31">
        <f t="shared" si="43"/>
        <v>8.7267369600000005E-2</v>
      </c>
      <c r="AH219" s="31">
        <f t="shared" si="39"/>
        <v>2.2714578432000003</v>
      </c>
      <c r="AI219">
        <v>200</v>
      </c>
      <c r="AJ219" s="2">
        <v>2E-3</v>
      </c>
      <c r="AK219">
        <v>5.2753909999999999E-3</v>
      </c>
      <c r="AL219">
        <v>2.383689E-3</v>
      </c>
      <c r="AM219">
        <f t="shared" si="44"/>
        <v>0</v>
      </c>
      <c r="AN219">
        <f t="shared" si="45"/>
        <v>4.4108862998749998E-2</v>
      </c>
      <c r="AO219" s="3">
        <f t="shared" si="46"/>
        <v>0.47833487162999999</v>
      </c>
      <c r="AP219" s="3">
        <f t="shared" ref="AP219:AP242" si="50">IF(IF(AND(AN219=0, AM219=0),0, IF(AN219&gt;0,AN219,AM219))=0,0,IF(AND(AN219=0, AM219=0),0, IF(AN219&gt;0,AN219,AM219)))</f>
        <v>4.4108862998749998E-2</v>
      </c>
    </row>
    <row r="220" spans="1:42" x14ac:dyDescent="0.25">
      <c r="A220" s="96" t="s">
        <v>47</v>
      </c>
      <c r="B220" t="s">
        <v>46</v>
      </c>
      <c r="C220">
        <v>12</v>
      </c>
      <c r="D220">
        <v>7.3</v>
      </c>
      <c r="E220">
        <v>35</v>
      </c>
      <c r="F220">
        <v>9</v>
      </c>
      <c r="G220" s="1">
        <v>45353.266666666699</v>
      </c>
      <c r="I220" s="96">
        <v>4805.7299999999996</v>
      </c>
      <c r="K220">
        <v>19</v>
      </c>
      <c r="L220">
        <v>82.29</v>
      </c>
      <c r="M220">
        <v>1.37</v>
      </c>
      <c r="O220">
        <v>32.799999999999997</v>
      </c>
      <c r="P220">
        <v>2.2999999999999998</v>
      </c>
      <c r="Q220" s="3">
        <v>7.3</v>
      </c>
      <c r="R220">
        <v>24.16</v>
      </c>
      <c r="S220">
        <v>2.9899999999999984</v>
      </c>
      <c r="T220">
        <v>1.3</v>
      </c>
      <c r="U220">
        <v>0.14000000000000001</v>
      </c>
      <c r="V220">
        <v>200.33</v>
      </c>
      <c r="W220">
        <v>31.1</v>
      </c>
      <c r="X220">
        <f t="shared" si="48"/>
        <v>2.75</v>
      </c>
      <c r="Y220">
        <f t="shared" si="40"/>
        <v>0.1208</v>
      </c>
      <c r="Z220">
        <f t="shared" si="41"/>
        <v>0.12060100833624519</v>
      </c>
      <c r="AA220">
        <f t="shared" si="42"/>
        <v>6.4892926670992862E-3</v>
      </c>
      <c r="AB220" s="3">
        <f t="shared" si="49"/>
        <v>3.3600000000000003</v>
      </c>
      <c r="AC220">
        <v>34</v>
      </c>
      <c r="AD220">
        <v>7.2</v>
      </c>
      <c r="AE220">
        <v>50</v>
      </c>
      <c r="AF220" s="31">
        <v>4.0000000000000002E-4</v>
      </c>
      <c r="AG220" s="31">
        <f t="shared" si="43"/>
        <v>9.1350480000000012E-2</v>
      </c>
      <c r="AH220" s="31">
        <f t="shared" si="39"/>
        <v>2.2671001151999999</v>
      </c>
      <c r="AI220">
        <v>200</v>
      </c>
      <c r="AJ220" s="2">
        <v>2E-3</v>
      </c>
      <c r="AK220">
        <v>2.41040265263148E-3</v>
      </c>
      <c r="AL220" s="74">
        <v>9.9999999999999995E-8</v>
      </c>
      <c r="AM220">
        <f t="shared" si="44"/>
        <v>0</v>
      </c>
      <c r="AN220">
        <f t="shared" si="45"/>
        <v>2.0119831808402683E-2</v>
      </c>
      <c r="AO220" s="3">
        <f t="shared" si="46"/>
        <v>2.0032999999999999E-5</v>
      </c>
      <c r="AP220" s="3">
        <f t="shared" si="50"/>
        <v>2.0119831808402683E-2</v>
      </c>
    </row>
    <row r="221" spans="1:42" x14ac:dyDescent="0.25">
      <c r="A221" s="96" t="s">
        <v>48</v>
      </c>
      <c r="B221" t="s">
        <v>49</v>
      </c>
      <c r="C221">
        <v>12</v>
      </c>
      <c r="D221">
        <v>7.2</v>
      </c>
      <c r="E221">
        <v>34</v>
      </c>
      <c r="F221">
        <v>9</v>
      </c>
      <c r="G221" s="1">
        <v>45353.271527777797</v>
      </c>
      <c r="I221" s="96">
        <v>4805.7299999999996</v>
      </c>
      <c r="J221">
        <v>4742.07</v>
      </c>
      <c r="K221">
        <v>18.04</v>
      </c>
      <c r="L221">
        <v>83.41</v>
      </c>
      <c r="M221">
        <v>1.1200000000000001</v>
      </c>
      <c r="N221">
        <v>347</v>
      </c>
      <c r="O221">
        <v>39.700000000000003</v>
      </c>
      <c r="P221">
        <v>0.85</v>
      </c>
      <c r="Q221" s="3">
        <v>7.31</v>
      </c>
      <c r="R221">
        <v>20.96</v>
      </c>
      <c r="S221">
        <v>0.25999999999999801</v>
      </c>
      <c r="T221">
        <v>7.46</v>
      </c>
      <c r="U221">
        <v>0.01</v>
      </c>
      <c r="V221">
        <v>197.61</v>
      </c>
      <c r="W221">
        <v>31.1</v>
      </c>
      <c r="X221">
        <f t="shared" si="48"/>
        <v>2.75</v>
      </c>
      <c r="Y221">
        <f t="shared" si="40"/>
        <v>0.1048</v>
      </c>
      <c r="Z221">
        <f t="shared" si="41"/>
        <v>0.10606750670512625</v>
      </c>
      <c r="AA221">
        <f t="shared" si="42"/>
        <v>3.7751125955164208E-2</v>
      </c>
      <c r="AB221" s="3">
        <f t="shared" si="49"/>
        <v>0.24</v>
      </c>
      <c r="AC221">
        <v>34</v>
      </c>
      <c r="AD221">
        <v>7.2</v>
      </c>
      <c r="AE221">
        <v>50</v>
      </c>
      <c r="AF221" s="31">
        <v>4.0000000000000002E-4</v>
      </c>
      <c r="AG221" s="31">
        <f t="shared" si="43"/>
        <v>8.5557225599999995E-2</v>
      </c>
      <c r="AH221" s="31">
        <f t="shared" si="39"/>
        <v>2.1507579072000005</v>
      </c>
      <c r="AI221">
        <v>200</v>
      </c>
      <c r="AJ221" s="2">
        <v>2E-3</v>
      </c>
      <c r="AM221">
        <f t="shared" si="44"/>
        <v>1.6666666666666666E-2</v>
      </c>
      <c r="AN221">
        <f t="shared" si="45"/>
        <v>0</v>
      </c>
      <c r="AO221" s="3">
        <f t="shared" si="46"/>
        <v>0</v>
      </c>
      <c r="AP221" s="3">
        <f t="shared" si="50"/>
        <v>1.6666666666666666E-2</v>
      </c>
    </row>
    <row r="222" spans="1:42" x14ac:dyDescent="0.25">
      <c r="A222" s="96" t="s">
        <v>50</v>
      </c>
      <c r="B222" s="96" t="s">
        <v>51</v>
      </c>
      <c r="C222" s="96">
        <v>18</v>
      </c>
      <c r="D222" s="96">
        <v>7.3</v>
      </c>
      <c r="E222" s="96">
        <v>35</v>
      </c>
      <c r="F222" s="96">
        <v>9</v>
      </c>
      <c r="G222" s="97">
        <v>45353.276388888902</v>
      </c>
      <c r="I222" s="96">
        <v>4805.7299999999996</v>
      </c>
      <c r="J222" s="96"/>
      <c r="K222" s="96">
        <v>20.25</v>
      </c>
      <c r="L222" s="96">
        <v>84.68</v>
      </c>
      <c r="M222" s="96">
        <v>1.1399999999999999</v>
      </c>
      <c r="N222" s="96"/>
      <c r="O222" s="96">
        <v>27.6</v>
      </c>
      <c r="P222" s="96">
        <v>2.31</v>
      </c>
      <c r="Q222" s="3">
        <v>7.3</v>
      </c>
      <c r="R222" s="96">
        <v>18.7</v>
      </c>
      <c r="S222" s="96">
        <v>2.4800000000000004</v>
      </c>
      <c r="T222" s="96">
        <v>5.57</v>
      </c>
      <c r="U222" s="96">
        <v>0.1</v>
      </c>
      <c r="V222" s="96">
        <v>196.64</v>
      </c>
      <c r="W222" s="96">
        <v>41.33</v>
      </c>
      <c r="X222" s="96">
        <f t="shared" si="48"/>
        <v>2.75</v>
      </c>
      <c r="Y222" s="96">
        <f t="shared" si="40"/>
        <v>9.35E-2</v>
      </c>
      <c r="Z222" s="96">
        <f t="shared" si="41"/>
        <v>9.5097640358014643E-2</v>
      </c>
      <c r="AA222" s="96">
        <f t="shared" si="42"/>
        <v>2.8325874694873885E-2</v>
      </c>
      <c r="AB222" s="3">
        <f t="shared" si="49"/>
        <v>2.4000000000000004</v>
      </c>
      <c r="AC222" s="96">
        <v>34</v>
      </c>
      <c r="AD222" s="96">
        <v>7.2</v>
      </c>
      <c r="AE222" s="96">
        <v>50</v>
      </c>
      <c r="AF222" s="100">
        <v>4.0000000000000002E-4</v>
      </c>
      <c r="AG222" s="100">
        <f t="shared" si="43"/>
        <v>9.5567039999999978E-2</v>
      </c>
      <c r="AH222" s="100">
        <f t="shared" si="39"/>
        <v>2.1644602559999999</v>
      </c>
      <c r="AI222" s="96">
        <v>200</v>
      </c>
      <c r="AJ222" s="2">
        <v>2E-3</v>
      </c>
      <c r="AK222" s="96"/>
      <c r="AL222" s="96"/>
      <c r="AM222" s="96">
        <f t="shared" si="44"/>
        <v>0</v>
      </c>
      <c r="AN222" s="96">
        <f t="shared" si="45"/>
        <v>0</v>
      </c>
      <c r="AO222" s="3">
        <f t="shared" si="46"/>
        <v>0</v>
      </c>
      <c r="AP222" s="3">
        <f t="shared" si="50"/>
        <v>0</v>
      </c>
    </row>
    <row r="223" spans="1:42" x14ac:dyDescent="0.25">
      <c r="A223" s="96" t="s">
        <v>52</v>
      </c>
      <c r="B223" t="s">
        <v>49</v>
      </c>
      <c r="C223">
        <v>18</v>
      </c>
      <c r="D223">
        <v>7.3</v>
      </c>
      <c r="E223">
        <v>35</v>
      </c>
      <c r="F223">
        <v>9</v>
      </c>
      <c r="G223" s="1">
        <v>45353.256944444402</v>
      </c>
      <c r="I223" s="96">
        <v>4805.7299999999996</v>
      </c>
      <c r="J223">
        <v>5114.58</v>
      </c>
      <c r="K223">
        <v>18.36</v>
      </c>
      <c r="L223">
        <v>86.7</v>
      </c>
      <c r="M223">
        <v>1</v>
      </c>
      <c r="N223">
        <v>331</v>
      </c>
      <c r="O223">
        <v>34.200000000000003</v>
      </c>
      <c r="P223">
        <v>2.09</v>
      </c>
      <c r="Q223" s="3">
        <v>7.31</v>
      </c>
      <c r="R223">
        <v>15.92</v>
      </c>
      <c r="S223">
        <v>1.0999999999999996</v>
      </c>
      <c r="T223">
        <v>4.96</v>
      </c>
      <c r="U223">
        <v>0.05</v>
      </c>
      <c r="V223">
        <v>195.41</v>
      </c>
      <c r="W223">
        <v>42.3</v>
      </c>
      <c r="X223">
        <f t="shared" si="48"/>
        <v>2.75</v>
      </c>
      <c r="Y223">
        <f t="shared" si="40"/>
        <v>7.9600000000000004E-2</v>
      </c>
      <c r="Z223">
        <f t="shared" si="41"/>
        <v>8.1469730310628929E-2</v>
      </c>
      <c r="AA223">
        <f t="shared" si="42"/>
        <v>2.5382529041502483E-2</v>
      </c>
      <c r="AB223" s="3">
        <f t="shared" si="49"/>
        <v>1.2000000000000002</v>
      </c>
      <c r="AC223">
        <v>34</v>
      </c>
      <c r="AD223">
        <v>7.2</v>
      </c>
      <c r="AE223">
        <v>50</v>
      </c>
      <c r="AF223" s="31">
        <v>4.0000000000000002E-4</v>
      </c>
      <c r="AG223" s="31">
        <f t="shared" si="43"/>
        <v>8.6105462399999985E-2</v>
      </c>
      <c r="AH223" s="31">
        <f t="shared" si="39"/>
        <v>2.3321346047999998</v>
      </c>
      <c r="AI223">
        <v>200</v>
      </c>
      <c r="AJ223" s="2">
        <v>2.0000000000080999E-3</v>
      </c>
      <c r="AM223">
        <f t="shared" si="44"/>
        <v>1.6666666666734168E-2</v>
      </c>
      <c r="AN223">
        <f t="shared" si="45"/>
        <v>0</v>
      </c>
      <c r="AO223" s="3">
        <f t="shared" si="46"/>
        <v>0</v>
      </c>
      <c r="AP223" s="3">
        <f t="shared" si="50"/>
        <v>1.6666666666734168E-2</v>
      </c>
    </row>
    <row r="224" spans="1:42" x14ac:dyDescent="0.25">
      <c r="A224" s="96" t="s">
        <v>53</v>
      </c>
      <c r="B224" t="s">
        <v>49</v>
      </c>
      <c r="C224">
        <v>12</v>
      </c>
      <c r="D224">
        <v>7.3</v>
      </c>
      <c r="E224">
        <v>35</v>
      </c>
      <c r="F224">
        <v>9</v>
      </c>
      <c r="G224" s="1">
        <v>45353.28125</v>
      </c>
      <c r="I224" s="96">
        <v>4805.7299999999996</v>
      </c>
      <c r="J224">
        <v>4932.03</v>
      </c>
      <c r="K224">
        <v>19.96</v>
      </c>
      <c r="L224">
        <v>80.95</v>
      </c>
      <c r="M224">
        <v>0.98</v>
      </c>
      <c r="N224">
        <v>350</v>
      </c>
      <c r="O224">
        <v>38.9</v>
      </c>
      <c r="P224">
        <v>0.41</v>
      </c>
      <c r="Q224" s="3">
        <v>7.33</v>
      </c>
      <c r="R224">
        <v>22.99</v>
      </c>
      <c r="S224">
        <v>0.26000000000000156</v>
      </c>
      <c r="T224">
        <v>7.48</v>
      </c>
      <c r="U224">
        <v>0.01</v>
      </c>
      <c r="V224">
        <v>197.3</v>
      </c>
      <c r="W224">
        <v>30.93</v>
      </c>
      <c r="X224">
        <f t="shared" si="48"/>
        <v>2.75</v>
      </c>
      <c r="Y224">
        <f t="shared" si="40"/>
        <v>0.11495</v>
      </c>
      <c r="Z224">
        <f t="shared" si="41"/>
        <v>0.116523061327927</v>
      </c>
      <c r="AA224">
        <f t="shared" si="42"/>
        <v>3.7911809427268121E-2</v>
      </c>
      <c r="AB224" s="3">
        <f t="shared" si="49"/>
        <v>0.24</v>
      </c>
      <c r="AC224">
        <v>34</v>
      </c>
      <c r="AD224">
        <v>7.2</v>
      </c>
      <c r="AE224">
        <v>50</v>
      </c>
      <c r="AF224" s="31">
        <v>4.0000000000000002E-4</v>
      </c>
      <c r="AG224" s="31">
        <f t="shared" si="43"/>
        <v>9.4514592000000008E-2</v>
      </c>
      <c r="AH224" s="31">
        <f t="shared" si="39"/>
        <v>2.2951361664000003</v>
      </c>
      <c r="AI224">
        <v>200</v>
      </c>
      <c r="AJ224" s="2">
        <v>2E-3</v>
      </c>
      <c r="AM224">
        <f t="shared" si="44"/>
        <v>1.6666666666666666E-2</v>
      </c>
      <c r="AN224">
        <f t="shared" si="45"/>
        <v>0</v>
      </c>
      <c r="AO224" s="3">
        <f t="shared" si="46"/>
        <v>0</v>
      </c>
      <c r="AP224" s="3">
        <f t="shared" si="50"/>
        <v>1.6666666666666666E-2</v>
      </c>
    </row>
    <row r="225" spans="1:42" x14ac:dyDescent="0.25">
      <c r="A225" s="96" t="s">
        <v>54</v>
      </c>
      <c r="B225" t="s">
        <v>46</v>
      </c>
      <c r="C225">
        <v>18</v>
      </c>
      <c r="D225">
        <v>7.3</v>
      </c>
      <c r="E225">
        <v>35</v>
      </c>
      <c r="F225">
        <v>9</v>
      </c>
      <c r="G225" s="1">
        <v>45353.286111111098</v>
      </c>
      <c r="I225" s="96">
        <v>4805.7299999999996</v>
      </c>
      <c r="K225">
        <v>21.76</v>
      </c>
      <c r="L225">
        <v>85.44</v>
      </c>
      <c r="M225">
        <v>1.17</v>
      </c>
      <c r="O225">
        <v>29.5</v>
      </c>
      <c r="P225">
        <v>1.36</v>
      </c>
      <c r="Q225" s="3">
        <v>7.3</v>
      </c>
      <c r="R225">
        <v>22.66</v>
      </c>
      <c r="S225">
        <v>3.1499999999999986</v>
      </c>
      <c r="T225">
        <v>2.86</v>
      </c>
      <c r="U225">
        <v>0.14000000000000001</v>
      </c>
      <c r="V225">
        <v>201.99</v>
      </c>
      <c r="W225">
        <v>40.53</v>
      </c>
      <c r="X225">
        <f t="shared" si="48"/>
        <v>2.75</v>
      </c>
      <c r="Y225">
        <f t="shared" si="40"/>
        <v>0.1133</v>
      </c>
      <c r="Z225">
        <f t="shared" si="41"/>
        <v>0.11218377147383533</v>
      </c>
      <c r="AA225">
        <f t="shared" si="42"/>
        <v>1.4159116787959799E-2</v>
      </c>
      <c r="AB225" s="3">
        <f t="shared" si="49"/>
        <v>3.3600000000000003</v>
      </c>
      <c r="AC225">
        <v>34</v>
      </c>
      <c r="AD225">
        <v>7.2</v>
      </c>
      <c r="AE225">
        <v>50</v>
      </c>
      <c r="AF225" s="31">
        <v>4.0000000000000002E-4</v>
      </c>
      <c r="AG225" s="31">
        <f t="shared" si="43"/>
        <v>0.10548725760000002</v>
      </c>
      <c r="AH225" s="31">
        <f t="shared" si="39"/>
        <v>2.5601891327999997</v>
      </c>
      <c r="AI225">
        <v>200</v>
      </c>
      <c r="AJ225" s="2">
        <v>2E-3</v>
      </c>
      <c r="AK225">
        <v>2.3667020798430801E-3</v>
      </c>
      <c r="AL225" s="74">
        <v>9.9999999999999995E-8</v>
      </c>
      <c r="AM225">
        <f t="shared" si="44"/>
        <v>0</v>
      </c>
      <c r="AN225">
        <f t="shared" si="45"/>
        <v>1.9918756379479322E-2</v>
      </c>
      <c r="AO225" s="3">
        <f t="shared" si="46"/>
        <v>2.0199000000000001E-5</v>
      </c>
      <c r="AP225" s="3">
        <f t="shared" si="50"/>
        <v>1.9918756379479322E-2</v>
      </c>
    </row>
    <row r="226" spans="1:42" x14ac:dyDescent="0.25">
      <c r="A226" s="96" t="s">
        <v>55</v>
      </c>
      <c r="B226" t="s">
        <v>51</v>
      </c>
      <c r="C226">
        <v>15</v>
      </c>
      <c r="D226">
        <v>7.2</v>
      </c>
      <c r="E226">
        <v>34</v>
      </c>
      <c r="F226">
        <v>9</v>
      </c>
      <c r="G226" s="1">
        <v>45353.301388888904</v>
      </c>
      <c r="I226" s="96">
        <v>4805.7299999999996</v>
      </c>
      <c r="K226">
        <v>16.93</v>
      </c>
      <c r="L226">
        <v>85.38</v>
      </c>
      <c r="M226">
        <v>1.66</v>
      </c>
      <c r="O226">
        <v>33.1</v>
      </c>
      <c r="P226">
        <v>2.04</v>
      </c>
      <c r="Q226" s="3">
        <v>7.31</v>
      </c>
      <c r="R226">
        <v>16.55</v>
      </c>
      <c r="S226">
        <v>2.0799999999999983</v>
      </c>
      <c r="T226">
        <v>4.66</v>
      </c>
      <c r="U226">
        <v>0.08</v>
      </c>
      <c r="V226">
        <v>196.93</v>
      </c>
      <c r="W226">
        <v>30.3</v>
      </c>
      <c r="X226">
        <f t="shared" si="48"/>
        <v>3.7200000000000024</v>
      </c>
      <c r="Y226">
        <f t="shared" si="40"/>
        <v>8.2750000000000004E-2</v>
      </c>
      <c r="Z226">
        <f t="shared" si="41"/>
        <v>8.4040014218250136E-2</v>
      </c>
      <c r="AA226">
        <f t="shared" si="42"/>
        <v>2.3663230589549587E-2</v>
      </c>
      <c r="AB226" s="3">
        <f t="shared" si="49"/>
        <v>1.92</v>
      </c>
      <c r="AC226">
        <v>34</v>
      </c>
      <c r="AD226">
        <v>7.2</v>
      </c>
      <c r="AE226">
        <v>50</v>
      </c>
      <c r="AF226" s="31">
        <v>4.0000000000000002E-4</v>
      </c>
      <c r="AG226" s="31">
        <f t="shared" si="43"/>
        <v>8.0016597600000003E-2</v>
      </c>
      <c r="AH226" s="31">
        <f t="shared" si="39"/>
        <v>2.1552213887999998</v>
      </c>
      <c r="AI226">
        <v>200</v>
      </c>
      <c r="AJ226" s="2">
        <v>8.8961023466145005E-3</v>
      </c>
      <c r="AM226">
        <f t="shared" si="44"/>
        <v>0</v>
      </c>
      <c r="AN226">
        <f t="shared" si="45"/>
        <v>0</v>
      </c>
      <c r="AO226" s="3">
        <f t="shared" si="46"/>
        <v>0</v>
      </c>
      <c r="AP226" s="3">
        <f t="shared" si="50"/>
        <v>0</v>
      </c>
    </row>
    <row r="227" spans="1:42" x14ac:dyDescent="0.25">
      <c r="A227" s="96" t="s">
        <v>56</v>
      </c>
      <c r="B227" t="s">
        <v>49</v>
      </c>
      <c r="C227">
        <v>18</v>
      </c>
      <c r="D227">
        <v>7.1</v>
      </c>
      <c r="E227">
        <v>32.999999999999993</v>
      </c>
      <c r="F227">
        <v>9</v>
      </c>
      <c r="G227" s="1">
        <v>45353.296527777798</v>
      </c>
      <c r="I227" s="96">
        <v>4805.7299999999996</v>
      </c>
      <c r="J227">
        <v>4746.5249999999996</v>
      </c>
      <c r="K227">
        <v>17.79</v>
      </c>
      <c r="L227">
        <v>78.05</v>
      </c>
      <c r="M227">
        <v>1</v>
      </c>
      <c r="N227">
        <v>345</v>
      </c>
      <c r="O227">
        <v>41</v>
      </c>
      <c r="P227">
        <v>1.22</v>
      </c>
      <c r="Q227" s="3">
        <v>7.32</v>
      </c>
      <c r="R227">
        <v>13.97</v>
      </c>
      <c r="S227">
        <v>1.4599999999999991</v>
      </c>
      <c r="T227">
        <v>6.89</v>
      </c>
      <c r="U227">
        <v>0.04</v>
      </c>
      <c r="V227">
        <v>197.29</v>
      </c>
      <c r="W227">
        <v>39.729999999999997</v>
      </c>
      <c r="X227">
        <f t="shared" si="48"/>
        <v>2.75</v>
      </c>
      <c r="Y227">
        <f t="shared" si="40"/>
        <v>6.9850000000000009E-2</v>
      </c>
      <c r="Z227">
        <f t="shared" si="41"/>
        <v>7.0809468295402717E-2</v>
      </c>
      <c r="AA227">
        <f t="shared" si="42"/>
        <v>3.4923209488570126E-2</v>
      </c>
      <c r="AB227" s="3">
        <f t="shared" si="49"/>
        <v>0.96</v>
      </c>
      <c r="AC227">
        <v>34</v>
      </c>
      <c r="AD227">
        <v>7.2</v>
      </c>
      <c r="AE227">
        <v>50</v>
      </c>
      <c r="AF227" s="31">
        <v>4.0000000000000002E-4</v>
      </c>
      <c r="AG227" s="31">
        <f t="shared" si="43"/>
        <v>8.4234938399999987E-2</v>
      </c>
      <c r="AH227" s="31">
        <f t="shared" si="39"/>
        <v>2.3083209216000005</v>
      </c>
      <c r="AI227">
        <v>200</v>
      </c>
      <c r="AJ227" s="2">
        <v>1.6433115383455099E-2</v>
      </c>
      <c r="AM227">
        <f t="shared" si="44"/>
        <v>0.13694262819545916</v>
      </c>
      <c r="AN227">
        <f t="shared" si="45"/>
        <v>0</v>
      </c>
      <c r="AO227" s="3">
        <f t="shared" si="46"/>
        <v>0</v>
      </c>
      <c r="AP227" s="3">
        <f t="shared" si="50"/>
        <v>0.13694262819545916</v>
      </c>
    </row>
    <row r="228" spans="1:42" x14ac:dyDescent="0.25">
      <c r="A228" s="96" t="s">
        <v>57</v>
      </c>
      <c r="B228" t="s">
        <v>46</v>
      </c>
      <c r="C228">
        <v>18</v>
      </c>
      <c r="D228">
        <v>7.2</v>
      </c>
      <c r="E228">
        <v>34</v>
      </c>
      <c r="F228">
        <v>9</v>
      </c>
      <c r="G228" s="1">
        <v>45353.306250000001</v>
      </c>
      <c r="I228" s="96">
        <v>4805.7299999999996</v>
      </c>
      <c r="K228">
        <v>18.79</v>
      </c>
      <c r="L228">
        <v>84.92</v>
      </c>
      <c r="M228">
        <v>1.01</v>
      </c>
      <c r="O228">
        <v>31.6</v>
      </c>
      <c r="P228">
        <v>0.59</v>
      </c>
      <c r="Q228" s="3">
        <v>7.31</v>
      </c>
      <c r="R228">
        <v>23.47</v>
      </c>
      <c r="S228">
        <v>3.2600000000000016</v>
      </c>
      <c r="T228">
        <v>2.0699999999999998</v>
      </c>
      <c r="U228">
        <v>0.14000000000000001</v>
      </c>
      <c r="V228">
        <v>202.49</v>
      </c>
      <c r="W228">
        <v>40.53</v>
      </c>
      <c r="X228">
        <f t="shared" si="48"/>
        <v>2.75</v>
      </c>
      <c r="Y228">
        <f t="shared" si="40"/>
        <v>0.11735</v>
      </c>
      <c r="Z228">
        <f t="shared" si="41"/>
        <v>0.11590695836831448</v>
      </c>
      <c r="AA228">
        <f t="shared" si="42"/>
        <v>1.0222727048249294E-2</v>
      </c>
      <c r="AB228" s="3">
        <f t="shared" si="49"/>
        <v>3.3600000000000003</v>
      </c>
      <c r="AC228">
        <v>34</v>
      </c>
      <c r="AD228">
        <v>7.2</v>
      </c>
      <c r="AE228">
        <v>50</v>
      </c>
      <c r="AF228" s="31">
        <v>4.0000000000000002E-4</v>
      </c>
      <c r="AG228" s="31">
        <f t="shared" si="43"/>
        <v>9.1314890400000001E-2</v>
      </c>
      <c r="AH228" s="31">
        <f t="shared" si="39"/>
        <v>2.3979814847999998</v>
      </c>
      <c r="AI228">
        <v>200</v>
      </c>
      <c r="AJ228" s="2">
        <v>2E-3</v>
      </c>
      <c r="AK228">
        <v>2.0781870797288399E-3</v>
      </c>
      <c r="AL228" s="74">
        <v>9.9999999999999995E-8</v>
      </c>
      <c r="AM228">
        <f t="shared" si="44"/>
        <v>0</v>
      </c>
      <c r="AN228">
        <f t="shared" si="45"/>
        <v>1.7533837573928866E-2</v>
      </c>
      <c r="AO228" s="3">
        <f t="shared" si="46"/>
        <v>2.0248999999999999E-5</v>
      </c>
      <c r="AP228" s="3">
        <f t="shared" si="50"/>
        <v>1.7533837573928866E-2</v>
      </c>
    </row>
    <row r="229" spans="1:42" x14ac:dyDescent="0.25">
      <c r="A229" s="96" t="s">
        <v>58</v>
      </c>
      <c r="B229" t="s">
        <v>51</v>
      </c>
      <c r="C229">
        <v>18</v>
      </c>
      <c r="D229">
        <v>7.1</v>
      </c>
      <c r="E229">
        <v>32.999999999999993</v>
      </c>
      <c r="F229">
        <v>9</v>
      </c>
      <c r="G229" s="1">
        <v>45353.311111111099</v>
      </c>
      <c r="I229" s="96">
        <v>4805.7299999999996</v>
      </c>
      <c r="K229">
        <v>18.8</v>
      </c>
      <c r="L229">
        <v>85.64</v>
      </c>
      <c r="M229">
        <v>0.79</v>
      </c>
      <c r="O229">
        <v>31.8</v>
      </c>
      <c r="P229">
        <v>3.03</v>
      </c>
      <c r="Q229" s="3">
        <v>7.3</v>
      </c>
      <c r="R229">
        <v>19.149999999999999</v>
      </c>
      <c r="S229">
        <v>2.4299999999999997</v>
      </c>
      <c r="T229">
        <v>4.6399999999999997</v>
      </c>
      <c r="U229">
        <v>0.09</v>
      </c>
      <c r="V229">
        <v>208.97</v>
      </c>
      <c r="W229">
        <v>39.729999999999997</v>
      </c>
      <c r="X229">
        <f t="shared" si="48"/>
        <v>2.75</v>
      </c>
      <c r="Y229">
        <f t="shared" si="40"/>
        <v>9.5749999999999988E-2</v>
      </c>
      <c r="Z229">
        <f t="shared" si="41"/>
        <v>9.1639948317940367E-2</v>
      </c>
      <c r="AA229">
        <f t="shared" si="42"/>
        <v>2.2204144135521842E-2</v>
      </c>
      <c r="AB229" s="3">
        <f t="shared" si="49"/>
        <v>2.16</v>
      </c>
      <c r="AC229">
        <v>34</v>
      </c>
      <c r="AD229">
        <v>7.2</v>
      </c>
      <c r="AE229">
        <v>50</v>
      </c>
      <c r="AF229" s="31">
        <v>4.0000000000000002E-4</v>
      </c>
      <c r="AG229" s="31">
        <f t="shared" si="43"/>
        <v>9.428726400000001E-2</v>
      </c>
      <c r="AH229" s="31">
        <f t="shared" si="39"/>
        <v>2.3421376511999998</v>
      </c>
      <c r="AI229">
        <v>200</v>
      </c>
      <c r="AJ229" s="2">
        <v>2E-3</v>
      </c>
      <c r="AM229">
        <f t="shared" si="44"/>
        <v>0</v>
      </c>
      <c r="AN229">
        <f t="shared" si="45"/>
        <v>0</v>
      </c>
      <c r="AO229" s="3">
        <f t="shared" si="46"/>
        <v>0</v>
      </c>
      <c r="AP229" s="3">
        <f t="shared" si="50"/>
        <v>0</v>
      </c>
    </row>
    <row r="230" spans="1:42" x14ac:dyDescent="0.25">
      <c r="A230" s="96" t="s">
        <v>59</v>
      </c>
      <c r="B230" t="s">
        <v>46</v>
      </c>
      <c r="C230">
        <v>15</v>
      </c>
      <c r="D230">
        <v>7.1</v>
      </c>
      <c r="E230">
        <v>32.999999999999993</v>
      </c>
      <c r="F230">
        <v>9</v>
      </c>
      <c r="G230" s="1">
        <v>45353.315972222197</v>
      </c>
      <c r="I230" s="96">
        <v>4805.7299999999996</v>
      </c>
      <c r="K230">
        <v>18.3</v>
      </c>
      <c r="L230">
        <v>88.06</v>
      </c>
      <c r="M230">
        <v>1.32</v>
      </c>
      <c r="O230">
        <v>30.2</v>
      </c>
      <c r="P230">
        <v>1.85</v>
      </c>
      <c r="Q230" s="3">
        <v>7.3</v>
      </c>
      <c r="R230">
        <v>22.54</v>
      </c>
      <c r="S230">
        <v>3.1900000000000013</v>
      </c>
      <c r="T230">
        <v>2.78</v>
      </c>
      <c r="U230">
        <v>0.14000000000000001</v>
      </c>
      <c r="V230">
        <v>204.33</v>
      </c>
      <c r="W230">
        <v>27.73</v>
      </c>
      <c r="X230">
        <f t="shared" si="48"/>
        <v>2.75</v>
      </c>
      <c r="Y230">
        <f t="shared" si="40"/>
        <v>0.11269999999999999</v>
      </c>
      <c r="Z230">
        <f t="shared" si="41"/>
        <v>0.11031175059952038</v>
      </c>
      <c r="AA230">
        <f t="shared" si="42"/>
        <v>1.3605442176870746E-2</v>
      </c>
      <c r="AB230" s="3">
        <f t="shared" si="49"/>
        <v>3.3600000000000003</v>
      </c>
      <c r="AC230">
        <v>34</v>
      </c>
      <c r="AD230">
        <v>7.2</v>
      </c>
      <c r="AE230">
        <v>50</v>
      </c>
      <c r="AF230" s="31">
        <v>4.0000000000000002E-4</v>
      </c>
      <c r="AG230" s="31">
        <f t="shared" si="43"/>
        <v>8.9741736000000016E-2</v>
      </c>
      <c r="AH230" s="31">
        <f t="shared" si="39"/>
        <v>2.2871537279999998</v>
      </c>
      <c r="AI230">
        <v>200</v>
      </c>
      <c r="AJ230" s="2">
        <v>2E-3</v>
      </c>
      <c r="AK230">
        <v>3.7045076837450802E-3</v>
      </c>
      <c r="AL230" s="74">
        <v>9.9999999999999995E-8</v>
      </c>
      <c r="AM230">
        <f t="shared" si="44"/>
        <v>0</v>
      </c>
      <c r="AN230">
        <f t="shared" si="45"/>
        <v>3.1539252292484679E-2</v>
      </c>
      <c r="AO230" s="3">
        <f t="shared" si="46"/>
        <v>2.0432999999999999E-5</v>
      </c>
      <c r="AP230" s="3">
        <f t="shared" si="50"/>
        <v>3.1539252292484679E-2</v>
      </c>
    </row>
    <row r="231" spans="1:42" x14ac:dyDescent="0.25">
      <c r="A231" s="96" t="s">
        <v>60</v>
      </c>
      <c r="B231" t="s">
        <v>49</v>
      </c>
      <c r="C231">
        <v>15</v>
      </c>
      <c r="D231">
        <v>7.1</v>
      </c>
      <c r="E231">
        <v>32.999999999999993</v>
      </c>
      <c r="F231">
        <v>9</v>
      </c>
      <c r="G231" s="1">
        <v>45353.320833333302</v>
      </c>
      <c r="I231" s="96">
        <v>4805.7299999999996</v>
      </c>
      <c r="J231">
        <v>4920.6149999999998</v>
      </c>
      <c r="K231">
        <v>18.2</v>
      </c>
      <c r="L231">
        <v>83.24</v>
      </c>
      <c r="M231">
        <v>1.05</v>
      </c>
      <c r="N231">
        <v>435</v>
      </c>
      <c r="O231">
        <v>37</v>
      </c>
      <c r="P231">
        <v>1.1399999999999999</v>
      </c>
      <c r="Q231" s="3">
        <v>7.31</v>
      </c>
      <c r="R231">
        <v>18.52</v>
      </c>
      <c r="S231">
        <v>0.26999999999999957</v>
      </c>
      <c r="T231">
        <v>6.89</v>
      </c>
      <c r="U231">
        <v>0.01</v>
      </c>
      <c r="V231">
        <v>200.44</v>
      </c>
      <c r="W231">
        <v>27.73</v>
      </c>
      <c r="X231">
        <f t="shared" si="48"/>
        <v>2.75</v>
      </c>
      <c r="Y231">
        <f t="shared" si="40"/>
        <v>9.2600000000000002E-2</v>
      </c>
      <c r="Z231">
        <f t="shared" si="41"/>
        <v>9.2396727200159651E-2</v>
      </c>
      <c r="AA231">
        <f t="shared" si="42"/>
        <v>3.4374376371981638E-2</v>
      </c>
      <c r="AB231" s="3">
        <f t="shared" si="49"/>
        <v>0.24</v>
      </c>
      <c r="AC231">
        <v>34</v>
      </c>
      <c r="AD231">
        <v>7.2</v>
      </c>
      <c r="AE231">
        <v>50</v>
      </c>
      <c r="AF231" s="31">
        <v>4.0000000000000002E-4</v>
      </c>
      <c r="AG231" s="31">
        <f t="shared" si="43"/>
        <v>8.7552191999999987E-2</v>
      </c>
      <c r="AH231" s="31">
        <f t="shared" si="39"/>
        <v>2.2473755136000002</v>
      </c>
      <c r="AI231">
        <v>200</v>
      </c>
      <c r="AJ231" s="2">
        <v>2E-3</v>
      </c>
      <c r="AM231">
        <f t="shared" si="44"/>
        <v>1.6666666666666666E-2</v>
      </c>
      <c r="AN231">
        <f t="shared" si="45"/>
        <v>0</v>
      </c>
      <c r="AO231" s="3">
        <f t="shared" si="46"/>
        <v>0</v>
      </c>
      <c r="AP231" s="3">
        <f t="shared" si="50"/>
        <v>1.6666666666666666E-2</v>
      </c>
    </row>
    <row r="232" spans="1:42" x14ac:dyDescent="0.25">
      <c r="A232" s="96" t="s">
        <v>61</v>
      </c>
      <c r="B232" t="s">
        <v>46</v>
      </c>
      <c r="C232">
        <v>15</v>
      </c>
      <c r="D232">
        <v>7.3</v>
      </c>
      <c r="E232">
        <v>35</v>
      </c>
      <c r="F232">
        <v>9</v>
      </c>
      <c r="G232" s="1">
        <v>45353.3256944444</v>
      </c>
      <c r="I232" s="96">
        <v>4805.7299999999996</v>
      </c>
      <c r="K232">
        <v>22.69</v>
      </c>
      <c r="L232">
        <v>86.63</v>
      </c>
      <c r="M232">
        <v>0.95</v>
      </c>
      <c r="O232">
        <v>35.1</v>
      </c>
      <c r="P232">
        <v>0.17</v>
      </c>
      <c r="Q232" s="3">
        <v>7.33</v>
      </c>
      <c r="R232">
        <v>22.89</v>
      </c>
      <c r="S232">
        <v>3.3099999999999987</v>
      </c>
      <c r="T232">
        <v>1.72</v>
      </c>
      <c r="U232">
        <v>0.14000000000000001</v>
      </c>
      <c r="V232">
        <v>199.98</v>
      </c>
      <c r="W232">
        <v>28.7</v>
      </c>
      <c r="X232">
        <f t="shared" si="48"/>
        <v>2.75</v>
      </c>
      <c r="Y232">
        <f t="shared" si="40"/>
        <v>0.11445</v>
      </c>
      <c r="Z232">
        <f t="shared" si="41"/>
        <v>0.11446144614461447</v>
      </c>
      <c r="AA232">
        <f t="shared" si="42"/>
        <v>8.6008600860086014E-3</v>
      </c>
      <c r="AB232" s="3">
        <f t="shared" si="49"/>
        <v>3.3600000000000003</v>
      </c>
      <c r="AC232">
        <v>34</v>
      </c>
      <c r="AD232">
        <v>7.2</v>
      </c>
      <c r="AE232">
        <v>50</v>
      </c>
      <c r="AF232" s="31">
        <v>4.0000000000000002E-4</v>
      </c>
      <c r="AG232" s="31">
        <f t="shared" si="43"/>
        <v>0.10890110879999999</v>
      </c>
      <c r="AH232" s="31">
        <f t="shared" si="39"/>
        <v>2.6564889599999999</v>
      </c>
      <c r="AI232">
        <v>200</v>
      </c>
      <c r="AJ232" s="2">
        <v>2E-3</v>
      </c>
      <c r="AK232">
        <v>3.2888057667161902E-3</v>
      </c>
      <c r="AL232" s="74">
        <v>9.9999999999999995E-8</v>
      </c>
      <c r="AM232">
        <f t="shared" si="44"/>
        <v>0</v>
      </c>
      <c r="AN232">
        <f t="shared" si="45"/>
        <v>2.7403974051162655E-2</v>
      </c>
      <c r="AO232" s="3">
        <f t="shared" si="46"/>
        <v>1.9997999999999997E-5</v>
      </c>
      <c r="AP232" s="3">
        <f t="shared" si="50"/>
        <v>2.7403974051162655E-2</v>
      </c>
    </row>
    <row r="233" spans="1:42" x14ac:dyDescent="0.25">
      <c r="A233" s="96" t="s">
        <v>62</v>
      </c>
      <c r="B233" s="96" t="s">
        <v>49</v>
      </c>
      <c r="C233" s="96">
        <v>18</v>
      </c>
      <c r="D233" s="96">
        <v>7.2</v>
      </c>
      <c r="E233" s="96">
        <v>34</v>
      </c>
      <c r="F233" s="96">
        <v>9</v>
      </c>
      <c r="G233" s="97">
        <v>45353.331944444399</v>
      </c>
      <c r="I233" s="96">
        <v>4805.7299999999996</v>
      </c>
      <c r="J233" s="96">
        <v>4821.0749999999998</v>
      </c>
      <c r="K233" s="96">
        <v>19.510000000000002</v>
      </c>
      <c r="L233" s="96">
        <v>84.07</v>
      </c>
      <c r="M233" s="96">
        <v>0.69</v>
      </c>
      <c r="N233" s="96">
        <v>337</v>
      </c>
      <c r="O233" s="96">
        <v>40.1</v>
      </c>
      <c r="P233" s="96">
        <v>1.4</v>
      </c>
      <c r="Q233" s="3">
        <v>7.31</v>
      </c>
      <c r="R233" s="96">
        <v>15.74</v>
      </c>
      <c r="S233" s="96">
        <v>0.27999999999999936</v>
      </c>
      <c r="T233" s="96">
        <v>6.54</v>
      </c>
      <c r="U233" s="96">
        <v>0.01</v>
      </c>
      <c r="V233" s="96">
        <v>197.51</v>
      </c>
      <c r="W233" s="96">
        <v>40.700000000000003</v>
      </c>
      <c r="X233" s="96">
        <f t="shared" si="48"/>
        <v>2.75</v>
      </c>
      <c r="Y233" s="96">
        <f t="shared" si="40"/>
        <v>7.8700000000000006E-2</v>
      </c>
      <c r="Z233" s="96">
        <f t="shared" si="41"/>
        <v>7.9692167485190632E-2</v>
      </c>
      <c r="AA233" s="96">
        <f t="shared" si="42"/>
        <v>3.3112247481140195E-2</v>
      </c>
      <c r="AB233" s="3">
        <f t="shared" si="49"/>
        <v>0.24</v>
      </c>
      <c r="AC233" s="96">
        <v>34</v>
      </c>
      <c r="AD233" s="96">
        <v>7.2</v>
      </c>
      <c r="AE233" s="96">
        <v>50</v>
      </c>
      <c r="AF233" s="100">
        <v>4.0000000000000002E-4</v>
      </c>
      <c r="AG233" s="100">
        <f t="shared" si="43"/>
        <v>9.2482082399999999E-2</v>
      </c>
      <c r="AH233" s="100">
        <f t="shared" si="39"/>
        <v>2.3081389055999999</v>
      </c>
      <c r="AI233" s="96">
        <v>200</v>
      </c>
      <c r="AJ233" s="2">
        <v>3.0104191104762998E-3</v>
      </c>
      <c r="AK233" s="96"/>
      <c r="AL233" s="96"/>
      <c r="AM233" s="96">
        <f t="shared" si="44"/>
        <v>2.5086825920635835E-2</v>
      </c>
      <c r="AN233" s="96">
        <f t="shared" si="45"/>
        <v>0</v>
      </c>
      <c r="AO233" s="3">
        <f t="shared" si="46"/>
        <v>0</v>
      </c>
      <c r="AP233" s="3">
        <f t="shared" si="50"/>
        <v>2.5086825920635835E-2</v>
      </c>
    </row>
    <row r="234" spans="1:42" x14ac:dyDescent="0.25">
      <c r="A234" s="96" t="s">
        <v>63</v>
      </c>
      <c r="B234" t="s">
        <v>51</v>
      </c>
      <c r="C234">
        <v>12</v>
      </c>
      <c r="D234">
        <v>7.1</v>
      </c>
      <c r="E234">
        <v>32.999999999999993</v>
      </c>
      <c r="F234">
        <v>9</v>
      </c>
      <c r="G234" s="1">
        <v>45353.341666666704</v>
      </c>
      <c r="I234" s="96">
        <v>4805.7299999999996</v>
      </c>
      <c r="K234">
        <v>14.32</v>
      </c>
      <c r="L234">
        <v>89.64</v>
      </c>
      <c r="M234">
        <v>1.44</v>
      </c>
      <c r="O234">
        <v>34.5</v>
      </c>
      <c r="P234">
        <v>2.31</v>
      </c>
      <c r="Q234" s="3">
        <v>7.3</v>
      </c>
      <c r="R234">
        <v>15.63</v>
      </c>
      <c r="S234">
        <v>1.7999999999999989</v>
      </c>
      <c r="T234">
        <v>3.94</v>
      </c>
      <c r="U234">
        <v>7.0000000000000007E-2</v>
      </c>
      <c r="V234">
        <v>198.08</v>
      </c>
      <c r="W234">
        <v>28.53</v>
      </c>
      <c r="X234">
        <f t="shared" si="48"/>
        <v>2.75</v>
      </c>
      <c r="Y234">
        <f t="shared" si="40"/>
        <v>7.8149999999999997E-2</v>
      </c>
      <c r="Z234">
        <f t="shared" si="41"/>
        <v>7.8907512116316636E-2</v>
      </c>
      <c r="AA234">
        <f t="shared" si="42"/>
        <v>1.9890953150242325E-2</v>
      </c>
      <c r="AB234" s="3">
        <f t="shared" si="49"/>
        <v>1.6800000000000002</v>
      </c>
      <c r="AC234">
        <v>34</v>
      </c>
      <c r="AD234">
        <v>7.2</v>
      </c>
      <c r="AE234">
        <v>50</v>
      </c>
      <c r="AF234" s="31">
        <v>4.0000000000000002E-4</v>
      </c>
      <c r="AG234" s="31">
        <f t="shared" si="43"/>
        <v>6.8076134400000016E-2</v>
      </c>
      <c r="AH234" s="31">
        <f t="shared" si="39"/>
        <v>1.9360742400000002</v>
      </c>
      <c r="AI234">
        <v>200</v>
      </c>
      <c r="AJ234" s="2">
        <v>2.0000000003656E-3</v>
      </c>
      <c r="AM234">
        <f t="shared" si="44"/>
        <v>0</v>
      </c>
      <c r="AN234">
        <f t="shared" si="45"/>
        <v>0</v>
      </c>
      <c r="AO234" s="3">
        <f t="shared" si="46"/>
        <v>0</v>
      </c>
      <c r="AP234" s="3">
        <f t="shared" si="50"/>
        <v>0</v>
      </c>
    </row>
    <row r="235" spans="1:42" x14ac:dyDescent="0.25">
      <c r="A235" t="s">
        <v>64</v>
      </c>
      <c r="B235" t="s">
        <v>46</v>
      </c>
      <c r="C235">
        <v>12</v>
      </c>
      <c r="D235">
        <v>7.1</v>
      </c>
      <c r="E235">
        <v>32.999999999999993</v>
      </c>
      <c r="F235">
        <v>9</v>
      </c>
      <c r="G235" s="1">
        <v>45353.345833333296</v>
      </c>
      <c r="I235" s="96">
        <v>4805.7299999999996</v>
      </c>
      <c r="K235">
        <v>18.399999999999999</v>
      </c>
      <c r="L235">
        <v>87.44</v>
      </c>
      <c r="M235">
        <v>1.17</v>
      </c>
      <c r="O235">
        <v>29.6</v>
      </c>
      <c r="P235">
        <v>0.57999999999999996</v>
      </c>
      <c r="Q235" s="3">
        <v>7.31</v>
      </c>
      <c r="R235">
        <v>21.59</v>
      </c>
      <c r="S235">
        <v>3.3900000000000006</v>
      </c>
      <c r="T235">
        <v>2.64</v>
      </c>
      <c r="U235">
        <v>0.14000000000000001</v>
      </c>
      <c r="V235">
        <v>199.45</v>
      </c>
      <c r="W235">
        <v>28.53</v>
      </c>
      <c r="X235">
        <f t="shared" si="48"/>
        <v>2.75</v>
      </c>
      <c r="Y235">
        <f t="shared" si="40"/>
        <v>0.10795</v>
      </c>
      <c r="Z235">
        <f t="shared" si="41"/>
        <v>0.1082476811230885</v>
      </c>
      <c r="AA235">
        <f t="shared" si="42"/>
        <v>1.3236400100275761E-2</v>
      </c>
      <c r="AB235" s="3">
        <f t="shared" si="49"/>
        <v>3.3600000000000003</v>
      </c>
      <c r="AC235">
        <v>34</v>
      </c>
      <c r="AD235">
        <v>7.2</v>
      </c>
      <c r="AE235">
        <v>50</v>
      </c>
      <c r="AF235" s="31">
        <v>4.0000000000000002E-4</v>
      </c>
      <c r="AG235" s="31">
        <f t="shared" si="43"/>
        <v>8.8077119999999981E-2</v>
      </c>
      <c r="AH235" s="31">
        <f t="shared" si="39"/>
        <v>2.1059758079999997</v>
      </c>
      <c r="AI235">
        <v>200</v>
      </c>
      <c r="AJ235" s="2">
        <v>2E-3</v>
      </c>
      <c r="AK235">
        <v>3.2476644028474199E-3</v>
      </c>
      <c r="AL235" s="74">
        <v>9.9999999999999995E-8</v>
      </c>
      <c r="AM235">
        <f t="shared" si="44"/>
        <v>0</v>
      </c>
      <c r="AN235">
        <f t="shared" si="45"/>
        <v>2.6989444381163245E-2</v>
      </c>
      <c r="AO235" s="3">
        <f t="shared" si="46"/>
        <v>1.9945E-5</v>
      </c>
      <c r="AP235" s="3">
        <f t="shared" si="50"/>
        <v>2.6989444381163245E-2</v>
      </c>
    </row>
    <row r="236" spans="1:42" x14ac:dyDescent="0.25">
      <c r="A236" t="s">
        <v>65</v>
      </c>
      <c r="B236" t="s">
        <v>49</v>
      </c>
      <c r="C236">
        <v>15</v>
      </c>
      <c r="D236">
        <v>7.3</v>
      </c>
      <c r="E236">
        <v>35</v>
      </c>
      <c r="F236">
        <v>9</v>
      </c>
      <c r="G236" s="1">
        <v>45353.351388888899</v>
      </c>
      <c r="I236" s="96">
        <v>4805.7299999999996</v>
      </c>
      <c r="J236">
        <v>5012.13</v>
      </c>
      <c r="K236">
        <v>19.86</v>
      </c>
      <c r="L236">
        <v>83.66</v>
      </c>
      <c r="M236">
        <v>1.03</v>
      </c>
      <c r="N236">
        <v>342</v>
      </c>
      <c r="O236">
        <v>38.1</v>
      </c>
      <c r="P236">
        <v>1.1399999999999999</v>
      </c>
      <c r="Q236" s="3">
        <v>7.31</v>
      </c>
      <c r="R236">
        <v>17.8</v>
      </c>
      <c r="S236">
        <v>0.23999999999999844</v>
      </c>
      <c r="T236">
        <v>7.87</v>
      </c>
      <c r="U236">
        <v>0.01</v>
      </c>
      <c r="V236">
        <v>198.75</v>
      </c>
      <c r="W236">
        <v>28.53</v>
      </c>
      <c r="X236">
        <f t="shared" si="48"/>
        <v>2.75</v>
      </c>
      <c r="Y236">
        <f t="shared" si="40"/>
        <v>8.900000000000001E-2</v>
      </c>
      <c r="Z236">
        <f t="shared" si="41"/>
        <v>8.9559748427672961E-2</v>
      </c>
      <c r="AA236">
        <f t="shared" si="42"/>
        <v>3.9597484276729558E-2</v>
      </c>
      <c r="AB236" s="3">
        <f t="shared" si="49"/>
        <v>0.24</v>
      </c>
      <c r="AC236">
        <v>34</v>
      </c>
      <c r="AD236">
        <v>7.2</v>
      </c>
      <c r="AE236">
        <v>50</v>
      </c>
      <c r="AF236" s="31">
        <v>4.0000000000000002E-4</v>
      </c>
      <c r="AG236" s="31">
        <f t="shared" si="43"/>
        <v>9.4732200000000003E-2</v>
      </c>
      <c r="AH236" s="31">
        <f t="shared" si="39"/>
        <v>2.3998334976</v>
      </c>
      <c r="AI236">
        <v>200</v>
      </c>
      <c r="AJ236" s="2">
        <v>2E-3</v>
      </c>
      <c r="AM236">
        <f t="shared" si="44"/>
        <v>1.6666666666666666E-2</v>
      </c>
      <c r="AN236">
        <f t="shared" si="45"/>
        <v>0</v>
      </c>
      <c r="AO236" s="3">
        <f t="shared" si="46"/>
        <v>0</v>
      </c>
      <c r="AP236" s="3">
        <f t="shared" si="50"/>
        <v>1.6666666666666666E-2</v>
      </c>
    </row>
    <row r="237" spans="1:42" x14ac:dyDescent="0.25">
      <c r="A237" s="96" t="s">
        <v>66</v>
      </c>
      <c r="B237" t="s">
        <v>46</v>
      </c>
      <c r="C237">
        <v>12</v>
      </c>
      <c r="D237">
        <v>7.2</v>
      </c>
      <c r="E237">
        <v>34</v>
      </c>
      <c r="F237">
        <v>9</v>
      </c>
      <c r="G237" s="1">
        <v>45353.358333333301</v>
      </c>
      <c r="I237" s="96">
        <v>4805.7299999999996</v>
      </c>
      <c r="K237">
        <v>20.37</v>
      </c>
      <c r="L237">
        <v>86.7</v>
      </c>
      <c r="M237">
        <v>0.88</v>
      </c>
      <c r="O237">
        <v>37.299999999999997</v>
      </c>
      <c r="P237">
        <v>1.02</v>
      </c>
      <c r="Q237" s="3">
        <v>7.31</v>
      </c>
      <c r="R237">
        <v>21.3</v>
      </c>
      <c r="S237">
        <v>3.5700000000000003</v>
      </c>
      <c r="T237">
        <v>2.68</v>
      </c>
      <c r="U237">
        <v>0.15</v>
      </c>
      <c r="V237">
        <v>200.58</v>
      </c>
      <c r="W237">
        <v>28.35</v>
      </c>
      <c r="X237">
        <f t="shared" si="48"/>
        <v>1.7700000000000031</v>
      </c>
      <c r="Y237">
        <f t="shared" si="40"/>
        <v>0.1065</v>
      </c>
      <c r="Z237">
        <f t="shared" si="41"/>
        <v>0.10619204307508226</v>
      </c>
      <c r="AA237">
        <f t="shared" si="42"/>
        <v>1.3361252368132416E-2</v>
      </c>
      <c r="AB237" s="3">
        <f t="shared" si="49"/>
        <v>3.5999999999999996</v>
      </c>
      <c r="AC237">
        <v>34</v>
      </c>
      <c r="AD237">
        <v>7.2</v>
      </c>
      <c r="AE237">
        <v>50</v>
      </c>
      <c r="AF237" s="31">
        <v>4.0000000000000002E-4</v>
      </c>
      <c r="AG237" s="31">
        <f t="shared" si="43"/>
        <v>9.8059550400000015E-2</v>
      </c>
      <c r="AH237" s="31">
        <f t="shared" si="39"/>
        <v>2.3408371584000007</v>
      </c>
      <c r="AI237">
        <v>200</v>
      </c>
      <c r="AJ237" s="2">
        <v>2E-3</v>
      </c>
      <c r="AK237">
        <v>2E-3</v>
      </c>
      <c r="AL237" s="74">
        <v>9.9999999999999995E-8</v>
      </c>
      <c r="AM237">
        <f t="shared" si="44"/>
        <v>0</v>
      </c>
      <c r="AN237">
        <f t="shared" si="45"/>
        <v>1.6715000000000001E-2</v>
      </c>
      <c r="AO237" s="3">
        <f t="shared" si="46"/>
        <v>2.0058E-5</v>
      </c>
      <c r="AP237" s="3">
        <f t="shared" si="50"/>
        <v>1.6715000000000001E-2</v>
      </c>
    </row>
    <row r="238" spans="1:42" x14ac:dyDescent="0.25">
      <c r="A238" s="96" t="s">
        <v>67</v>
      </c>
      <c r="B238" t="s">
        <v>49</v>
      </c>
      <c r="C238">
        <v>12</v>
      </c>
      <c r="D238">
        <v>7.1</v>
      </c>
      <c r="E238">
        <v>32.999999999999993</v>
      </c>
      <c r="F238">
        <v>9</v>
      </c>
      <c r="G238" s="1">
        <v>45353.3618055556</v>
      </c>
      <c r="I238" s="96">
        <v>4805.7299999999996</v>
      </c>
      <c r="J238">
        <v>4595.5050000000001</v>
      </c>
      <c r="K238">
        <v>18.16</v>
      </c>
      <c r="L238">
        <v>84.25</v>
      </c>
      <c r="M238">
        <v>1.1499999999999999</v>
      </c>
      <c r="N238">
        <v>355</v>
      </c>
      <c r="O238">
        <v>38.9</v>
      </c>
      <c r="P238">
        <v>0.61</v>
      </c>
      <c r="Q238" s="3">
        <v>7.33</v>
      </c>
      <c r="R238">
        <v>20.059999999999999</v>
      </c>
      <c r="S238">
        <v>0.25</v>
      </c>
      <c r="T238">
        <v>7.58</v>
      </c>
      <c r="U238">
        <v>0.01</v>
      </c>
      <c r="V238">
        <v>199.18</v>
      </c>
      <c r="W238">
        <v>27.55</v>
      </c>
      <c r="X238">
        <f t="shared" si="48"/>
        <v>1.7699999999999996</v>
      </c>
      <c r="Y238">
        <f t="shared" si="40"/>
        <v>0.1003</v>
      </c>
      <c r="Z238">
        <f t="shared" si="41"/>
        <v>0.10071292298423536</v>
      </c>
      <c r="AA238">
        <f t="shared" si="42"/>
        <v>3.8056029721859626E-2</v>
      </c>
      <c r="AB238" s="3">
        <f t="shared" si="49"/>
        <v>0.24</v>
      </c>
      <c r="AC238">
        <v>34</v>
      </c>
      <c r="AD238">
        <v>7.2</v>
      </c>
      <c r="AE238">
        <v>50</v>
      </c>
      <c r="AF238" s="31">
        <v>4.0000000000000002E-4</v>
      </c>
      <c r="AG238" s="31">
        <f t="shared" si="43"/>
        <v>8.6810611199999999E-2</v>
      </c>
      <c r="AH238" s="31">
        <f t="shared" si="39"/>
        <v>2.1975226560000003</v>
      </c>
      <c r="AI238">
        <v>200</v>
      </c>
      <c r="AJ238" s="2">
        <v>3.0777856386022999E-3</v>
      </c>
      <c r="AM238">
        <f t="shared" si="44"/>
        <v>2.5648213655019167E-2</v>
      </c>
      <c r="AN238">
        <f t="shared" si="45"/>
        <v>0</v>
      </c>
      <c r="AO238" s="3">
        <f t="shared" si="46"/>
        <v>0</v>
      </c>
      <c r="AP238" s="3">
        <f t="shared" si="50"/>
        <v>2.5648213655019167E-2</v>
      </c>
    </row>
    <row r="239" spans="1:42" x14ac:dyDescent="0.25">
      <c r="A239" s="96" t="s">
        <v>68</v>
      </c>
      <c r="B239" t="s">
        <v>51</v>
      </c>
      <c r="C239">
        <v>12</v>
      </c>
      <c r="D239">
        <v>7.3</v>
      </c>
      <c r="E239">
        <v>35</v>
      </c>
      <c r="F239">
        <v>9</v>
      </c>
      <c r="G239" s="1">
        <v>45353.366666666698</v>
      </c>
      <c r="I239" s="96">
        <v>4805.7299999999996</v>
      </c>
      <c r="K239">
        <v>14.85</v>
      </c>
      <c r="L239">
        <v>89.52</v>
      </c>
      <c r="M239">
        <v>1.53</v>
      </c>
      <c r="O239">
        <v>34.9</v>
      </c>
      <c r="P239">
        <v>2.82</v>
      </c>
      <c r="Q239" s="3">
        <v>7.29</v>
      </c>
      <c r="R239">
        <v>14.9</v>
      </c>
      <c r="S239">
        <v>1.8800000000000008</v>
      </c>
      <c r="T239">
        <v>5.4</v>
      </c>
      <c r="U239">
        <v>7.0000000000000007E-2</v>
      </c>
      <c r="V239">
        <v>198.64</v>
      </c>
      <c r="W239">
        <v>27.55</v>
      </c>
      <c r="X239">
        <f t="shared" si="48"/>
        <v>1.7699999999999996</v>
      </c>
      <c r="Y239">
        <f t="shared" si="40"/>
        <v>7.4499999999999997E-2</v>
      </c>
      <c r="Z239">
        <f t="shared" si="41"/>
        <v>7.5010068465565849E-2</v>
      </c>
      <c r="AA239">
        <f t="shared" si="42"/>
        <v>2.7184857027788969E-2</v>
      </c>
      <c r="AB239" s="3">
        <f t="shared" si="49"/>
        <v>1.6800000000000002</v>
      </c>
      <c r="AC239">
        <v>34</v>
      </c>
      <c r="AD239">
        <v>7.2</v>
      </c>
      <c r="AE239">
        <v>50</v>
      </c>
      <c r="AF239" s="31">
        <v>4.0000000000000002E-4</v>
      </c>
      <c r="AG239" s="31">
        <f t="shared" si="43"/>
        <v>7.0795295999999994E-2</v>
      </c>
      <c r="AH239" s="31">
        <f t="shared" si="39"/>
        <v>1.9041684480000001</v>
      </c>
      <c r="AI239">
        <v>200</v>
      </c>
      <c r="AJ239" s="2">
        <v>1.4668047397136201E-2</v>
      </c>
      <c r="AM239">
        <f t="shared" si="44"/>
        <v>0</v>
      </c>
      <c r="AN239">
        <f t="shared" si="45"/>
        <v>0</v>
      </c>
      <c r="AO239" s="3">
        <f t="shared" si="46"/>
        <v>0</v>
      </c>
      <c r="AP239" s="3">
        <f t="shared" si="50"/>
        <v>0</v>
      </c>
    </row>
    <row r="240" spans="1:42" x14ac:dyDescent="0.25">
      <c r="A240" s="96" t="s">
        <v>69</v>
      </c>
      <c r="B240" t="s">
        <v>51</v>
      </c>
      <c r="C240">
        <v>15</v>
      </c>
      <c r="D240">
        <v>7.2</v>
      </c>
      <c r="E240">
        <v>34</v>
      </c>
      <c r="F240">
        <v>9</v>
      </c>
      <c r="G240" s="1">
        <v>45353.371527777803</v>
      </c>
      <c r="I240" s="96">
        <v>4805.7299999999996</v>
      </c>
      <c r="K240">
        <v>16.670000000000002</v>
      </c>
      <c r="L240">
        <v>88.7</v>
      </c>
      <c r="M240">
        <v>1.63</v>
      </c>
      <c r="O240">
        <v>31.7</v>
      </c>
      <c r="P240">
        <v>2.4700000000000002</v>
      </c>
      <c r="Q240" s="3">
        <v>7.29</v>
      </c>
      <c r="R240">
        <v>17</v>
      </c>
      <c r="S240">
        <v>2.129999999999999</v>
      </c>
      <c r="T240">
        <v>4.7699999999999996</v>
      </c>
      <c r="U240">
        <v>0.08</v>
      </c>
      <c r="V240">
        <v>202.3</v>
      </c>
      <c r="W240">
        <v>26.75</v>
      </c>
      <c r="X240">
        <f t="shared" si="48"/>
        <v>1.7699999999999996</v>
      </c>
      <c r="Y240">
        <f t="shared" si="40"/>
        <v>8.5000000000000006E-2</v>
      </c>
      <c r="Z240">
        <f t="shared" si="41"/>
        <v>8.4033613445378144E-2</v>
      </c>
      <c r="AA240">
        <f t="shared" si="42"/>
        <v>2.357884330202669E-2</v>
      </c>
      <c r="AB240" s="3">
        <f t="shared" si="49"/>
        <v>1.92</v>
      </c>
      <c r="AC240">
        <v>34</v>
      </c>
      <c r="AD240">
        <v>7.2</v>
      </c>
      <c r="AE240">
        <v>50</v>
      </c>
      <c r="AF240" s="31">
        <v>4.0000000000000002E-4</v>
      </c>
      <c r="AG240" s="31">
        <f t="shared" si="43"/>
        <v>8.0936184000000022E-2</v>
      </c>
      <c r="AH240" s="31">
        <f t="shared" si="39"/>
        <v>2.1157535232000004</v>
      </c>
      <c r="AI240">
        <v>200</v>
      </c>
      <c r="AJ240" s="2">
        <v>2.0000000000082001E-3</v>
      </c>
      <c r="AM240">
        <f t="shared" si="44"/>
        <v>0</v>
      </c>
      <c r="AN240">
        <f t="shared" si="45"/>
        <v>0</v>
      </c>
      <c r="AO240" s="3">
        <f t="shared" si="46"/>
        <v>0</v>
      </c>
      <c r="AP240" s="3">
        <f t="shared" si="50"/>
        <v>0</v>
      </c>
    </row>
    <row r="241" spans="1:42" x14ac:dyDescent="0.25">
      <c r="A241" s="96" t="s">
        <v>70</v>
      </c>
      <c r="B241" t="s">
        <v>51</v>
      </c>
      <c r="C241">
        <v>15</v>
      </c>
      <c r="D241">
        <v>7.2</v>
      </c>
      <c r="E241">
        <v>34</v>
      </c>
      <c r="F241">
        <v>9</v>
      </c>
      <c r="G241" s="1">
        <v>45353.375694444403</v>
      </c>
      <c r="I241" s="96">
        <v>4805.7299999999996</v>
      </c>
      <c r="K241">
        <v>19.079999999999998</v>
      </c>
      <c r="L241">
        <v>90.5</v>
      </c>
      <c r="M241">
        <v>1.1499999999999999</v>
      </c>
      <c r="O241">
        <v>29.8</v>
      </c>
      <c r="P241">
        <v>3.39</v>
      </c>
      <c r="Q241" s="3">
        <v>7.29</v>
      </c>
      <c r="R241">
        <v>17</v>
      </c>
      <c r="S241">
        <v>2.41</v>
      </c>
      <c r="T241">
        <v>4.4000000000000004</v>
      </c>
      <c r="U241">
        <v>0.09</v>
      </c>
      <c r="V241">
        <v>199.86</v>
      </c>
      <c r="W241">
        <v>26.75</v>
      </c>
      <c r="X241">
        <f t="shared" si="48"/>
        <v>1.7699999999999996</v>
      </c>
      <c r="Y241">
        <f t="shared" si="40"/>
        <v>8.5000000000000006E-2</v>
      </c>
      <c r="Z241">
        <f t="shared" si="41"/>
        <v>8.5059541679175413E-2</v>
      </c>
      <c r="AA241">
        <f t="shared" si="42"/>
        <v>2.2015410787551287E-2</v>
      </c>
      <c r="AB241" s="3">
        <f t="shared" si="49"/>
        <v>2.16</v>
      </c>
      <c r="AC241">
        <v>34</v>
      </c>
      <c r="AD241">
        <v>7.2</v>
      </c>
      <c r="AE241">
        <v>50</v>
      </c>
      <c r="AF241" s="31">
        <v>4.0000000000000002E-4</v>
      </c>
      <c r="AG241" s="31">
        <f t="shared" si="43"/>
        <v>9.1519891200000009E-2</v>
      </c>
      <c r="AH241" s="31">
        <f t="shared" si="39"/>
        <v>2.2789460736000002</v>
      </c>
      <c r="AI241">
        <v>200</v>
      </c>
      <c r="AJ241" s="2">
        <v>2E-3</v>
      </c>
      <c r="AM241">
        <f t="shared" si="44"/>
        <v>0</v>
      </c>
      <c r="AN241">
        <f t="shared" si="45"/>
        <v>0</v>
      </c>
      <c r="AO241" s="3">
        <f t="shared" si="46"/>
        <v>0</v>
      </c>
      <c r="AP241" s="3">
        <f t="shared" si="50"/>
        <v>0</v>
      </c>
    </row>
    <row r="242" spans="1:42" ht="15.75" thickBot="1" x14ac:dyDescent="0.3">
      <c r="A242" s="96" t="s">
        <v>71</v>
      </c>
      <c r="B242" t="s">
        <v>51</v>
      </c>
      <c r="C242">
        <v>15</v>
      </c>
      <c r="D242">
        <v>7.2</v>
      </c>
      <c r="E242">
        <v>34</v>
      </c>
      <c r="F242">
        <v>9</v>
      </c>
      <c r="G242" s="1">
        <v>45353.379166666702</v>
      </c>
      <c r="I242" s="96">
        <v>4805.7299999999996</v>
      </c>
      <c r="K242">
        <v>16.57</v>
      </c>
      <c r="L242">
        <v>86.55</v>
      </c>
      <c r="M242">
        <v>1.23</v>
      </c>
      <c r="O242">
        <v>38.799999999999997</v>
      </c>
      <c r="P242">
        <v>2.73</v>
      </c>
      <c r="Q242" s="3">
        <v>7.31</v>
      </c>
      <c r="R242">
        <v>15.71</v>
      </c>
      <c r="S242">
        <v>2.1099999999999994</v>
      </c>
      <c r="T242">
        <v>4.7</v>
      </c>
      <c r="U242">
        <v>0.08</v>
      </c>
      <c r="V242">
        <v>200.86</v>
      </c>
      <c r="W242">
        <v>26.75</v>
      </c>
      <c r="X242">
        <f t="shared" si="48"/>
        <v>1.7699999999999996</v>
      </c>
      <c r="Y242">
        <f t="shared" si="40"/>
        <v>7.8550000000000009E-2</v>
      </c>
      <c r="Z242">
        <f t="shared" si="41"/>
        <v>7.8213681170964847E-2</v>
      </c>
      <c r="AA242">
        <f t="shared" si="42"/>
        <v>2.3399382654585282E-2</v>
      </c>
      <c r="AB242" s="3">
        <f t="shared" si="49"/>
        <v>1.92</v>
      </c>
      <c r="AC242">
        <v>34</v>
      </c>
      <c r="AD242">
        <v>7.2</v>
      </c>
      <c r="AE242">
        <v>50</v>
      </c>
      <c r="AF242" s="31">
        <v>4.0000000000000002E-4</v>
      </c>
      <c r="AG242" s="31">
        <f t="shared" si="43"/>
        <v>7.9878004799999999E-2</v>
      </c>
      <c r="AH242" s="31">
        <f t="shared" si="39"/>
        <v>2.0209981248000002</v>
      </c>
      <c r="AI242">
        <v>200</v>
      </c>
      <c r="AJ242" s="2">
        <v>6.9066046547166396E-3</v>
      </c>
      <c r="AM242">
        <f t="shared" si="44"/>
        <v>0</v>
      </c>
      <c r="AN242">
        <f t="shared" si="45"/>
        <v>0</v>
      </c>
      <c r="AO242" s="3">
        <f t="shared" si="46"/>
        <v>0</v>
      </c>
      <c r="AP242" s="3">
        <f t="shared" si="50"/>
        <v>0</v>
      </c>
    </row>
    <row r="243" spans="1:42" x14ac:dyDescent="0.25">
      <c r="A243" s="7" t="s">
        <v>45</v>
      </c>
      <c r="B243" s="8" t="s">
        <v>46</v>
      </c>
      <c r="C243" s="8">
        <v>18</v>
      </c>
      <c r="D243" s="8">
        <v>7.1</v>
      </c>
      <c r="E243" s="8">
        <v>32.999999999999993</v>
      </c>
      <c r="F243" s="8">
        <v>10</v>
      </c>
      <c r="G243" s="9">
        <v>45354.261805555601</v>
      </c>
      <c r="H243" s="93"/>
      <c r="I243" s="8">
        <v>5302.42</v>
      </c>
      <c r="J243" s="8">
        <v>5622.96</v>
      </c>
      <c r="K243" s="8">
        <v>17.12</v>
      </c>
      <c r="L243" s="8">
        <v>84.01</v>
      </c>
      <c r="M243" s="8">
        <v>1.26</v>
      </c>
      <c r="N243" s="8"/>
      <c r="O243" s="8">
        <v>30</v>
      </c>
      <c r="P243" s="8">
        <v>2.65</v>
      </c>
      <c r="Q243" s="75">
        <v>7.19</v>
      </c>
      <c r="R243" s="8">
        <v>22.01</v>
      </c>
      <c r="S243" s="8">
        <v>1.0299999999999976</v>
      </c>
      <c r="T243" s="8">
        <v>4.22</v>
      </c>
      <c r="U243" s="8">
        <v>0.04</v>
      </c>
      <c r="V243" s="8">
        <v>200.49</v>
      </c>
      <c r="W243" s="8">
        <v>44.78</v>
      </c>
      <c r="X243" s="8">
        <f t="shared" si="48"/>
        <v>3.2800000000000011</v>
      </c>
      <c r="Y243" s="8">
        <f t="shared" si="40"/>
        <v>0.11005000000000001</v>
      </c>
      <c r="Z243" s="8">
        <f t="shared" si="41"/>
        <v>0.10978103646067136</v>
      </c>
      <c r="AA243" s="8">
        <f t="shared" si="42"/>
        <v>2.1048431343209134E-2</v>
      </c>
      <c r="AB243" s="75">
        <f t="shared" si="49"/>
        <v>0.96</v>
      </c>
      <c r="AC243" s="8">
        <v>32.999999999999993</v>
      </c>
      <c r="AD243" s="8">
        <v>7.1</v>
      </c>
      <c r="AE243" s="8">
        <v>50</v>
      </c>
      <c r="AF243" s="26">
        <v>4.0000000000000002E-4</v>
      </c>
      <c r="AG243" s="26">
        <f t="shared" si="43"/>
        <v>8.2377331200000015E-2</v>
      </c>
      <c r="AH243" s="26">
        <f t="shared" ref="AH243:AH306" si="51">AG219*24</f>
        <v>2.0944168703999999</v>
      </c>
      <c r="AI243" s="8">
        <v>200</v>
      </c>
      <c r="AJ243" s="7">
        <v>2E-3</v>
      </c>
      <c r="AK243">
        <v>6.3192888523827097E-3</v>
      </c>
      <c r="AL243">
        <v>3.0560347009460399E-3</v>
      </c>
      <c r="AM243" s="8">
        <f t="shared" si="44"/>
        <v>0</v>
      </c>
      <c r="AN243" s="8">
        <f t="shared" si="45"/>
        <v>5.2789759250592067E-2</v>
      </c>
      <c r="AO243" s="75">
        <f t="shared" si="46"/>
        <v>0.61270439719267156</v>
      </c>
      <c r="AP243" s="75">
        <f t="shared" ref="AP243:AP266" si="52">IF(IF(AND(AN243=0, AM243=0),0, IF(AN243&gt;0,AN243,AM243))=0,0,IF(AND(AN243=0, AM243=0),0, IF(AN243&gt;0,AN243,AM243)))</f>
        <v>5.2789759250592067E-2</v>
      </c>
    </row>
    <row r="244" spans="1:42" x14ac:dyDescent="0.25">
      <c r="A244" s="2" t="s">
        <v>47</v>
      </c>
      <c r="B244" t="s">
        <v>46</v>
      </c>
      <c r="C244">
        <v>12</v>
      </c>
      <c r="D244">
        <v>7.3</v>
      </c>
      <c r="E244">
        <v>35</v>
      </c>
      <c r="F244">
        <v>10</v>
      </c>
      <c r="G244" s="1">
        <v>45354.266666666699</v>
      </c>
      <c r="I244" s="96">
        <v>5302.42</v>
      </c>
      <c r="J244">
        <v>5341.95</v>
      </c>
      <c r="K244">
        <v>15.75</v>
      </c>
      <c r="L244">
        <v>84.11</v>
      </c>
      <c r="M244">
        <v>0.87</v>
      </c>
      <c r="O244">
        <v>31.4</v>
      </c>
      <c r="P244">
        <v>0.93</v>
      </c>
      <c r="Q244" s="3">
        <v>7.4</v>
      </c>
      <c r="R244">
        <v>27.15</v>
      </c>
      <c r="S244">
        <v>0.83999999999999986</v>
      </c>
      <c r="T244">
        <v>1.3</v>
      </c>
      <c r="U244">
        <v>0.02</v>
      </c>
      <c r="V244">
        <v>199.59</v>
      </c>
      <c r="W244">
        <v>34.380000000000003</v>
      </c>
      <c r="X244">
        <f t="shared" si="48"/>
        <v>3.2800000000000011</v>
      </c>
      <c r="Y244">
        <f t="shared" si="40"/>
        <v>0.13574999999999998</v>
      </c>
      <c r="Z244">
        <f t="shared" si="41"/>
        <v>0.13602885916128063</v>
      </c>
      <c r="AA244">
        <f t="shared" si="42"/>
        <v>6.513352372363345E-3</v>
      </c>
      <c r="AB244" s="3">
        <f t="shared" si="49"/>
        <v>0.48</v>
      </c>
      <c r="AC244">
        <v>35</v>
      </c>
      <c r="AD244">
        <v>7.3</v>
      </c>
      <c r="AE244">
        <v>50</v>
      </c>
      <c r="AF244" s="31">
        <v>4.0000000000000002E-4</v>
      </c>
      <c r="AG244" s="31">
        <f t="shared" si="43"/>
        <v>7.5445020000000002E-2</v>
      </c>
      <c r="AH244" s="31">
        <f t="shared" si="51"/>
        <v>2.1924115200000003</v>
      </c>
      <c r="AI244">
        <v>200</v>
      </c>
      <c r="AJ244" s="2">
        <v>2E-3</v>
      </c>
      <c r="AK244">
        <v>1.4345432254478201E-2</v>
      </c>
      <c r="AL244">
        <v>8.3760707921762493E-3</v>
      </c>
      <c r="AM244">
        <f t="shared" si="44"/>
        <v>0</v>
      </c>
      <c r="AN244">
        <f t="shared" si="45"/>
        <v>0.11930020098630434</v>
      </c>
      <c r="AO244" s="3">
        <f t="shared" si="46"/>
        <v>1.6717799694104576</v>
      </c>
      <c r="AP244" s="3">
        <f t="shared" si="52"/>
        <v>0.11930020098630434</v>
      </c>
    </row>
    <row r="245" spans="1:42" x14ac:dyDescent="0.25">
      <c r="A245" s="2" t="s">
        <v>48</v>
      </c>
      <c r="B245" t="s">
        <v>49</v>
      </c>
      <c r="C245">
        <v>12</v>
      </c>
      <c r="D245">
        <v>7.2</v>
      </c>
      <c r="E245">
        <v>34</v>
      </c>
      <c r="F245">
        <v>10</v>
      </c>
      <c r="G245" s="1">
        <v>45354.271527777797</v>
      </c>
      <c r="I245" s="96">
        <v>5302.42</v>
      </c>
      <c r="J245">
        <v>4896.03</v>
      </c>
      <c r="K245">
        <v>16.61</v>
      </c>
      <c r="L245">
        <v>77.87</v>
      </c>
      <c r="M245">
        <v>0.76</v>
      </c>
      <c r="N245">
        <v>352</v>
      </c>
      <c r="O245">
        <v>42</v>
      </c>
      <c r="P245">
        <v>0.91</v>
      </c>
      <c r="Q245" s="3">
        <v>7.32</v>
      </c>
      <c r="R245">
        <v>21.22</v>
      </c>
      <c r="S245">
        <v>1.870000000000001</v>
      </c>
      <c r="T245">
        <v>8.5</v>
      </c>
      <c r="U245">
        <v>0.02</v>
      </c>
      <c r="V245">
        <v>196.14</v>
      </c>
      <c r="W245">
        <v>35.880000000000003</v>
      </c>
      <c r="X245">
        <f t="shared" si="48"/>
        <v>4.7800000000000011</v>
      </c>
      <c r="Y245">
        <f t="shared" si="40"/>
        <v>0.1061</v>
      </c>
      <c r="Z245">
        <f t="shared" si="41"/>
        <v>0.1081880289589069</v>
      </c>
      <c r="AA245">
        <f t="shared" si="42"/>
        <v>4.3336392372794942E-2</v>
      </c>
      <c r="AB245" s="3">
        <f t="shared" si="49"/>
        <v>0.48</v>
      </c>
      <c r="AC245">
        <v>34</v>
      </c>
      <c r="AD245">
        <v>7.2</v>
      </c>
      <c r="AE245">
        <v>50</v>
      </c>
      <c r="AF245" s="31">
        <v>4.0000000000000002E-4</v>
      </c>
      <c r="AG245" s="31">
        <f t="shared" si="43"/>
        <v>7.8189249599999983E-2</v>
      </c>
      <c r="AH245" s="31">
        <f t="shared" si="51"/>
        <v>2.0533734143999998</v>
      </c>
      <c r="AI245">
        <v>200</v>
      </c>
      <c r="AJ245" s="2">
        <v>4.9999999999999899E-2</v>
      </c>
      <c r="AM245">
        <f t="shared" si="44"/>
        <v>0.41666666666666585</v>
      </c>
      <c r="AN245">
        <f t="shared" si="45"/>
        <v>0</v>
      </c>
      <c r="AO245" s="3">
        <f t="shared" si="46"/>
        <v>0</v>
      </c>
      <c r="AP245" s="3">
        <f t="shared" si="52"/>
        <v>0.41666666666666585</v>
      </c>
    </row>
    <row r="246" spans="1:42" x14ac:dyDescent="0.25">
      <c r="A246" s="2" t="s">
        <v>50</v>
      </c>
      <c r="B246" t="s">
        <v>51</v>
      </c>
      <c r="C246">
        <v>18</v>
      </c>
      <c r="D246">
        <v>7.3</v>
      </c>
      <c r="E246">
        <v>35</v>
      </c>
      <c r="F246">
        <v>10</v>
      </c>
      <c r="G246" s="1">
        <v>45354.276388888902</v>
      </c>
      <c r="I246" s="96">
        <v>5302.42</v>
      </c>
      <c r="J246">
        <v>6169.74</v>
      </c>
      <c r="K246">
        <v>18.77</v>
      </c>
      <c r="L246">
        <v>83.85</v>
      </c>
      <c r="M246">
        <v>0.56000000000000005</v>
      </c>
      <c r="O246">
        <v>27</v>
      </c>
      <c r="P246">
        <v>0.81</v>
      </c>
      <c r="Q246" s="3">
        <v>7.42</v>
      </c>
      <c r="R246">
        <v>21.18</v>
      </c>
      <c r="S246">
        <v>1.990000000000002</v>
      </c>
      <c r="T246">
        <v>6.65</v>
      </c>
      <c r="U246">
        <v>0.09</v>
      </c>
      <c r="V246">
        <v>196.45</v>
      </c>
      <c r="W246">
        <v>44.6</v>
      </c>
      <c r="X246">
        <f t="shared" si="48"/>
        <v>3.2700000000000031</v>
      </c>
      <c r="Y246">
        <f t="shared" si="40"/>
        <v>0.10589999999999999</v>
      </c>
      <c r="Z246">
        <f t="shared" si="41"/>
        <v>0.10781369305166709</v>
      </c>
      <c r="AA246">
        <f t="shared" si="42"/>
        <v>3.3850852634258084E-2</v>
      </c>
      <c r="AB246" s="3">
        <f t="shared" si="49"/>
        <v>2.16</v>
      </c>
      <c r="AC246">
        <v>35</v>
      </c>
      <c r="AD246">
        <v>7.3</v>
      </c>
      <c r="AE246">
        <v>50</v>
      </c>
      <c r="AF246" s="31">
        <v>4.0000000000000002E-4</v>
      </c>
      <c r="AG246" s="31">
        <f t="shared" si="43"/>
        <v>8.8496796000000003E-2</v>
      </c>
      <c r="AH246" s="31">
        <f t="shared" si="51"/>
        <v>2.2936089599999994</v>
      </c>
      <c r="AI246">
        <v>200</v>
      </c>
      <c r="AJ246" s="2">
        <v>2E-3</v>
      </c>
      <c r="AM246">
        <f t="shared" si="44"/>
        <v>0</v>
      </c>
      <c r="AN246">
        <f t="shared" si="45"/>
        <v>0</v>
      </c>
      <c r="AO246" s="3">
        <f t="shared" si="46"/>
        <v>0</v>
      </c>
      <c r="AP246" s="3">
        <f t="shared" si="52"/>
        <v>0</v>
      </c>
    </row>
    <row r="247" spans="1:42" x14ac:dyDescent="0.25">
      <c r="A247" s="2" t="s">
        <v>52</v>
      </c>
      <c r="B247" t="s">
        <v>49</v>
      </c>
      <c r="C247">
        <v>18</v>
      </c>
      <c r="D247">
        <v>7.3</v>
      </c>
      <c r="E247">
        <v>35</v>
      </c>
      <c r="F247">
        <v>10</v>
      </c>
      <c r="G247" s="1">
        <v>45354.290972222203</v>
      </c>
      <c r="I247" s="96">
        <v>5302.42</v>
      </c>
      <c r="J247">
        <v>5562.1049999999996</v>
      </c>
      <c r="K247">
        <v>16.91</v>
      </c>
      <c r="L247">
        <v>84.29</v>
      </c>
      <c r="M247">
        <v>0.37</v>
      </c>
      <c r="N247">
        <v>338</v>
      </c>
      <c r="O247">
        <v>32.5</v>
      </c>
      <c r="P247">
        <v>0.22</v>
      </c>
      <c r="Q247" s="3">
        <v>7.41</v>
      </c>
      <c r="R247">
        <v>17.02</v>
      </c>
      <c r="S247">
        <v>0.37999999999999901</v>
      </c>
      <c r="T247">
        <v>6.31</v>
      </c>
      <c r="U247">
        <v>0.02</v>
      </c>
      <c r="V247">
        <v>193.7</v>
      </c>
      <c r="W247">
        <v>48.05</v>
      </c>
      <c r="X247">
        <f t="shared" si="48"/>
        <v>5.75</v>
      </c>
      <c r="Y247">
        <f t="shared" si="40"/>
        <v>8.5099999999999995E-2</v>
      </c>
      <c r="Z247">
        <f t="shared" si="41"/>
        <v>8.7867836861125453E-2</v>
      </c>
      <c r="AA247">
        <f t="shared" si="42"/>
        <v>3.2576148683531231E-2</v>
      </c>
      <c r="AB247" s="3">
        <f t="shared" si="49"/>
        <v>0.48</v>
      </c>
      <c r="AC247">
        <v>35</v>
      </c>
      <c r="AD247">
        <v>7.3</v>
      </c>
      <c r="AE247">
        <v>50</v>
      </c>
      <c r="AF247" s="31">
        <v>4.0000000000000002E-4</v>
      </c>
      <c r="AG247" s="31">
        <f t="shared" si="43"/>
        <v>7.8611207999999988E-2</v>
      </c>
      <c r="AH247" s="31">
        <f t="shared" si="51"/>
        <v>2.0665310975999995</v>
      </c>
      <c r="AI247">
        <v>200</v>
      </c>
      <c r="AJ247" s="2">
        <v>2E-3</v>
      </c>
      <c r="AM247">
        <f t="shared" si="44"/>
        <v>1.6666666666666666E-2</v>
      </c>
      <c r="AN247">
        <f t="shared" si="45"/>
        <v>0</v>
      </c>
      <c r="AO247" s="3">
        <f t="shared" si="46"/>
        <v>0</v>
      </c>
      <c r="AP247" s="3">
        <f t="shared" si="52"/>
        <v>1.6666666666666666E-2</v>
      </c>
    </row>
    <row r="248" spans="1:42" x14ac:dyDescent="0.25">
      <c r="A248" s="2" t="s">
        <v>53</v>
      </c>
      <c r="B248" t="s">
        <v>49</v>
      </c>
      <c r="C248">
        <v>12</v>
      </c>
      <c r="D248">
        <v>7.3</v>
      </c>
      <c r="E248">
        <v>35</v>
      </c>
      <c r="F248">
        <v>10</v>
      </c>
      <c r="G248" s="1">
        <v>45354.286111111098</v>
      </c>
      <c r="I248" s="96">
        <v>5302.42</v>
      </c>
      <c r="J248">
        <v>5128.5749999999998</v>
      </c>
      <c r="K248">
        <v>16.52</v>
      </c>
      <c r="L248">
        <v>76.09</v>
      </c>
      <c r="M248">
        <v>0.33</v>
      </c>
      <c r="N248">
        <v>357</v>
      </c>
      <c r="O248">
        <v>41.8</v>
      </c>
      <c r="P248">
        <v>0.13</v>
      </c>
      <c r="Q248" s="3">
        <v>7.42</v>
      </c>
      <c r="R248">
        <v>23.25</v>
      </c>
      <c r="S248">
        <v>1.3000000000000007</v>
      </c>
      <c r="T248">
        <v>8.9</v>
      </c>
      <c r="U248">
        <v>0.02</v>
      </c>
      <c r="V248">
        <v>195.9</v>
      </c>
      <c r="W248">
        <v>35.700000000000003</v>
      </c>
      <c r="X248">
        <f t="shared" si="48"/>
        <v>4.7700000000000031</v>
      </c>
      <c r="Y248">
        <f t="shared" si="40"/>
        <v>0.11625000000000001</v>
      </c>
      <c r="Z248">
        <f t="shared" si="41"/>
        <v>0.11868300153139356</v>
      </c>
      <c r="AA248">
        <f t="shared" si="42"/>
        <v>4.5431342521694743E-2</v>
      </c>
      <c r="AB248" s="3">
        <f t="shared" si="49"/>
        <v>0.48</v>
      </c>
      <c r="AC248">
        <v>35</v>
      </c>
      <c r="AD248">
        <v>7.3</v>
      </c>
      <c r="AE248">
        <v>50</v>
      </c>
      <c r="AF248" s="31">
        <v>4.0000000000000002E-4</v>
      </c>
      <c r="AG248" s="31">
        <f t="shared" si="43"/>
        <v>7.7670431999999998E-2</v>
      </c>
      <c r="AH248" s="31">
        <f t="shared" si="51"/>
        <v>2.2683502080000002</v>
      </c>
      <c r="AI248">
        <v>200</v>
      </c>
      <c r="AJ248" s="80">
        <v>2.69999064525995E-2</v>
      </c>
      <c r="AM248">
        <f t="shared" si="44"/>
        <v>0.22499922043832918</v>
      </c>
      <c r="AN248">
        <f t="shared" si="45"/>
        <v>0</v>
      </c>
      <c r="AO248" s="3">
        <f t="shared" si="46"/>
        <v>0</v>
      </c>
      <c r="AP248" s="81">
        <f t="shared" si="52"/>
        <v>0.22499922043832918</v>
      </c>
    </row>
    <row r="249" spans="1:42" x14ac:dyDescent="0.25">
      <c r="A249" s="2" t="s">
        <v>54</v>
      </c>
      <c r="B249" t="s">
        <v>46</v>
      </c>
      <c r="C249">
        <v>18</v>
      </c>
      <c r="D249">
        <v>7.3</v>
      </c>
      <c r="E249">
        <v>35</v>
      </c>
      <c r="F249">
        <v>10</v>
      </c>
      <c r="G249" s="1">
        <v>45354.296527777798</v>
      </c>
      <c r="I249" s="96">
        <v>5302.42</v>
      </c>
      <c r="J249">
        <v>5951.5349999999999</v>
      </c>
      <c r="K249">
        <v>20.84</v>
      </c>
      <c r="L249">
        <v>84.74</v>
      </c>
      <c r="M249">
        <v>0.64</v>
      </c>
      <c r="O249">
        <v>29.8</v>
      </c>
      <c r="P249">
        <v>0.4</v>
      </c>
      <c r="Q249" s="3">
        <v>7.41</v>
      </c>
      <c r="R249">
        <v>25.81</v>
      </c>
      <c r="S249">
        <v>0.76999999999999957</v>
      </c>
      <c r="T249">
        <v>2.86</v>
      </c>
      <c r="U249">
        <v>0.02</v>
      </c>
      <c r="V249">
        <v>201.66</v>
      </c>
      <c r="W249">
        <v>43.8</v>
      </c>
      <c r="X249">
        <f t="shared" si="48"/>
        <v>3.269999999999996</v>
      </c>
      <c r="Y249">
        <f t="shared" si="40"/>
        <v>0.12905</v>
      </c>
      <c r="Z249">
        <f t="shared" si="41"/>
        <v>0.12798770207279578</v>
      </c>
      <c r="AA249">
        <f t="shared" si="42"/>
        <v>1.4182287017752652E-2</v>
      </c>
      <c r="AB249" s="3">
        <f t="shared" si="49"/>
        <v>0.48</v>
      </c>
      <c r="AC249">
        <v>35</v>
      </c>
      <c r="AD249">
        <v>7.3</v>
      </c>
      <c r="AE249">
        <v>50</v>
      </c>
      <c r="AF249" s="31">
        <v>4.0000000000000002E-4</v>
      </c>
      <c r="AG249" s="31">
        <f t="shared" si="43"/>
        <v>0.10086226559999999</v>
      </c>
      <c r="AH249" s="31">
        <f t="shared" si="51"/>
        <v>2.5316941824000008</v>
      </c>
      <c r="AI249">
        <v>200</v>
      </c>
      <c r="AJ249" s="2">
        <v>2E-3</v>
      </c>
      <c r="AK249">
        <v>1.4345690245185099E-2</v>
      </c>
      <c r="AL249">
        <v>8.3761541501150092E-3</v>
      </c>
      <c r="AM249">
        <f t="shared" si="44"/>
        <v>0</v>
      </c>
      <c r="AN249">
        <f t="shared" si="45"/>
        <v>0.12053966228516778</v>
      </c>
      <c r="AO249" s="3">
        <f t="shared" si="46"/>
        <v>1.6891352459121927</v>
      </c>
      <c r="AP249" s="3">
        <f t="shared" si="52"/>
        <v>0.12053966228516778</v>
      </c>
    </row>
    <row r="250" spans="1:42" x14ac:dyDescent="0.25">
      <c r="A250" s="2" t="s">
        <v>55</v>
      </c>
      <c r="B250" t="s">
        <v>51</v>
      </c>
      <c r="C250">
        <v>15</v>
      </c>
      <c r="D250">
        <v>7.2</v>
      </c>
      <c r="E250">
        <v>34</v>
      </c>
      <c r="F250">
        <v>10</v>
      </c>
      <c r="G250" s="1">
        <v>45354.302083333299</v>
      </c>
      <c r="I250" s="96">
        <v>5302.42</v>
      </c>
      <c r="J250">
        <v>5132.82</v>
      </c>
      <c r="K250">
        <v>15.48</v>
      </c>
      <c r="L250">
        <v>83.39</v>
      </c>
      <c r="M250">
        <v>1.41</v>
      </c>
      <c r="O250">
        <v>33.9</v>
      </c>
      <c r="P250">
        <v>1.64</v>
      </c>
      <c r="Q250" s="3">
        <v>7.3</v>
      </c>
      <c r="R250">
        <v>18.63</v>
      </c>
      <c r="S250">
        <v>1.6500000000000021</v>
      </c>
      <c r="T250">
        <v>4.66</v>
      </c>
      <c r="U250">
        <v>7.0000000000000007E-2</v>
      </c>
      <c r="V250">
        <v>196.08</v>
      </c>
      <c r="W250">
        <v>33.58</v>
      </c>
      <c r="X250">
        <f t="shared" si="48"/>
        <v>3.2799999999999976</v>
      </c>
      <c r="Y250">
        <f t="shared" si="40"/>
        <v>9.3149999999999997E-2</v>
      </c>
      <c r="Z250">
        <f t="shared" si="41"/>
        <v>9.501223990208077E-2</v>
      </c>
      <c r="AA250">
        <f t="shared" si="42"/>
        <v>2.3765809873521011E-2</v>
      </c>
      <c r="AB250" s="3">
        <f t="shared" si="49"/>
        <v>1.6800000000000002</v>
      </c>
      <c r="AC250">
        <v>34</v>
      </c>
      <c r="AD250">
        <v>7.2</v>
      </c>
      <c r="AE250">
        <v>50</v>
      </c>
      <c r="AF250" s="31">
        <v>4.0000000000000002E-4</v>
      </c>
      <c r="AG250" s="31">
        <f t="shared" si="43"/>
        <v>7.2847641600000013E-2</v>
      </c>
      <c r="AH250" s="31">
        <f t="shared" si="51"/>
        <v>1.9203983424</v>
      </c>
      <c r="AI250">
        <v>200</v>
      </c>
      <c r="AJ250" s="2">
        <v>7.9836796061020995E-3</v>
      </c>
      <c r="AM250">
        <f t="shared" si="44"/>
        <v>0</v>
      </c>
      <c r="AN250">
        <f t="shared" si="45"/>
        <v>0</v>
      </c>
      <c r="AO250" s="3">
        <f t="shared" si="46"/>
        <v>0</v>
      </c>
      <c r="AP250" s="3">
        <f t="shared" si="52"/>
        <v>0</v>
      </c>
    </row>
    <row r="251" spans="1:42" x14ac:dyDescent="0.25">
      <c r="A251" s="2" t="s">
        <v>56</v>
      </c>
      <c r="B251" t="s">
        <v>49</v>
      </c>
      <c r="C251">
        <v>18</v>
      </c>
      <c r="D251">
        <v>7.1</v>
      </c>
      <c r="E251">
        <v>32.999999999999993</v>
      </c>
      <c r="F251">
        <v>10</v>
      </c>
      <c r="G251" s="1">
        <v>45354.306250000001</v>
      </c>
      <c r="I251" s="96">
        <v>5302.42</v>
      </c>
      <c r="J251">
        <v>4706.1899999999996</v>
      </c>
      <c r="K251">
        <v>17.190000000000001</v>
      </c>
      <c r="L251">
        <v>76.099999999999994</v>
      </c>
      <c r="M251">
        <v>1.07</v>
      </c>
      <c r="N251">
        <v>348</v>
      </c>
      <c r="O251">
        <v>43.5</v>
      </c>
      <c r="P251">
        <v>2.83</v>
      </c>
      <c r="Q251" s="3">
        <v>7.2</v>
      </c>
      <c r="R251">
        <v>15.43</v>
      </c>
      <c r="S251">
        <v>3.9800000000000004</v>
      </c>
      <c r="T251">
        <v>6.89</v>
      </c>
      <c r="U251">
        <v>0.14000000000000001</v>
      </c>
      <c r="V251">
        <v>196.31</v>
      </c>
      <c r="W251">
        <v>44.5</v>
      </c>
      <c r="X251">
        <f t="shared" si="48"/>
        <v>4.7700000000000031</v>
      </c>
      <c r="Y251">
        <f t="shared" si="40"/>
        <v>7.7149999999999996E-2</v>
      </c>
      <c r="Z251">
        <f t="shared" si="41"/>
        <v>7.8600173195456161E-2</v>
      </c>
      <c r="AA251">
        <f t="shared" si="42"/>
        <v>3.5097549793693644E-2</v>
      </c>
      <c r="AB251" s="3">
        <f t="shared" si="49"/>
        <v>3.3600000000000003</v>
      </c>
      <c r="AC251">
        <v>32.999999999999993</v>
      </c>
      <c r="AD251">
        <v>7.1</v>
      </c>
      <c r="AE251">
        <v>50</v>
      </c>
      <c r="AF251" s="31">
        <v>4.0000000000000002E-4</v>
      </c>
      <c r="AG251" s="31">
        <f t="shared" si="43"/>
        <v>8.0989653600000017E-2</v>
      </c>
      <c r="AH251" s="31">
        <f t="shared" si="51"/>
        <v>2.0216385215999999</v>
      </c>
      <c r="AI251">
        <v>200</v>
      </c>
      <c r="AJ251" s="2">
        <v>0.05</v>
      </c>
      <c r="AM251">
        <f t="shared" si="44"/>
        <v>0.41666666666666669</v>
      </c>
      <c r="AN251">
        <f t="shared" si="45"/>
        <v>0</v>
      </c>
      <c r="AO251" s="3">
        <f t="shared" si="46"/>
        <v>0</v>
      </c>
      <c r="AP251" s="3">
        <f t="shared" si="52"/>
        <v>0.41666666666666669</v>
      </c>
    </row>
    <row r="252" spans="1:42" x14ac:dyDescent="0.25">
      <c r="A252" s="2" t="s">
        <v>57</v>
      </c>
      <c r="B252" t="s">
        <v>46</v>
      </c>
      <c r="C252">
        <v>18</v>
      </c>
      <c r="D252">
        <v>7.2</v>
      </c>
      <c r="E252">
        <v>34</v>
      </c>
      <c r="F252">
        <v>10</v>
      </c>
      <c r="G252" s="1">
        <v>45354.311111111099</v>
      </c>
      <c r="I252" s="96">
        <v>5302.42</v>
      </c>
      <c r="J252">
        <v>5582.79</v>
      </c>
      <c r="K252">
        <v>18.36</v>
      </c>
      <c r="L252">
        <v>83.66</v>
      </c>
      <c r="M252">
        <v>0.75</v>
      </c>
      <c r="O252">
        <v>30.9</v>
      </c>
      <c r="P252">
        <v>0.89</v>
      </c>
      <c r="Q252" s="3">
        <v>7.3</v>
      </c>
      <c r="R252">
        <v>26.73</v>
      </c>
      <c r="S252">
        <v>0.69999999999999929</v>
      </c>
      <c r="T252">
        <v>2.0699999999999998</v>
      </c>
      <c r="U252">
        <v>0.02</v>
      </c>
      <c r="V252">
        <v>202.55</v>
      </c>
      <c r="W252">
        <v>43.8</v>
      </c>
      <c r="X252">
        <f t="shared" si="48"/>
        <v>3.269999999999996</v>
      </c>
      <c r="Y252">
        <f t="shared" si="40"/>
        <v>0.13364999999999999</v>
      </c>
      <c r="Z252">
        <f t="shared" si="41"/>
        <v>0.13196741545297458</v>
      </c>
      <c r="AA252">
        <f t="shared" si="42"/>
        <v>1.0219698839792643E-2</v>
      </c>
      <c r="AB252" s="3">
        <f t="shared" si="49"/>
        <v>0.48</v>
      </c>
      <c r="AC252">
        <v>34</v>
      </c>
      <c r="AD252">
        <v>7.2</v>
      </c>
      <c r="AE252">
        <v>50</v>
      </c>
      <c r="AF252" s="31">
        <v>4.0000000000000002E-4</v>
      </c>
      <c r="AG252" s="31">
        <f t="shared" si="43"/>
        <v>8.9251632000000011E-2</v>
      </c>
      <c r="AH252" s="31">
        <f t="shared" si="51"/>
        <v>2.1915573695999999</v>
      </c>
      <c r="AI252">
        <v>200</v>
      </c>
      <c r="AJ252" s="2">
        <v>2E-3</v>
      </c>
      <c r="AK252">
        <v>1.4346181128210201E-2</v>
      </c>
      <c r="AL252">
        <v>8.3762634427614804E-3</v>
      </c>
      <c r="AM252">
        <f t="shared" si="44"/>
        <v>0</v>
      </c>
      <c r="AN252">
        <f t="shared" si="45"/>
        <v>0.12107579114662402</v>
      </c>
      <c r="AO252" s="3">
        <f t="shared" si="46"/>
        <v>1.696612160331338</v>
      </c>
      <c r="AP252" s="3">
        <f t="shared" si="52"/>
        <v>0.12107579114662402</v>
      </c>
    </row>
    <row r="253" spans="1:42" x14ac:dyDescent="0.25">
      <c r="A253" s="2" t="s">
        <v>58</v>
      </c>
      <c r="B253" t="s">
        <v>51</v>
      </c>
      <c r="C253">
        <v>18</v>
      </c>
      <c r="D253">
        <v>7.1</v>
      </c>
      <c r="E253">
        <v>32.999999999999993</v>
      </c>
      <c r="F253">
        <v>10</v>
      </c>
      <c r="G253" s="1">
        <v>45354.315972222197</v>
      </c>
      <c r="I253" s="96">
        <v>5302.42</v>
      </c>
      <c r="J253">
        <v>5718.5249999999996</v>
      </c>
      <c r="K253">
        <v>16.440000000000001</v>
      </c>
      <c r="L253">
        <v>84.63</v>
      </c>
      <c r="M253">
        <v>0.77</v>
      </c>
      <c r="O253">
        <v>34.4</v>
      </c>
      <c r="P253">
        <v>3.39</v>
      </c>
      <c r="Q253" s="3">
        <v>7.21</v>
      </c>
      <c r="R253">
        <v>21.58</v>
      </c>
      <c r="S253">
        <v>1.9000000000000021</v>
      </c>
      <c r="T253">
        <v>4.6399999999999997</v>
      </c>
      <c r="U253">
        <v>0.08</v>
      </c>
      <c r="V253">
        <v>208.76</v>
      </c>
      <c r="W253">
        <v>43</v>
      </c>
      <c r="X253">
        <f t="shared" si="48"/>
        <v>3.2700000000000031</v>
      </c>
      <c r="Y253">
        <f t="shared" si="40"/>
        <v>0.1079</v>
      </c>
      <c r="Z253">
        <f t="shared" si="41"/>
        <v>0.10337229354282429</v>
      </c>
      <c r="AA253">
        <f t="shared" si="42"/>
        <v>2.2226480168614678E-2</v>
      </c>
      <c r="AB253" s="3">
        <f t="shared" si="49"/>
        <v>1.92</v>
      </c>
      <c r="AC253">
        <v>32.999999999999993</v>
      </c>
      <c r="AD253">
        <v>7.1</v>
      </c>
      <c r="AE253">
        <v>50</v>
      </c>
      <c r="AF253" s="31">
        <v>4.0000000000000002E-4</v>
      </c>
      <c r="AG253" s="31">
        <f t="shared" si="43"/>
        <v>8.2368345600000004E-2</v>
      </c>
      <c r="AH253" s="31">
        <f t="shared" si="51"/>
        <v>2.2628943360000005</v>
      </c>
      <c r="AI253">
        <v>200</v>
      </c>
      <c r="AJ253" s="2">
        <v>2E-3</v>
      </c>
      <c r="AM253">
        <f t="shared" si="44"/>
        <v>0</v>
      </c>
      <c r="AN253">
        <f t="shared" si="45"/>
        <v>0</v>
      </c>
      <c r="AO253" s="3">
        <f t="shared" si="46"/>
        <v>0</v>
      </c>
      <c r="AP253" s="3">
        <f t="shared" si="52"/>
        <v>0</v>
      </c>
    </row>
    <row r="254" spans="1:42" x14ac:dyDescent="0.25">
      <c r="A254" s="2" t="s">
        <v>59</v>
      </c>
      <c r="B254" t="s">
        <v>46</v>
      </c>
      <c r="C254">
        <v>15</v>
      </c>
      <c r="D254">
        <v>7.1</v>
      </c>
      <c r="E254">
        <v>32.999999999999993</v>
      </c>
      <c r="F254">
        <v>10</v>
      </c>
      <c r="G254" s="1">
        <v>45354.320833333302</v>
      </c>
      <c r="I254" s="96">
        <v>5302.42</v>
      </c>
      <c r="J254">
        <v>5017.2150000000001</v>
      </c>
      <c r="K254">
        <v>19.940000000000001</v>
      </c>
      <c r="L254">
        <v>85.97</v>
      </c>
      <c r="M254">
        <v>1.31</v>
      </c>
      <c r="O254">
        <v>31.4</v>
      </c>
      <c r="P254">
        <v>2.6</v>
      </c>
      <c r="Q254" s="3">
        <v>7.2</v>
      </c>
      <c r="R254">
        <v>25.73</v>
      </c>
      <c r="S254">
        <v>0.84999999999999787</v>
      </c>
      <c r="T254">
        <v>2.78</v>
      </c>
      <c r="U254">
        <v>0.02</v>
      </c>
      <c r="V254">
        <v>204.44</v>
      </c>
      <c r="W254">
        <v>31</v>
      </c>
      <c r="X254">
        <f t="shared" si="48"/>
        <v>3.2699999999999996</v>
      </c>
      <c r="Y254">
        <f t="shared" si="40"/>
        <v>0.12865000000000001</v>
      </c>
      <c r="Z254">
        <f t="shared" si="41"/>
        <v>0.12585599686949717</v>
      </c>
      <c r="AA254">
        <f t="shared" si="42"/>
        <v>1.3598121698297789E-2</v>
      </c>
      <c r="AB254" s="3">
        <f t="shared" si="49"/>
        <v>0.48</v>
      </c>
      <c r="AC254">
        <v>32.999999999999993</v>
      </c>
      <c r="AD254">
        <v>7.1</v>
      </c>
      <c r="AE254">
        <v>50</v>
      </c>
      <c r="AF254" s="31">
        <v>4.0000000000000002E-4</v>
      </c>
      <c r="AG254" s="31">
        <f t="shared" si="43"/>
        <v>9.7836806400000004E-2</v>
      </c>
      <c r="AH254" s="31">
        <f t="shared" si="51"/>
        <v>2.1538016640000004</v>
      </c>
      <c r="AI254">
        <v>200</v>
      </c>
      <c r="AJ254" s="2">
        <v>2E-3</v>
      </c>
      <c r="AK254">
        <v>1.24394192170933E-2</v>
      </c>
      <c r="AL254">
        <v>7.2019126138554703E-3</v>
      </c>
      <c r="AM254">
        <f t="shared" si="44"/>
        <v>0</v>
      </c>
      <c r="AN254">
        <f t="shared" si="45"/>
        <v>0.10596311936427309</v>
      </c>
      <c r="AO254" s="3">
        <f t="shared" si="46"/>
        <v>1.4723590147766124</v>
      </c>
      <c r="AP254" s="3">
        <f t="shared" si="52"/>
        <v>0.10596311936427309</v>
      </c>
    </row>
    <row r="255" spans="1:42" x14ac:dyDescent="0.25">
      <c r="A255" s="2" t="s">
        <v>60</v>
      </c>
      <c r="B255" t="s">
        <v>49</v>
      </c>
      <c r="C255">
        <v>15</v>
      </c>
      <c r="D255">
        <v>7.1</v>
      </c>
      <c r="E255">
        <v>32.999999999999993</v>
      </c>
      <c r="F255">
        <v>10</v>
      </c>
      <c r="G255" s="1">
        <v>45354.256944444402</v>
      </c>
      <c r="I255" s="96">
        <v>5302.42</v>
      </c>
      <c r="J255">
        <v>5154.4650000000001</v>
      </c>
      <c r="K255">
        <v>17.34</v>
      </c>
      <c r="L255">
        <v>78.790000000000006</v>
      </c>
      <c r="M255">
        <v>1.02</v>
      </c>
      <c r="N255">
        <v>340</v>
      </c>
      <c r="O255">
        <v>42.3</v>
      </c>
      <c r="P255">
        <v>1.96</v>
      </c>
      <c r="Q255" s="3">
        <v>7.22</v>
      </c>
      <c r="R255">
        <v>18.79</v>
      </c>
      <c r="S255">
        <v>1.3000000000000007</v>
      </c>
      <c r="T255">
        <v>6.89</v>
      </c>
      <c r="U255">
        <v>0.02</v>
      </c>
      <c r="V255">
        <v>198.07</v>
      </c>
      <c r="W255">
        <v>32.5</v>
      </c>
      <c r="X255">
        <f t="shared" si="48"/>
        <v>4.7699999999999996</v>
      </c>
      <c r="Y255">
        <f t="shared" si="40"/>
        <v>9.3949999999999992E-2</v>
      </c>
      <c r="Z255">
        <f t="shared" si="41"/>
        <v>9.4865451608017362E-2</v>
      </c>
      <c r="AA255">
        <f t="shared" si="42"/>
        <v>3.4785681829656183E-2</v>
      </c>
      <c r="AB255" s="3">
        <f t="shared" si="49"/>
        <v>0.48</v>
      </c>
      <c r="AC255">
        <v>32.999999999999993</v>
      </c>
      <c r="AD255">
        <v>7.1</v>
      </c>
      <c r="AE255">
        <v>50</v>
      </c>
      <c r="AF255" s="31">
        <v>4.0000000000000002E-4</v>
      </c>
      <c r="AG255" s="31">
        <f t="shared" si="43"/>
        <v>8.2428811200000007E-2</v>
      </c>
      <c r="AH255" s="31">
        <f t="shared" si="51"/>
        <v>2.1012526079999998</v>
      </c>
      <c r="AI255">
        <v>200</v>
      </c>
      <c r="AJ255" s="80">
        <v>3.43478403424868E-2</v>
      </c>
      <c r="AM255">
        <f t="shared" si="44"/>
        <v>0.28623200285405664</v>
      </c>
      <c r="AN255">
        <f t="shared" si="45"/>
        <v>0</v>
      </c>
      <c r="AO255" s="3">
        <f t="shared" si="46"/>
        <v>0</v>
      </c>
      <c r="AP255" s="81">
        <f t="shared" si="52"/>
        <v>0.28623200285405664</v>
      </c>
    </row>
    <row r="256" spans="1:42" x14ac:dyDescent="0.25">
      <c r="A256" s="2" t="s">
        <v>61</v>
      </c>
      <c r="B256" t="s">
        <v>46</v>
      </c>
      <c r="C256">
        <v>15</v>
      </c>
      <c r="D256">
        <v>7.3</v>
      </c>
      <c r="E256">
        <v>35</v>
      </c>
      <c r="F256">
        <v>10</v>
      </c>
      <c r="G256" s="1">
        <v>45354.3256944444</v>
      </c>
      <c r="I256" s="96">
        <v>5302.42</v>
      </c>
      <c r="J256">
        <v>5750.13</v>
      </c>
      <c r="K256">
        <v>18.100000000000001</v>
      </c>
      <c r="L256">
        <v>82.67</v>
      </c>
      <c r="M256">
        <v>0.64</v>
      </c>
      <c r="O256">
        <v>29.9</v>
      </c>
      <c r="P256">
        <v>0.31</v>
      </c>
      <c r="Q256" s="3">
        <v>7.39</v>
      </c>
      <c r="R256">
        <v>26.2</v>
      </c>
      <c r="S256">
        <v>0.62999999999999901</v>
      </c>
      <c r="T256">
        <v>1.72</v>
      </c>
      <c r="U256">
        <v>0.02</v>
      </c>
      <c r="V256">
        <v>200.17</v>
      </c>
      <c r="W256">
        <v>31.98</v>
      </c>
      <c r="X256">
        <f t="shared" si="48"/>
        <v>3.2800000000000011</v>
      </c>
      <c r="Y256">
        <f t="shared" si="40"/>
        <v>0.13100000000000001</v>
      </c>
      <c r="Z256">
        <f t="shared" si="41"/>
        <v>0.13088874456711797</v>
      </c>
      <c r="AA256">
        <f t="shared" si="42"/>
        <v>8.5926962082230104E-3</v>
      </c>
      <c r="AB256" s="3">
        <f t="shared" si="49"/>
        <v>0.48</v>
      </c>
      <c r="AC256">
        <v>35</v>
      </c>
      <c r="AD256">
        <v>7.3</v>
      </c>
      <c r="AE256">
        <v>50</v>
      </c>
      <c r="AF256" s="31">
        <v>4.0000000000000002E-4</v>
      </c>
      <c r="AG256" s="31">
        <f t="shared" si="43"/>
        <v>8.6953848E-2</v>
      </c>
      <c r="AH256" s="31">
        <f t="shared" si="51"/>
        <v>2.6136266111999999</v>
      </c>
      <c r="AI256">
        <v>200</v>
      </c>
      <c r="AJ256" s="2">
        <v>2E-3</v>
      </c>
      <c r="AK256">
        <v>5.7755299488055304E-3</v>
      </c>
      <c r="AL256">
        <v>2.71018466477649E-3</v>
      </c>
      <c r="AM256">
        <f t="shared" si="44"/>
        <v>0</v>
      </c>
      <c r="AN256">
        <f t="shared" si="45"/>
        <v>4.817032624385012E-2</v>
      </c>
      <c r="AO256" s="3">
        <f t="shared" si="46"/>
        <v>0.54249766434830993</v>
      </c>
      <c r="AP256" s="3">
        <f t="shared" si="52"/>
        <v>4.817032624385012E-2</v>
      </c>
    </row>
    <row r="257" spans="1:42" x14ac:dyDescent="0.25">
      <c r="A257" s="2" t="s">
        <v>62</v>
      </c>
      <c r="B257" s="96" t="s">
        <v>49</v>
      </c>
      <c r="C257" s="96">
        <v>18</v>
      </c>
      <c r="D257" s="96">
        <v>7.2</v>
      </c>
      <c r="E257" s="96">
        <v>34</v>
      </c>
      <c r="F257" s="96">
        <v>10</v>
      </c>
      <c r="G257" s="97">
        <v>45354.35</v>
      </c>
      <c r="I257" s="96">
        <v>5302.42</v>
      </c>
      <c r="J257" s="96">
        <v>5295.585</v>
      </c>
      <c r="K257" s="96">
        <v>16.04</v>
      </c>
      <c r="L257" s="96">
        <v>81.2</v>
      </c>
      <c r="M257" s="96">
        <v>0.38</v>
      </c>
      <c r="N257" s="96">
        <v>339</v>
      </c>
      <c r="O257" s="96">
        <v>43.4</v>
      </c>
      <c r="P257" s="96">
        <v>1.19</v>
      </c>
      <c r="Q257" s="3">
        <v>7.3</v>
      </c>
      <c r="R257" s="96">
        <v>16.02</v>
      </c>
      <c r="S257" s="96">
        <v>1.4100000000000001</v>
      </c>
      <c r="T257" s="96">
        <v>7.43</v>
      </c>
      <c r="U257" s="96">
        <v>0.03</v>
      </c>
      <c r="V257" s="96">
        <v>194.84</v>
      </c>
      <c r="W257" s="96">
        <v>46.45</v>
      </c>
      <c r="X257" s="96">
        <f t="shared" si="48"/>
        <v>5.75</v>
      </c>
      <c r="Y257" s="96">
        <f t="shared" si="40"/>
        <v>8.0100000000000005E-2</v>
      </c>
      <c r="Z257" s="96">
        <f t="shared" si="41"/>
        <v>8.2221309792650382E-2</v>
      </c>
      <c r="AA257" s="96">
        <f t="shared" si="42"/>
        <v>3.8133853418189284E-2</v>
      </c>
      <c r="AB257" s="3">
        <f t="shared" si="49"/>
        <v>0.72</v>
      </c>
      <c r="AC257" s="96">
        <v>34</v>
      </c>
      <c r="AD257" s="96">
        <v>7.2</v>
      </c>
      <c r="AE257" s="96">
        <v>50</v>
      </c>
      <c r="AF257" s="100">
        <v>4.0000000000000002E-4</v>
      </c>
      <c r="AG257" s="100">
        <f t="shared" si="43"/>
        <v>7.5005606399999994E-2</v>
      </c>
      <c r="AH257" s="100">
        <f t="shared" si="51"/>
        <v>2.2195699776</v>
      </c>
      <c r="AI257" s="96">
        <v>200</v>
      </c>
      <c r="AJ257" s="80">
        <v>4.3695504635307303E-2</v>
      </c>
      <c r="AM257" s="96">
        <f t="shared" si="44"/>
        <v>0.36412920529422754</v>
      </c>
      <c r="AN257" s="96">
        <f t="shared" si="45"/>
        <v>0</v>
      </c>
      <c r="AO257" s="3">
        <f t="shared" si="46"/>
        <v>0</v>
      </c>
      <c r="AP257" s="81">
        <f t="shared" si="52"/>
        <v>0.36412920529422754</v>
      </c>
    </row>
    <row r="258" spans="1:42" x14ac:dyDescent="0.25">
      <c r="A258" s="2" t="s">
        <v>63</v>
      </c>
      <c r="B258" t="s">
        <v>51</v>
      </c>
      <c r="C258">
        <v>12</v>
      </c>
      <c r="D258">
        <v>7.1</v>
      </c>
      <c r="E258">
        <v>32.999999999999993</v>
      </c>
      <c r="F258">
        <v>10</v>
      </c>
      <c r="G258" s="1">
        <v>45354.394444444399</v>
      </c>
      <c r="I258" s="96">
        <v>5302.42</v>
      </c>
      <c r="J258">
        <v>4813.92</v>
      </c>
      <c r="K258">
        <v>15</v>
      </c>
      <c r="L258">
        <v>87.49</v>
      </c>
      <c r="M258">
        <v>1.39</v>
      </c>
      <c r="O258">
        <v>31.5</v>
      </c>
      <c r="P258">
        <v>2.61</v>
      </c>
      <c r="Q258" s="3">
        <v>7.22</v>
      </c>
      <c r="R258">
        <v>17.43</v>
      </c>
      <c r="S258">
        <v>1.620000000000001</v>
      </c>
      <c r="T258">
        <v>3.94</v>
      </c>
      <c r="U258">
        <v>7.0000000000000007E-2</v>
      </c>
      <c r="V258">
        <v>196.49</v>
      </c>
      <c r="W258">
        <v>32.78</v>
      </c>
      <c r="X258">
        <f t="shared" si="48"/>
        <v>4.25</v>
      </c>
      <c r="Y258">
        <f t="shared" si="40"/>
        <v>8.7150000000000005E-2</v>
      </c>
      <c r="Z258">
        <f t="shared" si="41"/>
        <v>8.870680441752761E-2</v>
      </c>
      <c r="AA258">
        <f t="shared" si="42"/>
        <v>2.0051911038729706E-2</v>
      </c>
      <c r="AB258" s="3">
        <f t="shared" si="49"/>
        <v>1.6800000000000002</v>
      </c>
      <c r="AC258">
        <v>32.999999999999993</v>
      </c>
      <c r="AD258">
        <v>7.1</v>
      </c>
      <c r="AE258">
        <v>50</v>
      </c>
      <c r="AF258" s="31">
        <v>4.0000000000000002E-4</v>
      </c>
      <c r="AG258" s="31">
        <f t="shared" si="43"/>
        <v>7.0736400000000005E-2</v>
      </c>
      <c r="AH258" s="31">
        <f t="shared" si="51"/>
        <v>1.6338272256000004</v>
      </c>
      <c r="AI258">
        <v>200</v>
      </c>
      <c r="AJ258" s="2">
        <v>2E-3</v>
      </c>
      <c r="AM258">
        <f t="shared" si="44"/>
        <v>0</v>
      </c>
      <c r="AN258">
        <f t="shared" si="45"/>
        <v>0</v>
      </c>
      <c r="AO258" s="3">
        <f t="shared" si="46"/>
        <v>0</v>
      </c>
      <c r="AP258" s="3">
        <f t="shared" si="52"/>
        <v>0</v>
      </c>
    </row>
    <row r="259" spans="1:42" x14ac:dyDescent="0.25">
      <c r="A259" s="2" t="s">
        <v>64</v>
      </c>
      <c r="B259" t="s">
        <v>46</v>
      </c>
      <c r="C259">
        <v>12</v>
      </c>
      <c r="D259">
        <v>7.1</v>
      </c>
      <c r="E259">
        <v>32.999999999999993</v>
      </c>
      <c r="F259">
        <v>10</v>
      </c>
      <c r="G259" s="1">
        <v>45354.345138888901</v>
      </c>
      <c r="I259" s="96">
        <v>5302.42</v>
      </c>
      <c r="J259">
        <v>4996.2449999999999</v>
      </c>
      <c r="K259">
        <v>15.86</v>
      </c>
      <c r="L259">
        <v>83.74</v>
      </c>
      <c r="M259">
        <v>1.23</v>
      </c>
      <c r="O259">
        <v>30.2</v>
      </c>
      <c r="P259">
        <v>1.88</v>
      </c>
      <c r="Q259" s="3">
        <v>7.2</v>
      </c>
      <c r="R259">
        <v>24.98</v>
      </c>
      <c r="S259">
        <v>0.62999999999999901</v>
      </c>
      <c r="T259">
        <v>2.64</v>
      </c>
      <c r="U259">
        <v>0.02</v>
      </c>
      <c r="V259">
        <v>199.71</v>
      </c>
      <c r="W259">
        <v>31.8</v>
      </c>
      <c r="X259">
        <f t="shared" si="48"/>
        <v>3.2699999999999996</v>
      </c>
      <c r="Y259">
        <f t="shared" ref="Y259:Y314" si="53">R259/AI259</f>
        <v>0.1249</v>
      </c>
      <c r="Z259">
        <f t="shared" ref="Z259:Z314" si="54">R259/V259</f>
        <v>0.12508136798357619</v>
      </c>
      <c r="AA259">
        <f t="shared" ref="AA259:AA314" si="55">T259/V259</f>
        <v>1.3219167793300285E-2</v>
      </c>
      <c r="AB259" s="3">
        <f t="shared" si="49"/>
        <v>0.48</v>
      </c>
      <c r="AC259">
        <v>32.999999999999993</v>
      </c>
      <c r="AD259">
        <v>7.1</v>
      </c>
      <c r="AE259">
        <v>50</v>
      </c>
      <c r="AF259" s="31">
        <v>4.0000000000000002E-4</v>
      </c>
      <c r="AG259" s="31">
        <f t="shared" ref="AG259:AG314" si="56">AF259*K259*V259*0.06</f>
        <v>7.6017614399999989E-2</v>
      </c>
      <c r="AH259" s="31">
        <f t="shared" si="51"/>
        <v>2.1138508799999993</v>
      </c>
      <c r="AI259">
        <v>200</v>
      </c>
      <c r="AJ259" s="2">
        <v>2E-3</v>
      </c>
      <c r="AK259">
        <v>5.8818445749492798E-3</v>
      </c>
      <c r="AL259">
        <v>2.7787722673240501E-3</v>
      </c>
      <c r="AM259">
        <f t="shared" ref="AM259:AM290" si="57">IF(B259="Python",AJ259*AI259/24,0)</f>
        <v>0</v>
      </c>
      <c r="AN259">
        <f t="shared" ref="AN259:AN290" si="58">IF(B259="Julia",AK259*V259/24,0)</f>
        <v>4.8944299169296691E-2</v>
      </c>
      <c r="AO259" s="3">
        <f t="shared" ref="AO259:AO290" si="59">AL259*V259</f>
        <v>0.55494860950728608</v>
      </c>
      <c r="AP259" s="3">
        <f t="shared" si="52"/>
        <v>4.8944299169296691E-2</v>
      </c>
    </row>
    <row r="260" spans="1:42" x14ac:dyDescent="0.25">
      <c r="A260" s="2" t="s">
        <v>65</v>
      </c>
      <c r="B260" t="s">
        <v>49</v>
      </c>
      <c r="C260">
        <v>15</v>
      </c>
      <c r="D260">
        <v>7.3</v>
      </c>
      <c r="E260">
        <v>35</v>
      </c>
      <c r="F260">
        <v>10</v>
      </c>
      <c r="G260" s="1">
        <v>45354.399305555598</v>
      </c>
      <c r="I260" s="96">
        <v>5302.42</v>
      </c>
      <c r="J260">
        <v>5304.1350000000002</v>
      </c>
      <c r="K260">
        <v>19.07</v>
      </c>
      <c r="L260">
        <v>78.75</v>
      </c>
      <c r="M260">
        <v>0.28000000000000003</v>
      </c>
      <c r="N260">
        <v>345</v>
      </c>
      <c r="O260">
        <v>35.5</v>
      </c>
      <c r="P260">
        <v>0.41</v>
      </c>
      <c r="Q260" s="3">
        <v>7.41</v>
      </c>
      <c r="R260">
        <v>18.04</v>
      </c>
      <c r="S260">
        <v>1.0500000000000007</v>
      </c>
      <c r="T260">
        <v>9.16</v>
      </c>
      <c r="U260">
        <v>0.02</v>
      </c>
      <c r="V260">
        <v>197.18</v>
      </c>
      <c r="W260">
        <v>33.299999999999997</v>
      </c>
      <c r="X260">
        <f t="shared" si="48"/>
        <v>4.769999999999996</v>
      </c>
      <c r="Y260">
        <f t="shared" si="53"/>
        <v>9.0200000000000002E-2</v>
      </c>
      <c r="Z260">
        <f t="shared" si="54"/>
        <v>9.1490009128714869E-2</v>
      </c>
      <c r="AA260">
        <f t="shared" si="55"/>
        <v>4.6455015721675624E-2</v>
      </c>
      <c r="AB260" s="3">
        <f t="shared" si="49"/>
        <v>0.48</v>
      </c>
      <c r="AC260">
        <v>35</v>
      </c>
      <c r="AD260">
        <v>7.3</v>
      </c>
      <c r="AE260">
        <v>50</v>
      </c>
      <c r="AF260" s="31">
        <v>4.0000000000000002E-4</v>
      </c>
      <c r="AG260" s="31">
        <f t="shared" si="56"/>
        <v>9.0245342399999998E-2</v>
      </c>
      <c r="AH260" s="31">
        <f t="shared" si="51"/>
        <v>2.2735728000000002</v>
      </c>
      <c r="AI260">
        <v>200</v>
      </c>
      <c r="AJ260" s="80">
        <v>3.5126468381456201E-2</v>
      </c>
      <c r="AM260">
        <f t="shared" si="57"/>
        <v>0.29272056984546835</v>
      </c>
      <c r="AN260">
        <f t="shared" si="58"/>
        <v>0</v>
      </c>
      <c r="AO260" s="3">
        <f t="shared" si="59"/>
        <v>0</v>
      </c>
      <c r="AP260" s="3">
        <f t="shared" si="52"/>
        <v>0.29272056984546835</v>
      </c>
    </row>
    <row r="261" spans="1:42" x14ac:dyDescent="0.25">
      <c r="A261" s="2" t="s">
        <v>66</v>
      </c>
      <c r="B261" t="s">
        <v>46</v>
      </c>
      <c r="C261">
        <v>12</v>
      </c>
      <c r="D261">
        <v>7.2</v>
      </c>
      <c r="E261">
        <v>34</v>
      </c>
      <c r="F261">
        <v>10</v>
      </c>
      <c r="G261" s="1">
        <v>45354.403472222199</v>
      </c>
      <c r="I261" s="96">
        <v>5302.42</v>
      </c>
      <c r="J261">
        <v>5254.1449999999995</v>
      </c>
      <c r="K261">
        <v>18.98</v>
      </c>
      <c r="L261">
        <v>84.24</v>
      </c>
      <c r="M261">
        <v>0.77</v>
      </c>
      <c r="O261">
        <v>30</v>
      </c>
      <c r="P261">
        <v>1.42</v>
      </c>
      <c r="Q261" s="3">
        <v>7.29</v>
      </c>
      <c r="R261">
        <v>24.87</v>
      </c>
      <c r="S261">
        <v>0.43999999999999773</v>
      </c>
      <c r="T261">
        <v>2.68</v>
      </c>
      <c r="U261">
        <v>0.02</v>
      </c>
      <c r="V261">
        <v>200.83</v>
      </c>
      <c r="W261">
        <v>31.63</v>
      </c>
      <c r="X261">
        <f t="shared" si="48"/>
        <v>3.2799999999999976</v>
      </c>
      <c r="Y261">
        <f t="shared" si="53"/>
        <v>0.12435</v>
      </c>
      <c r="Z261">
        <f t="shared" si="54"/>
        <v>0.1238360802668924</v>
      </c>
      <c r="AA261">
        <f t="shared" si="55"/>
        <v>1.3344619827714984E-2</v>
      </c>
      <c r="AB261" s="3">
        <f t="shared" si="49"/>
        <v>0.48</v>
      </c>
      <c r="AC261">
        <v>34</v>
      </c>
      <c r="AD261">
        <v>7.2</v>
      </c>
      <c r="AE261">
        <v>50</v>
      </c>
      <c r="AF261" s="31">
        <v>4.0000000000000002E-4</v>
      </c>
      <c r="AG261" s="31">
        <f t="shared" si="56"/>
        <v>9.1482081600000001E-2</v>
      </c>
      <c r="AH261" s="31">
        <f t="shared" si="51"/>
        <v>2.3534292096000002</v>
      </c>
      <c r="AI261">
        <v>200</v>
      </c>
      <c r="AJ261" s="2">
        <v>2E-3</v>
      </c>
      <c r="AK261">
        <v>6.3137992980551701E-3</v>
      </c>
      <c r="AL261">
        <v>3.0542934801068402E-3</v>
      </c>
      <c r="AM261">
        <f t="shared" si="57"/>
        <v>0</v>
      </c>
      <c r="AN261">
        <f t="shared" si="58"/>
        <v>5.2833346376184163E-2</v>
      </c>
      <c r="AO261" s="3">
        <f t="shared" si="59"/>
        <v>0.61339375960985676</v>
      </c>
      <c r="AP261" s="81">
        <f t="shared" si="52"/>
        <v>5.2833346376184163E-2</v>
      </c>
    </row>
    <row r="262" spans="1:42" x14ac:dyDescent="0.25">
      <c r="A262" s="2" t="s">
        <v>67</v>
      </c>
      <c r="B262" t="s">
        <v>49</v>
      </c>
      <c r="C262">
        <v>12</v>
      </c>
      <c r="D262">
        <v>7.1</v>
      </c>
      <c r="E262">
        <v>32.999999999999993</v>
      </c>
      <c r="F262">
        <v>10</v>
      </c>
      <c r="G262" s="1">
        <v>45354.406944444403</v>
      </c>
      <c r="I262" s="96">
        <v>5302.42</v>
      </c>
      <c r="J262">
        <v>4807.1400000000003</v>
      </c>
      <c r="K262">
        <v>17.7</v>
      </c>
      <c r="L262">
        <v>80.75</v>
      </c>
      <c r="M262">
        <v>1.22</v>
      </c>
      <c r="N262">
        <v>353</v>
      </c>
      <c r="O262">
        <v>37.5</v>
      </c>
      <c r="P262">
        <v>1.47</v>
      </c>
      <c r="Q262" s="3">
        <v>7.21</v>
      </c>
      <c r="R262">
        <v>20.309999999999999</v>
      </c>
      <c r="S262">
        <v>1.2200000000000024</v>
      </c>
      <c r="T262">
        <v>8.35</v>
      </c>
      <c r="U262">
        <v>0.03</v>
      </c>
      <c r="V262">
        <v>197.61</v>
      </c>
      <c r="W262">
        <v>32.33</v>
      </c>
      <c r="X262">
        <f t="shared" si="48"/>
        <v>4.7799999999999976</v>
      </c>
      <c r="Y262">
        <f t="shared" si="53"/>
        <v>0.10154999999999999</v>
      </c>
      <c r="Z262">
        <f t="shared" si="54"/>
        <v>0.10277819948383178</v>
      </c>
      <c r="AA262">
        <f t="shared" si="55"/>
        <v>4.2254946612013559E-2</v>
      </c>
      <c r="AB262" s="3">
        <f t="shared" si="49"/>
        <v>0.72</v>
      </c>
      <c r="AC262">
        <v>32.999999999999993</v>
      </c>
      <c r="AD262">
        <v>7.1</v>
      </c>
      <c r="AE262">
        <v>50</v>
      </c>
      <c r="AF262" s="31">
        <v>4.0000000000000002E-4</v>
      </c>
      <c r="AG262" s="31">
        <f t="shared" si="56"/>
        <v>8.3944727999999996E-2</v>
      </c>
      <c r="AH262" s="31">
        <f t="shared" si="51"/>
        <v>2.0834546688</v>
      </c>
      <c r="AI262">
        <v>200</v>
      </c>
      <c r="AJ262" s="80">
        <v>4.4961624330719402E-2</v>
      </c>
      <c r="AM262">
        <f t="shared" si="57"/>
        <v>0.37468020275599501</v>
      </c>
      <c r="AN262">
        <f t="shared" si="58"/>
        <v>0</v>
      </c>
      <c r="AO262" s="3">
        <f t="shared" si="59"/>
        <v>0</v>
      </c>
      <c r="AP262" s="81">
        <f t="shared" si="52"/>
        <v>0.37468020275599501</v>
      </c>
    </row>
    <row r="263" spans="1:42" x14ac:dyDescent="0.25">
      <c r="A263" s="2" t="s">
        <v>68</v>
      </c>
      <c r="B263" t="s">
        <v>51</v>
      </c>
      <c r="C263">
        <v>12</v>
      </c>
      <c r="D263">
        <v>7.3</v>
      </c>
      <c r="E263">
        <v>35</v>
      </c>
      <c r="F263">
        <v>10</v>
      </c>
      <c r="G263" s="1">
        <v>45354.411111111098</v>
      </c>
      <c r="I263" s="96">
        <v>5302.42</v>
      </c>
      <c r="J263">
        <v>4900.420000000001</v>
      </c>
      <c r="K263">
        <v>15.93</v>
      </c>
      <c r="L263">
        <v>88.06</v>
      </c>
      <c r="M263">
        <v>0.89</v>
      </c>
      <c r="O263">
        <v>29.2</v>
      </c>
      <c r="P263">
        <v>1.32</v>
      </c>
      <c r="Q263" s="3">
        <v>7.41</v>
      </c>
      <c r="R263">
        <v>16.78</v>
      </c>
      <c r="S263">
        <v>1.7099999999999973</v>
      </c>
      <c r="T263">
        <v>6.24</v>
      </c>
      <c r="U263">
        <v>0.08</v>
      </c>
      <c r="V263">
        <v>198.07</v>
      </c>
      <c r="W263">
        <v>30.83</v>
      </c>
      <c r="X263">
        <f t="shared" si="48"/>
        <v>3.2799999999999976</v>
      </c>
      <c r="Y263">
        <f t="shared" si="53"/>
        <v>8.3900000000000002E-2</v>
      </c>
      <c r="Z263">
        <f t="shared" si="54"/>
        <v>8.471752410763872E-2</v>
      </c>
      <c r="AA263">
        <f t="shared" si="55"/>
        <v>3.1504013732518807E-2</v>
      </c>
      <c r="AB263" s="3">
        <f t="shared" si="49"/>
        <v>1.92</v>
      </c>
      <c r="AC263">
        <v>35</v>
      </c>
      <c r="AD263">
        <v>7.3</v>
      </c>
      <c r="AE263">
        <v>50</v>
      </c>
      <c r="AF263" s="31">
        <v>4.0000000000000002E-4</v>
      </c>
      <c r="AG263" s="31">
        <f t="shared" si="56"/>
        <v>7.5726122399999998E-2</v>
      </c>
      <c r="AH263" s="31">
        <f t="shared" si="51"/>
        <v>1.6990871039999997</v>
      </c>
      <c r="AI263">
        <v>200</v>
      </c>
      <c r="AJ263" s="2">
        <v>2E-3</v>
      </c>
      <c r="AM263">
        <f t="shared" si="57"/>
        <v>0</v>
      </c>
      <c r="AN263">
        <f t="shared" si="58"/>
        <v>0</v>
      </c>
      <c r="AO263" s="3">
        <f t="shared" si="59"/>
        <v>0</v>
      </c>
      <c r="AP263" s="3">
        <f t="shared" si="52"/>
        <v>0</v>
      </c>
    </row>
    <row r="264" spans="1:42" x14ac:dyDescent="0.25">
      <c r="A264" s="2" t="s">
        <v>69</v>
      </c>
      <c r="B264" t="s">
        <v>51</v>
      </c>
      <c r="C264">
        <v>15</v>
      </c>
      <c r="D264">
        <v>7.2</v>
      </c>
      <c r="E264">
        <v>34</v>
      </c>
      <c r="F264">
        <v>10</v>
      </c>
      <c r="G264" s="1">
        <v>45354.416666666701</v>
      </c>
      <c r="I264" s="96">
        <v>5302.42</v>
      </c>
      <c r="J264">
        <v>5125.17</v>
      </c>
      <c r="K264">
        <v>16.37</v>
      </c>
      <c r="L264">
        <v>87.31</v>
      </c>
      <c r="M264">
        <v>1.35</v>
      </c>
      <c r="O264">
        <v>23.8</v>
      </c>
      <c r="P264">
        <v>1.99</v>
      </c>
      <c r="Q264" s="3">
        <v>7.31</v>
      </c>
      <c r="R264">
        <v>19.13</v>
      </c>
      <c r="S264">
        <v>1.8100000000000023</v>
      </c>
      <c r="T264">
        <v>4.7699999999999996</v>
      </c>
      <c r="U264">
        <v>0.08</v>
      </c>
      <c r="V264">
        <v>201.52</v>
      </c>
      <c r="W264">
        <v>30.03</v>
      </c>
      <c r="X264">
        <f t="shared" si="48"/>
        <v>3.2800000000000011</v>
      </c>
      <c r="Y264">
        <f t="shared" si="53"/>
        <v>9.5649999999999999E-2</v>
      </c>
      <c r="Z264">
        <f t="shared" si="54"/>
        <v>9.4928543072647864E-2</v>
      </c>
      <c r="AA264">
        <f t="shared" si="55"/>
        <v>2.3670107185391025E-2</v>
      </c>
      <c r="AB264" s="3">
        <f t="shared" si="49"/>
        <v>1.92</v>
      </c>
      <c r="AC264">
        <v>34</v>
      </c>
      <c r="AD264">
        <v>7.2</v>
      </c>
      <c r="AE264">
        <v>50</v>
      </c>
      <c r="AF264" s="31">
        <v>4.0000000000000002E-4</v>
      </c>
      <c r="AG264" s="31">
        <f t="shared" si="56"/>
        <v>7.9173177600000005E-2</v>
      </c>
      <c r="AH264" s="31">
        <f t="shared" si="51"/>
        <v>1.9424684160000005</v>
      </c>
      <c r="AI264">
        <v>200</v>
      </c>
      <c r="AJ264" s="2">
        <v>2.0060089999998998E-3</v>
      </c>
      <c r="AM264">
        <f t="shared" si="57"/>
        <v>0</v>
      </c>
      <c r="AN264">
        <f t="shared" si="58"/>
        <v>0</v>
      </c>
      <c r="AO264" s="3">
        <f t="shared" si="59"/>
        <v>0</v>
      </c>
      <c r="AP264" s="3">
        <f t="shared" si="52"/>
        <v>0</v>
      </c>
    </row>
    <row r="265" spans="1:42" x14ac:dyDescent="0.25">
      <c r="A265" s="2" t="s">
        <v>70</v>
      </c>
      <c r="B265" t="s">
        <v>51</v>
      </c>
      <c r="C265">
        <v>15</v>
      </c>
      <c r="D265">
        <v>7.2</v>
      </c>
      <c r="E265">
        <v>34</v>
      </c>
      <c r="F265">
        <v>10</v>
      </c>
      <c r="G265" s="1">
        <v>45354.422916666699</v>
      </c>
      <c r="I265" s="96">
        <v>5302.42</v>
      </c>
      <c r="J265">
        <v>5431.89</v>
      </c>
      <c r="K265">
        <v>18.98</v>
      </c>
      <c r="L265">
        <v>90.08</v>
      </c>
      <c r="M265">
        <v>0.91</v>
      </c>
      <c r="O265">
        <v>25.1</v>
      </c>
      <c r="P265">
        <v>3.05</v>
      </c>
      <c r="Q265" s="3">
        <v>7.32</v>
      </c>
      <c r="R265">
        <v>19.41</v>
      </c>
      <c r="S265">
        <v>2</v>
      </c>
      <c r="T265">
        <v>4.4000000000000004</v>
      </c>
      <c r="U265">
        <v>0.09</v>
      </c>
      <c r="V265">
        <v>199.23</v>
      </c>
      <c r="W265">
        <v>30.03</v>
      </c>
      <c r="X265">
        <f t="shared" si="48"/>
        <v>3.2800000000000011</v>
      </c>
      <c r="Y265">
        <f t="shared" si="53"/>
        <v>9.7049999999999997E-2</v>
      </c>
      <c r="Z265">
        <f t="shared" si="54"/>
        <v>9.7425086583345893E-2</v>
      </c>
      <c r="AA265">
        <f t="shared" si="55"/>
        <v>2.2085027355317977E-2</v>
      </c>
      <c r="AB265" s="3">
        <f t="shared" si="49"/>
        <v>2.16</v>
      </c>
      <c r="AC265">
        <v>34</v>
      </c>
      <c r="AD265">
        <v>7.2</v>
      </c>
      <c r="AE265">
        <v>50</v>
      </c>
      <c r="AF265" s="31">
        <v>4.0000000000000002E-4</v>
      </c>
      <c r="AG265" s="31">
        <f t="shared" si="56"/>
        <v>9.0753249600000002E-2</v>
      </c>
      <c r="AH265" s="31">
        <f t="shared" si="51"/>
        <v>2.1964773888</v>
      </c>
      <c r="AI265">
        <v>200</v>
      </c>
      <c r="AJ265" s="2">
        <v>2E-3</v>
      </c>
      <c r="AM265">
        <f t="shared" si="57"/>
        <v>0</v>
      </c>
      <c r="AN265">
        <f t="shared" si="58"/>
        <v>0</v>
      </c>
      <c r="AO265" s="3">
        <f t="shared" si="59"/>
        <v>0</v>
      </c>
      <c r="AP265" s="3">
        <f t="shared" si="52"/>
        <v>0</v>
      </c>
    </row>
    <row r="266" spans="1:42" ht="15.75" thickBot="1" x14ac:dyDescent="0.3">
      <c r="A266" s="12" t="s">
        <v>71</v>
      </c>
      <c r="B266" s="13" t="s">
        <v>51</v>
      </c>
      <c r="C266" s="13">
        <v>15</v>
      </c>
      <c r="D266" s="13">
        <v>7.2</v>
      </c>
      <c r="E266" s="13">
        <v>34</v>
      </c>
      <c r="F266" s="13">
        <v>10</v>
      </c>
      <c r="G266" s="14">
        <v>45354.426388888904</v>
      </c>
      <c r="H266" s="95"/>
      <c r="I266" s="13">
        <v>5302.42</v>
      </c>
      <c r="J266" s="13">
        <v>5166.96</v>
      </c>
      <c r="K266" s="13">
        <v>17.100000000000001</v>
      </c>
      <c r="L266" s="13">
        <v>86.7</v>
      </c>
      <c r="M266" s="13">
        <v>1.1499999999999999</v>
      </c>
      <c r="N266" s="13"/>
      <c r="O266" s="13">
        <v>27.7</v>
      </c>
      <c r="P266" s="13">
        <v>2.5499999999999998</v>
      </c>
      <c r="Q266" s="77">
        <v>7.3</v>
      </c>
      <c r="R266" s="13">
        <v>17.82</v>
      </c>
      <c r="S266" s="13">
        <v>1.870000000000001</v>
      </c>
      <c r="T266" s="13">
        <v>4.7</v>
      </c>
      <c r="U266" s="13">
        <v>0.08</v>
      </c>
      <c r="V266" s="13">
        <v>200.35</v>
      </c>
      <c r="W266" s="13">
        <v>30.03</v>
      </c>
      <c r="X266" s="13">
        <f t="shared" si="48"/>
        <v>3.2800000000000011</v>
      </c>
      <c r="Y266" s="13">
        <f t="shared" si="53"/>
        <v>8.9099999999999999E-2</v>
      </c>
      <c r="Z266" s="13">
        <f t="shared" si="54"/>
        <v>8.8944347392063888E-2</v>
      </c>
      <c r="AA266" s="13">
        <f t="shared" si="55"/>
        <v>2.3458946843024707E-2</v>
      </c>
      <c r="AB266" s="77">
        <f t="shared" si="49"/>
        <v>1.92</v>
      </c>
      <c r="AC266" s="13">
        <v>34</v>
      </c>
      <c r="AD266" s="13">
        <v>7.2</v>
      </c>
      <c r="AE266" s="13">
        <v>50</v>
      </c>
      <c r="AF266" s="36">
        <v>4.0000000000000002E-4</v>
      </c>
      <c r="AG266" s="36">
        <f t="shared" si="56"/>
        <v>8.2223640000000001E-2</v>
      </c>
      <c r="AH266" s="36">
        <f t="shared" si="51"/>
        <v>1.9170721151999999</v>
      </c>
      <c r="AI266" s="13">
        <v>200</v>
      </c>
      <c r="AJ266" s="12">
        <v>2E-3</v>
      </c>
      <c r="AK266" s="13"/>
      <c r="AL266" s="13"/>
      <c r="AM266" s="13">
        <f t="shared" si="57"/>
        <v>0</v>
      </c>
      <c r="AN266" s="13">
        <f t="shared" si="58"/>
        <v>0</v>
      </c>
      <c r="AO266" s="77">
        <f t="shared" si="59"/>
        <v>0</v>
      </c>
      <c r="AP266" s="77">
        <f t="shared" si="52"/>
        <v>0</v>
      </c>
    </row>
    <row r="267" spans="1:42" x14ac:dyDescent="0.25">
      <c r="A267" s="7" t="s">
        <v>45</v>
      </c>
      <c r="B267" s="8" t="s">
        <v>46</v>
      </c>
      <c r="C267" s="8">
        <v>18</v>
      </c>
      <c r="D267" s="8">
        <v>7.1</v>
      </c>
      <c r="E267" s="8">
        <v>32.999999999999993</v>
      </c>
      <c r="F267" s="8">
        <v>11</v>
      </c>
      <c r="G267" s="1">
        <v>45355.261805555601</v>
      </c>
      <c r="I267" s="96">
        <v>5791.69</v>
      </c>
      <c r="J267">
        <v>5868.5149999999994</v>
      </c>
      <c r="K267">
        <v>17.920000000000002</v>
      </c>
      <c r="L267">
        <v>82.89</v>
      </c>
      <c r="M267">
        <v>0.53</v>
      </c>
      <c r="O267">
        <v>30.3</v>
      </c>
      <c r="P267">
        <v>1.41</v>
      </c>
      <c r="Q267" s="3">
        <v>7.34</v>
      </c>
      <c r="R267">
        <v>23.04</v>
      </c>
      <c r="S267">
        <v>1.4200000000000017</v>
      </c>
      <c r="T267">
        <v>4.83</v>
      </c>
      <c r="U267">
        <v>0.05</v>
      </c>
      <c r="V267">
        <v>198.97</v>
      </c>
      <c r="W267">
        <v>48.05</v>
      </c>
      <c r="X267">
        <f t="shared" si="48"/>
        <v>3.269999999999996</v>
      </c>
      <c r="Y267">
        <f t="shared" si="53"/>
        <v>0.1152</v>
      </c>
      <c r="Z267">
        <f t="shared" si="54"/>
        <v>0.11579635120872493</v>
      </c>
      <c r="AA267">
        <f t="shared" si="55"/>
        <v>2.4275016334120721E-2</v>
      </c>
      <c r="AB267" s="3">
        <f t="shared" si="49"/>
        <v>1.2000000000000002</v>
      </c>
      <c r="AC267">
        <v>34</v>
      </c>
      <c r="AD267">
        <v>7.2</v>
      </c>
      <c r="AE267">
        <v>50</v>
      </c>
      <c r="AF267" s="31">
        <v>4.0000000000000002E-4</v>
      </c>
      <c r="AG267" s="31">
        <f t="shared" si="56"/>
        <v>8.5573017599999995E-2</v>
      </c>
      <c r="AH267" s="31">
        <f t="shared" si="51"/>
        <v>1.9770559488000004</v>
      </c>
      <c r="AI267">
        <v>200</v>
      </c>
      <c r="AM267">
        <f t="shared" si="57"/>
        <v>0</v>
      </c>
      <c r="AN267">
        <f t="shared" si="58"/>
        <v>0</v>
      </c>
      <c r="AO267" s="3">
        <f t="shared" si="59"/>
        <v>0</v>
      </c>
      <c r="AP267" s="3">
        <f t="shared" ref="AP267:AP290" si="60">IF(IF(AND(AN267=0, AM267=0),0, IF(AN267&gt;0,AN267,AM267))=0,0,IF(AND(AN267=0, AM267=0),0, IF(AN267&gt;0,AN267,AM267)))</f>
        <v>0</v>
      </c>
    </row>
    <row r="268" spans="1:42" x14ac:dyDescent="0.25">
      <c r="A268" s="2" t="s">
        <v>47</v>
      </c>
      <c r="B268" s="96" t="s">
        <v>46</v>
      </c>
      <c r="C268" s="96">
        <v>12</v>
      </c>
      <c r="D268" s="96">
        <v>7.3</v>
      </c>
      <c r="E268" s="96">
        <v>35</v>
      </c>
      <c r="F268" s="96">
        <v>11</v>
      </c>
      <c r="G268" s="97">
        <v>45355.266666666699</v>
      </c>
      <c r="I268" s="96">
        <v>5791.69</v>
      </c>
      <c r="J268" s="96">
        <v>5586.4449999999997</v>
      </c>
      <c r="K268" s="96">
        <v>17.72</v>
      </c>
      <c r="L268" s="96">
        <v>81.28</v>
      </c>
      <c r="M268" s="96">
        <v>0.86</v>
      </c>
      <c r="N268" s="96"/>
      <c r="O268" s="96">
        <v>30</v>
      </c>
      <c r="P268" s="96">
        <v>0</v>
      </c>
      <c r="Q268" s="3">
        <v>7.32</v>
      </c>
      <c r="R268" s="96">
        <v>27.99</v>
      </c>
      <c r="S268" s="96">
        <v>3.1700000000000017</v>
      </c>
      <c r="T268" s="96">
        <v>2.97</v>
      </c>
      <c r="U268" s="96">
        <v>0.12</v>
      </c>
      <c r="V268" s="96">
        <v>199.99</v>
      </c>
      <c r="W268" s="96">
        <v>37.65</v>
      </c>
      <c r="X268" s="96">
        <f t="shared" si="48"/>
        <v>3.269999999999996</v>
      </c>
      <c r="Y268" s="96">
        <f t="shared" si="53"/>
        <v>0.13994999999999999</v>
      </c>
      <c r="Z268" s="96">
        <f t="shared" si="54"/>
        <v>0.13995699784989249</v>
      </c>
      <c r="AA268" s="96">
        <f t="shared" si="55"/>
        <v>1.4850742537126857E-2</v>
      </c>
      <c r="AB268" s="3">
        <f t="shared" si="49"/>
        <v>2.88</v>
      </c>
      <c r="AC268" s="96">
        <v>34</v>
      </c>
      <c r="AD268" s="96">
        <v>7.2</v>
      </c>
      <c r="AE268" s="96">
        <v>50</v>
      </c>
      <c r="AF268" s="100">
        <v>4.0000000000000002E-4</v>
      </c>
      <c r="AG268" s="100">
        <f t="shared" si="56"/>
        <v>8.50517472E-2</v>
      </c>
      <c r="AH268" s="100">
        <f t="shared" si="51"/>
        <v>1.81068048</v>
      </c>
      <c r="AI268" s="96">
        <v>200</v>
      </c>
      <c r="AK268" s="96"/>
      <c r="AL268" s="96"/>
      <c r="AM268" s="96">
        <f t="shared" si="57"/>
        <v>0</v>
      </c>
      <c r="AN268" s="96">
        <f t="shared" si="58"/>
        <v>0</v>
      </c>
      <c r="AO268" s="3">
        <f t="shared" si="59"/>
        <v>0</v>
      </c>
      <c r="AP268" s="3">
        <f t="shared" si="60"/>
        <v>0</v>
      </c>
    </row>
    <row r="269" spans="1:42" x14ac:dyDescent="0.25">
      <c r="A269" s="2" t="s">
        <v>48</v>
      </c>
      <c r="B269" t="s">
        <v>49</v>
      </c>
      <c r="C269">
        <v>12</v>
      </c>
      <c r="D269">
        <v>7.2</v>
      </c>
      <c r="E269">
        <v>34</v>
      </c>
      <c r="F269">
        <v>11</v>
      </c>
      <c r="G269" s="1">
        <v>45355.271527777797</v>
      </c>
      <c r="I269" s="96">
        <v>5791.69</v>
      </c>
      <c r="J269">
        <v>5142.7399999999989</v>
      </c>
      <c r="K269">
        <v>18.399999999999999</v>
      </c>
      <c r="L269">
        <v>73.849999999999994</v>
      </c>
      <c r="M269">
        <v>0.48</v>
      </c>
      <c r="O269">
        <v>42.1</v>
      </c>
      <c r="P269">
        <v>1.1599999999999999</v>
      </c>
      <c r="Q269" s="3">
        <v>7.31</v>
      </c>
      <c r="R269">
        <v>23.09</v>
      </c>
      <c r="S269">
        <v>11.169999999999998</v>
      </c>
      <c r="T269">
        <v>9.4</v>
      </c>
      <c r="U269">
        <v>0.42</v>
      </c>
      <c r="V269">
        <v>196.06</v>
      </c>
      <c r="W269">
        <v>39.15</v>
      </c>
      <c r="X269">
        <f t="shared" si="48"/>
        <v>3.269999999999996</v>
      </c>
      <c r="Y269">
        <f t="shared" si="53"/>
        <v>0.11545</v>
      </c>
      <c r="Z269">
        <f t="shared" si="54"/>
        <v>0.11777007038661634</v>
      </c>
      <c r="AA269">
        <f t="shared" si="55"/>
        <v>4.7944506783637666E-2</v>
      </c>
      <c r="AB269" s="3">
        <f t="shared" si="49"/>
        <v>10.08</v>
      </c>
      <c r="AC269">
        <v>34</v>
      </c>
      <c r="AD269">
        <v>7.2</v>
      </c>
      <c r="AE269">
        <v>50</v>
      </c>
      <c r="AF269" s="31">
        <v>4.0000000000000002E-4</v>
      </c>
      <c r="AG269" s="31">
        <f t="shared" si="56"/>
        <v>8.6580095999999995E-2</v>
      </c>
      <c r="AH269" s="31">
        <f t="shared" si="51"/>
        <v>1.8765419903999996</v>
      </c>
      <c r="AI269">
        <v>200</v>
      </c>
      <c r="AM269">
        <f t="shared" si="57"/>
        <v>0</v>
      </c>
      <c r="AN269">
        <f t="shared" si="58"/>
        <v>0</v>
      </c>
      <c r="AO269" s="3">
        <f t="shared" si="59"/>
        <v>0</v>
      </c>
      <c r="AP269" s="3">
        <f t="shared" si="60"/>
        <v>0</v>
      </c>
    </row>
    <row r="270" spans="1:42" x14ac:dyDescent="0.25">
      <c r="A270" s="2" t="s">
        <v>50</v>
      </c>
      <c r="B270" t="s">
        <v>51</v>
      </c>
      <c r="C270">
        <v>18</v>
      </c>
      <c r="D270">
        <v>7.3</v>
      </c>
      <c r="E270">
        <v>35</v>
      </c>
      <c r="F270">
        <v>11</v>
      </c>
      <c r="G270" s="1">
        <v>45355.277083333298</v>
      </c>
      <c r="I270" s="96">
        <v>5791.69</v>
      </c>
      <c r="J270">
        <v>6625.665</v>
      </c>
      <c r="K270">
        <v>17.28</v>
      </c>
      <c r="L270">
        <v>81.7</v>
      </c>
      <c r="M270">
        <v>0.65</v>
      </c>
      <c r="O270">
        <v>21.1</v>
      </c>
      <c r="P270">
        <v>2.2599999999999998</v>
      </c>
      <c r="Q270" s="3">
        <v>7.3</v>
      </c>
      <c r="R270">
        <v>23.17</v>
      </c>
      <c r="S270">
        <v>2.09</v>
      </c>
      <c r="T270">
        <v>6.65</v>
      </c>
      <c r="U270">
        <v>0.08</v>
      </c>
      <c r="V270">
        <v>195.22</v>
      </c>
      <c r="W270">
        <v>47.88</v>
      </c>
      <c r="X270">
        <f t="shared" si="48"/>
        <v>3.2800000000000011</v>
      </c>
      <c r="Y270">
        <f t="shared" si="53"/>
        <v>0.11585000000000001</v>
      </c>
      <c r="Z270">
        <f t="shared" si="54"/>
        <v>0.11868660997848582</v>
      </c>
      <c r="AA270">
        <f t="shared" si="55"/>
        <v>3.4064132773281429E-2</v>
      </c>
      <c r="AB270" s="3">
        <f t="shared" si="49"/>
        <v>1.92</v>
      </c>
      <c r="AC270">
        <v>34</v>
      </c>
      <c r="AD270">
        <v>7.2</v>
      </c>
      <c r="AE270">
        <v>50</v>
      </c>
      <c r="AF270" s="31">
        <v>4.0000000000000002E-4</v>
      </c>
      <c r="AG270" s="31">
        <f t="shared" si="56"/>
        <v>8.0961638399999994E-2</v>
      </c>
      <c r="AH270" s="31">
        <f t="shared" si="51"/>
        <v>2.1239231040000002</v>
      </c>
      <c r="AI270">
        <v>200</v>
      </c>
      <c r="AM270">
        <f t="shared" si="57"/>
        <v>0</v>
      </c>
      <c r="AN270">
        <f t="shared" si="58"/>
        <v>0</v>
      </c>
      <c r="AO270" s="3">
        <f t="shared" si="59"/>
        <v>0</v>
      </c>
      <c r="AP270" s="3">
        <f t="shared" si="60"/>
        <v>0</v>
      </c>
    </row>
    <row r="271" spans="1:42" x14ac:dyDescent="0.25">
      <c r="A271" s="2" t="s">
        <v>52</v>
      </c>
      <c r="B271" t="s">
        <v>49</v>
      </c>
      <c r="C271">
        <v>18</v>
      </c>
      <c r="D271">
        <v>7.3</v>
      </c>
      <c r="E271">
        <v>35</v>
      </c>
      <c r="F271">
        <v>11</v>
      </c>
      <c r="G271" s="1">
        <v>45355.281944444403</v>
      </c>
      <c r="I271" s="96">
        <v>5791.69</v>
      </c>
      <c r="J271">
        <v>5769.87</v>
      </c>
      <c r="K271">
        <v>17.91</v>
      </c>
      <c r="L271">
        <v>81.47</v>
      </c>
      <c r="M271">
        <v>0.2</v>
      </c>
      <c r="O271">
        <v>36.299999999999997</v>
      </c>
      <c r="P271">
        <v>0.41</v>
      </c>
      <c r="Q271" s="3">
        <v>7.28</v>
      </c>
      <c r="R271">
        <v>17.399999999999999</v>
      </c>
      <c r="S271">
        <v>0.45000000000000284</v>
      </c>
      <c r="T271">
        <v>7.57</v>
      </c>
      <c r="U271">
        <v>0.02</v>
      </c>
      <c r="V271">
        <v>192.02</v>
      </c>
      <c r="W271">
        <v>51.33</v>
      </c>
      <c r="X271">
        <f t="shared" si="48"/>
        <v>3.2800000000000011</v>
      </c>
      <c r="Y271">
        <f t="shared" si="53"/>
        <v>8.6999999999999994E-2</v>
      </c>
      <c r="Z271">
        <f t="shared" si="54"/>
        <v>9.0615560879075088E-2</v>
      </c>
      <c r="AA271">
        <f t="shared" si="55"/>
        <v>3.9422976773252787E-2</v>
      </c>
      <c r="AB271" s="3">
        <f t="shared" si="49"/>
        <v>0.48</v>
      </c>
      <c r="AC271">
        <v>34</v>
      </c>
      <c r="AD271">
        <v>7.2</v>
      </c>
      <c r="AE271">
        <v>50</v>
      </c>
      <c r="AF271" s="31">
        <v>4.0000000000000002E-4</v>
      </c>
      <c r="AG271" s="31">
        <f t="shared" si="56"/>
        <v>8.2537876800000007E-2</v>
      </c>
      <c r="AH271" s="31">
        <f t="shared" si="51"/>
        <v>1.8866689919999997</v>
      </c>
      <c r="AI271">
        <v>200</v>
      </c>
      <c r="AM271">
        <f t="shared" si="57"/>
        <v>0</v>
      </c>
      <c r="AN271">
        <f t="shared" si="58"/>
        <v>0</v>
      </c>
      <c r="AO271" s="3">
        <f t="shared" si="59"/>
        <v>0</v>
      </c>
      <c r="AP271" s="3">
        <f t="shared" si="60"/>
        <v>0</v>
      </c>
    </row>
    <row r="272" spans="1:42" x14ac:dyDescent="0.25">
      <c r="A272" s="2" t="s">
        <v>53</v>
      </c>
      <c r="B272" t="s">
        <v>49</v>
      </c>
      <c r="C272">
        <v>12</v>
      </c>
      <c r="D272">
        <v>7.3</v>
      </c>
      <c r="E272">
        <v>35</v>
      </c>
      <c r="F272">
        <v>11</v>
      </c>
      <c r="G272" s="1">
        <v>45355.286805555603</v>
      </c>
      <c r="I272" s="96">
        <v>5791.69</v>
      </c>
      <c r="J272">
        <v>5432.3249999999998</v>
      </c>
      <c r="K272">
        <v>15.3</v>
      </c>
      <c r="L272">
        <v>70.69</v>
      </c>
      <c r="M272">
        <v>0.42</v>
      </c>
      <c r="O272">
        <v>39.700000000000003</v>
      </c>
      <c r="P272">
        <v>1.1000000000000001</v>
      </c>
      <c r="Q272" s="3">
        <v>7.31</v>
      </c>
      <c r="R272">
        <v>24.55</v>
      </c>
      <c r="S272">
        <v>6.009999999999998</v>
      </c>
      <c r="T272">
        <v>9.83</v>
      </c>
      <c r="U272">
        <v>0.28999999999999998</v>
      </c>
      <c r="V272">
        <v>195.33</v>
      </c>
      <c r="W272">
        <v>38.979999999999997</v>
      </c>
      <c r="X272">
        <f t="shared" si="48"/>
        <v>3.279999999999994</v>
      </c>
      <c r="Y272">
        <f t="shared" si="53"/>
        <v>0.12275</v>
      </c>
      <c r="Z272">
        <f t="shared" si="54"/>
        <v>0.12568473864741719</v>
      </c>
      <c r="AA272">
        <f t="shared" si="55"/>
        <v>5.032509087185788E-2</v>
      </c>
      <c r="AB272" s="3">
        <f t="shared" si="49"/>
        <v>6.9599999999999991</v>
      </c>
      <c r="AC272">
        <v>34</v>
      </c>
      <c r="AD272">
        <v>7.2</v>
      </c>
      <c r="AE272">
        <v>50</v>
      </c>
      <c r="AF272" s="31">
        <v>4.0000000000000002E-4</v>
      </c>
      <c r="AG272" s="31">
        <f t="shared" si="56"/>
        <v>7.1725176000000002E-2</v>
      </c>
      <c r="AH272" s="31">
        <f t="shared" si="51"/>
        <v>1.8640903679999998</v>
      </c>
      <c r="AI272">
        <v>200</v>
      </c>
      <c r="AM272">
        <f t="shared" si="57"/>
        <v>0</v>
      </c>
      <c r="AN272">
        <f t="shared" si="58"/>
        <v>0</v>
      </c>
      <c r="AO272" s="3">
        <f t="shared" si="59"/>
        <v>0</v>
      </c>
      <c r="AP272" s="3">
        <f t="shared" si="60"/>
        <v>0</v>
      </c>
    </row>
    <row r="273" spans="1:42" x14ac:dyDescent="0.25">
      <c r="A273" s="2" t="s">
        <v>54</v>
      </c>
      <c r="B273" t="s">
        <v>46</v>
      </c>
      <c r="C273">
        <v>18</v>
      </c>
      <c r="D273">
        <v>7.3</v>
      </c>
      <c r="E273">
        <v>35</v>
      </c>
      <c r="F273">
        <v>11</v>
      </c>
      <c r="G273" s="1">
        <v>45355.292361111096</v>
      </c>
      <c r="I273" s="96">
        <v>5791.69</v>
      </c>
      <c r="J273">
        <v>6253.95</v>
      </c>
      <c r="K273">
        <v>16.739999999999998</v>
      </c>
      <c r="L273">
        <v>78.69</v>
      </c>
      <c r="M273">
        <v>0.55000000000000004</v>
      </c>
      <c r="O273">
        <v>27.2</v>
      </c>
      <c r="P273">
        <v>0.04</v>
      </c>
      <c r="Q273" s="3">
        <v>7.32</v>
      </c>
      <c r="R273">
        <v>26.58</v>
      </c>
      <c r="S273">
        <v>3.2100000000000009</v>
      </c>
      <c r="T273">
        <v>4.54</v>
      </c>
      <c r="U273">
        <v>0.12</v>
      </c>
      <c r="V273">
        <v>202.27</v>
      </c>
      <c r="W273">
        <v>47.08</v>
      </c>
      <c r="X273">
        <f t="shared" si="48"/>
        <v>3.2800000000000011</v>
      </c>
      <c r="Y273">
        <f t="shared" si="53"/>
        <v>0.13289999999999999</v>
      </c>
      <c r="Z273">
        <f t="shared" si="54"/>
        <v>0.13140851337321399</v>
      </c>
      <c r="AA273">
        <f t="shared" si="55"/>
        <v>2.244524645276116E-2</v>
      </c>
      <c r="AB273" s="3">
        <f t="shared" si="49"/>
        <v>2.88</v>
      </c>
      <c r="AC273">
        <v>34</v>
      </c>
      <c r="AD273">
        <v>7.2</v>
      </c>
      <c r="AE273">
        <v>50</v>
      </c>
      <c r="AF273" s="31">
        <v>4.0000000000000002E-4</v>
      </c>
      <c r="AG273" s="31">
        <f t="shared" si="56"/>
        <v>8.1263995200000008E-2</v>
      </c>
      <c r="AH273" s="31">
        <f t="shared" si="51"/>
        <v>2.4206943743999996</v>
      </c>
      <c r="AI273">
        <v>200</v>
      </c>
      <c r="AM273">
        <f t="shared" si="57"/>
        <v>0</v>
      </c>
      <c r="AN273">
        <f t="shared" si="58"/>
        <v>0</v>
      </c>
      <c r="AO273" s="3">
        <f t="shared" si="59"/>
        <v>0</v>
      </c>
      <c r="AP273" s="3">
        <f t="shared" si="60"/>
        <v>0</v>
      </c>
    </row>
    <row r="274" spans="1:42" x14ac:dyDescent="0.25">
      <c r="A274" s="2" t="s">
        <v>55</v>
      </c>
      <c r="B274" t="s">
        <v>51</v>
      </c>
      <c r="C274">
        <v>15</v>
      </c>
      <c r="D274">
        <v>7.2</v>
      </c>
      <c r="E274">
        <v>34</v>
      </c>
      <c r="F274">
        <v>11</v>
      </c>
      <c r="G274" s="1">
        <v>45355.297222222202</v>
      </c>
      <c r="I274" s="96">
        <v>5791.69</v>
      </c>
      <c r="J274">
        <v>5587.875</v>
      </c>
      <c r="K274">
        <v>14.92</v>
      </c>
      <c r="L274">
        <v>83.11</v>
      </c>
      <c r="M274">
        <v>1</v>
      </c>
      <c r="O274">
        <v>34.299999999999997</v>
      </c>
      <c r="P274">
        <v>1.1299999999999999</v>
      </c>
      <c r="Q274" s="3">
        <v>7.33</v>
      </c>
      <c r="R274">
        <v>20.28</v>
      </c>
      <c r="S274">
        <v>1.8599999999999994</v>
      </c>
      <c r="T274">
        <v>5.58</v>
      </c>
      <c r="U274">
        <v>7.0000000000000007E-2</v>
      </c>
      <c r="V274">
        <v>196.05</v>
      </c>
      <c r="W274">
        <v>36.85</v>
      </c>
      <c r="X274">
        <f t="shared" si="48"/>
        <v>3.2700000000000031</v>
      </c>
      <c r="Y274">
        <f t="shared" si="53"/>
        <v>0.1014</v>
      </c>
      <c r="Z274">
        <f t="shared" si="54"/>
        <v>0.10344299923488906</v>
      </c>
      <c r="AA274">
        <f t="shared" si="55"/>
        <v>2.8462127008416219E-2</v>
      </c>
      <c r="AB274" s="3">
        <f t="shared" si="49"/>
        <v>1.6800000000000002</v>
      </c>
      <c r="AC274">
        <v>34</v>
      </c>
      <c r="AD274">
        <v>7.2</v>
      </c>
      <c r="AE274">
        <v>50</v>
      </c>
      <c r="AF274" s="31">
        <v>4.0000000000000002E-4</v>
      </c>
      <c r="AG274" s="31">
        <f t="shared" si="56"/>
        <v>7.0201583999999997E-2</v>
      </c>
      <c r="AH274" s="31">
        <f t="shared" si="51"/>
        <v>1.7483433984000003</v>
      </c>
      <c r="AI274">
        <v>200</v>
      </c>
      <c r="AM274">
        <f t="shared" si="57"/>
        <v>0</v>
      </c>
      <c r="AN274">
        <f t="shared" si="58"/>
        <v>0</v>
      </c>
      <c r="AO274" s="3">
        <f t="shared" si="59"/>
        <v>0</v>
      </c>
      <c r="AP274" s="3">
        <f t="shared" si="60"/>
        <v>0</v>
      </c>
    </row>
    <row r="275" spans="1:42" x14ac:dyDescent="0.25">
      <c r="A275" s="2" t="s">
        <v>56</v>
      </c>
      <c r="B275" t="s">
        <v>49</v>
      </c>
      <c r="C275">
        <v>18</v>
      </c>
      <c r="D275">
        <v>7.1</v>
      </c>
      <c r="E275">
        <v>32.999999999999993</v>
      </c>
      <c r="F275">
        <v>11</v>
      </c>
      <c r="G275" s="1">
        <v>45355.302777777797</v>
      </c>
      <c r="I275" s="96">
        <v>5791.69</v>
      </c>
      <c r="J275">
        <v>5139.3149999999996</v>
      </c>
      <c r="K275">
        <v>14.92</v>
      </c>
      <c r="L275">
        <v>73.989999999999995</v>
      </c>
      <c r="M275">
        <v>0.91</v>
      </c>
      <c r="O275">
        <v>25.8</v>
      </c>
      <c r="P275">
        <v>4.3099999999999996</v>
      </c>
      <c r="Q275" s="3">
        <v>7.29</v>
      </c>
      <c r="R275">
        <v>19.41</v>
      </c>
      <c r="S275">
        <v>11.169999999999998</v>
      </c>
      <c r="T275">
        <v>6.89</v>
      </c>
      <c r="U275">
        <v>0.42</v>
      </c>
      <c r="V275">
        <v>197.6</v>
      </c>
      <c r="W275">
        <v>47.78</v>
      </c>
      <c r="X275">
        <f t="shared" si="48"/>
        <v>3.2800000000000011</v>
      </c>
      <c r="Y275">
        <f t="shared" si="53"/>
        <v>9.7049999999999997E-2</v>
      </c>
      <c r="Z275">
        <f t="shared" si="54"/>
        <v>9.8228744939271265E-2</v>
      </c>
      <c r="AA275">
        <f t="shared" si="55"/>
        <v>3.4868421052631576E-2</v>
      </c>
      <c r="AB275" s="3">
        <f t="shared" si="49"/>
        <v>10.08</v>
      </c>
      <c r="AC275">
        <v>34</v>
      </c>
      <c r="AD275">
        <v>7.2</v>
      </c>
      <c r="AE275">
        <v>50</v>
      </c>
      <c r="AF275" s="31">
        <v>4.0000000000000002E-4</v>
      </c>
      <c r="AG275" s="31">
        <f t="shared" si="56"/>
        <v>7.0756607999999999E-2</v>
      </c>
      <c r="AH275" s="31">
        <f t="shared" si="51"/>
        <v>1.9437516864000004</v>
      </c>
      <c r="AI275">
        <v>200</v>
      </c>
      <c r="AM275">
        <f t="shared" si="57"/>
        <v>0</v>
      </c>
      <c r="AN275">
        <f t="shared" si="58"/>
        <v>0</v>
      </c>
      <c r="AO275" s="3">
        <f t="shared" si="59"/>
        <v>0</v>
      </c>
      <c r="AP275" s="3">
        <f t="shared" si="60"/>
        <v>0</v>
      </c>
    </row>
    <row r="276" spans="1:42" x14ac:dyDescent="0.25">
      <c r="A276" s="2" t="s">
        <v>57</v>
      </c>
      <c r="B276" t="s">
        <v>46</v>
      </c>
      <c r="C276">
        <v>18</v>
      </c>
      <c r="D276">
        <v>7.2</v>
      </c>
      <c r="E276">
        <v>34</v>
      </c>
      <c r="F276">
        <v>11</v>
      </c>
      <c r="G276" s="1">
        <v>45355.307638888902</v>
      </c>
      <c r="I276" s="96">
        <v>5791.69</v>
      </c>
      <c r="J276">
        <v>6099.96</v>
      </c>
      <c r="K276">
        <v>16.89</v>
      </c>
      <c r="L276">
        <v>75.69</v>
      </c>
      <c r="M276">
        <v>0.4</v>
      </c>
      <c r="O276">
        <v>28.8</v>
      </c>
      <c r="P276">
        <v>0.02</v>
      </c>
      <c r="Q276" s="3">
        <v>7.33</v>
      </c>
      <c r="R276">
        <v>27.43</v>
      </c>
      <c r="S276">
        <v>3.240000000000002</v>
      </c>
      <c r="T276">
        <v>3.77</v>
      </c>
      <c r="U276">
        <v>0.12</v>
      </c>
      <c r="V276">
        <v>202.77</v>
      </c>
      <c r="W276">
        <v>47.08</v>
      </c>
      <c r="X276">
        <f t="shared" si="48"/>
        <v>3.2800000000000011</v>
      </c>
      <c r="Y276">
        <f t="shared" si="53"/>
        <v>0.13714999999999999</v>
      </c>
      <c r="Z276">
        <f t="shared" si="54"/>
        <v>0.13527642156137495</v>
      </c>
      <c r="AA276">
        <f t="shared" si="55"/>
        <v>1.8592493958672386E-2</v>
      </c>
      <c r="AB276" s="3">
        <f t="shared" si="49"/>
        <v>2.88</v>
      </c>
      <c r="AC276">
        <v>34</v>
      </c>
      <c r="AD276">
        <v>7.2</v>
      </c>
      <c r="AE276">
        <v>50</v>
      </c>
      <c r="AF276" s="31">
        <v>4.0000000000000002E-4</v>
      </c>
      <c r="AG276" s="31">
        <f t="shared" si="56"/>
        <v>8.2194847200000018E-2</v>
      </c>
      <c r="AH276" s="31">
        <f t="shared" si="51"/>
        <v>2.1420391680000002</v>
      </c>
      <c r="AI276">
        <v>200</v>
      </c>
      <c r="AM276">
        <f t="shared" si="57"/>
        <v>0</v>
      </c>
      <c r="AN276">
        <f t="shared" si="58"/>
        <v>0</v>
      </c>
      <c r="AO276" s="3">
        <f t="shared" si="59"/>
        <v>0</v>
      </c>
      <c r="AP276" s="3">
        <f t="shared" si="60"/>
        <v>0</v>
      </c>
    </row>
    <row r="277" spans="1:42" x14ac:dyDescent="0.25">
      <c r="A277" s="2" t="s">
        <v>58</v>
      </c>
      <c r="B277" t="s">
        <v>51</v>
      </c>
      <c r="C277">
        <v>18</v>
      </c>
      <c r="D277">
        <v>7.1</v>
      </c>
      <c r="E277">
        <v>32.999999999999993</v>
      </c>
      <c r="F277">
        <v>11</v>
      </c>
      <c r="G277" s="1">
        <v>45355.3125</v>
      </c>
      <c r="I277" s="96">
        <v>5791.69</v>
      </c>
      <c r="J277">
        <v>6220.125</v>
      </c>
      <c r="K277">
        <v>17.670000000000002</v>
      </c>
      <c r="L277">
        <v>82.94</v>
      </c>
      <c r="M277">
        <v>0.33</v>
      </c>
      <c r="O277">
        <v>27.5</v>
      </c>
      <c r="P277">
        <v>2.1800000000000002</v>
      </c>
      <c r="Q277" s="3">
        <v>7.31</v>
      </c>
      <c r="R277">
        <v>23.48</v>
      </c>
      <c r="S277">
        <v>2.3099999999999987</v>
      </c>
      <c r="T277">
        <v>4.6399999999999997</v>
      </c>
      <c r="U277">
        <v>0.09</v>
      </c>
      <c r="V277">
        <v>207.62</v>
      </c>
      <c r="W277">
        <v>46.28</v>
      </c>
      <c r="X277">
        <f t="shared" si="48"/>
        <v>3.2800000000000011</v>
      </c>
      <c r="Y277">
        <f t="shared" si="53"/>
        <v>0.1174</v>
      </c>
      <c r="Z277">
        <f t="shared" si="54"/>
        <v>0.11309122435218187</v>
      </c>
      <c r="AA277">
        <f t="shared" si="55"/>
        <v>2.2348521337058086E-2</v>
      </c>
      <c r="AB277" s="3">
        <f t="shared" si="49"/>
        <v>2.16</v>
      </c>
      <c r="AC277">
        <v>34</v>
      </c>
      <c r="AD277">
        <v>7.2</v>
      </c>
      <c r="AE277">
        <v>50</v>
      </c>
      <c r="AF277" s="31">
        <v>4.0000000000000002E-4</v>
      </c>
      <c r="AG277" s="31">
        <f t="shared" si="56"/>
        <v>8.8047489600000015E-2</v>
      </c>
      <c r="AH277" s="31">
        <f t="shared" si="51"/>
        <v>1.9768402944000001</v>
      </c>
      <c r="AI277">
        <v>200</v>
      </c>
      <c r="AM277">
        <f t="shared" si="57"/>
        <v>0</v>
      </c>
      <c r="AN277">
        <f t="shared" si="58"/>
        <v>0</v>
      </c>
      <c r="AO277" s="3">
        <f t="shared" si="59"/>
        <v>0</v>
      </c>
      <c r="AP277" s="3">
        <f t="shared" si="60"/>
        <v>0</v>
      </c>
    </row>
    <row r="278" spans="1:42" x14ac:dyDescent="0.25">
      <c r="A278" s="2" t="s">
        <v>59</v>
      </c>
      <c r="B278" t="s">
        <v>46</v>
      </c>
      <c r="C278">
        <v>15</v>
      </c>
      <c r="D278">
        <v>7.1</v>
      </c>
      <c r="E278">
        <v>32.999999999999993</v>
      </c>
      <c r="F278">
        <v>11</v>
      </c>
      <c r="G278" s="1">
        <v>45355.327777777798</v>
      </c>
      <c r="I278" s="96">
        <v>5791.69</v>
      </c>
      <c r="J278">
        <v>5463.48</v>
      </c>
      <c r="K278">
        <v>16.72</v>
      </c>
      <c r="L278">
        <v>81.069999999999993</v>
      </c>
      <c r="M278">
        <v>0.78</v>
      </c>
      <c r="O278">
        <v>27.1</v>
      </c>
      <c r="P278">
        <v>0.24</v>
      </c>
      <c r="Q278" s="3">
        <v>7.33</v>
      </c>
      <c r="R278">
        <v>26.58</v>
      </c>
      <c r="S278">
        <v>2.8200000000000003</v>
      </c>
      <c r="T278">
        <v>4.25</v>
      </c>
      <c r="U278">
        <v>0.11</v>
      </c>
      <c r="V278">
        <v>203</v>
      </c>
      <c r="W278">
        <v>35.25</v>
      </c>
      <c r="X278">
        <f t="shared" si="48"/>
        <v>4.25</v>
      </c>
      <c r="Y278">
        <f t="shared" si="53"/>
        <v>0.13289999999999999</v>
      </c>
      <c r="Z278">
        <f t="shared" si="54"/>
        <v>0.13093596059113299</v>
      </c>
      <c r="AA278">
        <f t="shared" si="55"/>
        <v>2.0935960591133004E-2</v>
      </c>
      <c r="AB278" s="3">
        <f t="shared" si="49"/>
        <v>2.64</v>
      </c>
      <c r="AC278">
        <v>34</v>
      </c>
      <c r="AD278">
        <v>7.2</v>
      </c>
      <c r="AE278">
        <v>50</v>
      </c>
      <c r="AF278" s="31">
        <v>4.0000000000000002E-4</v>
      </c>
      <c r="AG278" s="31">
        <f t="shared" si="56"/>
        <v>8.1459839999999992E-2</v>
      </c>
      <c r="AH278" s="31">
        <f t="shared" si="51"/>
        <v>2.3480833535999999</v>
      </c>
      <c r="AI278">
        <v>200</v>
      </c>
      <c r="AM278">
        <f t="shared" si="57"/>
        <v>0</v>
      </c>
      <c r="AN278">
        <f t="shared" si="58"/>
        <v>0</v>
      </c>
      <c r="AO278" s="3">
        <f t="shared" si="59"/>
        <v>0</v>
      </c>
      <c r="AP278" s="3">
        <f t="shared" si="60"/>
        <v>0</v>
      </c>
    </row>
    <row r="279" spans="1:42" x14ac:dyDescent="0.25">
      <c r="A279" s="2" t="s">
        <v>60</v>
      </c>
      <c r="B279" t="s">
        <v>49</v>
      </c>
      <c r="C279">
        <v>15</v>
      </c>
      <c r="D279">
        <v>7.1</v>
      </c>
      <c r="E279">
        <v>32.999999999999993</v>
      </c>
      <c r="F279">
        <v>11</v>
      </c>
      <c r="G279" s="1">
        <v>45355.322916666701</v>
      </c>
      <c r="I279" s="96">
        <v>5791.69</v>
      </c>
      <c r="J279">
        <v>5304</v>
      </c>
      <c r="K279">
        <v>15.99</v>
      </c>
      <c r="L279">
        <v>73.760000000000005</v>
      </c>
      <c r="M279">
        <v>0.51</v>
      </c>
      <c r="O279">
        <v>38.1</v>
      </c>
      <c r="P279">
        <v>0.56999999999999995</v>
      </c>
      <c r="Q279" s="3">
        <v>7.32</v>
      </c>
      <c r="R279">
        <v>20.09</v>
      </c>
      <c r="S279">
        <v>7.66</v>
      </c>
      <c r="T279">
        <v>8.1</v>
      </c>
      <c r="U279">
        <v>0.38</v>
      </c>
      <c r="V279">
        <v>197.85</v>
      </c>
      <c r="W279">
        <v>35.78</v>
      </c>
      <c r="X279">
        <f t="shared" si="48"/>
        <v>3.2800000000000011</v>
      </c>
      <c r="Y279">
        <f t="shared" si="53"/>
        <v>0.10045</v>
      </c>
      <c r="Z279">
        <f t="shared" si="54"/>
        <v>0.10154157189790246</v>
      </c>
      <c r="AA279">
        <f t="shared" si="55"/>
        <v>4.0940106141015918E-2</v>
      </c>
      <c r="AB279" s="3">
        <f t="shared" si="49"/>
        <v>9.120000000000001</v>
      </c>
      <c r="AC279">
        <v>34</v>
      </c>
      <c r="AD279">
        <v>7.2</v>
      </c>
      <c r="AE279">
        <v>50</v>
      </c>
      <c r="AF279" s="31">
        <v>4.0000000000000002E-4</v>
      </c>
      <c r="AG279" s="31">
        <f t="shared" si="56"/>
        <v>7.5926915999999997E-2</v>
      </c>
      <c r="AH279" s="31">
        <f t="shared" si="51"/>
        <v>1.9782914688000002</v>
      </c>
      <c r="AI279">
        <v>200</v>
      </c>
      <c r="AM279">
        <f t="shared" si="57"/>
        <v>0</v>
      </c>
      <c r="AN279">
        <f t="shared" si="58"/>
        <v>0</v>
      </c>
      <c r="AO279" s="3">
        <f t="shared" si="59"/>
        <v>0</v>
      </c>
      <c r="AP279" s="3">
        <f t="shared" si="60"/>
        <v>0</v>
      </c>
    </row>
    <row r="280" spans="1:42" x14ac:dyDescent="0.25">
      <c r="A280" s="2" t="s">
        <v>61</v>
      </c>
      <c r="B280" t="s">
        <v>46</v>
      </c>
      <c r="C280">
        <v>15</v>
      </c>
      <c r="D280">
        <v>7.3</v>
      </c>
      <c r="E280">
        <v>35</v>
      </c>
      <c r="F280">
        <v>11</v>
      </c>
      <c r="G280" s="1">
        <v>45355.332638888904</v>
      </c>
      <c r="I280" s="96">
        <v>5791.69</v>
      </c>
      <c r="J280">
        <v>6166.71</v>
      </c>
      <c r="K280">
        <v>16.75</v>
      </c>
      <c r="L280">
        <v>76.900000000000006</v>
      </c>
      <c r="M280">
        <v>0.5</v>
      </c>
      <c r="O280">
        <v>31.5</v>
      </c>
      <c r="P280">
        <v>0.06</v>
      </c>
      <c r="Q280" s="3">
        <v>7.32</v>
      </c>
      <c r="R280">
        <v>26.83</v>
      </c>
      <c r="S280">
        <v>1.2800000000000011</v>
      </c>
      <c r="T280">
        <v>2.2599999999999998</v>
      </c>
      <c r="U280">
        <v>0.05</v>
      </c>
      <c r="V280">
        <v>199.44</v>
      </c>
      <c r="W280">
        <v>35.25</v>
      </c>
      <c r="X280">
        <f t="shared" si="48"/>
        <v>3.2699999999999996</v>
      </c>
      <c r="Y280">
        <f t="shared" si="53"/>
        <v>0.13414999999999999</v>
      </c>
      <c r="Z280">
        <f t="shared" si="54"/>
        <v>0.13452667468912954</v>
      </c>
      <c r="AA280">
        <f t="shared" si="55"/>
        <v>1.1331728840754111E-2</v>
      </c>
      <c r="AB280" s="3">
        <f t="shared" si="49"/>
        <v>1.2000000000000002</v>
      </c>
      <c r="AC280">
        <v>34</v>
      </c>
      <c r="AD280">
        <v>7.2</v>
      </c>
      <c r="AE280">
        <v>50</v>
      </c>
      <c r="AF280" s="31">
        <v>4.0000000000000002E-4</v>
      </c>
      <c r="AG280" s="31">
        <f t="shared" si="56"/>
        <v>8.0174880000000004E-2</v>
      </c>
      <c r="AH280" s="31">
        <f t="shared" si="51"/>
        <v>2.086892352</v>
      </c>
      <c r="AI280">
        <v>200</v>
      </c>
      <c r="AM280">
        <f t="shared" si="57"/>
        <v>0</v>
      </c>
      <c r="AN280">
        <f t="shared" si="58"/>
        <v>0</v>
      </c>
      <c r="AO280" s="3">
        <f t="shared" si="59"/>
        <v>0</v>
      </c>
      <c r="AP280" s="3">
        <f t="shared" si="60"/>
        <v>0</v>
      </c>
    </row>
    <row r="281" spans="1:42" x14ac:dyDescent="0.25">
      <c r="A281" s="2" t="s">
        <v>62</v>
      </c>
      <c r="B281" t="s">
        <v>49</v>
      </c>
      <c r="C281">
        <v>18</v>
      </c>
      <c r="D281">
        <v>7.2</v>
      </c>
      <c r="E281">
        <v>34</v>
      </c>
      <c r="F281">
        <v>11</v>
      </c>
      <c r="G281" s="1">
        <v>45355.339583333298</v>
      </c>
      <c r="I281" s="96">
        <v>5791.69</v>
      </c>
      <c r="J281">
        <v>5412.2849999999999</v>
      </c>
      <c r="K281">
        <v>17.13</v>
      </c>
      <c r="L281">
        <v>74.98</v>
      </c>
      <c r="M281">
        <v>0.14000000000000001</v>
      </c>
      <c r="O281">
        <v>35.1</v>
      </c>
      <c r="P281">
        <v>1.23</v>
      </c>
      <c r="Q281" s="3">
        <v>7.31</v>
      </c>
      <c r="R281">
        <v>17.43</v>
      </c>
      <c r="S281">
        <v>9.77</v>
      </c>
      <c r="T281">
        <v>8.3000000000000007</v>
      </c>
      <c r="U281">
        <v>0.42</v>
      </c>
      <c r="V281">
        <v>194.02</v>
      </c>
      <c r="W281">
        <v>49.73</v>
      </c>
      <c r="X281">
        <f t="shared" si="48"/>
        <v>3.279999999999994</v>
      </c>
      <c r="Y281">
        <f t="shared" si="53"/>
        <v>8.7150000000000005E-2</v>
      </c>
      <c r="Z281">
        <f t="shared" si="54"/>
        <v>8.9836099371198838E-2</v>
      </c>
      <c r="AA281">
        <f t="shared" si="55"/>
        <v>4.2779094938666121E-2</v>
      </c>
      <c r="AB281" s="3">
        <f t="shared" si="49"/>
        <v>10.08</v>
      </c>
      <c r="AC281">
        <v>34</v>
      </c>
      <c r="AD281">
        <v>7.2</v>
      </c>
      <c r="AE281">
        <v>50</v>
      </c>
      <c r="AF281" s="31">
        <v>4.0000000000000002E-4</v>
      </c>
      <c r="AG281" s="31">
        <f t="shared" si="56"/>
        <v>7.9765502400000007E-2</v>
      </c>
      <c r="AH281" s="31">
        <f t="shared" si="51"/>
        <v>1.8001345536</v>
      </c>
      <c r="AI281">
        <v>200</v>
      </c>
      <c r="AM281">
        <f t="shared" si="57"/>
        <v>0</v>
      </c>
      <c r="AN281">
        <f t="shared" si="58"/>
        <v>0</v>
      </c>
      <c r="AO281" s="3">
        <f t="shared" si="59"/>
        <v>0</v>
      </c>
      <c r="AP281" s="3">
        <f t="shared" si="60"/>
        <v>0</v>
      </c>
    </row>
    <row r="282" spans="1:42" x14ac:dyDescent="0.25">
      <c r="A282" s="2" t="s">
        <v>63</v>
      </c>
      <c r="B282" t="s">
        <v>51</v>
      </c>
      <c r="C282">
        <v>12</v>
      </c>
      <c r="D282">
        <v>7.1</v>
      </c>
      <c r="E282">
        <v>32.999999999999993</v>
      </c>
      <c r="F282">
        <v>11</v>
      </c>
      <c r="G282" s="1">
        <v>45355.345138888901</v>
      </c>
      <c r="I282" s="96">
        <v>5791.69</v>
      </c>
      <c r="J282">
        <v>5049.3</v>
      </c>
      <c r="K282">
        <v>15.56</v>
      </c>
      <c r="L282">
        <v>87.06</v>
      </c>
      <c r="M282">
        <v>1.1100000000000001</v>
      </c>
      <c r="O282">
        <v>25.1</v>
      </c>
      <c r="P282">
        <v>2.2799999999999998</v>
      </c>
      <c r="Q282" s="3">
        <v>7.29</v>
      </c>
      <c r="R282">
        <v>19.05</v>
      </c>
      <c r="S282">
        <v>1.9199999999999982</v>
      </c>
      <c r="T282">
        <v>3.94</v>
      </c>
      <c r="U282">
        <v>7.0000000000000007E-2</v>
      </c>
      <c r="V282">
        <v>195.42</v>
      </c>
      <c r="W282">
        <v>36.049999999999997</v>
      </c>
      <c r="X282">
        <f t="shared" si="48"/>
        <v>3.269999999999996</v>
      </c>
      <c r="Y282">
        <f t="shared" si="53"/>
        <v>9.5250000000000001E-2</v>
      </c>
      <c r="Z282">
        <f t="shared" si="54"/>
        <v>9.7482345716917412E-2</v>
      </c>
      <c r="AA282">
        <f t="shared" si="55"/>
        <v>2.0161702998669533E-2</v>
      </c>
      <c r="AB282" s="3">
        <f t="shared" si="49"/>
        <v>1.6800000000000002</v>
      </c>
      <c r="AC282">
        <v>34</v>
      </c>
      <c r="AD282">
        <v>7.2</v>
      </c>
      <c r="AE282">
        <v>50</v>
      </c>
      <c r="AF282" s="31">
        <v>4.0000000000000002E-4</v>
      </c>
      <c r="AG282" s="31">
        <f t="shared" si="56"/>
        <v>7.2977644799999991E-2</v>
      </c>
      <c r="AH282" s="31">
        <f t="shared" si="51"/>
        <v>1.6976736000000001</v>
      </c>
      <c r="AI282">
        <v>200</v>
      </c>
      <c r="AM282">
        <f t="shared" si="57"/>
        <v>0</v>
      </c>
      <c r="AN282">
        <f t="shared" si="58"/>
        <v>0</v>
      </c>
      <c r="AO282" s="3">
        <f t="shared" si="59"/>
        <v>0</v>
      </c>
      <c r="AP282" s="3">
        <f t="shared" si="60"/>
        <v>0</v>
      </c>
    </row>
    <row r="283" spans="1:42" x14ac:dyDescent="0.25">
      <c r="A283" s="2" t="s">
        <v>64</v>
      </c>
      <c r="B283" t="s">
        <v>46</v>
      </c>
      <c r="C283">
        <v>12</v>
      </c>
      <c r="D283">
        <v>7.1</v>
      </c>
      <c r="E283">
        <v>32.999999999999993</v>
      </c>
      <c r="F283">
        <v>11</v>
      </c>
      <c r="G283" s="1">
        <v>45355.348611111098</v>
      </c>
      <c r="I283" s="96">
        <v>5791.69</v>
      </c>
      <c r="J283">
        <v>5408.34</v>
      </c>
      <c r="K283">
        <v>16.36</v>
      </c>
      <c r="L283">
        <v>79.3</v>
      </c>
      <c r="M283">
        <v>0.71</v>
      </c>
      <c r="O283">
        <v>28.6</v>
      </c>
      <c r="P283">
        <v>0.08</v>
      </c>
      <c r="Q283" s="3">
        <v>7.32</v>
      </c>
      <c r="R283">
        <v>25.61</v>
      </c>
      <c r="S283">
        <v>1.3100000000000023</v>
      </c>
      <c r="T283">
        <v>3.2</v>
      </c>
      <c r="U283">
        <v>0.05</v>
      </c>
      <c r="V283">
        <v>197.99</v>
      </c>
      <c r="W283">
        <v>35.08</v>
      </c>
      <c r="X283">
        <f t="shared" ref="X283:X314" si="61">W283-W259</f>
        <v>3.2799999999999976</v>
      </c>
      <c r="Y283">
        <f t="shared" si="53"/>
        <v>0.12805</v>
      </c>
      <c r="Z283">
        <f t="shared" si="54"/>
        <v>0.12934996717005909</v>
      </c>
      <c r="AA283">
        <f t="shared" si="55"/>
        <v>1.6162432446083137E-2</v>
      </c>
      <c r="AB283" s="3">
        <f t="shared" ref="AB283:AB314" si="62">U283*24</f>
        <v>1.2000000000000002</v>
      </c>
      <c r="AC283">
        <v>34</v>
      </c>
      <c r="AD283">
        <v>7.2</v>
      </c>
      <c r="AE283">
        <v>50</v>
      </c>
      <c r="AF283" s="31">
        <v>4.0000000000000002E-4</v>
      </c>
      <c r="AG283" s="31">
        <f t="shared" si="56"/>
        <v>7.7738793600000008E-2</v>
      </c>
      <c r="AH283" s="31">
        <f t="shared" si="51"/>
        <v>1.8244227455999997</v>
      </c>
      <c r="AI283">
        <v>200</v>
      </c>
      <c r="AM283">
        <f t="shared" si="57"/>
        <v>0</v>
      </c>
      <c r="AN283">
        <f t="shared" si="58"/>
        <v>0</v>
      </c>
      <c r="AO283" s="3">
        <f t="shared" si="59"/>
        <v>0</v>
      </c>
      <c r="AP283" s="3">
        <f t="shared" si="60"/>
        <v>0</v>
      </c>
    </row>
    <row r="284" spans="1:42" x14ac:dyDescent="0.25">
      <c r="A284" s="2" t="s">
        <v>65</v>
      </c>
      <c r="B284" t="s">
        <v>49</v>
      </c>
      <c r="C284">
        <v>15</v>
      </c>
      <c r="D284">
        <v>7.3</v>
      </c>
      <c r="E284">
        <v>35</v>
      </c>
      <c r="F284">
        <v>11</v>
      </c>
      <c r="G284" s="1">
        <v>45355.353472222203</v>
      </c>
      <c r="I284" s="96">
        <v>5791.69</v>
      </c>
      <c r="J284">
        <v>5488.6350000000002</v>
      </c>
      <c r="K284">
        <v>18.21</v>
      </c>
      <c r="L284">
        <v>73.95</v>
      </c>
      <c r="M284">
        <v>0.42</v>
      </c>
      <c r="O284">
        <v>32.9</v>
      </c>
      <c r="P284">
        <v>1.31</v>
      </c>
      <c r="Q284" s="3">
        <v>7.3</v>
      </c>
      <c r="R284">
        <v>19.09</v>
      </c>
      <c r="S284">
        <v>7.8300000000000018</v>
      </c>
      <c r="T284">
        <v>9.99</v>
      </c>
      <c r="U284">
        <v>0.4</v>
      </c>
      <c r="V284">
        <v>196.28</v>
      </c>
      <c r="W284">
        <v>36.58</v>
      </c>
      <c r="X284">
        <f t="shared" si="61"/>
        <v>3.2800000000000011</v>
      </c>
      <c r="Y284">
        <f t="shared" si="53"/>
        <v>9.5449999999999993E-2</v>
      </c>
      <c r="Z284">
        <f t="shared" si="54"/>
        <v>9.7259017729773786E-2</v>
      </c>
      <c r="AA284">
        <f t="shared" si="55"/>
        <v>5.0896678214795189E-2</v>
      </c>
      <c r="AB284" s="3">
        <f t="shared" si="62"/>
        <v>9.6000000000000014</v>
      </c>
      <c r="AC284">
        <v>34</v>
      </c>
      <c r="AD284">
        <v>7.2</v>
      </c>
      <c r="AE284">
        <v>50</v>
      </c>
      <c r="AF284" s="31">
        <v>4.0000000000000002E-4</v>
      </c>
      <c r="AG284" s="31">
        <f t="shared" si="56"/>
        <v>8.57822112E-2</v>
      </c>
      <c r="AH284" s="31">
        <f t="shared" si="51"/>
        <v>2.1658882176000001</v>
      </c>
      <c r="AI284">
        <v>200</v>
      </c>
      <c r="AM284">
        <f t="shared" si="57"/>
        <v>0</v>
      </c>
      <c r="AN284">
        <f t="shared" si="58"/>
        <v>0</v>
      </c>
      <c r="AO284" s="3">
        <f t="shared" si="59"/>
        <v>0</v>
      </c>
      <c r="AP284" s="3">
        <f t="shared" si="60"/>
        <v>0</v>
      </c>
    </row>
    <row r="285" spans="1:42" x14ac:dyDescent="0.25">
      <c r="A285" s="2" t="s">
        <v>66</v>
      </c>
      <c r="B285" t="s">
        <v>46</v>
      </c>
      <c r="C285">
        <v>12</v>
      </c>
      <c r="D285">
        <v>7.2</v>
      </c>
      <c r="E285">
        <v>34</v>
      </c>
      <c r="F285">
        <v>11</v>
      </c>
      <c r="G285" s="1">
        <v>45355.359027777798</v>
      </c>
      <c r="I285" s="96">
        <v>5791.69</v>
      </c>
      <c r="J285">
        <v>5789.5349999999999</v>
      </c>
      <c r="K285">
        <v>16.260000000000002</v>
      </c>
      <c r="L285">
        <v>81.33</v>
      </c>
      <c r="M285">
        <v>0.36</v>
      </c>
      <c r="O285">
        <v>31.7</v>
      </c>
      <c r="P285">
        <v>7.0000000000000007E-2</v>
      </c>
      <c r="Q285" s="3">
        <v>7.34</v>
      </c>
      <c r="R285">
        <v>25.31</v>
      </c>
      <c r="S285">
        <v>1.4200000000000017</v>
      </c>
      <c r="T285">
        <v>3.29</v>
      </c>
      <c r="U285">
        <v>0.05</v>
      </c>
      <c r="V285">
        <v>199.45</v>
      </c>
      <c r="W285">
        <v>34.9</v>
      </c>
      <c r="X285">
        <f t="shared" si="61"/>
        <v>3.2699999999999996</v>
      </c>
      <c r="Y285">
        <f t="shared" si="53"/>
        <v>0.12655</v>
      </c>
      <c r="Z285">
        <f t="shared" si="54"/>
        <v>0.12689897217347706</v>
      </c>
      <c r="AA285">
        <f t="shared" si="55"/>
        <v>1.6495362246176988E-2</v>
      </c>
      <c r="AB285" s="3">
        <f t="shared" si="62"/>
        <v>1.2000000000000002</v>
      </c>
      <c r="AC285">
        <v>34</v>
      </c>
      <c r="AD285">
        <v>7.2</v>
      </c>
      <c r="AE285">
        <v>50</v>
      </c>
      <c r="AF285" s="31">
        <v>4.0000000000000002E-4</v>
      </c>
      <c r="AG285" s="31">
        <f t="shared" si="56"/>
        <v>7.7833368E-2</v>
      </c>
      <c r="AH285" s="31">
        <f t="shared" si="51"/>
        <v>2.1955699584000001</v>
      </c>
      <c r="AI285">
        <v>200</v>
      </c>
      <c r="AM285">
        <f t="shared" si="57"/>
        <v>0</v>
      </c>
      <c r="AN285">
        <f t="shared" si="58"/>
        <v>0</v>
      </c>
      <c r="AO285" s="3">
        <f t="shared" si="59"/>
        <v>0</v>
      </c>
      <c r="AP285" s="3">
        <f t="shared" si="60"/>
        <v>0</v>
      </c>
    </row>
    <row r="286" spans="1:42" x14ac:dyDescent="0.25">
      <c r="A286" s="2" t="s">
        <v>67</v>
      </c>
      <c r="B286" t="s">
        <v>49</v>
      </c>
      <c r="C286">
        <v>12</v>
      </c>
      <c r="D286">
        <v>7.1</v>
      </c>
      <c r="E286">
        <v>32.999999999999993</v>
      </c>
      <c r="F286">
        <v>11</v>
      </c>
      <c r="G286" s="1">
        <v>45355.363888888904</v>
      </c>
      <c r="I286" s="96">
        <v>5791.69</v>
      </c>
      <c r="J286">
        <v>5017.08</v>
      </c>
      <c r="K286">
        <v>15.21</v>
      </c>
      <c r="L286">
        <v>73.81</v>
      </c>
      <c r="M286">
        <v>0.67</v>
      </c>
      <c r="O286">
        <v>38.1</v>
      </c>
      <c r="P286">
        <v>1.62</v>
      </c>
      <c r="Q286" s="3">
        <v>7.32</v>
      </c>
      <c r="R286">
        <v>21.53</v>
      </c>
      <c r="S286">
        <v>10.049999999999997</v>
      </c>
      <c r="T286">
        <v>8.35</v>
      </c>
      <c r="U286">
        <v>0.42</v>
      </c>
      <c r="V286">
        <v>195.93</v>
      </c>
      <c r="W286">
        <v>35.6</v>
      </c>
      <c r="X286">
        <f t="shared" si="61"/>
        <v>3.2700000000000031</v>
      </c>
      <c r="Y286">
        <f t="shared" si="53"/>
        <v>0.10765000000000001</v>
      </c>
      <c r="Z286">
        <f t="shared" si="54"/>
        <v>0.10988618384116777</v>
      </c>
      <c r="AA286">
        <f t="shared" si="55"/>
        <v>4.261726126677895E-2</v>
      </c>
      <c r="AB286" s="3">
        <f t="shared" si="62"/>
        <v>10.08</v>
      </c>
      <c r="AC286">
        <v>34</v>
      </c>
      <c r="AD286">
        <v>7.2</v>
      </c>
      <c r="AE286">
        <v>50</v>
      </c>
      <c r="AF286" s="31">
        <v>4.0000000000000002E-4</v>
      </c>
      <c r="AG286" s="31">
        <f t="shared" si="56"/>
        <v>7.152228720000002E-2</v>
      </c>
      <c r="AH286" s="31">
        <f t="shared" si="51"/>
        <v>2.0146734720000001</v>
      </c>
      <c r="AI286">
        <v>200</v>
      </c>
      <c r="AM286">
        <f t="shared" si="57"/>
        <v>0</v>
      </c>
      <c r="AN286">
        <f t="shared" si="58"/>
        <v>0</v>
      </c>
      <c r="AO286" s="3">
        <f t="shared" si="59"/>
        <v>0</v>
      </c>
      <c r="AP286" s="3">
        <f t="shared" si="60"/>
        <v>0</v>
      </c>
    </row>
    <row r="287" spans="1:42" x14ac:dyDescent="0.25">
      <c r="A287" s="2" t="s">
        <v>68</v>
      </c>
      <c r="B287" t="s">
        <v>51</v>
      </c>
      <c r="C287">
        <v>12</v>
      </c>
      <c r="D287">
        <v>7.3</v>
      </c>
      <c r="E287">
        <v>35</v>
      </c>
      <c r="F287">
        <v>11</v>
      </c>
      <c r="G287" s="1">
        <v>45355.369444444397</v>
      </c>
      <c r="I287" s="96">
        <v>5791.69</v>
      </c>
      <c r="J287">
        <v>5327.82</v>
      </c>
      <c r="K287">
        <v>13.41</v>
      </c>
      <c r="L287">
        <v>85.68</v>
      </c>
      <c r="M287">
        <v>0.84</v>
      </c>
      <c r="O287">
        <v>32.700000000000003</v>
      </c>
      <c r="P287">
        <v>2.52</v>
      </c>
      <c r="Q287" s="3">
        <v>7.31</v>
      </c>
      <c r="R287">
        <v>18.489999999999998</v>
      </c>
      <c r="S287">
        <v>1.7000000000000028</v>
      </c>
      <c r="T287">
        <v>6.24</v>
      </c>
      <c r="U287">
        <v>0.06</v>
      </c>
      <c r="V287">
        <v>197.17</v>
      </c>
      <c r="W287">
        <v>34.1</v>
      </c>
      <c r="X287">
        <f t="shared" si="61"/>
        <v>3.2700000000000031</v>
      </c>
      <c r="Y287">
        <f t="shared" si="53"/>
        <v>9.2449999999999991E-2</v>
      </c>
      <c r="Z287">
        <f t="shared" si="54"/>
        <v>9.3776943754120809E-2</v>
      </c>
      <c r="AA287">
        <f t="shared" si="55"/>
        <v>3.1647816604960188E-2</v>
      </c>
      <c r="AB287" s="3">
        <f t="shared" si="62"/>
        <v>1.44</v>
      </c>
      <c r="AC287">
        <v>34</v>
      </c>
      <c r="AD287">
        <v>7.2</v>
      </c>
      <c r="AE287">
        <v>50</v>
      </c>
      <c r="AF287" s="31">
        <v>4.0000000000000002E-4</v>
      </c>
      <c r="AG287" s="31">
        <f t="shared" si="56"/>
        <v>6.3457192800000006E-2</v>
      </c>
      <c r="AH287" s="31">
        <f t="shared" si="51"/>
        <v>1.8174269376000001</v>
      </c>
      <c r="AI287">
        <v>200</v>
      </c>
      <c r="AM287">
        <f t="shared" si="57"/>
        <v>0</v>
      </c>
      <c r="AN287">
        <f t="shared" si="58"/>
        <v>0</v>
      </c>
      <c r="AO287" s="3">
        <f t="shared" si="59"/>
        <v>0</v>
      </c>
      <c r="AP287" s="3">
        <f t="shared" si="60"/>
        <v>0</v>
      </c>
    </row>
    <row r="288" spans="1:42" x14ac:dyDescent="0.25">
      <c r="A288" s="2" t="s">
        <v>69</v>
      </c>
      <c r="B288" t="s">
        <v>51</v>
      </c>
      <c r="C288">
        <v>15</v>
      </c>
      <c r="D288">
        <v>7.2</v>
      </c>
      <c r="E288">
        <v>34</v>
      </c>
      <c r="F288">
        <v>11</v>
      </c>
      <c r="G288" s="1">
        <v>45355.375</v>
      </c>
      <c r="I288" s="96">
        <v>5791.69</v>
      </c>
      <c r="J288">
        <v>5730.09</v>
      </c>
      <c r="K288">
        <v>16.07</v>
      </c>
      <c r="L288">
        <v>85.99</v>
      </c>
      <c r="M288">
        <v>1.05</v>
      </c>
      <c r="O288">
        <v>25.6</v>
      </c>
      <c r="P288">
        <v>1.6</v>
      </c>
      <c r="Q288" s="3">
        <v>7.3</v>
      </c>
      <c r="R288">
        <v>20.94</v>
      </c>
      <c r="S288">
        <v>2.0399999999999991</v>
      </c>
      <c r="T288">
        <v>4.7699999999999996</v>
      </c>
      <c r="U288">
        <v>0.08</v>
      </c>
      <c r="V288">
        <v>200.62</v>
      </c>
      <c r="W288">
        <v>33.299999999999997</v>
      </c>
      <c r="X288">
        <f t="shared" si="61"/>
        <v>3.269999999999996</v>
      </c>
      <c r="Y288">
        <f t="shared" si="53"/>
        <v>0.1047</v>
      </c>
      <c r="Z288">
        <f t="shared" si="54"/>
        <v>0.10437643305752169</v>
      </c>
      <c r="AA288">
        <f t="shared" si="55"/>
        <v>2.3776293490180438E-2</v>
      </c>
      <c r="AB288" s="3">
        <f t="shared" si="62"/>
        <v>1.92</v>
      </c>
      <c r="AC288">
        <v>34</v>
      </c>
      <c r="AD288">
        <v>7.2</v>
      </c>
      <c r="AE288">
        <v>50</v>
      </c>
      <c r="AF288" s="31">
        <v>4.0000000000000002E-4</v>
      </c>
      <c r="AG288" s="31">
        <f t="shared" si="56"/>
        <v>7.7375121600000013E-2</v>
      </c>
      <c r="AH288" s="31">
        <f t="shared" si="51"/>
        <v>1.9001562624000001</v>
      </c>
      <c r="AI288">
        <v>200</v>
      </c>
      <c r="AM288">
        <f t="shared" si="57"/>
        <v>0</v>
      </c>
      <c r="AN288">
        <f t="shared" si="58"/>
        <v>0</v>
      </c>
      <c r="AO288" s="3">
        <f t="shared" si="59"/>
        <v>0</v>
      </c>
      <c r="AP288" s="3">
        <f t="shared" si="60"/>
        <v>0</v>
      </c>
    </row>
    <row r="289" spans="1:42" x14ac:dyDescent="0.25">
      <c r="A289" s="2" t="s">
        <v>70</v>
      </c>
      <c r="B289" t="s">
        <v>51</v>
      </c>
      <c r="C289">
        <v>15</v>
      </c>
      <c r="D289">
        <v>7.2</v>
      </c>
      <c r="E289">
        <v>34</v>
      </c>
      <c r="F289">
        <v>11</v>
      </c>
      <c r="G289" s="1">
        <v>45355.256944444402</v>
      </c>
      <c r="I289" s="96">
        <v>5791.69</v>
      </c>
      <c r="J289">
        <v>5927.2950000000001</v>
      </c>
      <c r="K289">
        <v>15.16</v>
      </c>
      <c r="L289">
        <v>87.61</v>
      </c>
      <c r="M289">
        <v>0.79</v>
      </c>
      <c r="O289">
        <v>26</v>
      </c>
      <c r="P289">
        <v>2.74</v>
      </c>
      <c r="Q289" s="3">
        <v>7.31</v>
      </c>
      <c r="R289">
        <v>21.41</v>
      </c>
      <c r="S289">
        <v>1.9100000000000001</v>
      </c>
      <c r="T289">
        <v>4.4000000000000004</v>
      </c>
      <c r="U289">
        <v>7.0000000000000007E-2</v>
      </c>
      <c r="V289">
        <v>198.43</v>
      </c>
      <c r="W289">
        <v>33.299999999999997</v>
      </c>
      <c r="X289">
        <f t="shared" si="61"/>
        <v>3.269999999999996</v>
      </c>
      <c r="Y289">
        <f t="shared" si="53"/>
        <v>0.10705000000000001</v>
      </c>
      <c r="Z289">
        <f t="shared" si="54"/>
        <v>0.10789699138235145</v>
      </c>
      <c r="AA289">
        <f t="shared" si="55"/>
        <v>2.2174066421408054E-2</v>
      </c>
      <c r="AB289" s="3">
        <f t="shared" si="62"/>
        <v>1.6800000000000002</v>
      </c>
      <c r="AC289">
        <v>34</v>
      </c>
      <c r="AD289">
        <v>7.2</v>
      </c>
      <c r="AE289">
        <v>50</v>
      </c>
      <c r="AF289" s="31">
        <v>4.0000000000000002E-4</v>
      </c>
      <c r="AG289" s="31">
        <f t="shared" si="56"/>
        <v>7.2196771199999996E-2</v>
      </c>
      <c r="AH289" s="31">
        <f t="shared" si="51"/>
        <v>2.1780779904000003</v>
      </c>
      <c r="AI289">
        <v>200</v>
      </c>
      <c r="AM289">
        <f t="shared" si="57"/>
        <v>0</v>
      </c>
      <c r="AN289">
        <f t="shared" si="58"/>
        <v>0</v>
      </c>
      <c r="AO289" s="3">
        <f t="shared" si="59"/>
        <v>0</v>
      </c>
      <c r="AP289" s="3">
        <f t="shared" si="60"/>
        <v>0</v>
      </c>
    </row>
    <row r="290" spans="1:42" x14ac:dyDescent="0.25">
      <c r="A290" s="2" t="s">
        <v>71</v>
      </c>
      <c r="B290" t="s">
        <v>51</v>
      </c>
      <c r="C290">
        <v>15</v>
      </c>
      <c r="D290">
        <v>7.2</v>
      </c>
      <c r="E290">
        <v>34</v>
      </c>
      <c r="F290">
        <v>11</v>
      </c>
      <c r="G290" s="1">
        <v>45355.378472222197</v>
      </c>
      <c r="I290" s="96">
        <v>5791.69</v>
      </c>
      <c r="J290">
        <v>5436.5550000000003</v>
      </c>
      <c r="K290">
        <v>16.09</v>
      </c>
      <c r="L290">
        <v>85.67</v>
      </c>
      <c r="M290">
        <v>0.82</v>
      </c>
      <c r="O290">
        <v>28.5</v>
      </c>
      <c r="P290">
        <v>2.31</v>
      </c>
      <c r="Q290" s="3">
        <v>7.31</v>
      </c>
      <c r="R290">
        <v>19.690000000000001</v>
      </c>
      <c r="S290">
        <v>2.0399999999999991</v>
      </c>
      <c r="T290">
        <v>4.7</v>
      </c>
      <c r="U290">
        <v>0.08</v>
      </c>
      <c r="V290">
        <v>199.54</v>
      </c>
      <c r="W290">
        <v>33.299999999999997</v>
      </c>
      <c r="X290">
        <f t="shared" si="61"/>
        <v>3.269999999999996</v>
      </c>
      <c r="Y290">
        <f t="shared" si="53"/>
        <v>9.845000000000001E-2</v>
      </c>
      <c r="Z290">
        <f t="shared" si="54"/>
        <v>9.8676957001102544E-2</v>
      </c>
      <c r="AA290">
        <f t="shared" si="55"/>
        <v>2.3554174601583645E-2</v>
      </c>
      <c r="AB290" s="3">
        <f t="shared" si="62"/>
        <v>1.92</v>
      </c>
      <c r="AC290">
        <v>34</v>
      </c>
      <c r="AD290">
        <v>7.2</v>
      </c>
      <c r="AE290">
        <v>50</v>
      </c>
      <c r="AF290" s="31">
        <v>4.0000000000000002E-4</v>
      </c>
      <c r="AG290" s="31">
        <f t="shared" si="56"/>
        <v>7.7054366399999991E-2</v>
      </c>
      <c r="AH290" s="31">
        <f t="shared" si="51"/>
        <v>1.9733673600000001</v>
      </c>
      <c r="AI290">
        <v>200</v>
      </c>
      <c r="AM290">
        <f t="shared" si="57"/>
        <v>0</v>
      </c>
      <c r="AN290">
        <f t="shared" si="58"/>
        <v>0</v>
      </c>
      <c r="AO290" s="3">
        <f t="shared" si="59"/>
        <v>0</v>
      </c>
      <c r="AP290" s="3">
        <f t="shared" si="60"/>
        <v>0</v>
      </c>
    </row>
    <row r="291" spans="1:42" x14ac:dyDescent="0.25">
      <c r="A291" s="7" t="s">
        <v>45</v>
      </c>
      <c r="B291" s="8" t="s">
        <v>46</v>
      </c>
      <c r="C291" s="8">
        <v>18</v>
      </c>
      <c r="D291" s="8">
        <v>7.1</v>
      </c>
      <c r="E291" s="8">
        <v>32.999999999999993</v>
      </c>
      <c r="F291" s="8">
        <v>12</v>
      </c>
      <c r="G291" s="9">
        <v>45356.481249999997</v>
      </c>
      <c r="H291" s="93">
        <v>5770</v>
      </c>
      <c r="I291" s="8">
        <v>6120</v>
      </c>
      <c r="J291" s="8">
        <v>6341.88</v>
      </c>
      <c r="K291" s="8">
        <v>15.62</v>
      </c>
      <c r="L291" s="8">
        <v>82.14</v>
      </c>
      <c r="M291" s="8">
        <v>0.22</v>
      </c>
      <c r="N291" s="8"/>
      <c r="O291" s="8">
        <v>35.6</v>
      </c>
      <c r="P291" s="8">
        <v>0.7</v>
      </c>
      <c r="Q291" s="75">
        <v>7.31</v>
      </c>
      <c r="R291" s="8">
        <v>24.46</v>
      </c>
      <c r="S291" s="8">
        <v>0</v>
      </c>
      <c r="T291" s="8">
        <v>4.83</v>
      </c>
      <c r="U291" s="8">
        <v>0</v>
      </c>
      <c r="V291" s="8">
        <v>197.57</v>
      </c>
      <c r="W291" s="8">
        <v>51.33</v>
      </c>
      <c r="X291" s="8">
        <f t="shared" si="61"/>
        <v>3.2800000000000011</v>
      </c>
      <c r="Y291" s="8">
        <f t="shared" si="53"/>
        <v>0.12230000000000001</v>
      </c>
      <c r="Z291" s="8">
        <f t="shared" si="54"/>
        <v>0.12380422128865719</v>
      </c>
      <c r="AA291" s="8">
        <f t="shared" si="55"/>
        <v>2.4447031431897557E-2</v>
      </c>
      <c r="AB291" s="75">
        <f t="shared" si="62"/>
        <v>0</v>
      </c>
      <c r="AC291" s="8">
        <v>34</v>
      </c>
      <c r="AD291" s="8">
        <v>7.2</v>
      </c>
      <c r="AE291" s="8">
        <v>50</v>
      </c>
      <c r="AF291" s="26">
        <v>4.0000000000000002E-4</v>
      </c>
      <c r="AG291" s="26">
        <f t="shared" si="56"/>
        <v>7.4065041599999992E-2</v>
      </c>
      <c r="AH291" s="26">
        <f t="shared" si="51"/>
        <v>2.0537524223999997</v>
      </c>
      <c r="AI291" s="8">
        <v>200</v>
      </c>
      <c r="AJ291" s="7"/>
      <c r="AK291" s="8"/>
      <c r="AL291" s="8"/>
      <c r="AM291" s="8"/>
      <c r="AN291" s="8"/>
      <c r="AO291" s="75"/>
      <c r="AP291" s="75"/>
    </row>
    <row r="292" spans="1:42" x14ac:dyDescent="0.25">
      <c r="A292" s="2" t="s">
        <v>47</v>
      </c>
      <c r="B292" t="s">
        <v>46</v>
      </c>
      <c r="C292">
        <v>12</v>
      </c>
      <c r="D292">
        <v>7.3</v>
      </c>
      <c r="E292">
        <v>35</v>
      </c>
      <c r="F292">
        <v>12</v>
      </c>
      <c r="G292" s="1">
        <v>45356.3527777778</v>
      </c>
      <c r="H292" s="94">
        <v>5650</v>
      </c>
      <c r="I292" s="96">
        <v>6120</v>
      </c>
      <c r="J292">
        <v>6153.24</v>
      </c>
      <c r="K292">
        <v>15.95</v>
      </c>
      <c r="L292">
        <v>78.430000000000007</v>
      </c>
      <c r="M292">
        <v>0.63</v>
      </c>
      <c r="O292">
        <v>27.9</v>
      </c>
      <c r="P292">
        <v>2.3199999999999998</v>
      </c>
      <c r="Q292" s="3">
        <v>7.29</v>
      </c>
      <c r="R292">
        <v>31.16</v>
      </c>
      <c r="S292">
        <v>0</v>
      </c>
      <c r="T292">
        <v>2.97</v>
      </c>
      <c r="U292">
        <v>0</v>
      </c>
      <c r="V292">
        <v>199.87</v>
      </c>
      <c r="W292">
        <v>40.930000000000007</v>
      </c>
      <c r="X292">
        <f t="shared" si="61"/>
        <v>3.2800000000000082</v>
      </c>
      <c r="Y292">
        <f t="shared" si="53"/>
        <v>0.15579999999999999</v>
      </c>
      <c r="Z292">
        <f t="shared" si="54"/>
        <v>0.15590133586831439</v>
      </c>
      <c r="AA292">
        <f t="shared" si="55"/>
        <v>1.4859658778205834E-2</v>
      </c>
      <c r="AB292" s="3">
        <f t="shared" si="62"/>
        <v>0</v>
      </c>
      <c r="AC292">
        <v>34</v>
      </c>
      <c r="AD292">
        <v>7.2</v>
      </c>
      <c r="AE292">
        <v>50</v>
      </c>
      <c r="AF292" s="31">
        <v>4.0000000000000002E-4</v>
      </c>
      <c r="AG292" s="31">
        <f t="shared" si="56"/>
        <v>7.6510235999999995E-2</v>
      </c>
      <c r="AH292" s="31">
        <f t="shared" si="51"/>
        <v>2.0412419328000002</v>
      </c>
      <c r="AI292">
        <v>200</v>
      </c>
    </row>
    <row r="293" spans="1:42" x14ac:dyDescent="0.25">
      <c r="A293" s="2" t="s">
        <v>48</v>
      </c>
      <c r="B293" t="s">
        <v>49</v>
      </c>
      <c r="C293">
        <v>12</v>
      </c>
      <c r="D293">
        <v>7.2</v>
      </c>
      <c r="E293">
        <v>34</v>
      </c>
      <c r="F293">
        <v>12</v>
      </c>
      <c r="G293" s="1">
        <v>45356.362500000003</v>
      </c>
      <c r="H293" s="94">
        <v>4990</v>
      </c>
      <c r="I293" s="96">
        <v>6120</v>
      </c>
      <c r="J293">
        <v>5439.2550000000001</v>
      </c>
      <c r="K293">
        <v>18.25</v>
      </c>
      <c r="L293">
        <v>68.95</v>
      </c>
      <c r="M293">
        <v>0.59</v>
      </c>
      <c r="O293">
        <v>39.799999999999997</v>
      </c>
      <c r="P293">
        <v>10.37</v>
      </c>
      <c r="Q293" s="3">
        <v>7.09</v>
      </c>
      <c r="R293">
        <v>34.26</v>
      </c>
      <c r="S293">
        <v>0</v>
      </c>
      <c r="T293">
        <v>9.4</v>
      </c>
      <c r="U293">
        <v>0</v>
      </c>
      <c r="V293">
        <v>204.01</v>
      </c>
      <c r="W293">
        <v>42.430000000000007</v>
      </c>
      <c r="X293">
        <f t="shared" si="61"/>
        <v>3.2800000000000082</v>
      </c>
      <c r="Y293">
        <f t="shared" si="53"/>
        <v>0.17129999999999998</v>
      </c>
      <c r="Z293">
        <f t="shared" si="54"/>
        <v>0.16793294446350668</v>
      </c>
      <c r="AA293">
        <f t="shared" si="55"/>
        <v>4.6076172736630561E-2</v>
      </c>
      <c r="AB293" s="3">
        <f t="shared" si="62"/>
        <v>0</v>
      </c>
      <c r="AC293">
        <v>34</v>
      </c>
      <c r="AD293">
        <v>7.2</v>
      </c>
      <c r="AE293">
        <v>50</v>
      </c>
      <c r="AF293" s="31">
        <v>4.0000000000000002E-4</v>
      </c>
      <c r="AG293" s="31">
        <f t="shared" si="56"/>
        <v>8.9356379999999985E-2</v>
      </c>
      <c r="AH293" s="31">
        <f t="shared" si="51"/>
        <v>2.0779223039999999</v>
      </c>
      <c r="AI293">
        <v>200</v>
      </c>
    </row>
    <row r="294" spans="1:42" x14ac:dyDescent="0.25">
      <c r="A294" s="2" t="s">
        <v>50</v>
      </c>
      <c r="B294" t="s">
        <v>51</v>
      </c>
      <c r="C294">
        <v>18</v>
      </c>
      <c r="D294">
        <v>7.3</v>
      </c>
      <c r="E294">
        <v>35</v>
      </c>
      <c r="F294">
        <v>12</v>
      </c>
      <c r="G294" s="1">
        <v>45356.367361111101</v>
      </c>
      <c r="H294" s="94">
        <v>6560</v>
      </c>
      <c r="I294" s="96">
        <v>6120</v>
      </c>
      <c r="J294">
        <v>7113.93</v>
      </c>
      <c r="K294">
        <v>14.52</v>
      </c>
      <c r="L294">
        <v>80.12</v>
      </c>
      <c r="M294">
        <v>0.41</v>
      </c>
      <c r="O294">
        <v>21.2</v>
      </c>
      <c r="P294">
        <v>1.17</v>
      </c>
      <c r="Q294" s="3">
        <v>7.3</v>
      </c>
      <c r="R294">
        <v>25.26</v>
      </c>
      <c r="S294">
        <v>0</v>
      </c>
      <c r="T294">
        <v>6.65</v>
      </c>
      <c r="U294">
        <v>0</v>
      </c>
      <c r="V294">
        <v>193.96</v>
      </c>
      <c r="W294">
        <v>51.150000000000006</v>
      </c>
      <c r="X294">
        <f t="shared" si="61"/>
        <v>3.2700000000000031</v>
      </c>
      <c r="Y294">
        <f t="shared" si="53"/>
        <v>0.1263</v>
      </c>
      <c r="Z294">
        <f t="shared" si="54"/>
        <v>0.13023303773974015</v>
      </c>
      <c r="AA294">
        <f t="shared" si="55"/>
        <v>3.4285419674159621E-2</v>
      </c>
      <c r="AB294" s="3">
        <f t="shared" si="62"/>
        <v>0</v>
      </c>
      <c r="AC294">
        <v>34</v>
      </c>
      <c r="AD294">
        <v>7.2</v>
      </c>
      <c r="AE294">
        <v>50</v>
      </c>
      <c r="AF294" s="31">
        <v>4.0000000000000002E-4</v>
      </c>
      <c r="AG294" s="31">
        <f t="shared" si="56"/>
        <v>6.7591180799999998E-2</v>
      </c>
      <c r="AH294" s="31">
        <f t="shared" si="51"/>
        <v>1.9430793216</v>
      </c>
      <c r="AI294">
        <v>200</v>
      </c>
    </row>
    <row r="295" spans="1:42" x14ac:dyDescent="0.25">
      <c r="A295" s="2" t="s">
        <v>52</v>
      </c>
      <c r="B295" t="s">
        <v>49</v>
      </c>
      <c r="C295">
        <v>18</v>
      </c>
      <c r="D295">
        <v>7.3</v>
      </c>
      <c r="E295">
        <v>35</v>
      </c>
      <c r="F295">
        <v>12</v>
      </c>
      <c r="G295" s="1">
        <v>45356.372222222199</v>
      </c>
      <c r="H295" s="94">
        <v>5550</v>
      </c>
      <c r="I295" s="96">
        <v>6120</v>
      </c>
      <c r="J295">
        <v>5989.05</v>
      </c>
      <c r="K295">
        <v>16.309999999999999</v>
      </c>
      <c r="L295">
        <v>78.19</v>
      </c>
      <c r="M295">
        <v>0.17</v>
      </c>
      <c r="O295">
        <v>37</v>
      </c>
      <c r="P295">
        <v>0.23</v>
      </c>
      <c r="Q295" s="3">
        <v>7.23</v>
      </c>
      <c r="R295">
        <v>17.850000000000001</v>
      </c>
      <c r="S295">
        <v>0</v>
      </c>
      <c r="T295">
        <v>7.57</v>
      </c>
      <c r="U295">
        <v>0</v>
      </c>
      <c r="V295">
        <v>189.11</v>
      </c>
      <c r="W295">
        <v>54.599999999999994</v>
      </c>
      <c r="X295">
        <f t="shared" si="61"/>
        <v>3.269999999999996</v>
      </c>
      <c r="Y295">
        <f t="shared" si="53"/>
        <v>8.925000000000001E-2</v>
      </c>
      <c r="Z295">
        <f t="shared" si="54"/>
        <v>9.4389508751520274E-2</v>
      </c>
      <c r="AA295">
        <f t="shared" si="55"/>
        <v>4.0029612394902436E-2</v>
      </c>
      <c r="AB295" s="3">
        <f t="shared" si="62"/>
        <v>0</v>
      </c>
      <c r="AC295">
        <v>34</v>
      </c>
      <c r="AD295">
        <v>7.2</v>
      </c>
      <c r="AE295">
        <v>50</v>
      </c>
      <c r="AF295" s="31">
        <v>4.0000000000000002E-4</v>
      </c>
      <c r="AG295" s="31">
        <f t="shared" si="56"/>
        <v>7.4025218399999995E-2</v>
      </c>
      <c r="AH295" s="31">
        <f t="shared" si="51"/>
        <v>1.9809090432000001</v>
      </c>
      <c r="AI295">
        <v>200</v>
      </c>
    </row>
    <row r="296" spans="1:42" x14ac:dyDescent="0.25">
      <c r="A296" s="2" t="s">
        <v>53</v>
      </c>
      <c r="B296" t="s">
        <v>49</v>
      </c>
      <c r="C296">
        <v>12</v>
      </c>
      <c r="D296">
        <v>7.3</v>
      </c>
      <c r="E296">
        <v>35</v>
      </c>
      <c r="F296">
        <v>12</v>
      </c>
      <c r="G296" s="1">
        <v>45356.376388888901</v>
      </c>
      <c r="H296" s="94">
        <v>5350</v>
      </c>
      <c r="I296" s="96">
        <v>6120</v>
      </c>
      <c r="J296">
        <v>6056.7449999999999</v>
      </c>
      <c r="K296">
        <v>15.77</v>
      </c>
      <c r="L296">
        <v>68.75</v>
      </c>
      <c r="M296">
        <v>0.38</v>
      </c>
      <c r="O296">
        <v>39</v>
      </c>
      <c r="P296">
        <v>5.53</v>
      </c>
      <c r="Q296" s="3">
        <v>7.18</v>
      </c>
      <c r="R296">
        <v>30.56</v>
      </c>
      <c r="S296">
        <v>0</v>
      </c>
      <c r="T296">
        <v>9.83</v>
      </c>
      <c r="U296">
        <v>0</v>
      </c>
      <c r="V296">
        <v>197.95</v>
      </c>
      <c r="W296">
        <v>42.25</v>
      </c>
      <c r="X296">
        <f t="shared" si="61"/>
        <v>3.2700000000000031</v>
      </c>
      <c r="Y296">
        <f t="shared" si="53"/>
        <v>0.15279999999999999</v>
      </c>
      <c r="Z296">
        <f t="shared" si="54"/>
        <v>0.15438241980298056</v>
      </c>
      <c r="AA296">
        <f t="shared" si="55"/>
        <v>4.9659004799191719E-2</v>
      </c>
      <c r="AB296" s="3">
        <f t="shared" si="62"/>
        <v>0</v>
      </c>
      <c r="AC296">
        <v>34</v>
      </c>
      <c r="AD296">
        <v>7.2</v>
      </c>
      <c r="AE296">
        <v>50</v>
      </c>
      <c r="AF296" s="31">
        <v>4.0000000000000002E-4</v>
      </c>
      <c r="AG296" s="31">
        <f t="shared" si="56"/>
        <v>7.4920115999999995E-2</v>
      </c>
      <c r="AH296" s="31">
        <f t="shared" si="51"/>
        <v>1.721404224</v>
      </c>
      <c r="AI296">
        <v>200</v>
      </c>
    </row>
    <row r="297" spans="1:42" x14ac:dyDescent="0.25">
      <c r="A297" s="2" t="s">
        <v>54</v>
      </c>
      <c r="B297" t="s">
        <v>46</v>
      </c>
      <c r="C297">
        <v>18</v>
      </c>
      <c r="D297">
        <v>7.3</v>
      </c>
      <c r="E297">
        <v>35</v>
      </c>
      <c r="F297">
        <v>12</v>
      </c>
      <c r="G297" s="1">
        <v>45356.381944444402</v>
      </c>
      <c r="H297" s="94">
        <v>6280</v>
      </c>
      <c r="I297" s="96">
        <v>6120</v>
      </c>
      <c r="J297">
        <v>6573.6450000000004</v>
      </c>
      <c r="K297">
        <v>18.91</v>
      </c>
      <c r="L297">
        <v>78.95</v>
      </c>
      <c r="M297">
        <v>0.21</v>
      </c>
      <c r="O297">
        <v>35.4</v>
      </c>
      <c r="P297">
        <v>2.08</v>
      </c>
      <c r="Q297" s="3">
        <v>7.27</v>
      </c>
      <c r="R297">
        <v>29.79</v>
      </c>
      <c r="S297">
        <v>0</v>
      </c>
      <c r="T297">
        <v>4.54</v>
      </c>
      <c r="U297">
        <v>0</v>
      </c>
      <c r="V297">
        <v>202.06</v>
      </c>
      <c r="W297">
        <v>50.349999999999994</v>
      </c>
      <c r="X297">
        <f t="shared" si="61"/>
        <v>3.269999999999996</v>
      </c>
      <c r="Y297">
        <f t="shared" si="53"/>
        <v>0.14895</v>
      </c>
      <c r="Z297">
        <f t="shared" si="54"/>
        <v>0.14743145600316737</v>
      </c>
      <c r="AA297">
        <f t="shared" si="55"/>
        <v>2.2468573690982877E-2</v>
      </c>
      <c r="AB297" s="3">
        <f t="shared" si="62"/>
        <v>0</v>
      </c>
      <c r="AC297">
        <v>34</v>
      </c>
      <c r="AD297">
        <v>7.2</v>
      </c>
      <c r="AE297">
        <v>50</v>
      </c>
      <c r="AF297" s="31">
        <v>4.0000000000000002E-4</v>
      </c>
      <c r="AG297" s="31">
        <f t="shared" si="56"/>
        <v>9.170291039999999E-2</v>
      </c>
      <c r="AH297" s="31">
        <f t="shared" si="51"/>
        <v>1.9503358848000003</v>
      </c>
      <c r="AI297">
        <v>200</v>
      </c>
    </row>
    <row r="298" spans="1:42" x14ac:dyDescent="0.25">
      <c r="A298" s="2" t="s">
        <v>55</v>
      </c>
      <c r="B298" t="s">
        <v>51</v>
      </c>
      <c r="C298">
        <v>15</v>
      </c>
      <c r="D298">
        <v>7.2</v>
      </c>
      <c r="E298">
        <v>34</v>
      </c>
      <c r="F298">
        <v>12</v>
      </c>
      <c r="G298" s="1">
        <v>45356.488888888904</v>
      </c>
      <c r="H298" s="94">
        <v>5510</v>
      </c>
      <c r="I298" s="96">
        <v>6120</v>
      </c>
      <c r="J298">
        <v>5604.9750000000004</v>
      </c>
      <c r="K298">
        <v>13.51</v>
      </c>
      <c r="L298">
        <v>83.83</v>
      </c>
      <c r="M298">
        <v>0.81</v>
      </c>
      <c r="O298">
        <v>33.1</v>
      </c>
      <c r="P298">
        <v>2.23</v>
      </c>
      <c r="Q298" s="3">
        <v>7.3</v>
      </c>
      <c r="R298">
        <v>22.14</v>
      </c>
      <c r="S298">
        <v>0</v>
      </c>
      <c r="T298">
        <v>5.58</v>
      </c>
      <c r="U298">
        <v>0</v>
      </c>
      <c r="V298">
        <v>194.63</v>
      </c>
      <c r="W298">
        <v>40.930000000000007</v>
      </c>
      <c r="X298">
        <f t="shared" si="61"/>
        <v>4.0800000000000054</v>
      </c>
      <c r="Y298">
        <f t="shared" si="53"/>
        <v>0.11070000000000001</v>
      </c>
      <c r="Z298">
        <f t="shared" si="54"/>
        <v>0.11375430303653086</v>
      </c>
      <c r="AA298">
        <f t="shared" si="55"/>
        <v>2.8669783692133792E-2</v>
      </c>
      <c r="AB298" s="3">
        <f t="shared" si="62"/>
        <v>0</v>
      </c>
      <c r="AC298">
        <v>34</v>
      </c>
      <c r="AD298">
        <v>7.2</v>
      </c>
      <c r="AE298">
        <v>50</v>
      </c>
      <c r="AF298" s="31">
        <v>4.0000000000000002E-4</v>
      </c>
      <c r="AG298" s="31">
        <f t="shared" si="56"/>
        <v>6.3106831199999991E-2</v>
      </c>
      <c r="AH298" s="31">
        <f t="shared" si="51"/>
        <v>1.684838016</v>
      </c>
      <c r="AI298">
        <v>200</v>
      </c>
    </row>
    <row r="299" spans="1:42" x14ac:dyDescent="0.25">
      <c r="A299" s="2" t="s">
        <v>56</v>
      </c>
      <c r="B299" t="s">
        <v>49</v>
      </c>
      <c r="C299">
        <v>18</v>
      </c>
      <c r="D299">
        <v>7.1</v>
      </c>
      <c r="E299">
        <v>32.999999999999993</v>
      </c>
      <c r="F299">
        <v>12</v>
      </c>
      <c r="G299" s="1">
        <v>45356.399305555598</v>
      </c>
      <c r="H299" s="94">
        <v>5200</v>
      </c>
      <c r="I299" s="96">
        <v>6120</v>
      </c>
      <c r="J299">
        <v>5804.3549999999996</v>
      </c>
      <c r="K299">
        <v>20.74</v>
      </c>
      <c r="L299">
        <v>76.53</v>
      </c>
      <c r="M299">
        <v>0.65</v>
      </c>
      <c r="O299">
        <v>26.3</v>
      </c>
      <c r="P299">
        <v>11.23</v>
      </c>
      <c r="Q299" s="3">
        <v>7.14</v>
      </c>
      <c r="R299">
        <v>30.58</v>
      </c>
      <c r="S299">
        <v>0</v>
      </c>
      <c r="T299">
        <v>6.89</v>
      </c>
      <c r="U299">
        <v>0</v>
      </c>
      <c r="V299">
        <v>204.34</v>
      </c>
      <c r="W299">
        <v>51.849999999999994</v>
      </c>
      <c r="X299">
        <f t="shared" si="61"/>
        <v>4.0699999999999932</v>
      </c>
      <c r="Y299">
        <f t="shared" si="53"/>
        <v>0.15289999999999998</v>
      </c>
      <c r="Z299">
        <f t="shared" si="54"/>
        <v>0.14965253988450619</v>
      </c>
      <c r="AA299">
        <f t="shared" si="55"/>
        <v>3.3718312616227854E-2</v>
      </c>
      <c r="AB299" s="3">
        <f t="shared" si="62"/>
        <v>0</v>
      </c>
      <c r="AC299">
        <v>34</v>
      </c>
      <c r="AD299">
        <v>7.2</v>
      </c>
      <c r="AE299">
        <v>50</v>
      </c>
      <c r="AF299" s="31">
        <v>4.0000000000000002E-4</v>
      </c>
      <c r="AG299" s="31">
        <f t="shared" si="56"/>
        <v>0.10171227839999999</v>
      </c>
      <c r="AH299" s="31">
        <f t="shared" si="51"/>
        <v>1.698158592</v>
      </c>
      <c r="AI299">
        <v>200</v>
      </c>
    </row>
    <row r="300" spans="1:42" x14ac:dyDescent="0.25">
      <c r="A300" s="2" t="s">
        <v>57</v>
      </c>
      <c r="B300" t="s">
        <v>46</v>
      </c>
      <c r="C300">
        <v>18</v>
      </c>
      <c r="D300">
        <v>7.2</v>
      </c>
      <c r="E300">
        <v>34</v>
      </c>
      <c r="F300">
        <v>12</v>
      </c>
      <c r="G300" s="1">
        <v>45356.403472222199</v>
      </c>
      <c r="H300" s="94">
        <v>5930</v>
      </c>
      <c r="I300" s="96">
        <v>6120</v>
      </c>
      <c r="J300">
        <v>6366.1949999999997</v>
      </c>
      <c r="K300">
        <v>15.74</v>
      </c>
      <c r="L300">
        <v>74.56</v>
      </c>
      <c r="M300">
        <v>0.24</v>
      </c>
      <c r="O300">
        <v>28.3</v>
      </c>
      <c r="P300">
        <v>2.0299999999999998</v>
      </c>
      <c r="Q300" s="3">
        <v>7.25</v>
      </c>
      <c r="R300">
        <v>30.67</v>
      </c>
      <c r="S300">
        <v>0</v>
      </c>
      <c r="T300">
        <v>3.77</v>
      </c>
      <c r="U300">
        <v>0</v>
      </c>
      <c r="V300">
        <v>202.4</v>
      </c>
      <c r="W300">
        <v>50.349999999999994</v>
      </c>
      <c r="X300">
        <f t="shared" si="61"/>
        <v>3.269999999999996</v>
      </c>
      <c r="Y300">
        <f t="shared" si="53"/>
        <v>0.15335000000000001</v>
      </c>
      <c r="Z300">
        <f t="shared" si="54"/>
        <v>0.1515316205533597</v>
      </c>
      <c r="AA300">
        <f t="shared" si="55"/>
        <v>1.8626482213438735E-2</v>
      </c>
      <c r="AB300" s="3">
        <f t="shared" si="62"/>
        <v>0</v>
      </c>
      <c r="AC300">
        <v>34</v>
      </c>
      <c r="AD300">
        <v>7.2</v>
      </c>
      <c r="AE300">
        <v>50</v>
      </c>
      <c r="AF300" s="31">
        <v>4.0000000000000002E-4</v>
      </c>
      <c r="AG300" s="31">
        <f t="shared" si="56"/>
        <v>7.6458624000000003E-2</v>
      </c>
      <c r="AH300" s="31">
        <f t="shared" si="51"/>
        <v>1.9726763328000003</v>
      </c>
      <c r="AI300">
        <v>200</v>
      </c>
    </row>
    <row r="301" spans="1:42" x14ac:dyDescent="0.25">
      <c r="A301" s="2" t="s">
        <v>58</v>
      </c>
      <c r="B301" t="s">
        <v>51</v>
      </c>
      <c r="C301">
        <v>18</v>
      </c>
      <c r="D301">
        <v>7.1</v>
      </c>
      <c r="E301">
        <v>32.999999999999993</v>
      </c>
      <c r="F301">
        <v>12</v>
      </c>
      <c r="G301" s="1">
        <v>45356.408333333296</v>
      </c>
      <c r="H301" s="94">
        <v>6220</v>
      </c>
      <c r="I301" s="96">
        <v>6120</v>
      </c>
      <c r="J301">
        <v>6578.1149999999998</v>
      </c>
      <c r="K301">
        <v>16</v>
      </c>
      <c r="L301">
        <v>83.62</v>
      </c>
      <c r="M301">
        <v>0.16</v>
      </c>
      <c r="O301">
        <v>32.4</v>
      </c>
      <c r="P301">
        <v>0.54</v>
      </c>
      <c r="Q301" s="3">
        <v>7.26</v>
      </c>
      <c r="R301">
        <v>25.79</v>
      </c>
      <c r="S301">
        <v>0</v>
      </c>
      <c r="T301">
        <v>4.6399999999999997</v>
      </c>
      <c r="U301">
        <v>0</v>
      </c>
      <c r="V301">
        <v>206.55</v>
      </c>
      <c r="W301">
        <v>49.55</v>
      </c>
      <c r="X301">
        <f t="shared" si="61"/>
        <v>3.269999999999996</v>
      </c>
      <c r="Y301">
        <f t="shared" si="53"/>
        <v>0.12895000000000001</v>
      </c>
      <c r="Z301">
        <f t="shared" si="54"/>
        <v>0.12486080852093923</v>
      </c>
      <c r="AA301">
        <f t="shared" si="55"/>
        <v>2.2464294359719195E-2</v>
      </c>
      <c r="AB301" s="3">
        <f t="shared" si="62"/>
        <v>0</v>
      </c>
      <c r="AC301">
        <v>34</v>
      </c>
      <c r="AD301">
        <v>7.2</v>
      </c>
      <c r="AE301">
        <v>50</v>
      </c>
      <c r="AF301" s="31">
        <v>4.0000000000000002E-4</v>
      </c>
      <c r="AG301" s="31">
        <f t="shared" si="56"/>
        <v>7.9315200000000016E-2</v>
      </c>
      <c r="AH301" s="31">
        <f t="shared" si="51"/>
        <v>2.1131397504000002</v>
      </c>
      <c r="AI301">
        <v>200</v>
      </c>
    </row>
    <row r="302" spans="1:42" x14ac:dyDescent="0.25">
      <c r="A302" s="2" t="s">
        <v>59</v>
      </c>
      <c r="B302" t="s">
        <v>46</v>
      </c>
      <c r="C302">
        <v>15</v>
      </c>
      <c r="D302">
        <v>7.1</v>
      </c>
      <c r="E302">
        <v>32.999999999999993</v>
      </c>
      <c r="F302">
        <v>12</v>
      </c>
      <c r="G302" s="1">
        <v>45356.413194444402</v>
      </c>
      <c r="H302" s="94">
        <v>5590</v>
      </c>
      <c r="I302" s="96">
        <v>6120</v>
      </c>
      <c r="J302">
        <v>6067.92</v>
      </c>
      <c r="K302">
        <v>15.73</v>
      </c>
      <c r="L302">
        <v>78.959999999999994</v>
      </c>
      <c r="M302">
        <v>0.59</v>
      </c>
      <c r="O302">
        <v>27</v>
      </c>
      <c r="P302">
        <v>1.74</v>
      </c>
      <c r="Q302" s="3">
        <v>7.29</v>
      </c>
      <c r="R302">
        <v>29.4</v>
      </c>
      <c r="S302">
        <v>0</v>
      </c>
      <c r="T302">
        <v>4.25</v>
      </c>
      <c r="U302">
        <v>0</v>
      </c>
      <c r="V302">
        <v>202.77</v>
      </c>
      <c r="W302">
        <v>38.53</v>
      </c>
      <c r="X302">
        <f t="shared" si="61"/>
        <v>3.2800000000000011</v>
      </c>
      <c r="Y302">
        <f t="shared" si="53"/>
        <v>0.14699999999999999</v>
      </c>
      <c r="Z302">
        <f t="shared" si="54"/>
        <v>0.14499186270158307</v>
      </c>
      <c r="AA302">
        <f t="shared" si="55"/>
        <v>2.0959708043596193E-2</v>
      </c>
      <c r="AB302" s="3">
        <f t="shared" si="62"/>
        <v>0</v>
      </c>
      <c r="AC302">
        <v>34</v>
      </c>
      <c r="AD302">
        <v>7.2</v>
      </c>
      <c r="AE302">
        <v>50</v>
      </c>
      <c r="AF302" s="31">
        <v>4.0000000000000002E-4</v>
      </c>
      <c r="AG302" s="31">
        <f t="shared" si="56"/>
        <v>7.6549730400000002E-2</v>
      </c>
      <c r="AH302" s="31">
        <f t="shared" si="51"/>
        <v>1.9550361599999997</v>
      </c>
      <c r="AI302">
        <v>200</v>
      </c>
    </row>
    <row r="303" spans="1:42" x14ac:dyDescent="0.25">
      <c r="A303" s="2" t="s">
        <v>60</v>
      </c>
      <c r="B303" s="96" t="s">
        <v>49</v>
      </c>
      <c r="C303" s="96">
        <v>15</v>
      </c>
      <c r="D303" s="96">
        <v>7.1</v>
      </c>
      <c r="E303" s="96">
        <v>32.999999999999993</v>
      </c>
      <c r="F303" s="96">
        <v>12</v>
      </c>
      <c r="G303" s="97">
        <v>45356.422916666699</v>
      </c>
      <c r="H303" s="94">
        <v>5270</v>
      </c>
      <c r="I303" s="96">
        <v>6120</v>
      </c>
      <c r="J303" s="96">
        <v>5831.76</v>
      </c>
      <c r="K303" s="96">
        <v>16.52</v>
      </c>
      <c r="L303" s="96">
        <v>68.760000000000005</v>
      </c>
      <c r="M303" s="96">
        <v>0.44</v>
      </c>
      <c r="N303" s="96"/>
      <c r="O303" s="96">
        <v>33.6</v>
      </c>
      <c r="P303" s="96">
        <v>7.44</v>
      </c>
      <c r="Q303" s="3">
        <v>7.19</v>
      </c>
      <c r="R303" s="96">
        <v>27.75</v>
      </c>
      <c r="S303" s="96">
        <v>0</v>
      </c>
      <c r="T303" s="96">
        <v>8.1</v>
      </c>
      <c r="U303" s="96">
        <v>0</v>
      </c>
      <c r="V303" s="96">
        <v>202.18</v>
      </c>
      <c r="W303" s="96">
        <v>39.049999999999997</v>
      </c>
      <c r="X303" s="96">
        <f t="shared" si="61"/>
        <v>3.269999999999996</v>
      </c>
      <c r="Y303" s="96">
        <f t="shared" si="53"/>
        <v>0.13875000000000001</v>
      </c>
      <c r="Z303" s="96">
        <f t="shared" si="54"/>
        <v>0.13725393213967751</v>
      </c>
      <c r="AA303" s="96">
        <f t="shared" si="55"/>
        <v>4.0063309921851815E-2</v>
      </c>
      <c r="AB303" s="3">
        <f t="shared" si="62"/>
        <v>0</v>
      </c>
      <c r="AC303" s="96">
        <v>34</v>
      </c>
      <c r="AD303" s="96">
        <v>7.2</v>
      </c>
      <c r="AE303" s="96">
        <v>50</v>
      </c>
      <c r="AF303" s="100">
        <v>4.0000000000000002E-4</v>
      </c>
      <c r="AG303" s="100">
        <f t="shared" si="56"/>
        <v>8.0160326400000009E-2</v>
      </c>
      <c r="AH303" s="100">
        <f t="shared" si="51"/>
        <v>1.8222459839999998</v>
      </c>
      <c r="AI303" s="96">
        <v>200</v>
      </c>
      <c r="AM303" s="96"/>
      <c r="AN303" s="96"/>
    </row>
    <row r="304" spans="1:42" x14ac:dyDescent="0.25">
      <c r="A304" s="2" t="s">
        <v>61</v>
      </c>
      <c r="B304" t="s">
        <v>46</v>
      </c>
      <c r="C304">
        <v>15</v>
      </c>
      <c r="D304">
        <v>7.3</v>
      </c>
      <c r="E304">
        <v>35</v>
      </c>
      <c r="F304">
        <v>12</v>
      </c>
      <c r="G304" s="1">
        <v>45356.427777777797</v>
      </c>
      <c r="H304" s="94">
        <v>5990</v>
      </c>
      <c r="I304" s="96">
        <v>6120</v>
      </c>
      <c r="J304">
        <v>6554.5649999999996</v>
      </c>
      <c r="K304">
        <v>15.92</v>
      </c>
      <c r="L304">
        <v>73.040000000000006</v>
      </c>
      <c r="M304">
        <v>0.16</v>
      </c>
      <c r="O304">
        <v>34.200000000000003</v>
      </c>
      <c r="P304">
        <v>0.1</v>
      </c>
      <c r="Q304" s="3">
        <v>7.31</v>
      </c>
      <c r="R304">
        <v>28.11</v>
      </c>
      <c r="S304">
        <v>0</v>
      </c>
      <c r="T304">
        <v>2.2599999999999998</v>
      </c>
      <c r="U304">
        <v>0</v>
      </c>
      <c r="V304">
        <v>198.24</v>
      </c>
      <c r="W304">
        <v>38.53</v>
      </c>
      <c r="X304">
        <f t="shared" si="61"/>
        <v>3.2800000000000011</v>
      </c>
      <c r="Y304">
        <f t="shared" si="53"/>
        <v>0.14055000000000001</v>
      </c>
      <c r="Z304">
        <f t="shared" si="54"/>
        <v>0.14179782082324455</v>
      </c>
      <c r="AA304">
        <f t="shared" si="55"/>
        <v>1.1400322841000805E-2</v>
      </c>
      <c r="AB304" s="3">
        <f t="shared" si="62"/>
        <v>0</v>
      </c>
      <c r="AC304">
        <v>34</v>
      </c>
      <c r="AD304">
        <v>7.2</v>
      </c>
      <c r="AE304">
        <v>50</v>
      </c>
      <c r="AF304" s="31">
        <v>4.0000000000000002E-4</v>
      </c>
      <c r="AG304" s="31">
        <f t="shared" si="56"/>
        <v>7.5743539200000015E-2</v>
      </c>
      <c r="AH304" s="31">
        <f t="shared" si="51"/>
        <v>1.9241971200000001</v>
      </c>
      <c r="AI304">
        <v>200</v>
      </c>
    </row>
    <row r="305" spans="1:42" x14ac:dyDescent="0.25">
      <c r="A305" s="2" t="s">
        <v>62</v>
      </c>
      <c r="B305" t="s">
        <v>49</v>
      </c>
      <c r="C305">
        <v>18</v>
      </c>
      <c r="D305">
        <v>7.2</v>
      </c>
      <c r="E305">
        <v>34</v>
      </c>
      <c r="F305">
        <v>12</v>
      </c>
      <c r="G305" s="1">
        <v>45356.431944444397</v>
      </c>
      <c r="H305" s="94">
        <v>5390</v>
      </c>
      <c r="I305" s="96">
        <v>6120</v>
      </c>
      <c r="J305">
        <v>5775.24</v>
      </c>
      <c r="K305">
        <v>17.09</v>
      </c>
      <c r="L305">
        <v>72.83</v>
      </c>
      <c r="M305">
        <v>0.3</v>
      </c>
      <c r="O305">
        <v>34.700000000000003</v>
      </c>
      <c r="P305">
        <v>9.23</v>
      </c>
      <c r="Q305" s="3">
        <v>7.1</v>
      </c>
      <c r="R305">
        <v>27.2</v>
      </c>
      <c r="S305">
        <v>0</v>
      </c>
      <c r="T305">
        <v>8.3000000000000007</v>
      </c>
      <c r="U305">
        <v>0</v>
      </c>
      <c r="V305">
        <v>200.46</v>
      </c>
      <c r="W305">
        <v>53</v>
      </c>
      <c r="X305">
        <f t="shared" si="61"/>
        <v>3.2700000000000031</v>
      </c>
      <c r="Y305">
        <f t="shared" si="53"/>
        <v>0.13600000000000001</v>
      </c>
      <c r="Z305">
        <f t="shared" si="54"/>
        <v>0.13568791778908509</v>
      </c>
      <c r="AA305">
        <f t="shared" si="55"/>
        <v>4.1404769031228174E-2</v>
      </c>
      <c r="AB305" s="3">
        <f t="shared" si="62"/>
        <v>0</v>
      </c>
      <c r="AC305">
        <v>34</v>
      </c>
      <c r="AD305">
        <v>7.2</v>
      </c>
      <c r="AE305">
        <v>50</v>
      </c>
      <c r="AF305" s="31">
        <v>4.0000000000000002E-4</v>
      </c>
      <c r="AG305" s="31">
        <f t="shared" si="56"/>
        <v>8.2220673600000002E-2</v>
      </c>
      <c r="AH305" s="31">
        <f t="shared" si="51"/>
        <v>1.9143720576000001</v>
      </c>
      <c r="AI305">
        <v>200</v>
      </c>
    </row>
    <row r="306" spans="1:42" x14ac:dyDescent="0.25">
      <c r="A306" s="2" t="s">
        <v>63</v>
      </c>
      <c r="B306" t="s">
        <v>51</v>
      </c>
      <c r="C306">
        <v>12</v>
      </c>
      <c r="D306">
        <v>7.1</v>
      </c>
      <c r="E306">
        <v>32.999999999999993</v>
      </c>
      <c r="F306">
        <v>12</v>
      </c>
      <c r="G306" s="1">
        <v>45356.436805555597</v>
      </c>
      <c r="H306" s="94">
        <v>5170</v>
      </c>
      <c r="I306" s="96">
        <v>6120</v>
      </c>
      <c r="J306">
        <v>5679.03</v>
      </c>
      <c r="K306">
        <v>14.43</v>
      </c>
      <c r="L306">
        <v>84.48</v>
      </c>
      <c r="M306">
        <v>0.77</v>
      </c>
      <c r="O306">
        <v>27.9</v>
      </c>
      <c r="P306">
        <v>1.87</v>
      </c>
      <c r="Q306" s="3">
        <v>7.3</v>
      </c>
      <c r="R306">
        <v>20.97</v>
      </c>
      <c r="S306">
        <v>0</v>
      </c>
      <c r="T306">
        <v>3.94</v>
      </c>
      <c r="U306">
        <v>0</v>
      </c>
      <c r="V306">
        <v>194.7</v>
      </c>
      <c r="W306">
        <v>39.33</v>
      </c>
      <c r="X306">
        <f t="shared" si="61"/>
        <v>3.2800000000000011</v>
      </c>
      <c r="Y306">
        <f t="shared" si="53"/>
        <v>0.10485</v>
      </c>
      <c r="Z306">
        <f t="shared" si="54"/>
        <v>0.10770416024653313</v>
      </c>
      <c r="AA306">
        <f t="shared" si="55"/>
        <v>2.0236260914227016E-2</v>
      </c>
      <c r="AB306" s="3">
        <f t="shared" si="62"/>
        <v>0</v>
      </c>
      <c r="AC306">
        <v>34</v>
      </c>
      <c r="AD306">
        <v>7.2</v>
      </c>
      <c r="AE306">
        <v>50</v>
      </c>
      <c r="AF306" s="31">
        <v>4.0000000000000002E-4</v>
      </c>
      <c r="AG306" s="31">
        <f t="shared" si="56"/>
        <v>6.7428504E-2</v>
      </c>
      <c r="AH306" s="31">
        <f t="shared" si="51"/>
        <v>1.7514634751999998</v>
      </c>
      <c r="AI306">
        <v>200</v>
      </c>
    </row>
    <row r="307" spans="1:42" x14ac:dyDescent="0.25">
      <c r="A307" s="2" t="s">
        <v>64</v>
      </c>
      <c r="B307" t="s">
        <v>46</v>
      </c>
      <c r="C307">
        <v>12</v>
      </c>
      <c r="D307">
        <v>7.1</v>
      </c>
      <c r="E307">
        <v>32.999999999999993</v>
      </c>
      <c r="F307">
        <v>12</v>
      </c>
      <c r="G307" s="1">
        <v>45356.442361111098</v>
      </c>
      <c r="H307" s="94">
        <v>5360</v>
      </c>
      <c r="I307" s="96">
        <v>6120</v>
      </c>
      <c r="J307">
        <v>5975.7749999999996</v>
      </c>
      <c r="K307">
        <v>12.3</v>
      </c>
      <c r="L307">
        <v>68.739999999999995</v>
      </c>
      <c r="M307">
        <v>0.42</v>
      </c>
      <c r="O307">
        <v>34.700000000000003</v>
      </c>
      <c r="P307">
        <v>0.08</v>
      </c>
      <c r="Q307" s="3">
        <v>7.32</v>
      </c>
      <c r="R307">
        <v>26.92</v>
      </c>
      <c r="S307">
        <v>0</v>
      </c>
      <c r="T307">
        <v>3.2</v>
      </c>
      <c r="U307">
        <v>0</v>
      </c>
      <c r="V307">
        <v>196.6</v>
      </c>
      <c r="W307">
        <v>38.349999999999994</v>
      </c>
      <c r="X307">
        <f t="shared" si="61"/>
        <v>3.269999999999996</v>
      </c>
      <c r="Y307">
        <f t="shared" si="53"/>
        <v>0.1346</v>
      </c>
      <c r="Z307">
        <f t="shared" si="54"/>
        <v>0.13692777212614446</v>
      </c>
      <c r="AA307">
        <f t="shared" si="55"/>
        <v>1.6276703967446595E-2</v>
      </c>
      <c r="AB307" s="3">
        <f t="shared" si="62"/>
        <v>0</v>
      </c>
      <c r="AC307">
        <v>34</v>
      </c>
      <c r="AD307">
        <v>7.2</v>
      </c>
      <c r="AE307">
        <v>50</v>
      </c>
      <c r="AF307" s="31">
        <v>4.0000000000000002E-4</v>
      </c>
      <c r="AG307" s="31">
        <f t="shared" si="56"/>
        <v>5.8036320000000002E-2</v>
      </c>
      <c r="AH307" s="31">
        <f t="shared" ref="AH307:AH314" si="63">AG283*24</f>
        <v>1.8657310464000001</v>
      </c>
      <c r="AI307">
        <v>200</v>
      </c>
    </row>
    <row r="308" spans="1:42" x14ac:dyDescent="0.25">
      <c r="A308" s="2" t="s">
        <v>65</v>
      </c>
      <c r="B308" t="s">
        <v>49</v>
      </c>
      <c r="C308">
        <v>15</v>
      </c>
      <c r="D308">
        <v>7.3</v>
      </c>
      <c r="E308">
        <v>35</v>
      </c>
      <c r="F308">
        <v>12</v>
      </c>
      <c r="G308" s="1">
        <v>45356.447222222203</v>
      </c>
      <c r="H308" s="94">
        <v>5410</v>
      </c>
      <c r="I308" s="96">
        <v>6120</v>
      </c>
      <c r="J308">
        <v>5841.4049999999997</v>
      </c>
      <c r="K308">
        <v>17.7</v>
      </c>
      <c r="L308">
        <v>71.709999999999994</v>
      </c>
      <c r="M308">
        <v>0.49</v>
      </c>
      <c r="O308">
        <v>30.2</v>
      </c>
      <c r="P308">
        <v>7.21</v>
      </c>
      <c r="Q308" s="3">
        <v>7.16</v>
      </c>
      <c r="R308">
        <v>26.92</v>
      </c>
      <c r="S308">
        <v>0</v>
      </c>
      <c r="T308">
        <v>9.99</v>
      </c>
      <c r="U308">
        <v>0</v>
      </c>
      <c r="V308">
        <v>200.65</v>
      </c>
      <c r="W308">
        <v>39.849999999999994</v>
      </c>
      <c r="X308">
        <f t="shared" si="61"/>
        <v>3.269999999999996</v>
      </c>
      <c r="Y308">
        <f t="shared" si="53"/>
        <v>0.1346</v>
      </c>
      <c r="Z308">
        <f t="shared" si="54"/>
        <v>0.13416396710690257</v>
      </c>
      <c r="AA308">
        <f t="shared" si="55"/>
        <v>4.9788188387739844E-2</v>
      </c>
      <c r="AB308" s="3">
        <f t="shared" si="62"/>
        <v>0</v>
      </c>
      <c r="AC308">
        <v>34</v>
      </c>
      <c r="AD308">
        <v>7.2</v>
      </c>
      <c r="AE308">
        <v>50</v>
      </c>
      <c r="AF308" s="31">
        <v>4.0000000000000002E-4</v>
      </c>
      <c r="AG308" s="31">
        <f t="shared" si="56"/>
        <v>8.5236119999999999E-2</v>
      </c>
      <c r="AH308" s="31">
        <f t="shared" si="63"/>
        <v>2.0587730687999999</v>
      </c>
      <c r="AI308">
        <v>200</v>
      </c>
    </row>
    <row r="309" spans="1:42" x14ac:dyDescent="0.25">
      <c r="A309" s="2" t="s">
        <v>66</v>
      </c>
      <c r="B309" t="s">
        <v>46</v>
      </c>
      <c r="C309">
        <v>12</v>
      </c>
      <c r="D309">
        <v>7.2</v>
      </c>
      <c r="E309">
        <v>34</v>
      </c>
      <c r="F309">
        <v>12</v>
      </c>
      <c r="G309" s="1">
        <v>45356.452083333301</v>
      </c>
      <c r="H309" s="94">
        <v>5560</v>
      </c>
      <c r="I309" s="96">
        <v>6120</v>
      </c>
      <c r="J309">
        <v>6066.15</v>
      </c>
      <c r="K309">
        <v>13.74</v>
      </c>
      <c r="L309">
        <v>75.75</v>
      </c>
      <c r="M309">
        <v>0.34</v>
      </c>
      <c r="O309">
        <v>33.5</v>
      </c>
      <c r="P309">
        <v>0.14000000000000001</v>
      </c>
      <c r="Q309" s="3">
        <v>7.29</v>
      </c>
      <c r="R309">
        <v>26.73</v>
      </c>
      <c r="S309">
        <v>0</v>
      </c>
      <c r="T309">
        <v>3.29</v>
      </c>
      <c r="U309">
        <v>0</v>
      </c>
      <c r="V309">
        <v>198.36</v>
      </c>
      <c r="W309">
        <v>38.180000000000007</v>
      </c>
      <c r="X309">
        <f t="shared" si="61"/>
        <v>3.2800000000000082</v>
      </c>
      <c r="Y309">
        <f t="shared" si="53"/>
        <v>0.13364999999999999</v>
      </c>
      <c r="Z309">
        <f t="shared" si="54"/>
        <v>0.13475499092558982</v>
      </c>
      <c r="AA309">
        <f t="shared" si="55"/>
        <v>1.6586005242992537E-2</v>
      </c>
      <c r="AB309" s="3">
        <f t="shared" si="62"/>
        <v>0</v>
      </c>
      <c r="AC309">
        <v>34</v>
      </c>
      <c r="AD309">
        <v>7.2</v>
      </c>
      <c r="AE309">
        <v>50</v>
      </c>
      <c r="AF309" s="31">
        <v>4.0000000000000002E-4</v>
      </c>
      <c r="AG309" s="31">
        <f t="shared" si="56"/>
        <v>6.54111936E-2</v>
      </c>
      <c r="AH309" s="31">
        <f t="shared" si="63"/>
        <v>1.8680008319999999</v>
      </c>
      <c r="AI309">
        <v>200</v>
      </c>
    </row>
    <row r="310" spans="1:42" x14ac:dyDescent="0.25">
      <c r="A310" s="2" t="s">
        <v>67</v>
      </c>
      <c r="B310" t="s">
        <v>49</v>
      </c>
      <c r="C310">
        <v>12</v>
      </c>
      <c r="D310">
        <v>7.1</v>
      </c>
      <c r="E310">
        <v>32.999999999999993</v>
      </c>
      <c r="F310">
        <v>12</v>
      </c>
      <c r="G310" s="1">
        <v>45356.456250000003</v>
      </c>
      <c r="H310" s="94">
        <v>5040</v>
      </c>
      <c r="I310" s="96">
        <v>6120</v>
      </c>
      <c r="J310">
        <v>5475.4049999999997</v>
      </c>
      <c r="K310">
        <v>15.5</v>
      </c>
      <c r="L310">
        <v>70.760000000000005</v>
      </c>
      <c r="M310">
        <v>0.65</v>
      </c>
      <c r="O310">
        <v>34.6</v>
      </c>
      <c r="P310">
        <v>8.23</v>
      </c>
      <c r="Q310" s="3">
        <v>7.15</v>
      </c>
      <c r="R310">
        <v>31.58</v>
      </c>
      <c r="S310">
        <v>0</v>
      </c>
      <c r="T310">
        <v>8.35</v>
      </c>
      <c r="U310">
        <v>0</v>
      </c>
      <c r="V310">
        <v>202.63</v>
      </c>
      <c r="W310">
        <v>38.879999999999995</v>
      </c>
      <c r="X310">
        <f t="shared" si="61"/>
        <v>3.279999999999994</v>
      </c>
      <c r="Y310">
        <f t="shared" si="53"/>
        <v>0.15789999999999998</v>
      </c>
      <c r="Z310">
        <f t="shared" si="54"/>
        <v>0.1558505650693382</v>
      </c>
      <c r="AA310">
        <f t="shared" si="55"/>
        <v>4.1208113309973843E-2</v>
      </c>
      <c r="AB310" s="3">
        <f t="shared" si="62"/>
        <v>0</v>
      </c>
      <c r="AC310">
        <v>34</v>
      </c>
      <c r="AD310">
        <v>7.2</v>
      </c>
      <c r="AE310">
        <v>50</v>
      </c>
      <c r="AF310" s="31">
        <v>4.0000000000000002E-4</v>
      </c>
      <c r="AG310" s="31">
        <f t="shared" si="56"/>
        <v>7.5378360000000005E-2</v>
      </c>
      <c r="AH310" s="31">
        <f t="shared" si="63"/>
        <v>1.7165348928000004</v>
      </c>
      <c r="AI310">
        <v>200</v>
      </c>
    </row>
    <row r="311" spans="1:42" x14ac:dyDescent="0.25">
      <c r="A311" s="2" t="s">
        <v>68</v>
      </c>
      <c r="B311" t="s">
        <v>51</v>
      </c>
      <c r="C311">
        <v>12</v>
      </c>
      <c r="D311">
        <v>7.3</v>
      </c>
      <c r="E311">
        <v>35</v>
      </c>
      <c r="F311">
        <v>12</v>
      </c>
      <c r="G311" s="1">
        <v>45356.461111111101</v>
      </c>
      <c r="H311" s="94">
        <v>5340</v>
      </c>
      <c r="I311" s="96">
        <v>6120</v>
      </c>
      <c r="J311">
        <v>5705.1149999999998</v>
      </c>
      <c r="K311">
        <v>15.26</v>
      </c>
      <c r="L311">
        <v>84.4</v>
      </c>
      <c r="M311">
        <v>0.95</v>
      </c>
      <c r="O311">
        <v>25.7</v>
      </c>
      <c r="P311">
        <v>1.92</v>
      </c>
      <c r="Q311" s="3">
        <v>7.28</v>
      </c>
      <c r="R311">
        <v>20.190000000000001</v>
      </c>
      <c r="S311">
        <v>0</v>
      </c>
      <c r="T311">
        <v>6.24</v>
      </c>
      <c r="U311">
        <v>0</v>
      </c>
      <c r="V311">
        <v>196.53</v>
      </c>
      <c r="W311">
        <v>37.379999999999995</v>
      </c>
      <c r="X311">
        <f t="shared" si="61"/>
        <v>3.279999999999994</v>
      </c>
      <c r="Y311">
        <f t="shared" si="53"/>
        <v>0.10095000000000001</v>
      </c>
      <c r="Z311">
        <f t="shared" si="54"/>
        <v>0.10273240726606625</v>
      </c>
      <c r="AA311">
        <f t="shared" si="55"/>
        <v>3.1750877728591052E-2</v>
      </c>
      <c r="AB311" s="3">
        <f t="shared" si="62"/>
        <v>0</v>
      </c>
      <c r="AC311">
        <v>34</v>
      </c>
      <c r="AD311">
        <v>7.2</v>
      </c>
      <c r="AE311">
        <v>50</v>
      </c>
      <c r="AF311" s="31">
        <v>4.0000000000000002E-4</v>
      </c>
      <c r="AG311" s="31">
        <f t="shared" si="56"/>
        <v>7.1977147199999994E-2</v>
      </c>
      <c r="AH311" s="31">
        <f t="shared" si="63"/>
        <v>1.5229726272000002</v>
      </c>
      <c r="AI311">
        <v>200</v>
      </c>
    </row>
    <row r="312" spans="1:42" x14ac:dyDescent="0.25">
      <c r="A312" s="2" t="s">
        <v>69</v>
      </c>
      <c r="B312" t="s">
        <v>51</v>
      </c>
      <c r="C312">
        <v>15</v>
      </c>
      <c r="D312">
        <v>7.2</v>
      </c>
      <c r="E312">
        <v>34</v>
      </c>
      <c r="F312">
        <v>12</v>
      </c>
      <c r="G312" s="1">
        <v>45356.467361111099</v>
      </c>
      <c r="H312" s="94">
        <v>5680</v>
      </c>
      <c r="I312" s="96">
        <v>6120</v>
      </c>
      <c r="J312">
        <v>6154.8349999999991</v>
      </c>
      <c r="K312">
        <v>14.64</v>
      </c>
      <c r="L312">
        <v>83.78</v>
      </c>
      <c r="M312">
        <v>0.75</v>
      </c>
      <c r="O312">
        <v>30</v>
      </c>
      <c r="P312">
        <v>1.07</v>
      </c>
      <c r="Q312" s="3">
        <v>7.32</v>
      </c>
      <c r="R312">
        <v>22.98</v>
      </c>
      <c r="S312">
        <v>0</v>
      </c>
      <c r="T312">
        <v>4.7699999999999996</v>
      </c>
      <c r="U312">
        <v>0</v>
      </c>
      <c r="V312">
        <v>200.14</v>
      </c>
      <c r="W312">
        <v>36.58</v>
      </c>
      <c r="X312">
        <f t="shared" si="61"/>
        <v>3.2800000000000011</v>
      </c>
      <c r="Y312">
        <f t="shared" si="53"/>
        <v>0.1149</v>
      </c>
      <c r="Z312">
        <f t="shared" si="54"/>
        <v>0.11481962626161688</v>
      </c>
      <c r="AA312">
        <f t="shared" si="55"/>
        <v>2.3833316678325171E-2</v>
      </c>
      <c r="AB312" s="3">
        <f t="shared" si="62"/>
        <v>0</v>
      </c>
      <c r="AC312">
        <v>34</v>
      </c>
      <c r="AD312">
        <v>7.2</v>
      </c>
      <c r="AE312">
        <v>50</v>
      </c>
      <c r="AF312" s="31">
        <v>4.0000000000000002E-4</v>
      </c>
      <c r="AG312" s="31">
        <f t="shared" si="56"/>
        <v>7.0321190399999997E-2</v>
      </c>
      <c r="AH312" s="31">
        <f t="shared" si="63"/>
        <v>1.8570029184000003</v>
      </c>
      <c r="AI312">
        <v>200</v>
      </c>
    </row>
    <row r="313" spans="1:42" x14ac:dyDescent="0.25">
      <c r="A313" s="2" t="s">
        <v>70</v>
      </c>
      <c r="B313" t="s">
        <v>51</v>
      </c>
      <c r="C313">
        <v>15</v>
      </c>
      <c r="D313">
        <v>7.2</v>
      </c>
      <c r="E313">
        <v>34</v>
      </c>
      <c r="F313">
        <v>12</v>
      </c>
      <c r="G313" s="1">
        <v>45356.484722222202</v>
      </c>
      <c r="H313" s="94">
        <v>6000</v>
      </c>
      <c r="I313" s="96">
        <v>6120</v>
      </c>
      <c r="J313">
        <v>6407.1349999999993</v>
      </c>
      <c r="K313">
        <v>15.37</v>
      </c>
      <c r="L313">
        <v>87.27</v>
      </c>
      <c r="M313">
        <v>0.51</v>
      </c>
      <c r="O313">
        <v>26.6</v>
      </c>
      <c r="P313">
        <v>1.73</v>
      </c>
      <c r="Q313" s="3">
        <v>7.29</v>
      </c>
      <c r="R313">
        <v>23.32</v>
      </c>
      <c r="S313">
        <v>0</v>
      </c>
      <c r="T313">
        <v>4.4000000000000004</v>
      </c>
      <c r="U313">
        <v>0</v>
      </c>
      <c r="V313">
        <v>196.57</v>
      </c>
      <c r="W313">
        <v>37.549999999999997</v>
      </c>
      <c r="X313">
        <f t="shared" si="61"/>
        <v>4.25</v>
      </c>
      <c r="Y313">
        <f t="shared" si="53"/>
        <v>0.1166</v>
      </c>
      <c r="Z313">
        <f t="shared" si="54"/>
        <v>0.11863458310016789</v>
      </c>
      <c r="AA313">
        <f t="shared" si="55"/>
        <v>2.2383883603805263E-2</v>
      </c>
      <c r="AB313" s="3">
        <f t="shared" si="62"/>
        <v>0</v>
      </c>
      <c r="AC313">
        <v>34</v>
      </c>
      <c r="AD313">
        <v>7.2</v>
      </c>
      <c r="AE313">
        <v>50</v>
      </c>
      <c r="AF313" s="31">
        <v>4.0000000000000002E-4</v>
      </c>
      <c r="AG313" s="31">
        <f t="shared" si="56"/>
        <v>7.2510741599999984E-2</v>
      </c>
      <c r="AH313" s="31">
        <f t="shared" si="63"/>
        <v>1.7327225087999998</v>
      </c>
      <c r="AI313">
        <v>200</v>
      </c>
    </row>
    <row r="314" spans="1:42" ht="15.75" thickBot="1" x14ac:dyDescent="0.3">
      <c r="A314" s="12" t="s">
        <v>71</v>
      </c>
      <c r="B314" s="13" t="s">
        <v>51</v>
      </c>
      <c r="C314" s="13">
        <v>15</v>
      </c>
      <c r="D314" s="13">
        <v>7.2</v>
      </c>
      <c r="E314" s="13">
        <v>34</v>
      </c>
      <c r="F314" s="13">
        <v>12</v>
      </c>
      <c r="G314" s="14">
        <v>45356.477083333302</v>
      </c>
      <c r="H314" s="95">
        <v>5550</v>
      </c>
      <c r="I314" s="13">
        <v>6120</v>
      </c>
      <c r="J314" s="13">
        <v>6033.1850000000004</v>
      </c>
      <c r="K314" s="13">
        <v>15.07</v>
      </c>
      <c r="L314" s="13">
        <v>84.72</v>
      </c>
      <c r="M314" s="13">
        <v>0.56000000000000005</v>
      </c>
      <c r="N314" s="13"/>
      <c r="O314" s="13">
        <v>32.4</v>
      </c>
      <c r="P314" s="13">
        <v>1.71</v>
      </c>
      <c r="Q314" s="77">
        <v>7.31</v>
      </c>
      <c r="R314" s="13">
        <v>21.73</v>
      </c>
      <c r="S314" s="13">
        <v>0</v>
      </c>
      <c r="T314" s="13">
        <v>4.7</v>
      </c>
      <c r="U314" s="13">
        <v>0</v>
      </c>
      <c r="V314" s="13">
        <v>199.05</v>
      </c>
      <c r="W314" s="13">
        <v>36.58</v>
      </c>
      <c r="X314" s="13">
        <f t="shared" si="61"/>
        <v>3.2800000000000011</v>
      </c>
      <c r="Y314" s="13">
        <f t="shared" si="53"/>
        <v>0.10865</v>
      </c>
      <c r="Z314" s="13">
        <f t="shared" si="54"/>
        <v>0.10916855061542326</v>
      </c>
      <c r="AA314" s="13">
        <f t="shared" si="55"/>
        <v>2.3612157749309217E-2</v>
      </c>
      <c r="AB314" s="77">
        <f t="shared" si="62"/>
        <v>0</v>
      </c>
      <c r="AC314" s="13">
        <v>34</v>
      </c>
      <c r="AD314" s="13">
        <v>7.2</v>
      </c>
      <c r="AE314" s="13">
        <v>50</v>
      </c>
      <c r="AF314" s="36">
        <v>4.0000000000000002E-4</v>
      </c>
      <c r="AG314" s="36">
        <f t="shared" si="56"/>
        <v>7.199240400000001E-2</v>
      </c>
      <c r="AH314" s="36">
        <f t="shared" si="63"/>
        <v>1.8493047935999998</v>
      </c>
      <c r="AI314" s="13">
        <v>200</v>
      </c>
      <c r="AJ314" s="12"/>
      <c r="AK314" s="13"/>
      <c r="AL314" s="13"/>
      <c r="AM314" s="13"/>
      <c r="AN314" s="13"/>
      <c r="AO314" s="77"/>
      <c r="AP314" s="77"/>
    </row>
    <row r="315" spans="1:42" x14ac:dyDescent="0.25">
      <c r="G315" s="1"/>
      <c r="R315"/>
      <c r="S315"/>
    </row>
    <row r="316" spans="1:42" x14ac:dyDescent="0.25">
      <c r="G316" s="1"/>
      <c r="R316"/>
      <c r="S316"/>
    </row>
    <row r="317" spans="1:42" x14ac:dyDescent="0.25">
      <c r="G317" s="1"/>
      <c r="R317"/>
      <c r="S317"/>
    </row>
    <row r="318" spans="1:42" x14ac:dyDescent="0.25">
      <c r="G318" s="1"/>
      <c r="R318"/>
      <c r="S318"/>
    </row>
    <row r="319" spans="1:42" x14ac:dyDescent="0.25">
      <c r="G319" s="1"/>
      <c r="R319"/>
      <c r="S319"/>
      <c r="V319" s="87"/>
      <c r="W319" s="87"/>
    </row>
    <row r="320" spans="1:42" x14ac:dyDescent="0.25">
      <c r="G320" s="1"/>
      <c r="R320"/>
      <c r="S320"/>
      <c r="V320" s="87"/>
      <c r="W320" s="87"/>
    </row>
    <row r="321" spans="7:23" x14ac:dyDescent="0.25">
      <c r="G321" s="1"/>
      <c r="R321"/>
      <c r="S321"/>
      <c r="V321" s="87"/>
      <c r="W321" s="87"/>
    </row>
    <row r="322" spans="7:23" x14ac:dyDescent="0.25">
      <c r="G322" s="1"/>
      <c r="R322"/>
      <c r="S322"/>
      <c r="V322" s="87"/>
      <c r="W322" s="87"/>
    </row>
    <row r="323" spans="7:23" x14ac:dyDescent="0.25">
      <c r="G323" s="1"/>
      <c r="R323"/>
      <c r="S323"/>
      <c r="V323" s="87"/>
      <c r="W323" s="87"/>
    </row>
    <row r="324" spans="7:23" x14ac:dyDescent="0.25">
      <c r="G324" s="1"/>
      <c r="R324"/>
      <c r="S324"/>
      <c r="V324" s="87"/>
      <c r="W324" s="87"/>
    </row>
    <row r="325" spans="7:23" x14ac:dyDescent="0.25">
      <c r="G325" s="1"/>
      <c r="L325" s="1"/>
      <c r="R325"/>
      <c r="S325"/>
      <c r="V325" s="87"/>
      <c r="W325" s="87"/>
    </row>
    <row r="326" spans="7:23" x14ac:dyDescent="0.25">
      <c r="G326" s="1"/>
      <c r="L326" s="1"/>
      <c r="R326"/>
      <c r="S326"/>
      <c r="V326" s="87"/>
      <c r="W326" s="87"/>
    </row>
    <row r="327" spans="7:23" x14ac:dyDescent="0.25">
      <c r="G327" s="1"/>
      <c r="L327" s="1"/>
      <c r="R327"/>
      <c r="S327"/>
      <c r="V327" s="87"/>
      <c r="W327" s="87"/>
    </row>
    <row r="328" spans="7:23" x14ac:dyDescent="0.25">
      <c r="G328" s="1"/>
      <c r="L328" s="1"/>
      <c r="R328"/>
      <c r="S328"/>
      <c r="V328" s="87"/>
      <c r="W328" s="87"/>
    </row>
    <row r="329" spans="7:23" x14ac:dyDescent="0.25">
      <c r="G329" s="1"/>
      <c r="L329" s="1"/>
      <c r="O329" s="1"/>
      <c r="R329"/>
      <c r="S329"/>
      <c r="V329" s="87"/>
      <c r="W329" s="87"/>
    </row>
    <row r="330" spans="7:23" x14ac:dyDescent="0.25">
      <c r="G330" s="1"/>
      <c r="L330" s="1"/>
      <c r="O330" s="1"/>
      <c r="R330"/>
      <c r="S330"/>
      <c r="V330" s="87"/>
      <c r="W330" s="87"/>
    </row>
    <row r="331" spans="7:23" x14ac:dyDescent="0.25">
      <c r="G331" s="1"/>
      <c r="L331" s="1"/>
      <c r="O331" s="1"/>
      <c r="R331"/>
      <c r="S331"/>
      <c r="V331" s="87"/>
      <c r="W331" s="87"/>
    </row>
    <row r="332" spans="7:23" x14ac:dyDescent="0.25">
      <c r="G332" s="1"/>
      <c r="L332" s="1"/>
      <c r="O332" s="1"/>
      <c r="R332"/>
      <c r="S332"/>
      <c r="V332" s="87"/>
      <c r="W332" s="87"/>
    </row>
    <row r="333" spans="7:23" x14ac:dyDescent="0.25">
      <c r="G333" s="1"/>
      <c r="L333" s="1"/>
      <c r="O333" s="1"/>
      <c r="R333"/>
      <c r="S333"/>
      <c r="V333" s="87"/>
      <c r="W333" s="87"/>
    </row>
    <row r="334" spans="7:23" x14ac:dyDescent="0.25">
      <c r="G334" s="1"/>
      <c r="L334" s="1"/>
      <c r="O334" s="1"/>
      <c r="R334"/>
      <c r="S334"/>
      <c r="V334" s="87"/>
      <c r="W334" s="87"/>
    </row>
    <row r="335" spans="7:23" x14ac:dyDescent="0.25">
      <c r="G335" s="1"/>
      <c r="L335" s="1"/>
      <c r="O335" s="1"/>
      <c r="R335"/>
      <c r="S335"/>
      <c r="V335" s="87"/>
      <c r="W335" s="87"/>
    </row>
    <row r="336" spans="7:23" x14ac:dyDescent="0.25">
      <c r="G336" s="1"/>
      <c r="L336" s="1"/>
      <c r="O336" s="1"/>
      <c r="R336"/>
      <c r="S336"/>
      <c r="V336" s="87"/>
      <c r="W336" s="87"/>
    </row>
    <row r="337" spans="7:23" x14ac:dyDescent="0.25">
      <c r="G337" s="1"/>
      <c r="L337" s="1"/>
      <c r="R337"/>
      <c r="S337"/>
      <c r="V337" s="87"/>
      <c r="W337" s="87"/>
    </row>
    <row r="338" spans="7:23" x14ac:dyDescent="0.25">
      <c r="G338" s="1"/>
      <c r="L338" s="1"/>
      <c r="R338"/>
      <c r="S338"/>
      <c r="V338" s="87"/>
      <c r="W338" s="87"/>
    </row>
    <row r="339" spans="7:23" x14ac:dyDescent="0.25">
      <c r="G339" s="1"/>
      <c r="R339"/>
      <c r="S339"/>
      <c r="V339" s="87"/>
      <c r="W339" s="87"/>
    </row>
    <row r="340" spans="7:23" x14ac:dyDescent="0.25">
      <c r="G340" s="1"/>
      <c r="R340"/>
      <c r="S340"/>
      <c r="V340" s="87"/>
      <c r="W340" s="87"/>
    </row>
    <row r="341" spans="7:23" x14ac:dyDescent="0.25">
      <c r="G341" s="1"/>
      <c r="R341"/>
      <c r="S341"/>
      <c r="V341" s="87"/>
      <c r="W341" s="87"/>
    </row>
    <row r="342" spans="7:23" x14ac:dyDescent="0.25">
      <c r="G342" s="1"/>
      <c r="R342"/>
      <c r="S342"/>
      <c r="V342" s="87"/>
      <c r="W342" s="87"/>
    </row>
    <row r="343" spans="7:23" x14ac:dyDescent="0.25">
      <c r="G343" s="1"/>
      <c r="R343"/>
      <c r="S343"/>
      <c r="W343" s="87"/>
    </row>
    <row r="344" spans="7:23" x14ac:dyDescent="0.25">
      <c r="G344" s="1"/>
      <c r="R344"/>
      <c r="S344"/>
    </row>
    <row r="345" spans="7:23" x14ac:dyDescent="0.25">
      <c r="G345" s="1"/>
      <c r="R345"/>
      <c r="S345"/>
    </row>
    <row r="346" spans="7:23" x14ac:dyDescent="0.25">
      <c r="G346" s="1"/>
      <c r="R346"/>
      <c r="S346"/>
    </row>
    <row r="347" spans="7:23" x14ac:dyDescent="0.25">
      <c r="G347" s="1"/>
      <c r="R347"/>
      <c r="S347"/>
    </row>
    <row r="348" spans="7:23" x14ac:dyDescent="0.25">
      <c r="G348" s="1"/>
      <c r="R348"/>
      <c r="S348"/>
    </row>
    <row r="349" spans="7:23" x14ac:dyDescent="0.25">
      <c r="G349" s="1"/>
      <c r="R349"/>
      <c r="S349"/>
    </row>
    <row r="350" spans="7:23" x14ac:dyDescent="0.25">
      <c r="G350" s="1"/>
      <c r="R350"/>
      <c r="S350"/>
    </row>
    <row r="351" spans="7:23" x14ac:dyDescent="0.25">
      <c r="G351" s="1"/>
      <c r="R351"/>
      <c r="S351"/>
    </row>
    <row r="352" spans="7:23" x14ac:dyDescent="0.25">
      <c r="G352" s="1"/>
      <c r="R352"/>
      <c r="S352"/>
    </row>
    <row r="353" spans="7:19" x14ac:dyDescent="0.25">
      <c r="G353" s="1"/>
      <c r="R353"/>
      <c r="S353"/>
    </row>
    <row r="354" spans="7:19" x14ac:dyDescent="0.25">
      <c r="G354" s="1"/>
      <c r="R354"/>
      <c r="S354"/>
    </row>
    <row r="355" spans="7:19" x14ac:dyDescent="0.25">
      <c r="G355" s="1"/>
      <c r="R355"/>
      <c r="S355"/>
    </row>
    <row r="356" spans="7:19" x14ac:dyDescent="0.25">
      <c r="G356" s="1"/>
      <c r="R356"/>
      <c r="S356"/>
    </row>
    <row r="357" spans="7:19" x14ac:dyDescent="0.25">
      <c r="G357" s="1"/>
      <c r="R357"/>
      <c r="S357"/>
    </row>
    <row r="358" spans="7:19" x14ac:dyDescent="0.25">
      <c r="G358" s="1"/>
      <c r="R358"/>
      <c r="S358"/>
    </row>
    <row r="359" spans="7:19" x14ac:dyDescent="0.25">
      <c r="G359" s="1"/>
      <c r="R359"/>
      <c r="S359"/>
    </row>
    <row r="360" spans="7:19" x14ac:dyDescent="0.25">
      <c r="G360" s="1"/>
      <c r="R360"/>
      <c r="S360"/>
    </row>
    <row r="361" spans="7:19" x14ac:dyDescent="0.25">
      <c r="G361" s="1"/>
      <c r="R361"/>
      <c r="S361"/>
    </row>
    <row r="362" spans="7:19" x14ac:dyDescent="0.25">
      <c r="G362" s="1"/>
      <c r="R362"/>
      <c r="S362"/>
    </row>
    <row r="363" spans="7:19" x14ac:dyDescent="0.25">
      <c r="G363" s="1"/>
      <c r="R363"/>
      <c r="S363"/>
    </row>
    <row r="364" spans="7:19" x14ac:dyDescent="0.25">
      <c r="G364" s="1"/>
      <c r="R364"/>
      <c r="S364"/>
    </row>
    <row r="365" spans="7:19" x14ac:dyDescent="0.25">
      <c r="G365" s="1"/>
      <c r="R365"/>
      <c r="S365"/>
    </row>
    <row r="366" spans="7:19" x14ac:dyDescent="0.25">
      <c r="G366" s="1"/>
      <c r="R366"/>
      <c r="S366"/>
    </row>
    <row r="367" spans="7:19" x14ac:dyDescent="0.25">
      <c r="G367" s="1"/>
      <c r="R367"/>
      <c r="S367"/>
    </row>
    <row r="368" spans="7:19" x14ac:dyDescent="0.25">
      <c r="G368" s="1"/>
      <c r="R368"/>
      <c r="S368"/>
    </row>
    <row r="369" spans="7:19" x14ac:dyDescent="0.25">
      <c r="G369" s="1"/>
      <c r="R369"/>
      <c r="S369"/>
    </row>
    <row r="370" spans="7:19" x14ac:dyDescent="0.25">
      <c r="G370" s="1"/>
      <c r="R370"/>
      <c r="S370"/>
    </row>
    <row r="371" spans="7:19" x14ac:dyDescent="0.25">
      <c r="G371" s="1"/>
      <c r="R371"/>
      <c r="S371"/>
    </row>
    <row r="372" spans="7:19" x14ac:dyDescent="0.25">
      <c r="G372" s="1"/>
      <c r="R372"/>
      <c r="S372"/>
    </row>
    <row r="373" spans="7:19" x14ac:dyDescent="0.25">
      <c r="G373" s="1"/>
      <c r="R373"/>
      <c r="S373"/>
    </row>
    <row r="374" spans="7:19" x14ac:dyDescent="0.25">
      <c r="G374" s="1"/>
      <c r="R374"/>
      <c r="S374"/>
    </row>
    <row r="375" spans="7:19" x14ac:dyDescent="0.25">
      <c r="G375" s="1"/>
      <c r="R375"/>
      <c r="S375"/>
    </row>
    <row r="376" spans="7:19" x14ac:dyDescent="0.25">
      <c r="G376" s="1"/>
      <c r="R376"/>
      <c r="S376"/>
    </row>
    <row r="377" spans="7:19" x14ac:dyDescent="0.25">
      <c r="G377" s="1"/>
      <c r="R377"/>
      <c r="S377"/>
    </row>
    <row r="378" spans="7:19" x14ac:dyDescent="0.25">
      <c r="G378" s="1"/>
      <c r="R378"/>
      <c r="S378"/>
    </row>
    <row r="379" spans="7:19" x14ac:dyDescent="0.25">
      <c r="G379" s="1"/>
      <c r="R379"/>
      <c r="S379"/>
    </row>
    <row r="380" spans="7:19" x14ac:dyDescent="0.25">
      <c r="G380" s="1"/>
      <c r="R380"/>
      <c r="S380"/>
    </row>
    <row r="381" spans="7:19" x14ac:dyDescent="0.25">
      <c r="G381" s="1"/>
      <c r="R381"/>
      <c r="S381"/>
    </row>
    <row r="382" spans="7:19" x14ac:dyDescent="0.25">
      <c r="G382" s="1"/>
      <c r="R382"/>
      <c r="S382"/>
    </row>
    <row r="383" spans="7:19" x14ac:dyDescent="0.25">
      <c r="G383" s="1"/>
      <c r="R383"/>
      <c r="S383"/>
    </row>
    <row r="384" spans="7:19" x14ac:dyDescent="0.25">
      <c r="G384" s="1"/>
      <c r="R384"/>
      <c r="S384"/>
    </row>
    <row r="385" spans="7:19" x14ac:dyDescent="0.25">
      <c r="G385" s="1"/>
      <c r="R385"/>
      <c r="S385"/>
    </row>
    <row r="386" spans="7:19" x14ac:dyDescent="0.25">
      <c r="G386" s="1"/>
      <c r="R386"/>
      <c r="S386"/>
    </row>
    <row r="387" spans="7:19" x14ac:dyDescent="0.25">
      <c r="G387" s="1"/>
      <c r="R387"/>
      <c r="S387"/>
    </row>
    <row r="388" spans="7:19" x14ac:dyDescent="0.25">
      <c r="G388" s="1"/>
      <c r="R388"/>
      <c r="S388"/>
    </row>
    <row r="389" spans="7:19" x14ac:dyDescent="0.25">
      <c r="G389" s="1"/>
      <c r="R389"/>
      <c r="S389"/>
    </row>
    <row r="390" spans="7:19" x14ac:dyDescent="0.25">
      <c r="G390" s="1"/>
      <c r="R390"/>
      <c r="S390"/>
    </row>
    <row r="391" spans="7:19" x14ac:dyDescent="0.25">
      <c r="G391" s="1"/>
      <c r="R391"/>
      <c r="S391"/>
    </row>
    <row r="392" spans="7:19" x14ac:dyDescent="0.25">
      <c r="G392" s="1"/>
      <c r="R392"/>
      <c r="S392"/>
    </row>
    <row r="393" spans="7:19" x14ac:dyDescent="0.25">
      <c r="G393" s="1"/>
      <c r="R393"/>
      <c r="S393"/>
    </row>
    <row r="394" spans="7:19" x14ac:dyDescent="0.25">
      <c r="G394" s="1"/>
      <c r="R394"/>
      <c r="S394"/>
    </row>
    <row r="395" spans="7:19" x14ac:dyDescent="0.25">
      <c r="G395" s="1"/>
      <c r="R395"/>
      <c r="S395"/>
    </row>
    <row r="396" spans="7:19" x14ac:dyDescent="0.25">
      <c r="G396" s="1"/>
      <c r="R396"/>
      <c r="S396"/>
    </row>
    <row r="397" spans="7:19" x14ac:dyDescent="0.25">
      <c r="G397" s="1"/>
      <c r="R397"/>
      <c r="S397"/>
    </row>
    <row r="398" spans="7:19" x14ac:dyDescent="0.25">
      <c r="G398" s="1"/>
      <c r="R398"/>
      <c r="S398"/>
    </row>
    <row r="399" spans="7:19" x14ac:dyDescent="0.25">
      <c r="G399" s="1"/>
      <c r="R399"/>
      <c r="S399"/>
    </row>
    <row r="400" spans="7:19" x14ac:dyDescent="0.25">
      <c r="G400" s="1"/>
      <c r="R400"/>
      <c r="S400"/>
    </row>
    <row r="401" spans="7:19" x14ac:dyDescent="0.25">
      <c r="G401" s="1"/>
      <c r="R401"/>
      <c r="S401"/>
    </row>
    <row r="402" spans="7:19" x14ac:dyDescent="0.25">
      <c r="G402" s="1"/>
      <c r="R402"/>
      <c r="S402"/>
    </row>
    <row r="403" spans="7:19" x14ac:dyDescent="0.25">
      <c r="G403" s="1"/>
      <c r="R403"/>
      <c r="S403"/>
    </row>
    <row r="404" spans="7:19" x14ac:dyDescent="0.25">
      <c r="G404" s="1"/>
      <c r="R404"/>
      <c r="S404"/>
    </row>
    <row r="405" spans="7:19" x14ac:dyDescent="0.25">
      <c r="G405" s="1"/>
      <c r="R405"/>
      <c r="S405"/>
    </row>
    <row r="406" spans="7:19" x14ac:dyDescent="0.25">
      <c r="G406" s="1"/>
      <c r="R406"/>
      <c r="S406"/>
    </row>
    <row r="407" spans="7:19" x14ac:dyDescent="0.25">
      <c r="G407" s="1"/>
      <c r="R407"/>
      <c r="S407"/>
    </row>
    <row r="408" spans="7:19" x14ac:dyDescent="0.25">
      <c r="G408" s="1"/>
      <c r="R408"/>
      <c r="S408"/>
    </row>
    <row r="409" spans="7:19" x14ac:dyDescent="0.25">
      <c r="G409" s="1"/>
      <c r="R409"/>
      <c r="S409"/>
    </row>
    <row r="410" spans="7:19" x14ac:dyDescent="0.25">
      <c r="G410" s="1"/>
      <c r="R410"/>
      <c r="S410"/>
    </row>
    <row r="411" spans="7:19" x14ac:dyDescent="0.25">
      <c r="G411" s="1"/>
      <c r="R411"/>
      <c r="S411"/>
    </row>
    <row r="412" spans="7:19" x14ac:dyDescent="0.25">
      <c r="G412" s="1"/>
      <c r="R412"/>
      <c r="S412"/>
    </row>
    <row r="413" spans="7:19" x14ac:dyDescent="0.25">
      <c r="G413" s="1"/>
      <c r="R413"/>
      <c r="S413"/>
    </row>
    <row r="414" spans="7:19" x14ac:dyDescent="0.25">
      <c r="G414" s="1"/>
      <c r="R414"/>
      <c r="S414"/>
    </row>
    <row r="415" spans="7:19" x14ac:dyDescent="0.25">
      <c r="G415" s="1"/>
      <c r="R415"/>
      <c r="S415"/>
    </row>
    <row r="416" spans="7:19" x14ac:dyDescent="0.25">
      <c r="G416" s="1"/>
      <c r="R416"/>
      <c r="S416"/>
    </row>
    <row r="417" spans="7:19" x14ac:dyDescent="0.25">
      <c r="G417" s="1"/>
      <c r="R417"/>
      <c r="S417"/>
    </row>
    <row r="418" spans="7:19" x14ac:dyDescent="0.25">
      <c r="G418" s="1"/>
      <c r="R418"/>
      <c r="S418"/>
    </row>
    <row r="419" spans="7:19" x14ac:dyDescent="0.25">
      <c r="G419" s="1"/>
      <c r="R419"/>
      <c r="S419"/>
    </row>
    <row r="420" spans="7:19" x14ac:dyDescent="0.25">
      <c r="G420" s="1"/>
      <c r="R420"/>
      <c r="S420"/>
    </row>
    <row r="421" spans="7:19" x14ac:dyDescent="0.25">
      <c r="G421" s="1"/>
      <c r="R421"/>
      <c r="S421"/>
    </row>
    <row r="422" spans="7:19" x14ac:dyDescent="0.25">
      <c r="G422" s="1"/>
      <c r="R422"/>
      <c r="S422"/>
    </row>
    <row r="423" spans="7:19" x14ac:dyDescent="0.25">
      <c r="G423" s="1"/>
      <c r="R423"/>
      <c r="S423"/>
    </row>
    <row r="424" spans="7:19" x14ac:dyDescent="0.25">
      <c r="G424" s="1"/>
      <c r="R424"/>
      <c r="S424"/>
    </row>
    <row r="425" spans="7:19" x14ac:dyDescent="0.25">
      <c r="G425" s="1"/>
      <c r="R425"/>
      <c r="S425"/>
    </row>
    <row r="426" spans="7:19" x14ac:dyDescent="0.25">
      <c r="G426" s="1"/>
      <c r="R426"/>
      <c r="S426"/>
    </row>
    <row r="427" spans="7:19" x14ac:dyDescent="0.25">
      <c r="G427" s="1"/>
      <c r="R427"/>
      <c r="S427"/>
    </row>
    <row r="428" spans="7:19" x14ac:dyDescent="0.25">
      <c r="G428" s="1"/>
      <c r="R428"/>
      <c r="S428"/>
    </row>
    <row r="429" spans="7:19" x14ac:dyDescent="0.25">
      <c r="G429" s="1"/>
      <c r="R429"/>
      <c r="S429"/>
    </row>
    <row r="430" spans="7:19" x14ac:dyDescent="0.25">
      <c r="G430" s="1"/>
      <c r="R430"/>
      <c r="S430"/>
    </row>
    <row r="431" spans="7:19" x14ac:dyDescent="0.25">
      <c r="G431" s="1"/>
      <c r="R431"/>
      <c r="S431"/>
    </row>
    <row r="432" spans="7:19" x14ac:dyDescent="0.25">
      <c r="G432" s="1"/>
      <c r="R432"/>
      <c r="S432"/>
    </row>
    <row r="433" spans="7:19" x14ac:dyDescent="0.25">
      <c r="G433" s="1"/>
      <c r="R433"/>
      <c r="S433"/>
    </row>
    <row r="434" spans="7:19" x14ac:dyDescent="0.25">
      <c r="G434" s="1"/>
      <c r="R434"/>
      <c r="S434"/>
    </row>
    <row r="435" spans="7:19" x14ac:dyDescent="0.25">
      <c r="G435" s="1"/>
      <c r="R435"/>
      <c r="S435"/>
    </row>
    <row r="436" spans="7:19" x14ac:dyDescent="0.25">
      <c r="G436" s="1"/>
      <c r="R436"/>
      <c r="S436"/>
    </row>
    <row r="437" spans="7:19" x14ac:dyDescent="0.25">
      <c r="G437" s="1"/>
      <c r="R437"/>
      <c r="S437"/>
    </row>
    <row r="438" spans="7:19" x14ac:dyDescent="0.25">
      <c r="G438" s="1"/>
      <c r="R438"/>
      <c r="S438"/>
    </row>
    <row r="439" spans="7:19" x14ac:dyDescent="0.25">
      <c r="G439" s="1"/>
      <c r="R439"/>
      <c r="S439"/>
    </row>
    <row r="440" spans="7:19" x14ac:dyDescent="0.25">
      <c r="G440" s="1"/>
      <c r="R440"/>
      <c r="S440"/>
    </row>
    <row r="441" spans="7:19" x14ac:dyDescent="0.25">
      <c r="G441" s="1"/>
      <c r="R441"/>
      <c r="S441"/>
    </row>
    <row r="442" spans="7:19" x14ac:dyDescent="0.25">
      <c r="G442" s="1"/>
      <c r="R442"/>
      <c r="S442"/>
    </row>
    <row r="443" spans="7:19" x14ac:dyDescent="0.25">
      <c r="G443" s="1"/>
      <c r="R443"/>
      <c r="S443"/>
    </row>
    <row r="444" spans="7:19" x14ac:dyDescent="0.25">
      <c r="G444" s="1"/>
      <c r="R444"/>
      <c r="S444"/>
    </row>
    <row r="445" spans="7:19" x14ac:dyDescent="0.25">
      <c r="G445" s="1"/>
      <c r="R445"/>
      <c r="S445"/>
    </row>
    <row r="446" spans="7:19" x14ac:dyDescent="0.25">
      <c r="G446" s="1"/>
      <c r="R446"/>
      <c r="S446"/>
    </row>
    <row r="447" spans="7:19" x14ac:dyDescent="0.25">
      <c r="G447" s="1"/>
      <c r="R447"/>
      <c r="S447"/>
    </row>
    <row r="448" spans="7:19" x14ac:dyDescent="0.25">
      <c r="G448" s="1"/>
      <c r="R448"/>
      <c r="S448"/>
    </row>
    <row r="449" spans="7:19" x14ac:dyDescent="0.25">
      <c r="G449" s="1"/>
      <c r="R449"/>
      <c r="S449"/>
    </row>
    <row r="450" spans="7:19" x14ac:dyDescent="0.25">
      <c r="G450" s="1"/>
      <c r="R450"/>
      <c r="S450"/>
    </row>
    <row r="451" spans="7:19" x14ac:dyDescent="0.25">
      <c r="G451" s="1"/>
      <c r="R451"/>
      <c r="S451"/>
    </row>
    <row r="452" spans="7:19" x14ac:dyDescent="0.25">
      <c r="G452" s="1"/>
      <c r="R452"/>
      <c r="S452"/>
    </row>
    <row r="453" spans="7:19" x14ac:dyDescent="0.25">
      <c r="G453" s="1"/>
      <c r="R453"/>
      <c r="S453"/>
    </row>
    <row r="454" spans="7:19" x14ac:dyDescent="0.25">
      <c r="G454" s="1"/>
      <c r="R454"/>
      <c r="S454"/>
    </row>
    <row r="455" spans="7:19" x14ac:dyDescent="0.25">
      <c r="G455" s="1"/>
      <c r="R455"/>
      <c r="S455"/>
    </row>
    <row r="456" spans="7:19" x14ac:dyDescent="0.25">
      <c r="G456" s="1"/>
      <c r="R456"/>
      <c r="S456"/>
    </row>
    <row r="457" spans="7:19" x14ac:dyDescent="0.25">
      <c r="G457" s="1"/>
      <c r="R457"/>
      <c r="S457"/>
    </row>
    <row r="458" spans="7:19" x14ac:dyDescent="0.25">
      <c r="G458" s="1"/>
      <c r="R458"/>
      <c r="S458"/>
    </row>
    <row r="459" spans="7:19" x14ac:dyDescent="0.25">
      <c r="G459" s="1"/>
      <c r="R459"/>
      <c r="S459"/>
    </row>
    <row r="460" spans="7:19" x14ac:dyDescent="0.25">
      <c r="G460" s="1"/>
      <c r="R460"/>
      <c r="S460"/>
    </row>
    <row r="461" spans="7:19" x14ac:dyDescent="0.25">
      <c r="G461" s="1"/>
      <c r="R461"/>
      <c r="S461"/>
    </row>
    <row r="462" spans="7:19" x14ac:dyDescent="0.25">
      <c r="G462" s="1"/>
      <c r="R462"/>
      <c r="S462"/>
    </row>
    <row r="463" spans="7:19" x14ac:dyDescent="0.25">
      <c r="G463" s="1"/>
      <c r="R463"/>
      <c r="S463"/>
    </row>
    <row r="464" spans="7:19" x14ac:dyDescent="0.25">
      <c r="G464" s="1"/>
      <c r="R464"/>
      <c r="S464"/>
    </row>
    <row r="465" spans="7:19" x14ac:dyDescent="0.25">
      <c r="G465" s="1"/>
      <c r="R465"/>
      <c r="S465"/>
    </row>
    <row r="466" spans="7:19" x14ac:dyDescent="0.25">
      <c r="G466" s="1"/>
      <c r="R466"/>
      <c r="S466"/>
    </row>
    <row r="467" spans="7:19" x14ac:dyDescent="0.25">
      <c r="G467" s="1"/>
      <c r="R467"/>
      <c r="S467"/>
    </row>
    <row r="468" spans="7:19" x14ac:dyDescent="0.25">
      <c r="G468" s="1"/>
      <c r="R468"/>
      <c r="S468"/>
    </row>
    <row r="469" spans="7:19" x14ac:dyDescent="0.25">
      <c r="G469" s="1"/>
      <c r="R469"/>
      <c r="S469"/>
    </row>
    <row r="470" spans="7:19" x14ac:dyDescent="0.25">
      <c r="G470" s="1"/>
      <c r="R470"/>
      <c r="S470"/>
    </row>
    <row r="471" spans="7:19" x14ac:dyDescent="0.25">
      <c r="G471" s="1"/>
      <c r="R471"/>
      <c r="S471"/>
    </row>
    <row r="472" spans="7:19" x14ac:dyDescent="0.25">
      <c r="G472" s="1"/>
      <c r="R472"/>
      <c r="S472"/>
    </row>
    <row r="473" spans="7:19" x14ac:dyDescent="0.25">
      <c r="G473" s="1"/>
      <c r="R473"/>
      <c r="S473"/>
    </row>
    <row r="474" spans="7:19" x14ac:dyDescent="0.25">
      <c r="G474" s="1"/>
      <c r="R474"/>
      <c r="S474"/>
    </row>
    <row r="475" spans="7:19" x14ac:dyDescent="0.25">
      <c r="G475" s="1"/>
      <c r="R475"/>
      <c r="S475"/>
    </row>
    <row r="476" spans="7:19" x14ac:dyDescent="0.25">
      <c r="G476" s="1"/>
      <c r="R476"/>
      <c r="S476"/>
    </row>
    <row r="477" spans="7:19" x14ac:dyDescent="0.25">
      <c r="G477" s="1"/>
      <c r="R477"/>
      <c r="S477"/>
    </row>
    <row r="478" spans="7:19" x14ac:dyDescent="0.25">
      <c r="G478" s="1"/>
      <c r="R478"/>
      <c r="S478"/>
    </row>
    <row r="479" spans="7:19" x14ac:dyDescent="0.25">
      <c r="G479" s="1"/>
      <c r="R479"/>
      <c r="S479"/>
    </row>
    <row r="480" spans="7:19" x14ac:dyDescent="0.25">
      <c r="G480" s="1"/>
      <c r="R480"/>
      <c r="S480"/>
    </row>
    <row r="481" spans="7:19" x14ac:dyDescent="0.25">
      <c r="G481" s="1"/>
      <c r="R481"/>
      <c r="S481"/>
    </row>
    <row r="482" spans="7:19" x14ac:dyDescent="0.25">
      <c r="G482" s="1"/>
      <c r="R482"/>
      <c r="S482"/>
    </row>
    <row r="483" spans="7:19" x14ac:dyDescent="0.25">
      <c r="G483" s="1"/>
      <c r="R483"/>
      <c r="S483"/>
    </row>
    <row r="484" spans="7:19" x14ac:dyDescent="0.25">
      <c r="G484" s="1"/>
      <c r="R484"/>
      <c r="S484"/>
    </row>
    <row r="485" spans="7:19" x14ac:dyDescent="0.25">
      <c r="G485" s="1"/>
      <c r="R485"/>
      <c r="S485"/>
    </row>
    <row r="486" spans="7:19" x14ac:dyDescent="0.25">
      <c r="G486" s="1"/>
      <c r="R486"/>
      <c r="S486"/>
    </row>
    <row r="487" spans="7:19" x14ac:dyDescent="0.25">
      <c r="G487" s="1"/>
      <c r="R487"/>
      <c r="S487"/>
    </row>
    <row r="488" spans="7:19" x14ac:dyDescent="0.25">
      <c r="G488" s="1"/>
      <c r="R488"/>
      <c r="S488"/>
    </row>
    <row r="489" spans="7:19" x14ac:dyDescent="0.25">
      <c r="G489" s="1"/>
      <c r="R489"/>
      <c r="S489"/>
    </row>
    <row r="490" spans="7:19" x14ac:dyDescent="0.25">
      <c r="G490" s="1"/>
      <c r="R490"/>
      <c r="S490"/>
    </row>
    <row r="491" spans="7:19" x14ac:dyDescent="0.25">
      <c r="G491" s="1"/>
      <c r="R491"/>
      <c r="S491"/>
    </row>
    <row r="492" spans="7:19" x14ac:dyDescent="0.25">
      <c r="G492" s="1"/>
      <c r="R492"/>
      <c r="S492"/>
    </row>
    <row r="493" spans="7:19" x14ac:dyDescent="0.25">
      <c r="G493" s="1"/>
      <c r="R493"/>
      <c r="S493"/>
    </row>
    <row r="494" spans="7:19" x14ac:dyDescent="0.25">
      <c r="G494" s="1"/>
      <c r="R494"/>
      <c r="S494"/>
    </row>
    <row r="495" spans="7:19" x14ac:dyDescent="0.25">
      <c r="G495" s="1"/>
      <c r="R495"/>
      <c r="S495"/>
    </row>
    <row r="496" spans="7:19" x14ac:dyDescent="0.25">
      <c r="G496" s="1"/>
      <c r="R496"/>
      <c r="S496"/>
    </row>
    <row r="497" spans="7:19" x14ac:dyDescent="0.25">
      <c r="G497" s="1"/>
      <c r="R497"/>
      <c r="S497"/>
    </row>
    <row r="498" spans="7:19" x14ac:dyDescent="0.25">
      <c r="G498" s="1"/>
      <c r="R498"/>
      <c r="S498"/>
    </row>
    <row r="499" spans="7:19" x14ac:dyDescent="0.25">
      <c r="G499" s="1"/>
      <c r="R499"/>
      <c r="S499"/>
    </row>
    <row r="500" spans="7:19" x14ac:dyDescent="0.25">
      <c r="G500" s="1"/>
      <c r="R500"/>
      <c r="S500"/>
    </row>
    <row r="501" spans="7:19" x14ac:dyDescent="0.25">
      <c r="G501" s="1"/>
      <c r="R501"/>
      <c r="S501"/>
    </row>
    <row r="502" spans="7:19" x14ac:dyDescent="0.25">
      <c r="G502" s="1"/>
      <c r="R502"/>
      <c r="S502"/>
    </row>
    <row r="503" spans="7:19" x14ac:dyDescent="0.25">
      <c r="G503" s="1"/>
      <c r="R503"/>
      <c r="S503"/>
    </row>
    <row r="504" spans="7:19" x14ac:dyDescent="0.25">
      <c r="G504" s="1"/>
      <c r="R504"/>
      <c r="S504"/>
    </row>
    <row r="505" spans="7:19" x14ac:dyDescent="0.25">
      <c r="G505" s="1"/>
      <c r="R505"/>
      <c r="S505"/>
    </row>
    <row r="506" spans="7:19" x14ac:dyDescent="0.25">
      <c r="G506" s="1"/>
      <c r="R506"/>
      <c r="S506"/>
    </row>
    <row r="507" spans="7:19" x14ac:dyDescent="0.25">
      <c r="G507" s="1"/>
      <c r="R507"/>
      <c r="S507"/>
    </row>
    <row r="508" spans="7:19" x14ac:dyDescent="0.25">
      <c r="G508" s="1"/>
      <c r="R508"/>
      <c r="S508"/>
    </row>
    <row r="509" spans="7:19" x14ac:dyDescent="0.25">
      <c r="G509" s="1"/>
      <c r="R509"/>
      <c r="S509"/>
    </row>
    <row r="510" spans="7:19" x14ac:dyDescent="0.25">
      <c r="G510" s="1"/>
      <c r="R510"/>
      <c r="S510"/>
    </row>
    <row r="511" spans="7:19" x14ac:dyDescent="0.25">
      <c r="G511" s="1"/>
      <c r="R511"/>
      <c r="S511"/>
    </row>
    <row r="512" spans="7:19" x14ac:dyDescent="0.25">
      <c r="G512" s="1"/>
      <c r="R512"/>
      <c r="S512"/>
    </row>
    <row r="513" spans="7:19" x14ac:dyDescent="0.25">
      <c r="G513" s="1"/>
      <c r="R513"/>
      <c r="S513"/>
    </row>
    <row r="514" spans="7:19" x14ac:dyDescent="0.25">
      <c r="G514" s="1"/>
      <c r="R514"/>
      <c r="S514"/>
    </row>
    <row r="515" spans="7:19" x14ac:dyDescent="0.25">
      <c r="G515" s="1"/>
      <c r="R515"/>
      <c r="S515"/>
    </row>
    <row r="516" spans="7:19" x14ac:dyDescent="0.25">
      <c r="G516" s="1"/>
      <c r="R516"/>
      <c r="S516"/>
    </row>
    <row r="517" spans="7:19" x14ac:dyDescent="0.25">
      <c r="G517" s="1"/>
      <c r="R517"/>
      <c r="S517"/>
    </row>
    <row r="518" spans="7:19" x14ac:dyDescent="0.25">
      <c r="G518" s="1"/>
      <c r="R518"/>
      <c r="S518"/>
    </row>
    <row r="519" spans="7:19" x14ac:dyDescent="0.25">
      <c r="G519" s="1"/>
      <c r="R519"/>
      <c r="S519"/>
    </row>
    <row r="520" spans="7:19" x14ac:dyDescent="0.25">
      <c r="G520" s="1"/>
      <c r="R520"/>
      <c r="S520"/>
    </row>
    <row r="521" spans="7:19" x14ac:dyDescent="0.25">
      <c r="G521" s="1"/>
      <c r="R521"/>
      <c r="S521"/>
    </row>
    <row r="522" spans="7:19" x14ac:dyDescent="0.25">
      <c r="G522" s="1"/>
      <c r="R522"/>
      <c r="S522"/>
    </row>
    <row r="523" spans="7:19" x14ac:dyDescent="0.25">
      <c r="G523" s="1"/>
      <c r="R523"/>
      <c r="S523"/>
    </row>
    <row r="524" spans="7:19" x14ac:dyDescent="0.25">
      <c r="G524" s="1"/>
      <c r="R524"/>
      <c r="S524"/>
    </row>
    <row r="525" spans="7:19" x14ac:dyDescent="0.25">
      <c r="G525" s="1"/>
      <c r="R525"/>
      <c r="S525"/>
    </row>
    <row r="526" spans="7:19" x14ac:dyDescent="0.25">
      <c r="G526" s="1"/>
      <c r="R526"/>
      <c r="S526"/>
    </row>
    <row r="527" spans="7:19" x14ac:dyDescent="0.25">
      <c r="G527" s="1"/>
      <c r="R527"/>
      <c r="S527"/>
    </row>
    <row r="528" spans="7:19" x14ac:dyDescent="0.25">
      <c r="G528" s="1"/>
      <c r="R528"/>
      <c r="S528"/>
    </row>
    <row r="529" spans="7:19" x14ac:dyDescent="0.25">
      <c r="G529" s="1"/>
      <c r="R529"/>
      <c r="S529"/>
    </row>
    <row r="530" spans="7:19" x14ac:dyDescent="0.25">
      <c r="G530" s="1"/>
      <c r="R530"/>
      <c r="S530"/>
    </row>
    <row r="531" spans="7:19" x14ac:dyDescent="0.25">
      <c r="G531" s="1"/>
      <c r="R531"/>
      <c r="S531"/>
    </row>
    <row r="532" spans="7:19" x14ac:dyDescent="0.25">
      <c r="G532" s="1"/>
      <c r="R532"/>
      <c r="S532"/>
    </row>
    <row r="533" spans="7:19" x14ac:dyDescent="0.25">
      <c r="G533" s="1"/>
      <c r="R533"/>
      <c r="S533"/>
    </row>
    <row r="534" spans="7:19" x14ac:dyDescent="0.25">
      <c r="G534" s="1"/>
      <c r="R534"/>
      <c r="S534"/>
    </row>
    <row r="535" spans="7:19" x14ac:dyDescent="0.25">
      <c r="G535" s="1"/>
      <c r="R535"/>
      <c r="S535"/>
    </row>
    <row r="536" spans="7:19" x14ac:dyDescent="0.25">
      <c r="G536" s="1"/>
      <c r="R536"/>
      <c r="S536"/>
    </row>
    <row r="537" spans="7:19" x14ac:dyDescent="0.25">
      <c r="G537" s="1"/>
      <c r="R537"/>
      <c r="S537"/>
    </row>
    <row r="538" spans="7:19" x14ac:dyDescent="0.25">
      <c r="G538" s="1"/>
      <c r="R538"/>
      <c r="S538"/>
    </row>
    <row r="539" spans="7:19" x14ac:dyDescent="0.25">
      <c r="G539" s="1"/>
      <c r="R539"/>
      <c r="S539"/>
    </row>
    <row r="540" spans="7:19" x14ac:dyDescent="0.25">
      <c r="G540" s="1"/>
      <c r="R540"/>
      <c r="S540"/>
    </row>
    <row r="541" spans="7:19" x14ac:dyDescent="0.25">
      <c r="G541" s="1"/>
      <c r="R541"/>
      <c r="S541"/>
    </row>
    <row r="542" spans="7:19" x14ac:dyDescent="0.25">
      <c r="G542" s="1"/>
      <c r="R542"/>
      <c r="S542"/>
    </row>
    <row r="543" spans="7:19" x14ac:dyDescent="0.25">
      <c r="G543" s="1"/>
      <c r="R543"/>
      <c r="S543"/>
    </row>
    <row r="544" spans="7:19" x14ac:dyDescent="0.25">
      <c r="G544" s="1"/>
      <c r="R544"/>
      <c r="S544"/>
    </row>
    <row r="545" spans="7:19" x14ac:dyDescent="0.25">
      <c r="G545" s="1"/>
      <c r="R545"/>
      <c r="S545"/>
    </row>
    <row r="546" spans="7:19" x14ac:dyDescent="0.25">
      <c r="G546" s="1"/>
      <c r="R546"/>
      <c r="S546"/>
    </row>
    <row r="547" spans="7:19" x14ac:dyDescent="0.25">
      <c r="G547" s="1"/>
      <c r="R547"/>
      <c r="S547"/>
    </row>
    <row r="548" spans="7:19" x14ac:dyDescent="0.25">
      <c r="G548" s="1"/>
      <c r="R548"/>
      <c r="S548"/>
    </row>
    <row r="549" spans="7:19" x14ac:dyDescent="0.25">
      <c r="G549" s="1"/>
      <c r="R549"/>
      <c r="S549"/>
    </row>
    <row r="550" spans="7:19" x14ac:dyDescent="0.25">
      <c r="G550" s="1"/>
      <c r="R550"/>
      <c r="S550"/>
    </row>
    <row r="551" spans="7:19" x14ac:dyDescent="0.25">
      <c r="G551" s="1"/>
      <c r="R551"/>
      <c r="S551"/>
    </row>
    <row r="552" spans="7:19" x14ac:dyDescent="0.25">
      <c r="G552" s="1"/>
      <c r="R552"/>
      <c r="S552"/>
    </row>
    <row r="553" spans="7:19" x14ac:dyDescent="0.25">
      <c r="G553" s="1"/>
      <c r="R553"/>
      <c r="S553"/>
    </row>
    <row r="554" spans="7:19" x14ac:dyDescent="0.25">
      <c r="G554" s="1"/>
      <c r="R554"/>
      <c r="S554"/>
    </row>
    <row r="555" spans="7:19" x14ac:dyDescent="0.25">
      <c r="G555" s="1"/>
      <c r="R555"/>
      <c r="S555"/>
    </row>
    <row r="556" spans="7:19" x14ac:dyDescent="0.25">
      <c r="G556" s="1"/>
      <c r="R556"/>
      <c r="S556"/>
    </row>
    <row r="557" spans="7:19" x14ac:dyDescent="0.25">
      <c r="G557" s="1"/>
      <c r="R557"/>
      <c r="S557"/>
    </row>
    <row r="558" spans="7:19" x14ac:dyDescent="0.25">
      <c r="G558" s="1"/>
      <c r="R558"/>
      <c r="S558"/>
    </row>
    <row r="559" spans="7:19" x14ac:dyDescent="0.25">
      <c r="G559" s="1"/>
      <c r="R559"/>
      <c r="S559"/>
    </row>
    <row r="560" spans="7:19" x14ac:dyDescent="0.25">
      <c r="G560" s="1"/>
      <c r="R560"/>
      <c r="S560"/>
    </row>
    <row r="561" spans="7:19" x14ac:dyDescent="0.25">
      <c r="G561" s="1"/>
      <c r="R561"/>
      <c r="S561"/>
    </row>
    <row r="562" spans="7:19" x14ac:dyDescent="0.25">
      <c r="G562" s="1"/>
      <c r="R562"/>
      <c r="S562"/>
    </row>
    <row r="563" spans="7:19" x14ac:dyDescent="0.25">
      <c r="G563" s="1"/>
      <c r="R563"/>
      <c r="S563"/>
    </row>
    <row r="564" spans="7:19" x14ac:dyDescent="0.25">
      <c r="G564" s="1"/>
      <c r="R564"/>
      <c r="S564"/>
    </row>
    <row r="565" spans="7:19" x14ac:dyDescent="0.25">
      <c r="G565" s="1"/>
      <c r="R565"/>
      <c r="S565"/>
    </row>
    <row r="566" spans="7:19" x14ac:dyDescent="0.25">
      <c r="G566" s="1"/>
      <c r="R566"/>
      <c r="S566"/>
    </row>
    <row r="567" spans="7:19" x14ac:dyDescent="0.25">
      <c r="G567" s="1"/>
      <c r="R567"/>
      <c r="S567"/>
    </row>
    <row r="568" spans="7:19" x14ac:dyDescent="0.25">
      <c r="G568" s="1"/>
      <c r="R568"/>
      <c r="S568"/>
    </row>
    <row r="569" spans="7:19" x14ac:dyDescent="0.25">
      <c r="G569" s="1"/>
      <c r="R569"/>
      <c r="S569"/>
    </row>
    <row r="570" spans="7:19" x14ac:dyDescent="0.25">
      <c r="G570" s="1"/>
      <c r="R570"/>
      <c r="S570"/>
    </row>
    <row r="571" spans="7:19" x14ac:dyDescent="0.25">
      <c r="G571" s="1"/>
      <c r="R571"/>
      <c r="S571"/>
    </row>
    <row r="572" spans="7:19" x14ac:dyDescent="0.25">
      <c r="G572" s="1"/>
      <c r="R572"/>
      <c r="S572"/>
    </row>
    <row r="573" spans="7:19" x14ac:dyDescent="0.25">
      <c r="G573" s="1"/>
      <c r="R573"/>
      <c r="S573"/>
    </row>
    <row r="574" spans="7:19" x14ac:dyDescent="0.25">
      <c r="G574" s="1"/>
      <c r="R574"/>
      <c r="S574"/>
    </row>
    <row r="575" spans="7:19" x14ac:dyDescent="0.25">
      <c r="G575" s="1"/>
      <c r="R575"/>
      <c r="S575"/>
    </row>
    <row r="576" spans="7:19" x14ac:dyDescent="0.25">
      <c r="G576" s="1"/>
      <c r="R576"/>
      <c r="S576"/>
    </row>
    <row r="577" spans="7:19" x14ac:dyDescent="0.25">
      <c r="G577" s="1"/>
      <c r="R577"/>
      <c r="S577"/>
    </row>
    <row r="578" spans="7:19" x14ac:dyDescent="0.25">
      <c r="G578" s="1"/>
      <c r="R578"/>
      <c r="S578"/>
    </row>
    <row r="579" spans="7:19" x14ac:dyDescent="0.25">
      <c r="G579" s="1"/>
      <c r="R579"/>
      <c r="S579"/>
    </row>
    <row r="580" spans="7:19" x14ac:dyDescent="0.25">
      <c r="G580" s="1"/>
      <c r="R580"/>
      <c r="S580"/>
    </row>
    <row r="581" spans="7:19" x14ac:dyDescent="0.25">
      <c r="G581" s="1"/>
      <c r="R581"/>
      <c r="S581"/>
    </row>
    <row r="582" spans="7:19" x14ac:dyDescent="0.25">
      <c r="G582" s="1"/>
      <c r="R582"/>
      <c r="S582"/>
    </row>
    <row r="583" spans="7:19" x14ac:dyDescent="0.25">
      <c r="G583" s="1"/>
      <c r="R583"/>
      <c r="S583"/>
    </row>
    <row r="584" spans="7:19" x14ac:dyDescent="0.25">
      <c r="G584" s="1"/>
      <c r="R584"/>
      <c r="S584"/>
    </row>
    <row r="585" spans="7:19" x14ac:dyDescent="0.25">
      <c r="G585" s="1"/>
      <c r="R585"/>
      <c r="S585"/>
    </row>
    <row r="586" spans="7:19" x14ac:dyDescent="0.25">
      <c r="G586" s="1"/>
      <c r="R586"/>
      <c r="S586"/>
    </row>
    <row r="587" spans="7:19" x14ac:dyDescent="0.25">
      <c r="G587" s="1"/>
      <c r="R587"/>
      <c r="S587"/>
    </row>
    <row r="588" spans="7:19" x14ac:dyDescent="0.25">
      <c r="G588" s="1"/>
      <c r="R588"/>
      <c r="S588"/>
    </row>
    <row r="589" spans="7:19" x14ac:dyDescent="0.25">
      <c r="G589" s="1"/>
      <c r="R589"/>
      <c r="S589"/>
    </row>
    <row r="590" spans="7:19" x14ac:dyDescent="0.25">
      <c r="G590" s="1"/>
      <c r="R590"/>
      <c r="S590"/>
    </row>
    <row r="591" spans="7:19" x14ac:dyDescent="0.25">
      <c r="G591" s="1"/>
      <c r="R591"/>
      <c r="S591"/>
    </row>
    <row r="592" spans="7:19" x14ac:dyDescent="0.25">
      <c r="G592" s="1"/>
      <c r="R592"/>
      <c r="S592"/>
    </row>
    <row r="593" spans="7:19" x14ac:dyDescent="0.25">
      <c r="G593" s="1"/>
      <c r="R593"/>
      <c r="S593"/>
    </row>
    <row r="594" spans="7:19" x14ac:dyDescent="0.25">
      <c r="G594" s="1"/>
      <c r="R594"/>
      <c r="S594"/>
    </row>
    <row r="595" spans="7:19" x14ac:dyDescent="0.25">
      <c r="G595" s="1"/>
      <c r="R595"/>
      <c r="S595"/>
    </row>
    <row r="596" spans="7:19" x14ac:dyDescent="0.25">
      <c r="G596" s="1"/>
      <c r="R596"/>
      <c r="S596"/>
    </row>
    <row r="597" spans="7:19" x14ac:dyDescent="0.25">
      <c r="G597" s="1"/>
      <c r="R597"/>
      <c r="S597"/>
    </row>
    <row r="598" spans="7:19" x14ac:dyDescent="0.25">
      <c r="G598" s="1"/>
      <c r="R598"/>
      <c r="S598"/>
    </row>
    <row r="599" spans="7:19" x14ac:dyDescent="0.25">
      <c r="G599" s="1"/>
      <c r="R599"/>
      <c r="S599"/>
    </row>
    <row r="600" spans="7:19" x14ac:dyDescent="0.25">
      <c r="G600" s="1"/>
      <c r="R600"/>
      <c r="S600"/>
    </row>
    <row r="601" spans="7:19" x14ac:dyDescent="0.25">
      <c r="G601" s="1"/>
      <c r="R601"/>
      <c r="S601"/>
    </row>
    <row r="602" spans="7:19" x14ac:dyDescent="0.25">
      <c r="G602" s="1"/>
      <c r="R602"/>
      <c r="S602"/>
    </row>
    <row r="603" spans="7:19" x14ac:dyDescent="0.25">
      <c r="G603" s="1"/>
      <c r="R603"/>
      <c r="S603"/>
    </row>
    <row r="604" spans="7:19" x14ac:dyDescent="0.25">
      <c r="G604" s="1"/>
      <c r="R604"/>
      <c r="S604"/>
    </row>
    <row r="605" spans="7:19" x14ac:dyDescent="0.25">
      <c r="G605" s="1"/>
      <c r="R605"/>
      <c r="S605"/>
    </row>
    <row r="606" spans="7:19" x14ac:dyDescent="0.25">
      <c r="G606" s="1"/>
      <c r="R606"/>
      <c r="S606"/>
    </row>
    <row r="607" spans="7:19" x14ac:dyDescent="0.25">
      <c r="G607" s="1"/>
      <c r="R607"/>
      <c r="S607"/>
    </row>
    <row r="608" spans="7:19" x14ac:dyDescent="0.25">
      <c r="G608" s="1"/>
      <c r="R608"/>
      <c r="S608"/>
    </row>
    <row r="609" spans="7:19" x14ac:dyDescent="0.25">
      <c r="G609" s="1"/>
      <c r="R609"/>
      <c r="S609"/>
    </row>
    <row r="610" spans="7:19" x14ac:dyDescent="0.25">
      <c r="G610" s="1"/>
      <c r="R610"/>
      <c r="S610"/>
    </row>
    <row r="611" spans="7:19" x14ac:dyDescent="0.25">
      <c r="G611" s="1"/>
      <c r="R611"/>
      <c r="S611"/>
    </row>
    <row r="612" spans="7:19" x14ac:dyDescent="0.25">
      <c r="G612" s="1"/>
      <c r="R612"/>
      <c r="S612"/>
    </row>
    <row r="613" spans="7:19" x14ac:dyDescent="0.25">
      <c r="G613" s="1"/>
      <c r="R613"/>
      <c r="S613"/>
    </row>
    <row r="614" spans="7:19" x14ac:dyDescent="0.25">
      <c r="G614" s="1"/>
      <c r="R614"/>
      <c r="S614"/>
    </row>
    <row r="615" spans="7:19" x14ac:dyDescent="0.25">
      <c r="G615" s="1"/>
      <c r="R615"/>
      <c r="S615"/>
    </row>
    <row r="616" spans="7:19" x14ac:dyDescent="0.25">
      <c r="G616" s="1"/>
      <c r="R616"/>
      <c r="S616"/>
    </row>
    <row r="617" spans="7:19" x14ac:dyDescent="0.25">
      <c r="G617" s="1"/>
      <c r="R617"/>
      <c r="S617"/>
    </row>
    <row r="618" spans="7:19" x14ac:dyDescent="0.25">
      <c r="G618" s="1"/>
      <c r="R618"/>
      <c r="S618"/>
    </row>
    <row r="619" spans="7:19" x14ac:dyDescent="0.25">
      <c r="G619" s="1"/>
      <c r="R619"/>
      <c r="S619"/>
    </row>
    <row r="620" spans="7:19" x14ac:dyDescent="0.25">
      <c r="G620" s="1"/>
      <c r="R620"/>
      <c r="S620"/>
    </row>
    <row r="621" spans="7:19" x14ac:dyDescent="0.25">
      <c r="G621" s="1"/>
      <c r="R621"/>
      <c r="S621"/>
    </row>
    <row r="622" spans="7:19" x14ac:dyDescent="0.25">
      <c r="G622" s="1"/>
      <c r="R622"/>
      <c r="S622"/>
    </row>
    <row r="623" spans="7:19" x14ac:dyDescent="0.25">
      <c r="G623" s="1"/>
      <c r="R623"/>
      <c r="S623"/>
    </row>
    <row r="624" spans="7:19" x14ac:dyDescent="0.25">
      <c r="G624" s="1"/>
      <c r="R624"/>
      <c r="S624"/>
    </row>
    <row r="625" spans="7:19" x14ac:dyDescent="0.25">
      <c r="G625" s="1"/>
      <c r="R625"/>
      <c r="S625"/>
    </row>
    <row r="626" spans="7:19" x14ac:dyDescent="0.25">
      <c r="G626" s="1"/>
      <c r="R626"/>
      <c r="S626"/>
    </row>
    <row r="627" spans="7:19" x14ac:dyDescent="0.25">
      <c r="G627" s="1"/>
      <c r="R627"/>
      <c r="S627"/>
    </row>
    <row r="628" spans="7:19" x14ac:dyDescent="0.25">
      <c r="G628" s="1"/>
      <c r="R628"/>
      <c r="S628"/>
    </row>
    <row r="629" spans="7:19" x14ac:dyDescent="0.25">
      <c r="G629" s="1"/>
      <c r="R629"/>
      <c r="S629"/>
    </row>
    <row r="630" spans="7:19" x14ac:dyDescent="0.25">
      <c r="G630" s="1"/>
      <c r="R630"/>
      <c r="S630"/>
    </row>
    <row r="631" spans="7:19" x14ac:dyDescent="0.25">
      <c r="G631" s="1"/>
      <c r="R631"/>
      <c r="S631"/>
    </row>
    <row r="632" spans="7:19" x14ac:dyDescent="0.25">
      <c r="G632" s="1"/>
      <c r="R632"/>
      <c r="S632"/>
    </row>
    <row r="633" spans="7:19" x14ac:dyDescent="0.25">
      <c r="G633" s="1"/>
      <c r="R633"/>
      <c r="S633"/>
    </row>
    <row r="634" spans="7:19" x14ac:dyDescent="0.25">
      <c r="G634" s="1"/>
      <c r="R634"/>
      <c r="S634"/>
    </row>
    <row r="635" spans="7:19" x14ac:dyDescent="0.25">
      <c r="G635" s="1"/>
      <c r="R635"/>
      <c r="S635"/>
    </row>
    <row r="636" spans="7:19" x14ac:dyDescent="0.25">
      <c r="G636" s="1"/>
      <c r="R636"/>
      <c r="S636"/>
    </row>
    <row r="637" spans="7:19" x14ac:dyDescent="0.25">
      <c r="G637" s="1"/>
      <c r="R637"/>
      <c r="S637"/>
    </row>
    <row r="638" spans="7:19" x14ac:dyDescent="0.25">
      <c r="G638" s="1"/>
      <c r="R638"/>
      <c r="S638"/>
    </row>
    <row r="639" spans="7:19" x14ac:dyDescent="0.25">
      <c r="G639" s="1"/>
      <c r="R639"/>
      <c r="S639"/>
    </row>
    <row r="640" spans="7:19" x14ac:dyDescent="0.25">
      <c r="G640" s="1"/>
      <c r="R640"/>
      <c r="S640"/>
    </row>
    <row r="641" spans="7:19" x14ac:dyDescent="0.25">
      <c r="G641" s="1"/>
      <c r="R641"/>
      <c r="S641"/>
    </row>
    <row r="642" spans="7:19" x14ac:dyDescent="0.25">
      <c r="G642" s="1"/>
      <c r="R642"/>
      <c r="S642"/>
    </row>
    <row r="643" spans="7:19" x14ac:dyDescent="0.25">
      <c r="G643" s="1"/>
      <c r="R643"/>
      <c r="S643"/>
    </row>
    <row r="644" spans="7:19" x14ac:dyDescent="0.25">
      <c r="G644" s="1"/>
      <c r="R644"/>
      <c r="S644"/>
    </row>
    <row r="645" spans="7:19" x14ac:dyDescent="0.25">
      <c r="G645" s="1"/>
      <c r="R645"/>
      <c r="S645"/>
    </row>
    <row r="646" spans="7:19" x14ac:dyDescent="0.25">
      <c r="G646" s="1"/>
      <c r="R646"/>
      <c r="S646"/>
    </row>
    <row r="647" spans="7:19" x14ac:dyDescent="0.25">
      <c r="G647" s="1"/>
      <c r="R647"/>
      <c r="S647"/>
    </row>
    <row r="648" spans="7:19" x14ac:dyDescent="0.25">
      <c r="G648" s="1"/>
      <c r="R648"/>
      <c r="S648"/>
    </row>
    <row r="649" spans="7:19" x14ac:dyDescent="0.25">
      <c r="G649" s="1"/>
      <c r="R649"/>
      <c r="S649"/>
    </row>
    <row r="650" spans="7:19" x14ac:dyDescent="0.25">
      <c r="G650" s="1"/>
      <c r="R650"/>
      <c r="S650"/>
    </row>
    <row r="651" spans="7:19" x14ac:dyDescent="0.25">
      <c r="G651" s="1"/>
      <c r="R651"/>
      <c r="S651"/>
    </row>
    <row r="652" spans="7:19" x14ac:dyDescent="0.25">
      <c r="G652" s="1"/>
      <c r="R652"/>
      <c r="S652"/>
    </row>
    <row r="653" spans="7:19" x14ac:dyDescent="0.25">
      <c r="G653" s="1"/>
      <c r="R653"/>
      <c r="S653"/>
    </row>
    <row r="654" spans="7:19" x14ac:dyDescent="0.25">
      <c r="G654" s="1"/>
      <c r="R654"/>
      <c r="S654"/>
    </row>
    <row r="655" spans="7:19" x14ac:dyDescent="0.25">
      <c r="G655" s="1"/>
      <c r="R655"/>
      <c r="S655"/>
    </row>
    <row r="656" spans="7:19" x14ac:dyDescent="0.25">
      <c r="G656" s="1"/>
      <c r="R656"/>
      <c r="S656"/>
    </row>
    <row r="657" spans="7:19" x14ac:dyDescent="0.25">
      <c r="G657" s="1"/>
      <c r="R657"/>
      <c r="S657"/>
    </row>
    <row r="658" spans="7:19" x14ac:dyDescent="0.25">
      <c r="G658" s="1"/>
      <c r="R658"/>
      <c r="S658"/>
    </row>
    <row r="659" spans="7:19" x14ac:dyDescent="0.25">
      <c r="G659" s="1"/>
      <c r="R659"/>
      <c r="S659"/>
    </row>
    <row r="660" spans="7:19" x14ac:dyDescent="0.25">
      <c r="G660" s="1"/>
      <c r="R660"/>
      <c r="S660"/>
    </row>
    <row r="661" spans="7:19" x14ac:dyDescent="0.25">
      <c r="G661" s="1"/>
      <c r="R661"/>
      <c r="S661"/>
    </row>
    <row r="662" spans="7:19" x14ac:dyDescent="0.25">
      <c r="G662" s="1"/>
      <c r="R662"/>
      <c r="S662"/>
    </row>
    <row r="663" spans="7:19" x14ac:dyDescent="0.25">
      <c r="G663" s="1"/>
      <c r="R663"/>
      <c r="S663"/>
    </row>
    <row r="664" spans="7:19" x14ac:dyDescent="0.25">
      <c r="G664" s="1"/>
      <c r="R664"/>
      <c r="S664"/>
    </row>
    <row r="665" spans="7:19" x14ac:dyDescent="0.25">
      <c r="G665" s="1"/>
      <c r="R665"/>
      <c r="S665"/>
    </row>
    <row r="666" spans="7:19" x14ac:dyDescent="0.25">
      <c r="G666" s="1"/>
      <c r="R666"/>
      <c r="S666"/>
    </row>
    <row r="667" spans="7:19" x14ac:dyDescent="0.25">
      <c r="G667" s="1"/>
      <c r="R667"/>
      <c r="S667"/>
    </row>
    <row r="668" spans="7:19" x14ac:dyDescent="0.25">
      <c r="G668" s="1"/>
      <c r="R668"/>
      <c r="S668"/>
    </row>
    <row r="669" spans="7:19" x14ac:dyDescent="0.25">
      <c r="G669" s="1"/>
      <c r="R669"/>
      <c r="S669"/>
    </row>
    <row r="670" spans="7:19" x14ac:dyDescent="0.25">
      <c r="G670" s="1"/>
      <c r="R670"/>
      <c r="S670"/>
    </row>
    <row r="671" spans="7:19" x14ac:dyDescent="0.25">
      <c r="G671" s="1"/>
      <c r="R671"/>
      <c r="S671"/>
    </row>
    <row r="672" spans="7:19" x14ac:dyDescent="0.25">
      <c r="G672" s="1"/>
      <c r="R672"/>
      <c r="S672"/>
    </row>
    <row r="673" spans="7:19" x14ac:dyDescent="0.25">
      <c r="G673" s="1"/>
      <c r="R673"/>
      <c r="S673"/>
    </row>
    <row r="674" spans="7:19" x14ac:dyDescent="0.25">
      <c r="G674" s="1"/>
      <c r="R674"/>
      <c r="S674"/>
    </row>
    <row r="675" spans="7:19" x14ac:dyDescent="0.25">
      <c r="G675" s="1"/>
      <c r="R675"/>
      <c r="S675"/>
    </row>
    <row r="676" spans="7:19" x14ac:dyDescent="0.25">
      <c r="G676" s="1"/>
      <c r="R676"/>
      <c r="S676"/>
    </row>
    <row r="677" spans="7:19" x14ac:dyDescent="0.25">
      <c r="G677" s="1"/>
      <c r="R677"/>
      <c r="S677"/>
    </row>
    <row r="678" spans="7:19" x14ac:dyDescent="0.25">
      <c r="G678" s="1"/>
      <c r="R678"/>
      <c r="S678"/>
    </row>
    <row r="679" spans="7:19" x14ac:dyDescent="0.25">
      <c r="G679" s="1"/>
      <c r="R679"/>
      <c r="S679"/>
    </row>
    <row r="680" spans="7:19" x14ac:dyDescent="0.25">
      <c r="G680" s="1"/>
      <c r="R680"/>
      <c r="S680"/>
    </row>
    <row r="681" spans="7:19" x14ac:dyDescent="0.25">
      <c r="G681" s="1"/>
      <c r="R681"/>
      <c r="S681"/>
    </row>
    <row r="682" spans="7:19" x14ac:dyDescent="0.25">
      <c r="G682" s="1"/>
      <c r="R682"/>
      <c r="S682"/>
    </row>
    <row r="683" spans="7:19" x14ac:dyDescent="0.25">
      <c r="G683" s="1"/>
      <c r="R683"/>
      <c r="S683"/>
    </row>
    <row r="684" spans="7:19" x14ac:dyDescent="0.25">
      <c r="G684" s="1"/>
      <c r="R684"/>
      <c r="S684"/>
    </row>
    <row r="685" spans="7:19" x14ac:dyDescent="0.25">
      <c r="G685" s="1"/>
      <c r="R685"/>
      <c r="S685"/>
    </row>
    <row r="686" spans="7:19" x14ac:dyDescent="0.25">
      <c r="G686" s="1"/>
      <c r="R686"/>
      <c r="S686"/>
    </row>
    <row r="687" spans="7:19" x14ac:dyDescent="0.25">
      <c r="G687" s="1"/>
      <c r="R687"/>
      <c r="S687"/>
    </row>
    <row r="688" spans="7:19" x14ac:dyDescent="0.25">
      <c r="G688" s="1"/>
      <c r="R688"/>
      <c r="S688"/>
    </row>
    <row r="689" spans="7:19" x14ac:dyDescent="0.25">
      <c r="G689" s="1"/>
      <c r="R689"/>
      <c r="S689"/>
    </row>
    <row r="690" spans="7:19" x14ac:dyDescent="0.25">
      <c r="G690" s="1"/>
      <c r="R690"/>
      <c r="S690"/>
    </row>
    <row r="691" spans="7:19" x14ac:dyDescent="0.25">
      <c r="G691" s="1"/>
      <c r="R691"/>
      <c r="S691"/>
    </row>
    <row r="692" spans="7:19" x14ac:dyDescent="0.25">
      <c r="G692" s="1"/>
      <c r="R692"/>
      <c r="S692"/>
    </row>
    <row r="693" spans="7:19" x14ac:dyDescent="0.25">
      <c r="G693" s="1"/>
      <c r="R693"/>
      <c r="S693"/>
    </row>
    <row r="694" spans="7:19" x14ac:dyDescent="0.25">
      <c r="G694" s="1"/>
      <c r="R694"/>
      <c r="S694"/>
    </row>
    <row r="695" spans="7:19" x14ac:dyDescent="0.25">
      <c r="G695" s="1"/>
      <c r="R695"/>
      <c r="S695"/>
    </row>
    <row r="696" spans="7:19" x14ac:dyDescent="0.25">
      <c r="G696" s="1"/>
      <c r="R696"/>
      <c r="S696"/>
    </row>
    <row r="697" spans="7:19" x14ac:dyDescent="0.25">
      <c r="G697" s="1"/>
      <c r="R697"/>
      <c r="S697"/>
    </row>
    <row r="698" spans="7:19" x14ac:dyDescent="0.25">
      <c r="G698" s="1"/>
      <c r="R698"/>
      <c r="S698"/>
    </row>
    <row r="699" spans="7:19" x14ac:dyDescent="0.25">
      <c r="G699" s="1"/>
      <c r="R699"/>
      <c r="S699"/>
    </row>
    <row r="700" spans="7:19" x14ac:dyDescent="0.25">
      <c r="G700" s="1"/>
      <c r="R700"/>
      <c r="S700"/>
    </row>
    <row r="701" spans="7:19" x14ac:dyDescent="0.25">
      <c r="G701" s="1"/>
      <c r="R701"/>
      <c r="S701"/>
    </row>
    <row r="702" spans="7:19" x14ac:dyDescent="0.25">
      <c r="G702" s="1"/>
      <c r="R702"/>
      <c r="S702"/>
    </row>
    <row r="703" spans="7:19" x14ac:dyDescent="0.25">
      <c r="G703" s="1"/>
      <c r="R703"/>
      <c r="S703"/>
    </row>
    <row r="704" spans="7:19" x14ac:dyDescent="0.25">
      <c r="G704" s="1"/>
      <c r="R704"/>
      <c r="S704"/>
    </row>
    <row r="705" spans="7:19" x14ac:dyDescent="0.25">
      <c r="G705" s="1"/>
      <c r="R705"/>
      <c r="S705"/>
    </row>
    <row r="706" spans="7:19" x14ac:dyDescent="0.25">
      <c r="G706" s="1"/>
      <c r="R706"/>
      <c r="S706"/>
    </row>
    <row r="707" spans="7:19" x14ac:dyDescent="0.25">
      <c r="G707" s="1"/>
      <c r="R707"/>
      <c r="S707"/>
    </row>
    <row r="708" spans="7:19" x14ac:dyDescent="0.25">
      <c r="G708" s="1"/>
      <c r="R708"/>
      <c r="S708"/>
    </row>
    <row r="709" spans="7:19" x14ac:dyDescent="0.25">
      <c r="G709" s="1"/>
      <c r="R709"/>
      <c r="S709"/>
    </row>
    <row r="710" spans="7:19" x14ac:dyDescent="0.25">
      <c r="G710" s="1"/>
      <c r="R710"/>
      <c r="S710"/>
    </row>
    <row r="711" spans="7:19" x14ac:dyDescent="0.25">
      <c r="G711" s="1"/>
      <c r="R711"/>
      <c r="S711"/>
    </row>
    <row r="712" spans="7:19" x14ac:dyDescent="0.25">
      <c r="G712" s="1"/>
      <c r="R712"/>
      <c r="S712"/>
    </row>
    <row r="713" spans="7:19" x14ac:dyDescent="0.25">
      <c r="G713" s="1"/>
      <c r="R713"/>
      <c r="S713"/>
    </row>
    <row r="714" spans="7:19" x14ac:dyDescent="0.25">
      <c r="G714" s="1"/>
      <c r="R714"/>
      <c r="S714"/>
    </row>
    <row r="715" spans="7:19" x14ac:dyDescent="0.25">
      <c r="G715" s="1"/>
      <c r="R715"/>
      <c r="S715"/>
    </row>
    <row r="716" spans="7:19" x14ac:dyDescent="0.25">
      <c r="G716" s="1"/>
      <c r="R716"/>
      <c r="S716"/>
    </row>
    <row r="717" spans="7:19" x14ac:dyDescent="0.25">
      <c r="G717" s="1"/>
      <c r="R717"/>
      <c r="S717"/>
    </row>
    <row r="718" spans="7:19" x14ac:dyDescent="0.25">
      <c r="G718" s="1"/>
      <c r="R718"/>
      <c r="S718"/>
    </row>
    <row r="719" spans="7:19" x14ac:dyDescent="0.25">
      <c r="G719" s="1"/>
      <c r="R719"/>
      <c r="S719"/>
    </row>
    <row r="720" spans="7:19" x14ac:dyDescent="0.25">
      <c r="G720" s="1"/>
      <c r="R720"/>
      <c r="S720"/>
    </row>
    <row r="721" spans="7:19" x14ac:dyDescent="0.25">
      <c r="G721" s="1"/>
      <c r="R721"/>
      <c r="S721"/>
    </row>
    <row r="722" spans="7:19" x14ac:dyDescent="0.25">
      <c r="G722" s="1"/>
      <c r="R722"/>
      <c r="S722"/>
    </row>
    <row r="723" spans="7:19" x14ac:dyDescent="0.25">
      <c r="G723" s="1"/>
      <c r="R723"/>
      <c r="S723"/>
    </row>
    <row r="724" spans="7:19" x14ac:dyDescent="0.25">
      <c r="G724" s="1"/>
      <c r="R724"/>
      <c r="S724"/>
    </row>
    <row r="725" spans="7:19" x14ac:dyDescent="0.25">
      <c r="G725" s="1"/>
      <c r="R725"/>
      <c r="S725"/>
    </row>
    <row r="726" spans="7:19" x14ac:dyDescent="0.25">
      <c r="G726" s="1"/>
      <c r="R726"/>
      <c r="S726"/>
    </row>
    <row r="727" spans="7:19" x14ac:dyDescent="0.25">
      <c r="G727" s="1"/>
      <c r="R727"/>
      <c r="S727"/>
    </row>
    <row r="728" spans="7:19" x14ac:dyDescent="0.25">
      <c r="G728" s="1"/>
      <c r="R728"/>
      <c r="S728"/>
    </row>
    <row r="729" spans="7:19" x14ac:dyDescent="0.25">
      <c r="R729"/>
      <c r="S729"/>
    </row>
  </sheetData>
  <autoFilter ref="A2:AO314" xr:uid="{00000000-0001-0000-0000-000000000000}"/>
  <mergeCells count="5">
    <mergeCell ref="A1:G1"/>
    <mergeCell ref="AJ1:AP1"/>
    <mergeCell ref="AC1:AI1"/>
    <mergeCell ref="R1:AB1"/>
    <mergeCell ref="J1:Q1"/>
  </mergeCells>
  <phoneticPr fontId="18" type="noConversion"/>
  <conditionalFormatting sqref="AK3:AL1048576">
    <cfRule type="expression" dxfId="11" priority="9">
      <formula>IF($B3 = "Julia", TRUE, FALSE)</formula>
    </cfRule>
  </conditionalFormatting>
  <conditionalFormatting sqref="AJ3:AJ1048576">
    <cfRule type="expression" dxfId="10" priority="7">
      <formula>IF($B3 = "Python", TRUE, FALSE)</formula>
    </cfRule>
  </conditionalFormatting>
  <conditionalFormatting sqref="X3:AB319 X344:AB1048576 Y320:AB343">
    <cfRule type="notContainsBlanks" dxfId="9" priority="10">
      <formula>LEN(TRIM(X3))&gt;0</formula>
    </cfRule>
  </conditionalFormatting>
  <conditionalFormatting sqref="AM3:AO1048576">
    <cfRule type="notContainsBlanks" dxfId="8" priority="3">
      <formula>LEN(TRIM(AM3))&gt;0</formula>
    </cfRule>
  </conditionalFormatting>
  <conditionalFormatting sqref="AP3:AP1048576">
    <cfRule type="notContainsBlanks" dxfId="7" priority="2">
      <formula>LEN(TRIM(AP3))&gt;0</formula>
    </cfRule>
  </conditionalFormatting>
  <conditionalFormatting sqref="AG3:AH1048576">
    <cfRule type="notContainsBlanks" dxfId="6" priority="1">
      <formula>LEN(TRIM(AG3))&gt;0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9E62-6768-40FF-BCAF-58ABD1EF9309}">
  <dimension ref="A1:L279"/>
  <sheetViews>
    <sheetView topLeftCell="G1" workbookViewId="0">
      <selection activeCell="V25" sqref="V25"/>
    </sheetView>
  </sheetViews>
  <sheetFormatPr defaultColWidth="15.7109375" defaultRowHeight="15" x14ac:dyDescent="0.25"/>
  <cols>
    <col min="1" max="1" width="29.5703125" bestFit="1" customWidth="1"/>
    <col min="2" max="5" width="10.7109375" customWidth="1"/>
    <col min="6" max="6" width="15.85546875" style="6" bestFit="1" customWidth="1"/>
    <col min="7" max="10" width="10.7109375" customWidth="1"/>
  </cols>
  <sheetData>
    <row r="1" spans="1:12" ht="53.45" customHeight="1" thickBot="1" x14ac:dyDescent="0.3">
      <c r="A1" s="51" t="s">
        <v>72</v>
      </c>
      <c r="B1" s="52" t="s">
        <v>73</v>
      </c>
      <c r="C1" s="52" t="s">
        <v>74</v>
      </c>
      <c r="D1" s="52" t="s">
        <v>75</v>
      </c>
      <c r="E1" s="52" t="s">
        <v>76</v>
      </c>
      <c r="F1" s="53" t="s">
        <v>77</v>
      </c>
      <c r="G1" s="52" t="s">
        <v>78</v>
      </c>
      <c r="H1" s="52" t="s">
        <v>79</v>
      </c>
      <c r="I1" s="67" t="s">
        <v>80</v>
      </c>
      <c r="J1" s="54" t="s">
        <v>81</v>
      </c>
      <c r="K1" s="67" t="s">
        <v>82</v>
      </c>
      <c r="L1" s="105" t="s">
        <v>427</v>
      </c>
    </row>
    <row r="2" spans="1:12" ht="15.75" thickBot="1" x14ac:dyDescent="0.3">
      <c r="A2" s="7" t="s">
        <v>83</v>
      </c>
      <c r="B2" s="8" t="str">
        <f t="shared" ref="B2:B33" si="0">LEFT(A2,8)</f>
        <v>AR24-005</v>
      </c>
      <c r="C2" s="8" t="str">
        <f t="shared" ref="C2:C33" si="1">MID(A2,24,2)</f>
        <v>01</v>
      </c>
      <c r="D2" s="8" t="str">
        <f t="shared" ref="D2:D33" si="2">MID(A2,27,2)</f>
        <v>01</v>
      </c>
      <c r="E2" s="8">
        <f t="shared" ref="E2:E33" si="3">MID(A2,14,4)-222</f>
        <v>1</v>
      </c>
      <c r="F2" s="40">
        <v>45345.567789351902</v>
      </c>
      <c r="G2" s="8">
        <v>599.96199999999999</v>
      </c>
      <c r="H2" s="121">
        <f>AVERAGE(G2:G4)</f>
        <v>615.07679999999993</v>
      </c>
      <c r="I2" s="121">
        <f>100*J2/H2</f>
        <v>2.4170082845145333</v>
      </c>
      <c r="J2" s="123">
        <f>STDEV(G2:G4)</f>
        <v>14.866457212126885</v>
      </c>
    </row>
    <row r="3" spans="1:12" ht="15.75" thickBot="1" x14ac:dyDescent="0.3">
      <c r="A3" s="2" t="s">
        <v>84</v>
      </c>
      <c r="B3" t="str">
        <f t="shared" si="0"/>
        <v>AR24-005</v>
      </c>
      <c r="C3" t="str">
        <f t="shared" si="1"/>
        <v>01</v>
      </c>
      <c r="D3" t="str">
        <f t="shared" si="2"/>
        <v>02</v>
      </c>
      <c r="E3">
        <f t="shared" si="3"/>
        <v>1</v>
      </c>
      <c r="F3" s="6">
        <v>45345.575439814798</v>
      </c>
      <c r="G3">
        <v>615.58659999999998</v>
      </c>
      <c r="H3" s="119"/>
      <c r="I3" s="121"/>
      <c r="J3" s="124"/>
    </row>
    <row r="4" spans="1:12" x14ac:dyDescent="0.25">
      <c r="A4" s="2" t="s">
        <v>85</v>
      </c>
      <c r="B4" t="str">
        <f t="shared" si="0"/>
        <v>AR24-005</v>
      </c>
      <c r="C4" t="str">
        <f t="shared" si="1"/>
        <v>01</v>
      </c>
      <c r="D4" t="str">
        <f t="shared" si="2"/>
        <v>03</v>
      </c>
      <c r="E4">
        <f t="shared" si="3"/>
        <v>1</v>
      </c>
      <c r="F4" s="6">
        <v>45345.575567129599</v>
      </c>
      <c r="G4">
        <v>629.68179999999995</v>
      </c>
      <c r="H4" s="119"/>
      <c r="I4" s="121"/>
      <c r="J4" s="124"/>
    </row>
    <row r="5" spans="1:12" x14ac:dyDescent="0.25">
      <c r="A5" s="2" t="s">
        <v>86</v>
      </c>
      <c r="B5" t="str">
        <f t="shared" si="0"/>
        <v>AR24-005</v>
      </c>
      <c r="C5" t="str">
        <f t="shared" si="1"/>
        <v>02</v>
      </c>
      <c r="D5" t="str">
        <f t="shared" si="2"/>
        <v>01</v>
      </c>
      <c r="E5">
        <f t="shared" si="3"/>
        <v>1</v>
      </c>
      <c r="F5" s="6">
        <v>45345.567893518499</v>
      </c>
      <c r="G5">
        <v>425.1884</v>
      </c>
      <c r="H5" s="119">
        <f>AVERAGE(G5:G7)</f>
        <v>421.26396666666665</v>
      </c>
      <c r="I5" s="119">
        <f>100*J5/H5</f>
        <v>1.1137487812315519</v>
      </c>
      <c r="J5" s="124">
        <f>STDEV(G5:G7)</f>
        <v>4.6918222945176904</v>
      </c>
    </row>
    <row r="6" spans="1:12" x14ac:dyDescent="0.25">
      <c r="A6" s="2" t="s">
        <v>87</v>
      </c>
      <c r="B6" t="str">
        <f t="shared" si="0"/>
        <v>AR24-005</v>
      </c>
      <c r="C6" t="str">
        <f t="shared" si="1"/>
        <v>02</v>
      </c>
      <c r="D6" t="str">
        <f t="shared" si="2"/>
        <v>02</v>
      </c>
      <c r="E6">
        <f t="shared" si="3"/>
        <v>1</v>
      </c>
      <c r="F6" s="6">
        <v>45345.575682870403</v>
      </c>
      <c r="G6">
        <v>422.53629999999998</v>
      </c>
      <c r="H6" s="119"/>
      <c r="I6" s="119"/>
      <c r="J6" s="124"/>
      <c r="K6">
        <f>AVERAGE(I2:I10)</f>
        <v>2.2067512320373641</v>
      </c>
      <c r="L6" s="20">
        <f>AVERAGE(J2:J10)</f>
        <v>10.884786720307259</v>
      </c>
    </row>
    <row r="7" spans="1:12" x14ac:dyDescent="0.25">
      <c r="A7" s="2" t="s">
        <v>88</v>
      </c>
      <c r="B7" t="str">
        <f t="shared" si="0"/>
        <v>AR24-005</v>
      </c>
      <c r="C7" t="str">
        <f t="shared" si="1"/>
        <v>02</v>
      </c>
      <c r="D7" t="str">
        <f t="shared" si="2"/>
        <v>03</v>
      </c>
      <c r="E7">
        <f t="shared" si="3"/>
        <v>1</v>
      </c>
      <c r="F7" s="6">
        <v>45345.575810185197</v>
      </c>
      <c r="G7">
        <v>416.06720000000001</v>
      </c>
      <c r="H7" s="119"/>
      <c r="I7" s="119"/>
      <c r="J7" s="124"/>
    </row>
    <row r="8" spans="1:12" x14ac:dyDescent="0.25">
      <c r="A8" s="2" t="s">
        <v>89</v>
      </c>
      <c r="B8" t="str">
        <f t="shared" si="0"/>
        <v>AR24-005</v>
      </c>
      <c r="C8" t="str">
        <f t="shared" si="1"/>
        <v>03</v>
      </c>
      <c r="D8" t="str">
        <f t="shared" si="2"/>
        <v>01</v>
      </c>
      <c r="E8">
        <f t="shared" si="3"/>
        <v>1</v>
      </c>
      <c r="F8" s="6">
        <v>45345.568715277797</v>
      </c>
      <c r="G8">
        <v>409.56119999999999</v>
      </c>
      <c r="H8" s="119">
        <f>AVERAGE(G8:G10)</f>
        <v>423.89043333333331</v>
      </c>
      <c r="I8" s="119">
        <f>100*J8/H8</f>
        <v>3.0894966303660074</v>
      </c>
      <c r="J8" s="124">
        <f>STDEV(G8:G10)</f>
        <v>13.0960806542772</v>
      </c>
    </row>
    <row r="9" spans="1:12" x14ac:dyDescent="0.25">
      <c r="A9" s="2" t="s">
        <v>90</v>
      </c>
      <c r="B9" t="str">
        <f t="shared" si="0"/>
        <v>AR24-005</v>
      </c>
      <c r="C9" t="str">
        <f t="shared" si="1"/>
        <v>03</v>
      </c>
      <c r="D9" t="str">
        <f t="shared" si="2"/>
        <v>02</v>
      </c>
      <c r="E9">
        <f t="shared" si="3"/>
        <v>1</v>
      </c>
      <c r="F9" s="6">
        <v>45345.575937499998</v>
      </c>
      <c r="G9">
        <v>426.87029999999999</v>
      </c>
      <c r="H9" s="119"/>
      <c r="I9" s="119"/>
      <c r="J9" s="124"/>
    </row>
    <row r="10" spans="1:12" x14ac:dyDescent="0.25">
      <c r="A10" s="2" t="s">
        <v>91</v>
      </c>
      <c r="B10" t="str">
        <f t="shared" si="0"/>
        <v>AR24-005</v>
      </c>
      <c r="C10" t="str">
        <f t="shared" si="1"/>
        <v>03</v>
      </c>
      <c r="D10" t="str">
        <f t="shared" si="2"/>
        <v>03</v>
      </c>
      <c r="E10">
        <f t="shared" si="3"/>
        <v>1</v>
      </c>
      <c r="F10" s="6">
        <v>45345.5760532407</v>
      </c>
      <c r="G10">
        <v>435.2398</v>
      </c>
      <c r="H10" s="119"/>
      <c r="I10" s="119"/>
      <c r="J10" s="124"/>
    </row>
    <row r="11" spans="1:12" x14ac:dyDescent="0.25">
      <c r="A11" s="2" t="s">
        <v>92</v>
      </c>
      <c r="B11" t="str">
        <f t="shared" si="0"/>
        <v>AR24-005</v>
      </c>
      <c r="C11" t="str">
        <f t="shared" si="1"/>
        <v>04</v>
      </c>
      <c r="D11" t="str">
        <f t="shared" si="2"/>
        <v>01</v>
      </c>
      <c r="E11">
        <f t="shared" si="3"/>
        <v>1</v>
      </c>
      <c r="F11" s="6">
        <v>45345.568796296298</v>
      </c>
      <c r="G11">
        <v>609.57479999999998</v>
      </c>
      <c r="H11" s="4"/>
      <c r="I11" s="4"/>
      <c r="J11" s="5"/>
    </row>
    <row r="12" spans="1:12" x14ac:dyDescent="0.25">
      <c r="A12" s="2" t="s">
        <v>93</v>
      </c>
      <c r="B12" t="str">
        <f t="shared" si="0"/>
        <v>AR24-005</v>
      </c>
      <c r="C12" t="str">
        <f t="shared" si="1"/>
        <v>05</v>
      </c>
      <c r="D12" t="str">
        <f t="shared" si="2"/>
        <v>01</v>
      </c>
      <c r="E12">
        <f t="shared" si="3"/>
        <v>1</v>
      </c>
      <c r="F12" s="6">
        <v>45345.568923611099</v>
      </c>
      <c r="G12">
        <v>606.81020000000001</v>
      </c>
      <c r="H12" s="4"/>
      <c r="I12" s="4"/>
      <c r="J12" s="5"/>
    </row>
    <row r="13" spans="1:12" x14ac:dyDescent="0.25">
      <c r="A13" s="2" t="s">
        <v>94</v>
      </c>
      <c r="B13" t="str">
        <f t="shared" si="0"/>
        <v>AR24-005</v>
      </c>
      <c r="C13" t="str">
        <f t="shared" si="1"/>
        <v>06</v>
      </c>
      <c r="D13" t="str">
        <f t="shared" si="2"/>
        <v>01</v>
      </c>
      <c r="E13">
        <f t="shared" si="3"/>
        <v>1</v>
      </c>
      <c r="F13" s="6">
        <v>45345.569537037001</v>
      </c>
      <c r="G13">
        <v>419.69819999999999</v>
      </c>
      <c r="H13" s="4"/>
      <c r="I13" s="4"/>
      <c r="J13" s="5"/>
    </row>
    <row r="14" spans="1:12" x14ac:dyDescent="0.25">
      <c r="A14" s="2" t="s">
        <v>95</v>
      </c>
      <c r="B14" t="str">
        <f t="shared" si="0"/>
        <v>AR24-005</v>
      </c>
      <c r="C14" t="str">
        <f t="shared" si="1"/>
        <v>07</v>
      </c>
      <c r="D14" t="str">
        <f t="shared" si="2"/>
        <v>01</v>
      </c>
      <c r="E14">
        <f t="shared" si="3"/>
        <v>1</v>
      </c>
      <c r="F14" s="6">
        <v>45345.569178240701</v>
      </c>
      <c r="G14">
        <v>620.04719999999998</v>
      </c>
      <c r="H14" s="4"/>
      <c r="I14" s="4"/>
      <c r="J14" s="5"/>
    </row>
    <row r="15" spans="1:12" x14ac:dyDescent="0.25">
      <c r="A15" s="2" t="s">
        <v>96</v>
      </c>
      <c r="B15" t="str">
        <f t="shared" si="0"/>
        <v>AR24-005</v>
      </c>
      <c r="C15" t="str">
        <f t="shared" si="1"/>
        <v>08</v>
      </c>
      <c r="D15" t="str">
        <f t="shared" si="2"/>
        <v>01</v>
      </c>
      <c r="E15">
        <f t="shared" si="3"/>
        <v>1</v>
      </c>
      <c r="F15" s="6">
        <v>45345.569293981498</v>
      </c>
      <c r="G15">
        <v>520.03769999999997</v>
      </c>
      <c r="H15" s="4"/>
      <c r="I15" s="4"/>
      <c r="J15" s="5"/>
    </row>
    <row r="16" spans="1:12" x14ac:dyDescent="0.25">
      <c r="A16" s="2" t="s">
        <v>97</v>
      </c>
      <c r="B16" t="str">
        <f t="shared" si="0"/>
        <v>AR24-005</v>
      </c>
      <c r="C16" t="str">
        <f t="shared" si="1"/>
        <v>09</v>
      </c>
      <c r="D16" t="str">
        <f t="shared" si="2"/>
        <v>01</v>
      </c>
      <c r="E16">
        <f t="shared" si="3"/>
        <v>1</v>
      </c>
      <c r="F16" s="6">
        <v>45345.569421296299</v>
      </c>
      <c r="G16">
        <v>609.16030000000001</v>
      </c>
      <c r="H16" s="4"/>
      <c r="I16" s="4"/>
      <c r="J16" s="5"/>
    </row>
    <row r="17" spans="1:10" x14ac:dyDescent="0.25">
      <c r="A17" s="2" t="s">
        <v>98</v>
      </c>
      <c r="B17" t="str">
        <f t="shared" si="0"/>
        <v>AR24-005</v>
      </c>
      <c r="C17" t="str">
        <f t="shared" si="1"/>
        <v>10</v>
      </c>
      <c r="D17" t="str">
        <f t="shared" si="2"/>
        <v>01</v>
      </c>
      <c r="E17">
        <f t="shared" si="3"/>
        <v>1</v>
      </c>
      <c r="F17" s="6">
        <v>45345.569664351897</v>
      </c>
      <c r="G17">
        <v>603.48019999999997</v>
      </c>
      <c r="H17" s="4"/>
      <c r="I17" s="4"/>
      <c r="J17" s="5"/>
    </row>
    <row r="18" spans="1:10" x14ac:dyDescent="0.25">
      <c r="A18" s="2" t="s">
        <v>99</v>
      </c>
      <c r="B18" t="str">
        <f t="shared" si="0"/>
        <v>AR24-005</v>
      </c>
      <c r="C18" t="str">
        <f t="shared" si="1"/>
        <v>11</v>
      </c>
      <c r="D18" t="str">
        <f t="shared" si="2"/>
        <v>01</v>
      </c>
      <c r="E18">
        <f t="shared" si="3"/>
        <v>1</v>
      </c>
      <c r="F18" s="6">
        <v>45345.569791666698</v>
      </c>
      <c r="G18">
        <v>597.38480000000004</v>
      </c>
      <c r="H18" s="4"/>
      <c r="I18" s="4"/>
      <c r="J18" s="5"/>
    </row>
    <row r="19" spans="1:10" x14ac:dyDescent="0.25">
      <c r="A19" s="2" t="s">
        <v>100</v>
      </c>
      <c r="B19" t="str">
        <f t="shared" si="0"/>
        <v>AR24-005</v>
      </c>
      <c r="C19" t="str">
        <f t="shared" si="1"/>
        <v>12</v>
      </c>
      <c r="D19" t="str">
        <f t="shared" si="2"/>
        <v>01</v>
      </c>
      <c r="E19">
        <f t="shared" si="3"/>
        <v>1</v>
      </c>
      <c r="F19" s="6">
        <v>45345.5699074074</v>
      </c>
      <c r="G19">
        <v>510.31060000000002</v>
      </c>
      <c r="H19" s="4"/>
      <c r="I19" s="4"/>
      <c r="J19" s="5"/>
    </row>
    <row r="20" spans="1:10" x14ac:dyDescent="0.25">
      <c r="A20" s="2" t="s">
        <v>101</v>
      </c>
      <c r="B20" t="str">
        <f t="shared" si="0"/>
        <v>AR24-005</v>
      </c>
      <c r="C20" t="str">
        <f t="shared" si="1"/>
        <v>13</v>
      </c>
      <c r="D20" t="str">
        <f t="shared" si="2"/>
        <v>01</v>
      </c>
      <c r="E20">
        <f t="shared" si="3"/>
        <v>1</v>
      </c>
      <c r="F20" s="6">
        <v>45345.570034722201</v>
      </c>
      <c r="G20">
        <v>507.12779999999998</v>
      </c>
      <c r="H20" s="4"/>
      <c r="I20" s="4"/>
      <c r="J20" s="5"/>
    </row>
    <row r="21" spans="1:10" x14ac:dyDescent="0.25">
      <c r="A21" s="2" t="s">
        <v>102</v>
      </c>
      <c r="B21" t="str">
        <f t="shared" si="0"/>
        <v>AR24-005</v>
      </c>
      <c r="C21" t="str">
        <f t="shared" si="1"/>
        <v>14</v>
      </c>
      <c r="D21" t="str">
        <f t="shared" si="2"/>
        <v>01</v>
      </c>
      <c r="E21">
        <f t="shared" si="3"/>
        <v>1</v>
      </c>
      <c r="F21" s="6">
        <v>45345.570162037002</v>
      </c>
      <c r="G21">
        <v>529.27189999999996</v>
      </c>
      <c r="H21" s="4"/>
      <c r="I21" s="4"/>
      <c r="J21" s="5"/>
    </row>
    <row r="22" spans="1:10" x14ac:dyDescent="0.25">
      <c r="A22" s="2" t="s">
        <v>103</v>
      </c>
      <c r="B22" t="str">
        <f t="shared" si="0"/>
        <v>AR24-005</v>
      </c>
      <c r="C22" t="str">
        <f t="shared" si="1"/>
        <v>15</v>
      </c>
      <c r="D22" t="str">
        <f t="shared" si="2"/>
        <v>01</v>
      </c>
      <c r="E22">
        <f t="shared" si="3"/>
        <v>1</v>
      </c>
      <c r="F22" s="6">
        <v>45345.570277777799</v>
      </c>
      <c r="G22">
        <v>589.55160000000001</v>
      </c>
      <c r="H22" s="4"/>
      <c r="I22" s="4"/>
      <c r="J22" s="5"/>
    </row>
    <row r="23" spans="1:10" x14ac:dyDescent="0.25">
      <c r="A23" s="2" t="s">
        <v>104</v>
      </c>
      <c r="B23" t="str">
        <f t="shared" si="0"/>
        <v>AR24-005</v>
      </c>
      <c r="C23" t="str">
        <f t="shared" si="1"/>
        <v>16</v>
      </c>
      <c r="D23" t="str">
        <f t="shared" si="2"/>
        <v>01</v>
      </c>
      <c r="E23">
        <f t="shared" si="3"/>
        <v>1</v>
      </c>
      <c r="F23" s="6">
        <v>45345.5704050926</v>
      </c>
      <c r="G23">
        <v>422.70150000000001</v>
      </c>
      <c r="H23" s="4"/>
      <c r="I23" s="4"/>
      <c r="J23" s="5"/>
    </row>
    <row r="24" spans="1:10" x14ac:dyDescent="0.25">
      <c r="A24" s="2" t="s">
        <v>105</v>
      </c>
      <c r="B24" t="str">
        <f t="shared" si="0"/>
        <v>AR24-005</v>
      </c>
      <c r="C24" t="str">
        <f t="shared" si="1"/>
        <v>17</v>
      </c>
      <c r="D24" t="str">
        <f t="shared" si="2"/>
        <v>01</v>
      </c>
      <c r="E24">
        <f t="shared" si="3"/>
        <v>1</v>
      </c>
      <c r="F24" s="6">
        <v>45345.574467592603</v>
      </c>
      <c r="G24">
        <v>406.33850000000001</v>
      </c>
      <c r="H24" s="4"/>
      <c r="I24" s="4"/>
      <c r="J24" s="5"/>
    </row>
    <row r="25" spans="1:10" x14ac:dyDescent="0.25">
      <c r="A25" s="2" t="s">
        <v>106</v>
      </c>
      <c r="B25" t="str">
        <f t="shared" si="0"/>
        <v>AR24-005</v>
      </c>
      <c r="C25" t="str">
        <f t="shared" si="1"/>
        <v>18</v>
      </c>
      <c r="D25" t="str">
        <f t="shared" si="2"/>
        <v>01</v>
      </c>
      <c r="E25">
        <f t="shared" si="3"/>
        <v>1</v>
      </c>
      <c r="F25" s="6">
        <v>45345.574594907397</v>
      </c>
      <c r="G25">
        <v>520.61329999999998</v>
      </c>
      <c r="H25" s="4"/>
      <c r="I25" s="4"/>
      <c r="J25" s="5"/>
    </row>
    <row r="26" spans="1:10" x14ac:dyDescent="0.25">
      <c r="A26" s="2" t="s">
        <v>107</v>
      </c>
      <c r="B26" t="str">
        <f t="shared" si="0"/>
        <v>AR24-005</v>
      </c>
      <c r="C26" t="str">
        <f t="shared" si="1"/>
        <v>19</v>
      </c>
      <c r="D26" t="str">
        <f t="shared" si="2"/>
        <v>01</v>
      </c>
      <c r="E26">
        <f t="shared" si="3"/>
        <v>1</v>
      </c>
      <c r="F26" s="6">
        <v>45345.574710648201</v>
      </c>
      <c r="G26">
        <v>423.25850000000003</v>
      </c>
      <c r="H26" s="4"/>
      <c r="I26" s="4"/>
      <c r="J26" s="5"/>
    </row>
    <row r="27" spans="1:10" x14ac:dyDescent="0.25">
      <c r="A27" s="2" t="s">
        <v>108</v>
      </c>
      <c r="B27" t="str">
        <f t="shared" si="0"/>
        <v>AR24-005</v>
      </c>
      <c r="C27" t="str">
        <f t="shared" si="1"/>
        <v>20</v>
      </c>
      <c r="D27" t="str">
        <f t="shared" si="2"/>
        <v>01</v>
      </c>
      <c r="E27">
        <f t="shared" si="3"/>
        <v>1</v>
      </c>
      <c r="F27" s="6">
        <v>45345.574826388904</v>
      </c>
      <c r="G27">
        <v>412.70909999999998</v>
      </c>
      <c r="H27" s="4"/>
      <c r="I27" s="4"/>
      <c r="J27" s="5"/>
    </row>
    <row r="28" spans="1:10" x14ac:dyDescent="0.25">
      <c r="A28" s="2" t="s">
        <v>109</v>
      </c>
      <c r="B28" t="str">
        <f t="shared" si="0"/>
        <v>AR24-005</v>
      </c>
      <c r="C28" t="str">
        <f t="shared" si="1"/>
        <v>21</v>
      </c>
      <c r="D28" t="str">
        <f t="shared" si="2"/>
        <v>01</v>
      </c>
      <c r="E28">
        <f t="shared" si="3"/>
        <v>1</v>
      </c>
      <c r="F28" s="6">
        <v>45345.574953703697</v>
      </c>
      <c r="G28">
        <v>439.78859999999997</v>
      </c>
      <c r="H28" s="4"/>
      <c r="I28" s="4"/>
      <c r="J28" s="5"/>
    </row>
    <row r="29" spans="1:10" x14ac:dyDescent="0.25">
      <c r="A29" s="2" t="s">
        <v>110</v>
      </c>
      <c r="B29" t="str">
        <f t="shared" si="0"/>
        <v>AR24-005</v>
      </c>
      <c r="C29" t="str">
        <f t="shared" si="1"/>
        <v>22</v>
      </c>
      <c r="D29" t="str">
        <f t="shared" si="2"/>
        <v>01</v>
      </c>
      <c r="E29">
        <f t="shared" si="3"/>
        <v>1</v>
      </c>
      <c r="F29" s="6">
        <v>45345.5750694444</v>
      </c>
      <c r="G29">
        <v>513.25040000000001</v>
      </c>
      <c r="H29" s="4"/>
      <c r="I29" s="4"/>
      <c r="J29" s="5"/>
    </row>
    <row r="30" spans="1:10" x14ac:dyDescent="0.25">
      <c r="A30" s="2" t="s">
        <v>111</v>
      </c>
      <c r="B30" t="str">
        <f t="shared" si="0"/>
        <v>AR24-005</v>
      </c>
      <c r="C30" t="str">
        <f t="shared" si="1"/>
        <v>23</v>
      </c>
      <c r="D30" t="str">
        <f t="shared" si="2"/>
        <v>01</v>
      </c>
      <c r="E30">
        <f t="shared" si="3"/>
        <v>1</v>
      </c>
      <c r="F30" s="6">
        <v>45345.575196759302</v>
      </c>
      <c r="G30">
        <v>515.30010000000004</v>
      </c>
      <c r="H30" s="4"/>
      <c r="I30" s="4"/>
      <c r="J30" s="5"/>
    </row>
    <row r="31" spans="1:10" ht="15.75" thickBot="1" x14ac:dyDescent="0.3">
      <c r="A31" s="12" t="s">
        <v>112</v>
      </c>
      <c r="B31" s="13" t="str">
        <f t="shared" si="0"/>
        <v>AR24-005</v>
      </c>
      <c r="C31" s="13" t="str">
        <f t="shared" si="1"/>
        <v>24</v>
      </c>
      <c r="D31" s="13" t="str">
        <f t="shared" si="2"/>
        <v>01</v>
      </c>
      <c r="E31" s="13">
        <f t="shared" si="3"/>
        <v>1</v>
      </c>
      <c r="F31" s="41">
        <v>45345.575324074103</v>
      </c>
      <c r="G31" s="13">
        <v>513.92849999999999</v>
      </c>
      <c r="H31" s="15"/>
      <c r="I31" s="15"/>
      <c r="J31" s="16"/>
    </row>
    <row r="32" spans="1:10" x14ac:dyDescent="0.25">
      <c r="A32" s="2" t="s">
        <v>113</v>
      </c>
      <c r="B32" t="str">
        <f t="shared" si="0"/>
        <v>AR24-005</v>
      </c>
      <c r="C32" t="str">
        <f t="shared" si="1"/>
        <v>01</v>
      </c>
      <c r="D32" t="str">
        <f t="shared" si="2"/>
        <v>01</v>
      </c>
      <c r="E32">
        <f t="shared" si="3"/>
        <v>2</v>
      </c>
      <c r="F32" s="6">
        <v>45346.455092592601</v>
      </c>
      <c r="G32">
        <v>1024.7850000000001</v>
      </c>
      <c r="H32" s="4"/>
      <c r="I32" s="4"/>
      <c r="J32" s="5"/>
    </row>
    <row r="33" spans="1:12" x14ac:dyDescent="0.25">
      <c r="A33" s="2" t="s">
        <v>114</v>
      </c>
      <c r="B33" t="str">
        <f t="shared" si="0"/>
        <v>AR24-005</v>
      </c>
      <c r="C33" t="str">
        <f t="shared" si="1"/>
        <v>02</v>
      </c>
      <c r="D33" t="str">
        <f t="shared" si="2"/>
        <v>01</v>
      </c>
      <c r="E33">
        <f t="shared" si="3"/>
        <v>2</v>
      </c>
      <c r="F33" s="6">
        <v>45346.455115740697</v>
      </c>
      <c r="G33">
        <v>782.49189999999999</v>
      </c>
      <c r="H33" s="4"/>
      <c r="I33" s="4"/>
      <c r="J33" s="5"/>
    </row>
    <row r="34" spans="1:12" x14ac:dyDescent="0.25">
      <c r="A34" s="2" t="s">
        <v>115</v>
      </c>
      <c r="B34" t="str">
        <f t="shared" ref="B34:B61" si="4">LEFT(A34,8)</f>
        <v>AR24-005</v>
      </c>
      <c r="C34" t="str">
        <f t="shared" ref="C34:C61" si="5">MID(A34,24,2)</f>
        <v>03</v>
      </c>
      <c r="D34" t="str">
        <f t="shared" ref="D34:D61" si="6">MID(A34,27,2)</f>
        <v>01</v>
      </c>
      <c r="E34">
        <f t="shared" ref="E34:E65" si="7">MID(A34,14,4)-222</f>
        <v>2</v>
      </c>
      <c r="F34" s="6">
        <v>45346.455995370401</v>
      </c>
      <c r="G34">
        <v>787.00490000000002</v>
      </c>
      <c r="H34" s="4"/>
      <c r="I34" s="4"/>
      <c r="J34" s="5"/>
    </row>
    <row r="35" spans="1:12" x14ac:dyDescent="0.25">
      <c r="A35" s="2" t="s">
        <v>116</v>
      </c>
      <c r="B35" t="str">
        <f t="shared" si="4"/>
        <v>AR24-005</v>
      </c>
      <c r="C35" t="str">
        <f t="shared" si="5"/>
        <v>04</v>
      </c>
      <c r="D35" t="str">
        <f t="shared" si="6"/>
        <v>01</v>
      </c>
      <c r="E35">
        <f t="shared" si="7"/>
        <v>2</v>
      </c>
      <c r="F35" s="6">
        <v>45346.456076388902</v>
      </c>
      <c r="G35">
        <v>1083.731</v>
      </c>
      <c r="H35" s="119">
        <f>AVERAGE(G35:G37)</f>
        <v>1078.6896666666669</v>
      </c>
      <c r="I35" s="119">
        <f>100*J35/H35</f>
        <v>2.9008414626583368</v>
      </c>
      <c r="J35" s="120">
        <f>STDEV(G35:G37)</f>
        <v>31.291077104077676</v>
      </c>
    </row>
    <row r="36" spans="1:12" x14ac:dyDescent="0.25">
      <c r="A36" s="2" t="s">
        <v>117</v>
      </c>
      <c r="B36" t="str">
        <f t="shared" si="4"/>
        <v>AR24-005</v>
      </c>
      <c r="C36" t="str">
        <f t="shared" si="5"/>
        <v>04</v>
      </c>
      <c r="D36" t="str">
        <f t="shared" si="6"/>
        <v>02</v>
      </c>
      <c r="E36">
        <f t="shared" si="7"/>
        <v>2</v>
      </c>
      <c r="F36" s="6">
        <v>45346.470844907402</v>
      </c>
      <c r="G36">
        <v>1107.154</v>
      </c>
      <c r="H36" s="119"/>
      <c r="I36" s="119"/>
      <c r="J36" s="120"/>
    </row>
    <row r="37" spans="1:12" x14ac:dyDescent="0.25">
      <c r="A37" s="2" t="s">
        <v>118</v>
      </c>
      <c r="B37" t="str">
        <f t="shared" si="4"/>
        <v>AR24-005</v>
      </c>
      <c r="C37" t="str">
        <f t="shared" si="5"/>
        <v>04</v>
      </c>
      <c r="D37" t="str">
        <f t="shared" si="6"/>
        <v>03</v>
      </c>
      <c r="E37">
        <f t="shared" si="7"/>
        <v>2</v>
      </c>
      <c r="F37" s="6">
        <v>45346.471064814803</v>
      </c>
      <c r="G37">
        <v>1045.184</v>
      </c>
      <c r="H37" s="119"/>
      <c r="I37" s="119"/>
      <c r="J37" s="120"/>
    </row>
    <row r="38" spans="1:12" x14ac:dyDescent="0.25">
      <c r="A38" s="2" t="s">
        <v>119</v>
      </c>
      <c r="B38" t="str">
        <f t="shared" si="4"/>
        <v>AR24-005</v>
      </c>
      <c r="C38" t="str">
        <f t="shared" si="5"/>
        <v>05</v>
      </c>
      <c r="D38" t="str">
        <f t="shared" si="6"/>
        <v>01</v>
      </c>
      <c r="E38">
        <f t="shared" si="7"/>
        <v>2</v>
      </c>
      <c r="F38" s="6">
        <v>45346.456203703703</v>
      </c>
      <c r="G38">
        <v>1074.4079999999999</v>
      </c>
      <c r="H38" s="119">
        <f>AVERAGE(G38:G40)</f>
        <v>1075.1393333333333</v>
      </c>
      <c r="I38" s="119">
        <f>100*J38/H38</f>
        <v>0.39294854903287829</v>
      </c>
      <c r="J38" s="120">
        <f>STDEV(G38:G40)</f>
        <v>4.2247444104150942</v>
      </c>
    </row>
    <row r="39" spans="1:12" x14ac:dyDescent="0.25">
      <c r="A39" s="2" t="s">
        <v>120</v>
      </c>
      <c r="B39" t="str">
        <f t="shared" si="4"/>
        <v>AR24-005</v>
      </c>
      <c r="C39" t="str">
        <f t="shared" si="5"/>
        <v>05</v>
      </c>
      <c r="D39" t="str">
        <f t="shared" si="6"/>
        <v>02</v>
      </c>
      <c r="E39">
        <f t="shared" si="7"/>
        <v>2</v>
      </c>
      <c r="F39" s="6">
        <v>45346.462962963</v>
      </c>
      <c r="G39">
        <v>1071.328</v>
      </c>
      <c r="H39" s="119"/>
      <c r="I39" s="119"/>
      <c r="J39" s="120"/>
      <c r="K39">
        <f>AVERAGE(I35:I43)</f>
        <v>1.5654261231334099</v>
      </c>
      <c r="L39">
        <f>AVERAGE(J35:J43)</f>
        <v>15.368706053388282</v>
      </c>
    </row>
    <row r="40" spans="1:12" x14ac:dyDescent="0.25">
      <c r="A40" s="2" t="s">
        <v>121</v>
      </c>
      <c r="B40" t="str">
        <f t="shared" si="4"/>
        <v>AR24-005</v>
      </c>
      <c r="C40" t="str">
        <f t="shared" si="5"/>
        <v>05</v>
      </c>
      <c r="D40" t="str">
        <f t="shared" si="6"/>
        <v>03</v>
      </c>
      <c r="E40">
        <f t="shared" si="7"/>
        <v>2</v>
      </c>
      <c r="F40" s="6">
        <v>45346.463090277801</v>
      </c>
      <c r="G40">
        <v>1079.682</v>
      </c>
      <c r="H40" s="119"/>
      <c r="I40" s="119"/>
      <c r="J40" s="120"/>
    </row>
    <row r="41" spans="1:12" x14ac:dyDescent="0.25">
      <c r="A41" s="2" t="s">
        <v>122</v>
      </c>
      <c r="B41" t="str">
        <f t="shared" si="4"/>
        <v>AR24-005</v>
      </c>
      <c r="C41" t="str">
        <f t="shared" si="5"/>
        <v>06</v>
      </c>
      <c r="D41" t="str">
        <f t="shared" si="6"/>
        <v>01</v>
      </c>
      <c r="E41">
        <f t="shared" si="7"/>
        <v>2</v>
      </c>
      <c r="F41" s="6">
        <v>45346.456331018497</v>
      </c>
      <c r="G41">
        <v>754.22940000000006</v>
      </c>
      <c r="H41" s="119">
        <f>AVERAGE(G41:G43)</f>
        <v>755.10763333333341</v>
      </c>
      <c r="I41" s="119">
        <f>100*J41/H41</f>
        <v>1.402488357709015</v>
      </c>
      <c r="J41" s="120">
        <f>STDEV(G41:G43)</f>
        <v>10.590296645672078</v>
      </c>
    </row>
    <row r="42" spans="1:12" x14ac:dyDescent="0.25">
      <c r="A42" s="2" t="s">
        <v>123</v>
      </c>
      <c r="B42" t="str">
        <f t="shared" si="4"/>
        <v>AR24-005</v>
      </c>
      <c r="C42" t="str">
        <f t="shared" si="5"/>
        <v>06</v>
      </c>
      <c r="D42" t="str">
        <f t="shared" si="6"/>
        <v>02</v>
      </c>
      <c r="E42">
        <f t="shared" si="7"/>
        <v>2</v>
      </c>
      <c r="F42" s="6">
        <v>45346.463206018503</v>
      </c>
      <c r="G42">
        <v>744.98379999999997</v>
      </c>
      <c r="H42" s="119"/>
      <c r="I42" s="119"/>
      <c r="J42" s="120"/>
    </row>
    <row r="43" spans="1:12" x14ac:dyDescent="0.25">
      <c r="A43" s="2" t="s">
        <v>124</v>
      </c>
      <c r="B43" t="str">
        <f t="shared" si="4"/>
        <v>AR24-005</v>
      </c>
      <c r="C43" t="str">
        <f t="shared" si="5"/>
        <v>06</v>
      </c>
      <c r="D43" t="str">
        <f t="shared" si="6"/>
        <v>03</v>
      </c>
      <c r="E43">
        <f t="shared" si="7"/>
        <v>2</v>
      </c>
      <c r="F43" s="6">
        <v>45346.463333333297</v>
      </c>
      <c r="G43">
        <v>766.10969999999998</v>
      </c>
      <c r="H43" s="119"/>
      <c r="I43" s="119"/>
      <c r="J43" s="120"/>
    </row>
    <row r="44" spans="1:12" x14ac:dyDescent="0.25">
      <c r="A44" s="2" t="s">
        <v>125</v>
      </c>
      <c r="B44" t="str">
        <f t="shared" si="4"/>
        <v>AR24-005</v>
      </c>
      <c r="C44" t="str">
        <f t="shared" si="5"/>
        <v>07</v>
      </c>
      <c r="D44" t="str">
        <f t="shared" si="6"/>
        <v>01</v>
      </c>
      <c r="E44">
        <f t="shared" si="7"/>
        <v>2</v>
      </c>
      <c r="F44" s="6">
        <v>45346.456458333298</v>
      </c>
      <c r="G44">
        <v>1013.149</v>
      </c>
      <c r="H44" s="4"/>
      <c r="I44" s="4"/>
      <c r="J44" s="5"/>
    </row>
    <row r="45" spans="1:12" x14ac:dyDescent="0.25">
      <c r="A45" s="2" t="s">
        <v>126</v>
      </c>
      <c r="B45" t="str">
        <f t="shared" si="4"/>
        <v>AR24-005</v>
      </c>
      <c r="C45" t="str">
        <f t="shared" si="5"/>
        <v>08</v>
      </c>
      <c r="D45" t="str">
        <f t="shared" si="6"/>
        <v>01</v>
      </c>
      <c r="E45">
        <f t="shared" si="7"/>
        <v>2</v>
      </c>
      <c r="F45" s="6">
        <v>45346.456574074102</v>
      </c>
      <c r="G45">
        <v>964.61969999999997</v>
      </c>
      <c r="H45" s="4"/>
      <c r="I45" s="4"/>
      <c r="J45" s="5"/>
    </row>
    <row r="46" spans="1:12" x14ac:dyDescent="0.25">
      <c r="A46" s="2" t="s">
        <v>127</v>
      </c>
      <c r="B46" t="str">
        <f t="shared" si="4"/>
        <v>AR24-005</v>
      </c>
      <c r="C46" t="str">
        <f t="shared" si="5"/>
        <v>09</v>
      </c>
      <c r="D46" t="str">
        <f t="shared" si="6"/>
        <v>01</v>
      </c>
      <c r="E46">
        <f t="shared" si="7"/>
        <v>2</v>
      </c>
      <c r="F46" s="6">
        <v>45346.457187499997</v>
      </c>
      <c r="G46">
        <v>1075.037</v>
      </c>
      <c r="H46" s="4"/>
      <c r="I46" s="4"/>
      <c r="J46" s="5"/>
    </row>
    <row r="47" spans="1:12" x14ac:dyDescent="0.25">
      <c r="A47" s="2" t="s">
        <v>128</v>
      </c>
      <c r="B47" t="str">
        <f t="shared" si="4"/>
        <v>AR24-005</v>
      </c>
      <c r="C47" t="str">
        <f t="shared" si="5"/>
        <v>10</v>
      </c>
      <c r="D47" t="str">
        <f t="shared" si="6"/>
        <v>01</v>
      </c>
      <c r="E47">
        <f t="shared" si="7"/>
        <v>2</v>
      </c>
      <c r="F47" s="6">
        <v>45346.456817129598</v>
      </c>
      <c r="G47">
        <v>887.16219999999998</v>
      </c>
      <c r="H47" s="4"/>
      <c r="I47" s="4"/>
      <c r="J47" s="5"/>
    </row>
    <row r="48" spans="1:12" x14ac:dyDescent="0.25">
      <c r="A48" s="2" t="s">
        <v>129</v>
      </c>
      <c r="B48" t="str">
        <f t="shared" si="4"/>
        <v>AR24-005</v>
      </c>
      <c r="C48" t="str">
        <f t="shared" si="5"/>
        <v>11</v>
      </c>
      <c r="D48" t="str">
        <f t="shared" si="6"/>
        <v>01</v>
      </c>
      <c r="E48">
        <f t="shared" si="7"/>
        <v>2</v>
      </c>
      <c r="F48" s="6">
        <v>45346.465555555602</v>
      </c>
      <c r="G48">
        <v>1044.318</v>
      </c>
      <c r="H48" s="4"/>
      <c r="I48" s="4"/>
      <c r="J48" s="5"/>
    </row>
    <row r="49" spans="1:10" x14ac:dyDescent="0.25">
      <c r="A49" s="2" t="s">
        <v>130</v>
      </c>
      <c r="B49" t="str">
        <f t="shared" si="4"/>
        <v>AR24-005</v>
      </c>
      <c r="C49" t="str">
        <f t="shared" si="5"/>
        <v>12</v>
      </c>
      <c r="D49" t="str">
        <f t="shared" si="6"/>
        <v>01</v>
      </c>
      <c r="E49">
        <f t="shared" si="7"/>
        <v>2</v>
      </c>
      <c r="F49" s="6">
        <v>45346.457071759301</v>
      </c>
      <c r="G49">
        <v>906.48569999999995</v>
      </c>
      <c r="H49" s="4"/>
      <c r="I49" s="4"/>
      <c r="J49" s="5"/>
    </row>
    <row r="50" spans="1:10" x14ac:dyDescent="0.25">
      <c r="A50" s="2" t="s">
        <v>131</v>
      </c>
      <c r="B50" t="str">
        <f t="shared" si="4"/>
        <v>AR24-005</v>
      </c>
      <c r="C50" t="str">
        <f t="shared" si="5"/>
        <v>13</v>
      </c>
      <c r="D50" t="str">
        <f t="shared" si="6"/>
        <v>01</v>
      </c>
      <c r="E50">
        <f t="shared" si="7"/>
        <v>2</v>
      </c>
      <c r="F50" s="6">
        <v>45346.457314814797</v>
      </c>
      <c r="G50">
        <v>952.45950000000005</v>
      </c>
      <c r="H50" s="4"/>
      <c r="I50" s="4"/>
      <c r="J50" s="5"/>
    </row>
    <row r="51" spans="1:10" x14ac:dyDescent="0.25">
      <c r="A51" s="2" t="s">
        <v>132</v>
      </c>
      <c r="B51" t="str">
        <f t="shared" si="4"/>
        <v>AR24-005</v>
      </c>
      <c r="C51" t="str">
        <f t="shared" si="5"/>
        <v>14</v>
      </c>
      <c r="D51" t="str">
        <f t="shared" si="6"/>
        <v>01</v>
      </c>
      <c r="E51">
        <f t="shared" si="7"/>
        <v>2</v>
      </c>
      <c r="F51" s="6">
        <v>45346.457430555602</v>
      </c>
      <c r="G51">
        <v>775.64110000000005</v>
      </c>
      <c r="H51" s="4"/>
      <c r="I51" s="4"/>
      <c r="J51" s="5"/>
    </row>
    <row r="52" spans="1:10" x14ac:dyDescent="0.25">
      <c r="A52" s="2" t="s">
        <v>133</v>
      </c>
      <c r="B52" t="str">
        <f t="shared" si="4"/>
        <v>AR24-005</v>
      </c>
      <c r="C52" t="str">
        <f t="shared" si="5"/>
        <v>15</v>
      </c>
      <c r="D52" t="str">
        <f t="shared" si="6"/>
        <v>01</v>
      </c>
      <c r="E52">
        <f t="shared" si="7"/>
        <v>2</v>
      </c>
      <c r="F52" s="6">
        <v>45346.457557870403</v>
      </c>
      <c r="G52">
        <v>1096.682</v>
      </c>
      <c r="H52" s="4"/>
      <c r="I52" s="4"/>
      <c r="J52" s="5"/>
    </row>
    <row r="53" spans="1:10" x14ac:dyDescent="0.25">
      <c r="A53" s="2" t="s">
        <v>134</v>
      </c>
      <c r="B53" t="str">
        <f t="shared" si="4"/>
        <v>AR24-005</v>
      </c>
      <c r="C53" t="str">
        <f t="shared" si="5"/>
        <v>16</v>
      </c>
      <c r="D53" t="str">
        <f t="shared" si="6"/>
        <v>01</v>
      </c>
      <c r="E53">
        <f t="shared" si="7"/>
        <v>2</v>
      </c>
      <c r="F53" s="6">
        <v>45346.464108796303</v>
      </c>
      <c r="G53">
        <v>795.92439999999999</v>
      </c>
      <c r="H53" s="4"/>
      <c r="I53" s="4"/>
      <c r="J53" s="5"/>
    </row>
    <row r="54" spans="1:10" x14ac:dyDescent="0.25">
      <c r="A54" s="2" t="s">
        <v>135</v>
      </c>
      <c r="B54" t="str">
        <f t="shared" si="4"/>
        <v>AR24-005</v>
      </c>
      <c r="C54" t="str">
        <f t="shared" si="5"/>
        <v>17</v>
      </c>
      <c r="D54" t="str">
        <f t="shared" si="6"/>
        <v>01</v>
      </c>
      <c r="E54">
        <f t="shared" si="7"/>
        <v>2</v>
      </c>
      <c r="F54" s="6">
        <v>45346.4617476852</v>
      </c>
      <c r="G54">
        <v>763.04660000000001</v>
      </c>
      <c r="H54" s="4"/>
      <c r="I54" s="4"/>
      <c r="J54" s="5"/>
    </row>
    <row r="55" spans="1:10" x14ac:dyDescent="0.25">
      <c r="A55" s="2" t="s">
        <v>136</v>
      </c>
      <c r="B55" t="str">
        <f t="shared" si="4"/>
        <v>AR24-005</v>
      </c>
      <c r="C55" t="str">
        <f t="shared" si="5"/>
        <v>18</v>
      </c>
      <c r="D55" t="str">
        <f t="shared" si="6"/>
        <v>01</v>
      </c>
      <c r="E55">
        <f t="shared" si="7"/>
        <v>2</v>
      </c>
      <c r="F55" s="6">
        <v>45346.461863425902</v>
      </c>
      <c r="G55">
        <v>933.90369999999996</v>
      </c>
      <c r="H55" s="4"/>
      <c r="I55" s="4"/>
      <c r="J55" s="5"/>
    </row>
    <row r="56" spans="1:10" x14ac:dyDescent="0.25">
      <c r="A56" s="2" t="s">
        <v>137</v>
      </c>
      <c r="B56" t="str">
        <f t="shared" si="4"/>
        <v>AR24-005</v>
      </c>
      <c r="C56" t="str">
        <f t="shared" si="5"/>
        <v>19</v>
      </c>
      <c r="D56" t="str">
        <f t="shared" si="6"/>
        <v>01</v>
      </c>
      <c r="E56">
        <f t="shared" si="7"/>
        <v>2</v>
      </c>
      <c r="F56" s="6">
        <v>45346.461990740703</v>
      </c>
      <c r="G56">
        <v>710.95780000000002</v>
      </c>
      <c r="H56" s="4"/>
      <c r="I56" s="4"/>
      <c r="J56" s="5"/>
    </row>
    <row r="57" spans="1:10" x14ac:dyDescent="0.25">
      <c r="A57" s="2" t="s">
        <v>138</v>
      </c>
      <c r="B57" t="str">
        <f t="shared" si="4"/>
        <v>AR24-005</v>
      </c>
      <c r="C57" t="str">
        <f t="shared" si="5"/>
        <v>20</v>
      </c>
      <c r="D57" t="str">
        <f t="shared" si="6"/>
        <v>01</v>
      </c>
      <c r="E57">
        <f t="shared" si="7"/>
        <v>2</v>
      </c>
      <c r="F57" s="6">
        <v>45346.4621064815</v>
      </c>
      <c r="G57">
        <v>760.81700000000001</v>
      </c>
      <c r="H57" s="4"/>
      <c r="I57" s="4"/>
      <c r="J57" s="5"/>
    </row>
    <row r="58" spans="1:10" x14ac:dyDescent="0.25">
      <c r="A58" s="2" t="s">
        <v>139</v>
      </c>
      <c r="B58" t="str">
        <f t="shared" si="4"/>
        <v>AR24-005</v>
      </c>
      <c r="C58" t="str">
        <f t="shared" si="5"/>
        <v>21</v>
      </c>
      <c r="D58" t="str">
        <f t="shared" si="6"/>
        <v>01</v>
      </c>
      <c r="E58">
        <f t="shared" si="7"/>
        <v>2</v>
      </c>
      <c r="F58" s="6">
        <v>45346.462233796301</v>
      </c>
      <c r="G58">
        <v>788.78700000000003</v>
      </c>
      <c r="H58" s="4"/>
      <c r="I58" s="4"/>
      <c r="J58" s="5"/>
    </row>
    <row r="59" spans="1:10" x14ac:dyDescent="0.25">
      <c r="A59" s="2" t="s">
        <v>140</v>
      </c>
      <c r="B59" t="str">
        <f t="shared" si="4"/>
        <v>AR24-005</v>
      </c>
      <c r="C59" t="str">
        <f t="shared" si="5"/>
        <v>22</v>
      </c>
      <c r="D59" t="str">
        <f t="shared" si="6"/>
        <v>01</v>
      </c>
      <c r="E59">
        <f t="shared" si="7"/>
        <v>2</v>
      </c>
      <c r="F59" s="6">
        <v>45346.462349537003</v>
      </c>
      <c r="G59">
        <v>934.42179999999996</v>
      </c>
      <c r="H59" s="4"/>
      <c r="I59" s="4"/>
      <c r="J59" s="5"/>
    </row>
    <row r="60" spans="1:10" x14ac:dyDescent="0.25">
      <c r="A60" s="2" t="s">
        <v>141</v>
      </c>
      <c r="B60" t="str">
        <f t="shared" si="4"/>
        <v>AR24-005</v>
      </c>
      <c r="C60" t="str">
        <f t="shared" si="5"/>
        <v>23</v>
      </c>
      <c r="D60" t="str">
        <f t="shared" si="6"/>
        <v>01</v>
      </c>
      <c r="E60">
        <f t="shared" si="7"/>
        <v>2</v>
      </c>
      <c r="F60" s="6">
        <v>45346.462476851899</v>
      </c>
      <c r="G60">
        <v>946.42039999999997</v>
      </c>
      <c r="H60" s="4"/>
      <c r="I60" s="4"/>
      <c r="J60" s="5"/>
    </row>
    <row r="61" spans="1:10" ht="15.75" thickBot="1" x14ac:dyDescent="0.3">
      <c r="A61" s="2" t="s">
        <v>142</v>
      </c>
      <c r="B61" t="str">
        <f t="shared" si="4"/>
        <v>AR24-005</v>
      </c>
      <c r="C61" t="str">
        <f t="shared" si="5"/>
        <v>24</v>
      </c>
      <c r="D61" t="str">
        <f t="shared" si="6"/>
        <v>01</v>
      </c>
      <c r="E61">
        <f t="shared" si="7"/>
        <v>2</v>
      </c>
      <c r="F61" s="6">
        <v>45346.462592592601</v>
      </c>
      <c r="G61">
        <v>926.63509999999997</v>
      </c>
      <c r="H61" s="4"/>
      <c r="I61" s="4"/>
      <c r="J61" s="5"/>
    </row>
    <row r="62" spans="1:10" x14ac:dyDescent="0.25">
      <c r="A62" s="7" t="s">
        <v>143</v>
      </c>
      <c r="B62" s="8" t="str">
        <f t="shared" ref="B62:B91" si="8">LEFT(A62,8)</f>
        <v>AR24-005</v>
      </c>
      <c r="C62" s="8" t="str">
        <f t="shared" ref="C62:C91" si="9">MID(A62,24,2)</f>
        <v>01</v>
      </c>
      <c r="D62" s="8" t="str">
        <f t="shared" ref="D62:D91" si="10">MID(A62,27,2)</f>
        <v>01</v>
      </c>
      <c r="E62" s="8">
        <f t="shared" si="7"/>
        <v>3</v>
      </c>
      <c r="F62" s="40">
        <v>45347.529340277797</v>
      </c>
      <c r="G62" s="8">
        <v>1379.32</v>
      </c>
      <c r="H62" s="10"/>
      <c r="I62" s="10"/>
      <c r="J62" s="11"/>
    </row>
    <row r="63" spans="1:10" x14ac:dyDescent="0.25">
      <c r="A63" s="2" t="s">
        <v>144</v>
      </c>
      <c r="B63" t="str">
        <f t="shared" si="8"/>
        <v>AR24-005</v>
      </c>
      <c r="C63" t="str">
        <f t="shared" si="9"/>
        <v>02</v>
      </c>
      <c r="D63" t="str">
        <f t="shared" si="10"/>
        <v>01</v>
      </c>
      <c r="E63">
        <f t="shared" si="7"/>
        <v>3</v>
      </c>
      <c r="F63" s="6">
        <v>45347.533009259299</v>
      </c>
      <c r="G63">
        <v>1134.1420000000001</v>
      </c>
      <c r="H63" s="4"/>
      <c r="I63" s="4"/>
      <c r="J63" s="5"/>
    </row>
    <row r="64" spans="1:10" x14ac:dyDescent="0.25">
      <c r="A64" s="2" t="s">
        <v>145</v>
      </c>
      <c r="B64" t="str">
        <f t="shared" si="8"/>
        <v>AR24-005</v>
      </c>
      <c r="C64" t="str">
        <f t="shared" si="9"/>
        <v>03</v>
      </c>
      <c r="D64" t="str">
        <f t="shared" si="10"/>
        <v>01</v>
      </c>
      <c r="E64">
        <f t="shared" si="7"/>
        <v>3</v>
      </c>
      <c r="F64" s="6">
        <v>45347.533252314803</v>
      </c>
      <c r="G64">
        <v>1305.461</v>
      </c>
      <c r="H64" s="4"/>
      <c r="I64" s="4"/>
      <c r="J64" s="5"/>
    </row>
    <row r="65" spans="1:12" x14ac:dyDescent="0.25">
      <c r="A65" s="2" t="s">
        <v>146</v>
      </c>
      <c r="B65" t="str">
        <f t="shared" si="8"/>
        <v>AR24-005</v>
      </c>
      <c r="C65" t="str">
        <f t="shared" si="9"/>
        <v>04</v>
      </c>
      <c r="D65" t="str">
        <f t="shared" si="10"/>
        <v>01</v>
      </c>
      <c r="E65">
        <f t="shared" si="7"/>
        <v>3</v>
      </c>
      <c r="F65" s="6">
        <v>45347.5334953704</v>
      </c>
      <c r="G65">
        <v>1776.4649999999999</v>
      </c>
      <c r="H65" s="4"/>
      <c r="I65" s="4"/>
      <c r="J65" s="5"/>
    </row>
    <row r="66" spans="1:12" x14ac:dyDescent="0.25">
      <c r="A66" s="2" t="s">
        <v>147</v>
      </c>
      <c r="B66" t="str">
        <f t="shared" si="8"/>
        <v>AR24-005</v>
      </c>
      <c r="C66" t="str">
        <f t="shared" si="9"/>
        <v>05</v>
      </c>
      <c r="D66" t="str">
        <f t="shared" si="10"/>
        <v>01</v>
      </c>
      <c r="E66">
        <f t="shared" ref="E66:E97" si="11">MID(A66,14,4)-222</f>
        <v>3</v>
      </c>
      <c r="F66" s="6">
        <v>45347.533738425896</v>
      </c>
      <c r="G66">
        <v>1728.075</v>
      </c>
      <c r="H66" s="4"/>
      <c r="I66" s="4"/>
      <c r="J66" s="5"/>
    </row>
    <row r="67" spans="1:12" x14ac:dyDescent="0.25">
      <c r="A67" s="2" t="s">
        <v>148</v>
      </c>
      <c r="B67" t="str">
        <f t="shared" si="8"/>
        <v>AR24-005</v>
      </c>
      <c r="C67" t="str">
        <f t="shared" si="9"/>
        <v>06</v>
      </c>
      <c r="D67" t="str">
        <f t="shared" si="10"/>
        <v>01</v>
      </c>
      <c r="E67">
        <f t="shared" si="11"/>
        <v>3</v>
      </c>
      <c r="F67" s="6">
        <v>45347.533981481502</v>
      </c>
      <c r="G67">
        <v>1238.914</v>
      </c>
      <c r="H67" s="4"/>
      <c r="I67" s="4"/>
      <c r="J67" s="5"/>
    </row>
    <row r="68" spans="1:12" x14ac:dyDescent="0.25">
      <c r="A68" s="2" t="s">
        <v>149</v>
      </c>
      <c r="B68" t="str">
        <f t="shared" si="8"/>
        <v>AR24-005</v>
      </c>
      <c r="C68" t="str">
        <f t="shared" si="9"/>
        <v>07</v>
      </c>
      <c r="D68" t="str">
        <f t="shared" si="10"/>
        <v>01</v>
      </c>
      <c r="E68">
        <f t="shared" si="11"/>
        <v>3</v>
      </c>
      <c r="F68" s="6">
        <v>45347.534224536997</v>
      </c>
      <c r="G68">
        <v>1246.547</v>
      </c>
      <c r="H68" s="119">
        <f>AVERAGE(G68:G70)</f>
        <v>1304.9646666666667</v>
      </c>
      <c r="I68" s="119">
        <f>100*J68/H68</f>
        <v>4.2795615505116702</v>
      </c>
      <c r="J68" s="120">
        <f>STDEV(G68:G70)</f>
        <v>55.84676612242945</v>
      </c>
    </row>
    <row r="69" spans="1:12" x14ac:dyDescent="0.25">
      <c r="A69" s="2" t="s">
        <v>150</v>
      </c>
      <c r="B69" t="str">
        <f t="shared" si="8"/>
        <v>AR24-005</v>
      </c>
      <c r="C69" t="str">
        <f t="shared" si="9"/>
        <v>07</v>
      </c>
      <c r="D69" t="str">
        <f t="shared" si="10"/>
        <v>02</v>
      </c>
      <c r="E69">
        <f t="shared" si="11"/>
        <v>3</v>
      </c>
      <c r="F69" s="6">
        <v>45347.542592592603</v>
      </c>
      <c r="G69">
        <v>1357.825</v>
      </c>
      <c r="H69" s="119"/>
      <c r="I69" s="119"/>
      <c r="J69" s="120"/>
    </row>
    <row r="70" spans="1:12" x14ac:dyDescent="0.25">
      <c r="A70" s="2" t="s">
        <v>151</v>
      </c>
      <c r="B70" t="str">
        <f t="shared" si="8"/>
        <v>AR24-005</v>
      </c>
      <c r="C70" t="str">
        <f t="shared" si="9"/>
        <v>07</v>
      </c>
      <c r="D70" t="str">
        <f t="shared" si="10"/>
        <v>03</v>
      </c>
      <c r="E70">
        <f t="shared" si="11"/>
        <v>3</v>
      </c>
      <c r="F70" s="6">
        <v>45347.542951388903</v>
      </c>
      <c r="G70">
        <v>1310.5219999999999</v>
      </c>
      <c r="H70" s="119"/>
      <c r="I70" s="119"/>
      <c r="J70" s="120"/>
    </row>
    <row r="71" spans="1:12" x14ac:dyDescent="0.25">
      <c r="A71" s="2" t="s">
        <v>152</v>
      </c>
      <c r="B71" t="str">
        <f t="shared" si="8"/>
        <v>AR24-005</v>
      </c>
      <c r="C71" t="str">
        <f t="shared" si="9"/>
        <v>08</v>
      </c>
      <c r="D71" t="str">
        <f t="shared" si="10"/>
        <v>01</v>
      </c>
      <c r="E71">
        <f t="shared" si="11"/>
        <v>3</v>
      </c>
      <c r="F71" s="6">
        <v>45347.522060185198</v>
      </c>
      <c r="G71">
        <v>1467.5640000000001</v>
      </c>
      <c r="H71" s="119">
        <f>AVERAGE(G71:G73)</f>
        <v>1476.8010000000002</v>
      </c>
      <c r="I71" s="119">
        <f>100*J71/H71</f>
        <v>0.8500914983714204</v>
      </c>
      <c r="J71" s="120">
        <f>STDEV(G71:G73)</f>
        <v>12.554159748864123</v>
      </c>
    </row>
    <row r="72" spans="1:12" x14ac:dyDescent="0.25">
      <c r="A72" s="2" t="s">
        <v>153</v>
      </c>
      <c r="B72" t="str">
        <f t="shared" si="8"/>
        <v>AR24-005</v>
      </c>
      <c r="C72" t="str">
        <f t="shared" si="9"/>
        <v>08</v>
      </c>
      <c r="D72" t="str">
        <f t="shared" si="10"/>
        <v>02</v>
      </c>
      <c r="E72">
        <f t="shared" si="11"/>
        <v>3</v>
      </c>
      <c r="F72" s="6">
        <v>45347.528449074103</v>
      </c>
      <c r="G72">
        <v>1471.7439999999999</v>
      </c>
      <c r="H72" s="119"/>
      <c r="I72" s="119"/>
      <c r="J72" s="120"/>
      <c r="K72">
        <f>AVERAGE(I68:I76)</f>
        <v>3.9060545236327222</v>
      </c>
      <c r="L72">
        <f>AVERAGE(J68:J76)</f>
        <v>56.739402732563669</v>
      </c>
    </row>
    <row r="73" spans="1:12" x14ac:dyDescent="0.25">
      <c r="A73" s="2" t="s">
        <v>154</v>
      </c>
      <c r="B73" t="str">
        <f t="shared" si="8"/>
        <v>AR24-005</v>
      </c>
      <c r="C73" t="str">
        <f t="shared" si="9"/>
        <v>08</v>
      </c>
      <c r="D73" t="str">
        <f t="shared" si="10"/>
        <v>03</v>
      </c>
      <c r="E73">
        <f t="shared" si="11"/>
        <v>3</v>
      </c>
      <c r="F73" s="6">
        <v>45347.543321759302</v>
      </c>
      <c r="G73">
        <v>1491.095</v>
      </c>
      <c r="H73" s="119"/>
      <c r="I73" s="119"/>
      <c r="J73" s="120"/>
    </row>
    <row r="74" spans="1:12" x14ac:dyDescent="0.25">
      <c r="A74" s="2" t="s">
        <v>155</v>
      </c>
      <c r="B74" t="str">
        <f t="shared" si="8"/>
        <v>AR24-005</v>
      </c>
      <c r="C74" t="str">
        <f t="shared" si="9"/>
        <v>09</v>
      </c>
      <c r="D74" t="str">
        <f t="shared" si="10"/>
        <v>01</v>
      </c>
      <c r="E74">
        <f t="shared" si="11"/>
        <v>3</v>
      </c>
      <c r="F74" s="6">
        <v>45347.534479166701</v>
      </c>
      <c r="G74">
        <v>1621.845</v>
      </c>
      <c r="H74" s="119">
        <f>AVERAGE(G74:G76)</f>
        <v>1545.3763333333336</v>
      </c>
      <c r="I74" s="119">
        <f>100*J74/H74</f>
        <v>6.5885105220150759</v>
      </c>
      <c r="J74" s="120">
        <f>STDEV(G74:G76)</f>
        <v>101.81728232639745</v>
      </c>
    </row>
    <row r="75" spans="1:12" x14ac:dyDescent="0.25">
      <c r="A75" s="2" t="s">
        <v>156</v>
      </c>
      <c r="B75" t="str">
        <f t="shared" si="8"/>
        <v>AR24-005</v>
      </c>
      <c r="C75" t="str">
        <f t="shared" si="9"/>
        <v>09</v>
      </c>
      <c r="D75" t="str">
        <f t="shared" si="10"/>
        <v>02</v>
      </c>
      <c r="E75">
        <f t="shared" si="11"/>
        <v>3</v>
      </c>
      <c r="F75" s="6">
        <v>45347.543576388904</v>
      </c>
      <c r="G75">
        <v>1429.8040000000001</v>
      </c>
      <c r="H75" s="119"/>
      <c r="I75" s="119"/>
      <c r="J75" s="120"/>
    </row>
    <row r="76" spans="1:12" x14ac:dyDescent="0.25">
      <c r="A76" s="2" t="s">
        <v>157</v>
      </c>
      <c r="B76" t="str">
        <f t="shared" si="8"/>
        <v>AR24-005</v>
      </c>
      <c r="C76" t="str">
        <f t="shared" si="9"/>
        <v>09</v>
      </c>
      <c r="D76" t="str">
        <f t="shared" si="10"/>
        <v>03</v>
      </c>
      <c r="E76">
        <f t="shared" si="11"/>
        <v>3</v>
      </c>
      <c r="F76" s="6">
        <v>45347.543935185196</v>
      </c>
      <c r="G76">
        <v>1584.48</v>
      </c>
      <c r="H76" s="119"/>
      <c r="I76" s="119"/>
      <c r="J76" s="120"/>
    </row>
    <row r="77" spans="1:12" x14ac:dyDescent="0.25">
      <c r="A77" s="2" t="s">
        <v>158</v>
      </c>
      <c r="B77" t="str">
        <f t="shared" si="8"/>
        <v>AR24-005</v>
      </c>
      <c r="C77" t="str">
        <f t="shared" si="9"/>
        <v>10</v>
      </c>
      <c r="D77" t="str">
        <f t="shared" si="10"/>
        <v>01</v>
      </c>
      <c r="E77">
        <f t="shared" si="11"/>
        <v>3</v>
      </c>
      <c r="F77" s="6">
        <v>45347.534756944398</v>
      </c>
      <c r="G77">
        <v>1230.4880000000001</v>
      </c>
      <c r="H77" s="4"/>
      <c r="I77" s="4"/>
      <c r="J77" s="5"/>
    </row>
    <row r="78" spans="1:12" x14ac:dyDescent="0.25">
      <c r="A78" s="2" t="s">
        <v>159</v>
      </c>
      <c r="B78" t="str">
        <f t="shared" si="8"/>
        <v>AR24-005</v>
      </c>
      <c r="C78" t="str">
        <f t="shared" si="9"/>
        <v>11</v>
      </c>
      <c r="D78" t="str">
        <f t="shared" si="10"/>
        <v>01</v>
      </c>
      <c r="E78">
        <f t="shared" si="11"/>
        <v>3</v>
      </c>
      <c r="F78" s="6">
        <v>45347.537060185197</v>
      </c>
      <c r="G78">
        <v>1818.135</v>
      </c>
      <c r="H78" s="4"/>
      <c r="I78" s="4"/>
      <c r="J78" s="5"/>
    </row>
    <row r="79" spans="1:12" x14ac:dyDescent="0.25">
      <c r="A79" s="2" t="s">
        <v>160</v>
      </c>
      <c r="B79" t="str">
        <f t="shared" si="8"/>
        <v>AR24-005</v>
      </c>
      <c r="C79" t="str">
        <f t="shared" si="9"/>
        <v>12</v>
      </c>
      <c r="D79" t="str">
        <f t="shared" si="10"/>
        <v>01</v>
      </c>
      <c r="E79">
        <f t="shared" si="11"/>
        <v>3</v>
      </c>
      <c r="F79" s="6">
        <v>45347.522546296299</v>
      </c>
      <c r="G79">
        <v>1171.662</v>
      </c>
      <c r="H79" s="4"/>
      <c r="I79" s="4"/>
      <c r="J79" s="5"/>
    </row>
    <row r="80" spans="1:12" x14ac:dyDescent="0.25">
      <c r="A80" s="2" t="s">
        <v>161</v>
      </c>
      <c r="B80" t="str">
        <f t="shared" si="8"/>
        <v>AR24-005</v>
      </c>
      <c r="C80" t="str">
        <f t="shared" si="9"/>
        <v>13</v>
      </c>
      <c r="D80" t="str">
        <f t="shared" si="10"/>
        <v>01</v>
      </c>
      <c r="E80">
        <f t="shared" si="11"/>
        <v>3</v>
      </c>
      <c r="F80" s="6">
        <v>45347.5226736111</v>
      </c>
      <c r="G80">
        <v>1535.1</v>
      </c>
      <c r="H80" s="4"/>
      <c r="I80" s="4"/>
      <c r="J80" s="5"/>
    </row>
    <row r="81" spans="1:10" x14ac:dyDescent="0.25">
      <c r="A81" s="2" t="s">
        <v>162</v>
      </c>
      <c r="B81" t="str">
        <f t="shared" si="8"/>
        <v>AR24-005</v>
      </c>
      <c r="C81" t="str">
        <f t="shared" si="9"/>
        <v>14</v>
      </c>
      <c r="D81" t="str">
        <f t="shared" si="10"/>
        <v>01</v>
      </c>
      <c r="E81">
        <f t="shared" si="11"/>
        <v>3</v>
      </c>
      <c r="F81" s="6">
        <v>45347.522800925901</v>
      </c>
      <c r="G81">
        <v>1182.278</v>
      </c>
      <c r="H81" s="4"/>
      <c r="I81" s="4"/>
      <c r="J81" s="5"/>
    </row>
    <row r="82" spans="1:10" x14ac:dyDescent="0.25">
      <c r="A82" s="2" t="s">
        <v>163</v>
      </c>
      <c r="B82" t="str">
        <f t="shared" si="8"/>
        <v>AR24-005</v>
      </c>
      <c r="C82" t="str">
        <f t="shared" si="9"/>
        <v>15</v>
      </c>
      <c r="D82" t="str">
        <f t="shared" si="10"/>
        <v>01</v>
      </c>
      <c r="E82">
        <f t="shared" si="11"/>
        <v>3</v>
      </c>
      <c r="F82" s="6">
        <v>45347.537546296298</v>
      </c>
      <c r="G82">
        <v>1711.11</v>
      </c>
      <c r="H82" s="4"/>
      <c r="I82" s="4"/>
      <c r="J82" s="5"/>
    </row>
    <row r="83" spans="1:10" x14ac:dyDescent="0.25">
      <c r="A83" s="2" t="s">
        <v>164</v>
      </c>
      <c r="B83" t="str">
        <f t="shared" si="8"/>
        <v>AR24-005</v>
      </c>
      <c r="C83" t="str">
        <f t="shared" si="9"/>
        <v>16</v>
      </c>
      <c r="D83" t="str">
        <f t="shared" si="10"/>
        <v>01</v>
      </c>
      <c r="E83">
        <f t="shared" si="11"/>
        <v>3</v>
      </c>
      <c r="F83" s="6">
        <v>45347.538043981498</v>
      </c>
      <c r="G83">
        <v>1184.9459999999999</v>
      </c>
      <c r="H83" s="4"/>
      <c r="I83" s="4"/>
      <c r="J83" s="5"/>
    </row>
    <row r="84" spans="1:10" x14ac:dyDescent="0.25">
      <c r="A84" s="2" t="s">
        <v>165</v>
      </c>
      <c r="B84" t="str">
        <f t="shared" si="8"/>
        <v>AR24-005</v>
      </c>
      <c r="C84" t="str">
        <f t="shared" si="9"/>
        <v>17</v>
      </c>
      <c r="D84" t="str">
        <f t="shared" si="10"/>
        <v>01</v>
      </c>
      <c r="E84">
        <f t="shared" si="11"/>
        <v>3</v>
      </c>
      <c r="F84" s="6">
        <v>45347.538530092599</v>
      </c>
      <c r="G84">
        <v>1113.8920000000001</v>
      </c>
      <c r="H84" s="4"/>
      <c r="I84" s="4"/>
      <c r="J84" s="5"/>
    </row>
    <row r="85" spans="1:10" x14ac:dyDescent="0.25">
      <c r="A85" s="2" t="s">
        <v>166</v>
      </c>
      <c r="B85" t="str">
        <f t="shared" si="8"/>
        <v>AR24-005</v>
      </c>
      <c r="C85" t="str">
        <f t="shared" si="9"/>
        <v>18</v>
      </c>
      <c r="D85" t="str">
        <f t="shared" si="10"/>
        <v>01</v>
      </c>
      <c r="E85">
        <f t="shared" si="11"/>
        <v>3</v>
      </c>
      <c r="F85" s="6">
        <v>45347.538784722201</v>
      </c>
      <c r="G85">
        <v>1496.0509999999999</v>
      </c>
      <c r="H85" s="4"/>
      <c r="I85" s="4"/>
      <c r="J85" s="5"/>
    </row>
    <row r="86" spans="1:10" x14ac:dyDescent="0.25">
      <c r="A86" s="2" t="s">
        <v>167</v>
      </c>
      <c r="B86" t="str">
        <f t="shared" si="8"/>
        <v>AR24-005</v>
      </c>
      <c r="C86" t="str">
        <f t="shared" si="9"/>
        <v>19</v>
      </c>
      <c r="D86" t="str">
        <f t="shared" si="10"/>
        <v>01</v>
      </c>
      <c r="E86">
        <f t="shared" si="11"/>
        <v>3</v>
      </c>
      <c r="F86" s="6">
        <v>45347.527476851901</v>
      </c>
      <c r="G86">
        <v>1127.2059999999999</v>
      </c>
      <c r="H86" s="4"/>
      <c r="I86" s="4"/>
      <c r="J86" s="5"/>
    </row>
    <row r="87" spans="1:10" x14ac:dyDescent="0.25">
      <c r="A87" s="2" t="s">
        <v>168</v>
      </c>
      <c r="B87" t="str">
        <f t="shared" si="8"/>
        <v>AR24-005</v>
      </c>
      <c r="C87" t="str">
        <f t="shared" si="9"/>
        <v>20</v>
      </c>
      <c r="D87" t="str">
        <f t="shared" si="10"/>
        <v>01</v>
      </c>
      <c r="E87">
        <f t="shared" si="11"/>
        <v>3</v>
      </c>
      <c r="F87" s="6">
        <v>45347.539259259298</v>
      </c>
      <c r="G87">
        <v>1274.4849999999999</v>
      </c>
      <c r="H87" s="4"/>
      <c r="I87" s="4"/>
      <c r="J87" s="5"/>
    </row>
    <row r="88" spans="1:10" x14ac:dyDescent="0.25">
      <c r="A88" s="2" t="s">
        <v>169</v>
      </c>
      <c r="B88" t="str">
        <f t="shared" si="8"/>
        <v>AR24-005</v>
      </c>
      <c r="C88" t="str">
        <f t="shared" si="9"/>
        <v>21</v>
      </c>
      <c r="D88" t="str">
        <f t="shared" si="10"/>
        <v>01</v>
      </c>
      <c r="E88">
        <f t="shared" si="11"/>
        <v>3</v>
      </c>
      <c r="F88" s="6">
        <v>45347.539756944403</v>
      </c>
      <c r="G88">
        <v>1388.5509999999999</v>
      </c>
      <c r="H88" s="4"/>
      <c r="I88" s="4"/>
      <c r="J88" s="5"/>
    </row>
    <row r="89" spans="1:10" x14ac:dyDescent="0.25">
      <c r="A89" s="2" t="s">
        <v>170</v>
      </c>
      <c r="B89" t="str">
        <f t="shared" si="8"/>
        <v>AR24-005</v>
      </c>
      <c r="C89" t="str">
        <f t="shared" si="9"/>
        <v>22</v>
      </c>
      <c r="D89" t="str">
        <f t="shared" si="10"/>
        <v>01</v>
      </c>
      <c r="E89">
        <f t="shared" si="11"/>
        <v>3</v>
      </c>
      <c r="F89" s="6">
        <v>45347.527835648201</v>
      </c>
      <c r="G89">
        <v>1485.4960000000001</v>
      </c>
      <c r="H89" s="4"/>
      <c r="I89" s="4"/>
      <c r="J89" s="5"/>
    </row>
    <row r="90" spans="1:10" x14ac:dyDescent="0.25">
      <c r="A90" s="2" t="s">
        <v>171</v>
      </c>
      <c r="B90" t="str">
        <f t="shared" si="8"/>
        <v>AR24-005</v>
      </c>
      <c r="C90" t="str">
        <f t="shared" si="9"/>
        <v>23</v>
      </c>
      <c r="D90" t="str">
        <f t="shared" si="10"/>
        <v>01</v>
      </c>
      <c r="E90">
        <f t="shared" si="11"/>
        <v>3</v>
      </c>
      <c r="F90" s="6">
        <v>45347.527962963002</v>
      </c>
      <c r="G90">
        <v>1513.11</v>
      </c>
      <c r="H90" s="4"/>
      <c r="I90" s="4"/>
      <c r="J90" s="5"/>
    </row>
    <row r="91" spans="1:10" ht="15.75" thickBot="1" x14ac:dyDescent="0.3">
      <c r="A91" s="2" t="s">
        <v>172</v>
      </c>
      <c r="B91" t="str">
        <f t="shared" si="8"/>
        <v>AR24-005</v>
      </c>
      <c r="C91" t="str">
        <f t="shared" si="9"/>
        <v>24</v>
      </c>
      <c r="D91" t="str">
        <f t="shared" si="10"/>
        <v>01</v>
      </c>
      <c r="E91">
        <f t="shared" si="11"/>
        <v>3</v>
      </c>
      <c r="F91" s="6">
        <v>45347.540243055599</v>
      </c>
      <c r="G91">
        <v>1478.4749999999999</v>
      </c>
      <c r="H91" s="4"/>
      <c r="I91" s="4"/>
      <c r="J91" s="5"/>
    </row>
    <row r="92" spans="1:10" x14ac:dyDescent="0.25">
      <c r="A92" s="7" t="s">
        <v>173</v>
      </c>
      <c r="B92" s="8" t="str">
        <f t="shared" ref="B92:B121" si="12">LEFT(A92,8)</f>
        <v>AR24-005</v>
      </c>
      <c r="C92" s="8" t="str">
        <f t="shared" ref="C92:C121" si="13">MID(A92,24,2)</f>
        <v>01</v>
      </c>
      <c r="D92" s="8" t="str">
        <f t="shared" ref="D92:D121" si="14">MID(A92,27,2)</f>
        <v>01</v>
      </c>
      <c r="E92" s="8">
        <f t="shared" si="11"/>
        <v>4</v>
      </c>
      <c r="F92" s="40">
        <v>45348.485509259299</v>
      </c>
      <c r="G92" s="8">
        <v>1903.9349999999999</v>
      </c>
      <c r="H92" s="10"/>
      <c r="I92" s="10"/>
      <c r="J92" s="11"/>
    </row>
    <row r="93" spans="1:10" x14ac:dyDescent="0.25">
      <c r="A93" s="2" t="s">
        <v>174</v>
      </c>
      <c r="B93" t="str">
        <f t="shared" si="12"/>
        <v>AR24-005</v>
      </c>
      <c r="C93" t="str">
        <f t="shared" si="13"/>
        <v>02</v>
      </c>
      <c r="D93" t="str">
        <f t="shared" si="14"/>
        <v>01</v>
      </c>
      <c r="E93">
        <f t="shared" si="11"/>
        <v>4</v>
      </c>
      <c r="F93" s="6">
        <v>45348.486435185201</v>
      </c>
      <c r="G93">
        <v>1766.7449999999999</v>
      </c>
      <c r="H93" s="4"/>
      <c r="I93" s="4"/>
      <c r="J93" s="5"/>
    </row>
    <row r="94" spans="1:10" x14ac:dyDescent="0.25">
      <c r="A94" s="2" t="s">
        <v>175</v>
      </c>
      <c r="B94" t="str">
        <f t="shared" si="12"/>
        <v>AR24-005</v>
      </c>
      <c r="C94" t="str">
        <f t="shared" si="13"/>
        <v>03</v>
      </c>
      <c r="D94" t="str">
        <f t="shared" si="14"/>
        <v>01</v>
      </c>
      <c r="E94">
        <f t="shared" si="11"/>
        <v>4</v>
      </c>
      <c r="F94" s="6">
        <v>45348.486655092602</v>
      </c>
      <c r="G94">
        <v>1858.6949999999999</v>
      </c>
      <c r="H94" s="4"/>
      <c r="I94" s="4"/>
      <c r="J94" s="5"/>
    </row>
    <row r="95" spans="1:10" x14ac:dyDescent="0.25">
      <c r="A95" s="2" t="s">
        <v>176</v>
      </c>
      <c r="B95" t="str">
        <f t="shared" si="12"/>
        <v>AR24-005</v>
      </c>
      <c r="C95" t="str">
        <f t="shared" si="13"/>
        <v>04</v>
      </c>
      <c r="D95" t="str">
        <f t="shared" si="14"/>
        <v>01</v>
      </c>
      <c r="E95">
        <f t="shared" si="11"/>
        <v>4</v>
      </c>
      <c r="F95" s="6">
        <v>45348.4868981482</v>
      </c>
      <c r="G95">
        <v>2381.2950000000001</v>
      </c>
      <c r="H95" s="4"/>
      <c r="I95" s="4"/>
      <c r="J95" s="5"/>
    </row>
    <row r="96" spans="1:10" x14ac:dyDescent="0.25">
      <c r="A96" s="2" t="s">
        <v>177</v>
      </c>
      <c r="B96" t="str">
        <f t="shared" si="12"/>
        <v>AR24-005</v>
      </c>
      <c r="C96" t="str">
        <f t="shared" si="13"/>
        <v>05</v>
      </c>
      <c r="D96" t="str">
        <f t="shared" si="14"/>
        <v>01</v>
      </c>
      <c r="E96">
        <f t="shared" si="11"/>
        <v>4</v>
      </c>
      <c r="F96" s="6">
        <v>45348.487141203703</v>
      </c>
      <c r="G96">
        <v>2238.9299999999998</v>
      </c>
      <c r="H96" s="4"/>
      <c r="I96" s="4"/>
      <c r="J96" s="5"/>
    </row>
    <row r="97" spans="1:12" x14ac:dyDescent="0.25">
      <c r="A97" s="2" t="s">
        <v>178</v>
      </c>
      <c r="B97" t="str">
        <f t="shared" si="12"/>
        <v>AR24-005</v>
      </c>
      <c r="C97" t="str">
        <f t="shared" si="13"/>
        <v>06</v>
      </c>
      <c r="D97" t="str">
        <f t="shared" si="14"/>
        <v>01</v>
      </c>
      <c r="E97">
        <f t="shared" si="11"/>
        <v>4</v>
      </c>
      <c r="F97" s="6">
        <v>45348.487384259301</v>
      </c>
      <c r="G97">
        <v>1936.47</v>
      </c>
      <c r="H97" s="4"/>
      <c r="I97" s="4"/>
      <c r="J97" s="5"/>
    </row>
    <row r="98" spans="1:12" x14ac:dyDescent="0.25">
      <c r="A98" s="2" t="s">
        <v>179</v>
      </c>
      <c r="B98" t="str">
        <f t="shared" si="12"/>
        <v>AR24-005</v>
      </c>
      <c r="C98" t="str">
        <f t="shared" si="13"/>
        <v>07</v>
      </c>
      <c r="D98" t="str">
        <f t="shared" si="14"/>
        <v>01</v>
      </c>
      <c r="E98">
        <f t="shared" ref="E98:E121" si="15">MID(A98,14,4)-222</f>
        <v>4</v>
      </c>
      <c r="F98" s="6">
        <v>45348.487638888902</v>
      </c>
      <c r="G98">
        <v>2102.79</v>
      </c>
      <c r="H98" s="4"/>
      <c r="I98" s="4"/>
      <c r="J98" s="5"/>
    </row>
    <row r="99" spans="1:12" x14ac:dyDescent="0.25">
      <c r="A99" s="2" t="s">
        <v>180</v>
      </c>
      <c r="B99" t="str">
        <f t="shared" si="12"/>
        <v>AR24-005</v>
      </c>
      <c r="C99" t="str">
        <f t="shared" si="13"/>
        <v>08</v>
      </c>
      <c r="D99" t="str">
        <f t="shared" si="14"/>
        <v>01</v>
      </c>
      <c r="E99">
        <f t="shared" si="15"/>
        <v>4</v>
      </c>
      <c r="F99" s="6">
        <v>45348.487881944398</v>
      </c>
      <c r="G99">
        <v>2073.375</v>
      </c>
      <c r="H99" s="4"/>
      <c r="I99" s="4"/>
      <c r="J99" s="5"/>
    </row>
    <row r="100" spans="1:12" x14ac:dyDescent="0.25">
      <c r="A100" s="2" t="s">
        <v>181</v>
      </c>
      <c r="B100" t="str">
        <f t="shared" si="12"/>
        <v>AR24-005</v>
      </c>
      <c r="C100" t="str">
        <f t="shared" si="13"/>
        <v>09</v>
      </c>
      <c r="D100" t="str">
        <f t="shared" si="14"/>
        <v>01</v>
      </c>
      <c r="E100">
        <f t="shared" si="15"/>
        <v>4</v>
      </c>
      <c r="F100" s="6">
        <v>45348.488125000003</v>
      </c>
      <c r="G100">
        <v>2108.64</v>
      </c>
      <c r="H100" s="4"/>
      <c r="I100" s="4"/>
      <c r="J100" s="5"/>
    </row>
    <row r="101" spans="1:12" x14ac:dyDescent="0.25">
      <c r="A101" s="2" t="s">
        <v>182</v>
      </c>
      <c r="B101" t="str">
        <f t="shared" si="12"/>
        <v>AR24-005</v>
      </c>
      <c r="C101" t="str">
        <f t="shared" si="13"/>
        <v>10</v>
      </c>
      <c r="D101" t="str">
        <f t="shared" si="14"/>
        <v>01</v>
      </c>
      <c r="E101">
        <f t="shared" si="15"/>
        <v>4</v>
      </c>
      <c r="F101" s="6">
        <v>45348.490462962996</v>
      </c>
      <c r="G101">
        <v>1689.405</v>
      </c>
      <c r="H101" s="119">
        <f>AVERAGE(G101:G103)</f>
        <v>1726.43</v>
      </c>
      <c r="I101" s="119">
        <f>100*J101/H101</f>
        <v>3.960847214108945</v>
      </c>
      <c r="J101" s="120">
        <f>STDEV(G101:G103)</f>
        <v>68.381254558541059</v>
      </c>
    </row>
    <row r="102" spans="1:12" x14ac:dyDescent="0.25">
      <c r="A102" s="2" t="s">
        <v>183</v>
      </c>
      <c r="B102" t="str">
        <f t="shared" si="12"/>
        <v>AR24-005</v>
      </c>
      <c r="C102" t="str">
        <f t="shared" si="13"/>
        <v>10</v>
      </c>
      <c r="D102" t="str">
        <f t="shared" si="14"/>
        <v>02</v>
      </c>
      <c r="E102">
        <f t="shared" si="15"/>
        <v>4</v>
      </c>
      <c r="F102" s="6">
        <v>45348.500532407401</v>
      </c>
      <c r="G102">
        <v>1805.34</v>
      </c>
      <c r="H102" s="119"/>
      <c r="I102" s="119"/>
      <c r="J102" s="120"/>
    </row>
    <row r="103" spans="1:12" x14ac:dyDescent="0.25">
      <c r="A103" s="2" t="s">
        <v>184</v>
      </c>
      <c r="B103" t="str">
        <f t="shared" si="12"/>
        <v>AR24-005</v>
      </c>
      <c r="C103" t="str">
        <f t="shared" si="13"/>
        <v>10</v>
      </c>
      <c r="D103" t="str">
        <f t="shared" si="14"/>
        <v>03</v>
      </c>
      <c r="E103">
        <f t="shared" si="15"/>
        <v>4</v>
      </c>
      <c r="F103" s="6">
        <v>45348.501030092601</v>
      </c>
      <c r="G103">
        <v>1684.5450000000001</v>
      </c>
      <c r="H103" s="119"/>
      <c r="I103" s="119"/>
      <c r="J103" s="120"/>
    </row>
    <row r="104" spans="1:12" x14ac:dyDescent="0.25">
      <c r="A104" s="2" t="s">
        <v>185</v>
      </c>
      <c r="B104" t="str">
        <f t="shared" si="12"/>
        <v>AR24-005</v>
      </c>
      <c r="C104" t="str">
        <f t="shared" si="13"/>
        <v>11</v>
      </c>
      <c r="D104" t="str">
        <f t="shared" si="14"/>
        <v>01</v>
      </c>
      <c r="E104">
        <f t="shared" si="15"/>
        <v>4</v>
      </c>
      <c r="F104" s="6">
        <v>45348.490960648203</v>
      </c>
      <c r="G104">
        <v>2143.3049999999998</v>
      </c>
      <c r="H104" s="119">
        <f>AVERAGE(G104:G106)</f>
        <v>2216.6799999999998</v>
      </c>
      <c r="I104" s="119">
        <f>100*J104/H104</f>
        <v>3.1364003860964398</v>
      </c>
      <c r="J104" s="120">
        <f>STDEV(G104:G106)</f>
        <v>69.523960078522563</v>
      </c>
    </row>
    <row r="105" spans="1:12" x14ac:dyDescent="0.25">
      <c r="A105" s="2" t="s">
        <v>186</v>
      </c>
      <c r="B105" t="str">
        <f t="shared" si="12"/>
        <v>AR24-005</v>
      </c>
      <c r="C105" t="str">
        <f t="shared" si="13"/>
        <v>11</v>
      </c>
      <c r="D105" t="str">
        <f t="shared" si="14"/>
        <v>02</v>
      </c>
      <c r="E105">
        <f t="shared" si="15"/>
        <v>4</v>
      </c>
      <c r="F105" s="6">
        <v>45348.501388888901</v>
      </c>
      <c r="G105">
        <v>2281.5749999999998</v>
      </c>
      <c r="H105" s="119"/>
      <c r="I105" s="119"/>
      <c r="J105" s="120"/>
      <c r="K105">
        <f>AVERAGE(I101:I109)</f>
        <v>3.7299468682809134</v>
      </c>
      <c r="L105">
        <f>AVERAGE(J101:J109)</f>
        <v>66.884028877823127</v>
      </c>
    </row>
    <row r="106" spans="1:12" x14ac:dyDescent="0.25">
      <c r="A106" s="2" t="s">
        <v>187</v>
      </c>
      <c r="B106" t="str">
        <f t="shared" si="12"/>
        <v>AR24-005</v>
      </c>
      <c r="C106" t="str">
        <f t="shared" si="13"/>
        <v>11</v>
      </c>
      <c r="D106" t="str">
        <f t="shared" si="14"/>
        <v>03</v>
      </c>
      <c r="E106">
        <f t="shared" si="15"/>
        <v>4</v>
      </c>
      <c r="F106" s="6">
        <v>45348.501759259299</v>
      </c>
      <c r="G106">
        <v>2225.16</v>
      </c>
      <c r="H106" s="119"/>
      <c r="I106" s="119"/>
      <c r="J106" s="120"/>
    </row>
    <row r="107" spans="1:12" x14ac:dyDescent="0.25">
      <c r="A107" s="2" t="s">
        <v>188</v>
      </c>
      <c r="B107" t="str">
        <f t="shared" si="12"/>
        <v>AR24-005</v>
      </c>
      <c r="C107" t="str">
        <f t="shared" si="13"/>
        <v>12</v>
      </c>
      <c r="D107" t="str">
        <f t="shared" si="14"/>
        <v>01</v>
      </c>
      <c r="E107">
        <f t="shared" si="15"/>
        <v>4</v>
      </c>
      <c r="F107" s="6">
        <v>45348.491446759297</v>
      </c>
      <c r="G107">
        <v>1478.3440000000001</v>
      </c>
      <c r="H107" s="119">
        <f>AVERAGE(G107:G109)</f>
        <v>1533.1813333333332</v>
      </c>
      <c r="I107" s="119">
        <f>100*J107/H107</f>
        <v>4.0925930046373553</v>
      </c>
      <c r="J107" s="120">
        <f>STDEV(G107:G109)</f>
        <v>62.746871996405723</v>
      </c>
    </row>
    <row r="108" spans="1:12" x14ac:dyDescent="0.25">
      <c r="A108" s="2" t="s">
        <v>189</v>
      </c>
      <c r="B108" t="str">
        <f t="shared" si="12"/>
        <v>AR24-005</v>
      </c>
      <c r="C108" t="str">
        <f t="shared" si="13"/>
        <v>12</v>
      </c>
      <c r="D108" t="str">
        <f t="shared" si="14"/>
        <v>02</v>
      </c>
      <c r="E108">
        <f t="shared" si="15"/>
        <v>4</v>
      </c>
      <c r="F108" s="6">
        <v>45348.5027430556</v>
      </c>
      <c r="G108">
        <v>1601.61</v>
      </c>
      <c r="H108" s="119"/>
      <c r="I108" s="119"/>
      <c r="J108" s="120"/>
    </row>
    <row r="109" spans="1:12" x14ac:dyDescent="0.25">
      <c r="A109" s="2" t="s">
        <v>190</v>
      </c>
      <c r="B109" t="str">
        <f t="shared" si="12"/>
        <v>AR24-005</v>
      </c>
      <c r="C109" t="str">
        <f t="shared" si="13"/>
        <v>12</v>
      </c>
      <c r="D109" t="str">
        <f t="shared" si="14"/>
        <v>03</v>
      </c>
      <c r="E109">
        <f t="shared" si="15"/>
        <v>4</v>
      </c>
      <c r="F109" s="6">
        <v>45348.503969907397</v>
      </c>
      <c r="G109">
        <v>1519.59</v>
      </c>
      <c r="H109" s="119"/>
      <c r="I109" s="119"/>
      <c r="J109" s="120"/>
    </row>
    <row r="110" spans="1:12" x14ac:dyDescent="0.25">
      <c r="A110" s="2" t="s">
        <v>191</v>
      </c>
      <c r="B110" t="str">
        <f t="shared" si="12"/>
        <v>AR24-005</v>
      </c>
      <c r="C110" t="str">
        <f t="shared" si="13"/>
        <v>13</v>
      </c>
      <c r="D110" t="str">
        <f t="shared" si="14"/>
        <v>01</v>
      </c>
      <c r="E110">
        <f t="shared" si="15"/>
        <v>4</v>
      </c>
      <c r="F110" s="6">
        <v>45348.491944444402</v>
      </c>
      <c r="G110">
        <v>2059.14</v>
      </c>
      <c r="H110" s="4"/>
      <c r="I110" s="4"/>
      <c r="J110" s="5"/>
    </row>
    <row r="111" spans="1:12" x14ac:dyDescent="0.25">
      <c r="A111" s="2" t="s">
        <v>192</v>
      </c>
      <c r="B111" t="str">
        <f t="shared" si="12"/>
        <v>AR24-005</v>
      </c>
      <c r="C111" t="str">
        <f t="shared" si="13"/>
        <v>14</v>
      </c>
      <c r="D111" t="str">
        <f t="shared" si="14"/>
        <v>01</v>
      </c>
      <c r="E111">
        <f t="shared" si="15"/>
        <v>4</v>
      </c>
      <c r="F111" s="6">
        <v>45348.492662037002</v>
      </c>
      <c r="G111">
        <v>1780.095</v>
      </c>
      <c r="H111" s="4"/>
      <c r="I111" s="4"/>
      <c r="J111" s="5"/>
    </row>
    <row r="112" spans="1:12" x14ac:dyDescent="0.25">
      <c r="A112" s="2" t="s">
        <v>193</v>
      </c>
      <c r="B112" t="str">
        <f t="shared" si="12"/>
        <v>AR24-005</v>
      </c>
      <c r="C112" t="str">
        <f t="shared" si="13"/>
        <v>15</v>
      </c>
      <c r="D112" t="str">
        <f t="shared" si="14"/>
        <v>01</v>
      </c>
      <c r="E112">
        <f t="shared" si="15"/>
        <v>4</v>
      </c>
      <c r="F112" s="6">
        <v>45348.493159722202</v>
      </c>
      <c r="G112">
        <v>2379.6750000000002</v>
      </c>
      <c r="H112" s="4"/>
      <c r="I112" s="4"/>
      <c r="J112" s="5"/>
    </row>
    <row r="113" spans="1:10" x14ac:dyDescent="0.25">
      <c r="A113" s="2" t="s">
        <v>194</v>
      </c>
      <c r="B113" t="str">
        <f t="shared" si="12"/>
        <v>AR24-005</v>
      </c>
      <c r="C113" t="str">
        <f t="shared" si="13"/>
        <v>16</v>
      </c>
      <c r="D113" t="str">
        <f t="shared" si="14"/>
        <v>01</v>
      </c>
      <c r="E113">
        <f t="shared" si="15"/>
        <v>4</v>
      </c>
      <c r="F113" s="6">
        <v>45348.493645833303</v>
      </c>
      <c r="G113">
        <v>1695.9749999999999</v>
      </c>
      <c r="H113" s="4"/>
      <c r="I113" s="4"/>
      <c r="J113" s="5"/>
    </row>
    <row r="114" spans="1:10" x14ac:dyDescent="0.25">
      <c r="A114" s="2" t="s">
        <v>195</v>
      </c>
      <c r="B114" t="str">
        <f t="shared" si="12"/>
        <v>AR24-005</v>
      </c>
      <c r="C114" t="str">
        <f t="shared" si="13"/>
        <v>17</v>
      </c>
      <c r="D114" t="str">
        <f t="shared" si="14"/>
        <v>01</v>
      </c>
      <c r="E114">
        <f t="shared" si="15"/>
        <v>4</v>
      </c>
      <c r="F114" s="6">
        <v>45348.494143518503</v>
      </c>
      <c r="G114">
        <v>1544.19</v>
      </c>
      <c r="H114" s="4"/>
      <c r="I114" s="4"/>
      <c r="J114" s="5"/>
    </row>
    <row r="115" spans="1:10" x14ac:dyDescent="0.25">
      <c r="A115" s="2" t="s">
        <v>196</v>
      </c>
      <c r="B115" t="str">
        <f t="shared" si="12"/>
        <v>AR24-005</v>
      </c>
      <c r="C115" t="str">
        <f t="shared" si="13"/>
        <v>18</v>
      </c>
      <c r="D115" t="str">
        <f t="shared" si="14"/>
        <v>01</v>
      </c>
      <c r="E115">
        <f t="shared" si="15"/>
        <v>4</v>
      </c>
      <c r="F115" s="6">
        <v>45348.496354166702</v>
      </c>
      <c r="G115">
        <v>2189.4450000000002</v>
      </c>
      <c r="H115" s="4"/>
      <c r="I115" s="4"/>
      <c r="J115" s="5"/>
    </row>
    <row r="116" spans="1:10" x14ac:dyDescent="0.25">
      <c r="A116" s="2" t="s">
        <v>197</v>
      </c>
      <c r="B116" t="str">
        <f t="shared" si="12"/>
        <v>AR24-005</v>
      </c>
      <c r="C116" t="str">
        <f t="shared" si="13"/>
        <v>19</v>
      </c>
      <c r="D116" t="str">
        <f t="shared" si="14"/>
        <v>01</v>
      </c>
      <c r="E116">
        <f t="shared" si="15"/>
        <v>4</v>
      </c>
      <c r="F116" s="6">
        <v>45348.496724536999</v>
      </c>
      <c r="G116">
        <v>1662.33</v>
      </c>
      <c r="H116" s="4"/>
      <c r="I116" s="4"/>
      <c r="J116" s="5"/>
    </row>
    <row r="117" spans="1:10" x14ac:dyDescent="0.25">
      <c r="A117" s="2" t="s">
        <v>198</v>
      </c>
      <c r="B117" t="str">
        <f t="shared" si="12"/>
        <v>AR24-005</v>
      </c>
      <c r="C117" t="str">
        <f t="shared" si="13"/>
        <v>20</v>
      </c>
      <c r="D117" t="str">
        <f t="shared" si="14"/>
        <v>01</v>
      </c>
      <c r="E117">
        <f t="shared" si="15"/>
        <v>4</v>
      </c>
      <c r="F117" s="6">
        <v>45348.496979166703</v>
      </c>
      <c r="G117">
        <v>1826.0550000000001</v>
      </c>
      <c r="H117" s="4"/>
      <c r="I117" s="4"/>
      <c r="J117" s="5"/>
    </row>
    <row r="118" spans="1:10" x14ac:dyDescent="0.25">
      <c r="A118" s="2" t="s">
        <v>199</v>
      </c>
      <c r="B118" t="str">
        <f t="shared" si="12"/>
        <v>AR24-005</v>
      </c>
      <c r="C118" t="str">
        <f t="shared" si="13"/>
        <v>21</v>
      </c>
      <c r="D118" t="str">
        <f t="shared" si="14"/>
        <v>01</v>
      </c>
      <c r="E118">
        <f t="shared" si="15"/>
        <v>4</v>
      </c>
      <c r="F118" s="6">
        <v>45348.497337963003</v>
      </c>
      <c r="G118">
        <v>1736.7</v>
      </c>
      <c r="H118" s="4"/>
      <c r="I118" s="4"/>
      <c r="J118" s="5"/>
    </row>
    <row r="119" spans="1:10" x14ac:dyDescent="0.25">
      <c r="A119" s="2" t="s">
        <v>200</v>
      </c>
      <c r="B119" t="str">
        <f t="shared" si="12"/>
        <v>AR24-005</v>
      </c>
      <c r="C119" t="str">
        <f t="shared" si="13"/>
        <v>22</v>
      </c>
      <c r="D119" t="str">
        <f t="shared" si="14"/>
        <v>01</v>
      </c>
      <c r="E119">
        <f t="shared" si="15"/>
        <v>4</v>
      </c>
      <c r="F119" s="6">
        <v>45348.4977083333</v>
      </c>
      <c r="G119">
        <v>2179.875</v>
      </c>
      <c r="H119" s="4"/>
      <c r="I119" s="4"/>
      <c r="J119" s="5"/>
    </row>
    <row r="120" spans="1:10" x14ac:dyDescent="0.25">
      <c r="A120" s="2" t="s">
        <v>201</v>
      </c>
      <c r="B120" t="str">
        <f t="shared" si="12"/>
        <v>AR24-005</v>
      </c>
      <c r="C120" t="str">
        <f t="shared" si="13"/>
        <v>23</v>
      </c>
      <c r="D120" t="str">
        <f t="shared" si="14"/>
        <v>01</v>
      </c>
      <c r="E120">
        <f t="shared" si="15"/>
        <v>4</v>
      </c>
      <c r="F120" s="6">
        <v>45348.497962963003</v>
      </c>
      <c r="G120">
        <v>2113.875</v>
      </c>
      <c r="H120" s="4"/>
      <c r="I120" s="4"/>
      <c r="J120" s="5"/>
    </row>
    <row r="121" spans="1:10" ht="15.75" thickBot="1" x14ac:dyDescent="0.3">
      <c r="A121" s="2" t="s">
        <v>202</v>
      </c>
      <c r="B121" t="str">
        <f t="shared" si="12"/>
        <v>AR24-005</v>
      </c>
      <c r="C121" t="str">
        <f t="shared" si="13"/>
        <v>24</v>
      </c>
      <c r="D121" t="str">
        <f t="shared" si="14"/>
        <v>01</v>
      </c>
      <c r="E121">
        <f t="shared" si="15"/>
        <v>4</v>
      </c>
      <c r="F121" s="6">
        <v>45348.500162037002</v>
      </c>
      <c r="G121">
        <v>1874.79</v>
      </c>
      <c r="H121" s="4"/>
      <c r="I121" s="4"/>
      <c r="J121" s="5"/>
    </row>
    <row r="122" spans="1:10" x14ac:dyDescent="0.25">
      <c r="A122" s="7" t="s">
        <v>203</v>
      </c>
      <c r="B122" s="8" t="str">
        <f t="shared" ref="B122:B151" si="16">LEFT(A122,8)</f>
        <v>AR24-005</v>
      </c>
      <c r="C122" s="8" t="str">
        <f t="shared" ref="C122:C151" si="17">MID(A122,24,2)</f>
        <v>01</v>
      </c>
      <c r="D122" s="8" t="str">
        <f t="shared" ref="D122:D151" si="18">MID(A122,27,2)</f>
        <v>01</v>
      </c>
      <c r="E122" s="8">
        <f t="shared" ref="E122:E151" si="19">MID(A122,14,4)-222</f>
        <v>6</v>
      </c>
      <c r="F122" s="40">
        <v>45350.530474537001</v>
      </c>
      <c r="G122" s="8">
        <v>3171.51</v>
      </c>
      <c r="H122" s="68"/>
      <c r="I122" s="68"/>
      <c r="J122" s="69"/>
    </row>
    <row r="123" spans="1:10" x14ac:dyDescent="0.25">
      <c r="A123" s="2" t="s">
        <v>204</v>
      </c>
      <c r="B123" t="str">
        <f t="shared" si="16"/>
        <v>AR24-005</v>
      </c>
      <c r="C123" t="str">
        <f t="shared" si="17"/>
        <v>02</v>
      </c>
      <c r="D123" t="str">
        <f t="shared" si="18"/>
        <v>01</v>
      </c>
      <c r="E123">
        <f t="shared" si="19"/>
        <v>6</v>
      </c>
      <c r="F123" s="6">
        <v>45350.532187500001</v>
      </c>
      <c r="G123">
        <v>2946.2849999999999</v>
      </c>
      <c r="H123" s="70"/>
      <c r="I123" s="70"/>
      <c r="J123" s="71"/>
    </row>
    <row r="124" spans="1:10" x14ac:dyDescent="0.25">
      <c r="A124" s="2" t="s">
        <v>205</v>
      </c>
      <c r="B124" t="str">
        <f t="shared" si="16"/>
        <v>AR24-005</v>
      </c>
      <c r="C124" t="str">
        <f t="shared" si="17"/>
        <v>03</v>
      </c>
      <c r="D124" t="str">
        <f t="shared" si="18"/>
        <v>01</v>
      </c>
      <c r="E124">
        <f t="shared" si="19"/>
        <v>6</v>
      </c>
      <c r="F124" s="6">
        <v>45350.532685185201</v>
      </c>
      <c r="G124">
        <v>3281.2950000000001</v>
      </c>
      <c r="H124" s="70"/>
      <c r="I124" s="70"/>
      <c r="J124" s="71"/>
    </row>
    <row r="125" spans="1:10" x14ac:dyDescent="0.25">
      <c r="A125" s="2" t="s">
        <v>206</v>
      </c>
      <c r="B125" t="str">
        <f t="shared" si="16"/>
        <v>AR24-005</v>
      </c>
      <c r="C125" t="str">
        <f t="shared" si="17"/>
        <v>04</v>
      </c>
      <c r="D125" t="str">
        <f t="shared" si="18"/>
        <v>01</v>
      </c>
      <c r="E125">
        <f t="shared" si="19"/>
        <v>6</v>
      </c>
      <c r="F125" s="6">
        <v>45350.533171296302</v>
      </c>
      <c r="G125">
        <v>3849.5250000000001</v>
      </c>
      <c r="H125" s="70"/>
      <c r="I125" s="70"/>
      <c r="J125" s="71"/>
    </row>
    <row r="126" spans="1:10" x14ac:dyDescent="0.25">
      <c r="A126" s="2" t="s">
        <v>207</v>
      </c>
      <c r="B126" t="str">
        <f t="shared" si="16"/>
        <v>AR24-005</v>
      </c>
      <c r="C126" t="str">
        <f t="shared" si="17"/>
        <v>05</v>
      </c>
      <c r="D126" t="str">
        <f t="shared" si="18"/>
        <v>01</v>
      </c>
      <c r="E126">
        <f t="shared" si="19"/>
        <v>6</v>
      </c>
      <c r="F126" s="6">
        <v>45350.534872685203</v>
      </c>
      <c r="G126">
        <v>3520.2750000000001</v>
      </c>
      <c r="H126" s="70"/>
      <c r="I126" s="70"/>
      <c r="J126" s="71"/>
    </row>
    <row r="127" spans="1:10" x14ac:dyDescent="0.25">
      <c r="A127" s="2" t="s">
        <v>208</v>
      </c>
      <c r="B127" t="str">
        <f t="shared" si="16"/>
        <v>AR24-005</v>
      </c>
      <c r="C127" t="str">
        <f t="shared" si="17"/>
        <v>06</v>
      </c>
      <c r="D127" t="str">
        <f t="shared" si="18"/>
        <v>01</v>
      </c>
      <c r="E127">
        <f t="shared" si="19"/>
        <v>6</v>
      </c>
      <c r="F127" s="6">
        <v>45350.535370370402</v>
      </c>
      <c r="G127">
        <v>3445.29</v>
      </c>
      <c r="H127" s="70"/>
      <c r="I127" s="70"/>
      <c r="J127" s="71"/>
    </row>
    <row r="128" spans="1:10" x14ac:dyDescent="0.25">
      <c r="A128" s="2" t="s">
        <v>209</v>
      </c>
      <c r="B128" t="str">
        <f t="shared" si="16"/>
        <v>AR24-005</v>
      </c>
      <c r="C128" t="str">
        <f t="shared" si="17"/>
        <v>07</v>
      </c>
      <c r="D128" t="str">
        <f t="shared" si="18"/>
        <v>01</v>
      </c>
      <c r="E128">
        <f t="shared" si="19"/>
        <v>6</v>
      </c>
      <c r="F128" s="6">
        <v>45350.535624999997</v>
      </c>
      <c r="G128">
        <v>3472.41</v>
      </c>
      <c r="H128" s="70"/>
      <c r="I128" s="70"/>
      <c r="J128" s="71"/>
    </row>
    <row r="129" spans="1:12" x14ac:dyDescent="0.25">
      <c r="A129" s="2" t="s">
        <v>210</v>
      </c>
      <c r="B129" t="str">
        <f t="shared" si="16"/>
        <v>AR24-005</v>
      </c>
      <c r="C129" t="str">
        <f t="shared" si="17"/>
        <v>08</v>
      </c>
      <c r="D129" t="str">
        <f t="shared" si="18"/>
        <v>01</v>
      </c>
      <c r="E129">
        <f t="shared" si="19"/>
        <v>6</v>
      </c>
      <c r="F129" s="6">
        <v>45350.535868055602</v>
      </c>
      <c r="G129">
        <v>3303.7950000000001</v>
      </c>
      <c r="H129" s="70"/>
      <c r="I129" s="70"/>
      <c r="J129" s="71"/>
    </row>
    <row r="130" spans="1:12" x14ac:dyDescent="0.25">
      <c r="A130" s="2" t="s">
        <v>211</v>
      </c>
      <c r="B130" t="str">
        <f t="shared" si="16"/>
        <v>AR24-005</v>
      </c>
      <c r="C130" t="str">
        <f t="shared" si="17"/>
        <v>09</v>
      </c>
      <c r="D130" t="str">
        <f t="shared" si="18"/>
        <v>01</v>
      </c>
      <c r="E130">
        <f t="shared" si="19"/>
        <v>6</v>
      </c>
      <c r="F130" s="6">
        <v>45350.536238425899</v>
      </c>
      <c r="G130">
        <v>3601.9949999999999</v>
      </c>
      <c r="H130" s="70"/>
      <c r="I130" s="70"/>
      <c r="J130" s="71"/>
    </row>
    <row r="131" spans="1:12" x14ac:dyDescent="0.25">
      <c r="A131" s="2" t="s">
        <v>212</v>
      </c>
      <c r="B131" t="str">
        <f t="shared" si="16"/>
        <v>AR24-005</v>
      </c>
      <c r="C131" t="str">
        <f t="shared" si="17"/>
        <v>10</v>
      </c>
      <c r="D131" t="str">
        <f t="shared" si="18"/>
        <v>01</v>
      </c>
      <c r="E131">
        <f t="shared" si="19"/>
        <v>6</v>
      </c>
      <c r="F131" s="6">
        <v>45350.538437499999</v>
      </c>
      <c r="G131">
        <v>3215.55</v>
      </c>
      <c r="H131" s="70"/>
      <c r="I131" s="70"/>
      <c r="J131" s="71"/>
    </row>
    <row r="132" spans="1:12" x14ac:dyDescent="0.25">
      <c r="A132" s="2" t="s">
        <v>213</v>
      </c>
      <c r="B132" t="str">
        <f t="shared" si="16"/>
        <v>AR24-005</v>
      </c>
      <c r="C132" t="str">
        <f t="shared" si="17"/>
        <v>11</v>
      </c>
      <c r="D132" t="str">
        <f t="shared" si="18"/>
        <v>01</v>
      </c>
      <c r="E132">
        <f t="shared" si="19"/>
        <v>6</v>
      </c>
      <c r="F132" s="6">
        <v>45350.538680555597</v>
      </c>
      <c r="G132">
        <v>3583.44</v>
      </c>
      <c r="H132" s="70"/>
      <c r="I132" s="70"/>
      <c r="J132" s="71"/>
    </row>
    <row r="133" spans="1:12" x14ac:dyDescent="0.25">
      <c r="A133" s="2" t="s">
        <v>214</v>
      </c>
      <c r="B133" t="str">
        <f t="shared" si="16"/>
        <v>AR24-005</v>
      </c>
      <c r="C133" t="str">
        <f t="shared" si="17"/>
        <v>12</v>
      </c>
      <c r="D133" t="str">
        <f t="shared" si="18"/>
        <v>01</v>
      </c>
      <c r="E133">
        <f t="shared" si="19"/>
        <v>6</v>
      </c>
      <c r="F133" s="6">
        <v>45350.5390625</v>
      </c>
      <c r="G133">
        <v>2810.4450000000002</v>
      </c>
      <c r="H133" s="70"/>
      <c r="I133" s="70"/>
      <c r="J133" s="71"/>
    </row>
    <row r="134" spans="1:12" x14ac:dyDescent="0.25">
      <c r="A134" s="2" t="s">
        <v>215</v>
      </c>
      <c r="B134" t="str">
        <f t="shared" si="16"/>
        <v>AR24-005</v>
      </c>
      <c r="C134" t="str">
        <f t="shared" si="17"/>
        <v>13</v>
      </c>
      <c r="D134" t="str">
        <f t="shared" si="18"/>
        <v>01</v>
      </c>
      <c r="E134">
        <f t="shared" si="19"/>
        <v>6</v>
      </c>
      <c r="F134" s="6">
        <v>45350.539432870399</v>
      </c>
      <c r="G134">
        <v>3384.12</v>
      </c>
      <c r="H134" s="119">
        <f>AVERAGE(G134:G136)</f>
        <v>3449.2049999999999</v>
      </c>
      <c r="I134" s="119">
        <f>100*J134/H134</f>
        <v>1.6534706375261772</v>
      </c>
      <c r="J134" s="120">
        <f>STDEV(G134:G136)</f>
        <v>57.031591903084781</v>
      </c>
    </row>
    <row r="135" spans="1:12" x14ac:dyDescent="0.25">
      <c r="A135" s="2" t="s">
        <v>216</v>
      </c>
      <c r="B135" t="str">
        <f t="shared" si="16"/>
        <v>AR24-005</v>
      </c>
      <c r="C135" t="str">
        <f t="shared" si="17"/>
        <v>13</v>
      </c>
      <c r="D135" t="str">
        <f t="shared" si="18"/>
        <v>02</v>
      </c>
      <c r="E135">
        <f t="shared" si="19"/>
        <v>6</v>
      </c>
      <c r="F135" s="6">
        <v>45350.549502314803</v>
      </c>
      <c r="G135">
        <v>3473.0549999999998</v>
      </c>
      <c r="H135" s="119"/>
      <c r="I135" s="119"/>
      <c r="J135" s="120"/>
    </row>
    <row r="136" spans="1:12" x14ac:dyDescent="0.25">
      <c r="A136" s="2" t="s">
        <v>217</v>
      </c>
      <c r="B136" t="str">
        <f t="shared" si="16"/>
        <v>AR24-005</v>
      </c>
      <c r="C136" t="str">
        <f t="shared" si="17"/>
        <v>13</v>
      </c>
      <c r="D136" t="str">
        <f t="shared" si="18"/>
        <v>03</v>
      </c>
      <c r="E136">
        <f t="shared" si="19"/>
        <v>6</v>
      </c>
      <c r="F136" s="6">
        <v>45350.549872685202</v>
      </c>
      <c r="G136">
        <v>3490.44</v>
      </c>
      <c r="H136" s="119"/>
      <c r="I136" s="119"/>
      <c r="J136" s="120"/>
    </row>
    <row r="137" spans="1:12" x14ac:dyDescent="0.25">
      <c r="A137" s="2" t="s">
        <v>218</v>
      </c>
      <c r="B137" t="str">
        <f t="shared" si="16"/>
        <v>AR24-005</v>
      </c>
      <c r="C137" t="str">
        <f t="shared" si="17"/>
        <v>14</v>
      </c>
      <c r="D137" t="str">
        <f t="shared" si="18"/>
        <v>01</v>
      </c>
      <c r="E137">
        <f t="shared" si="19"/>
        <v>6</v>
      </c>
      <c r="F137" s="6">
        <v>45350.539930555598</v>
      </c>
      <c r="G137">
        <v>3343.0050000000001</v>
      </c>
      <c r="H137" s="119">
        <f>AVERAGE(G137:G139)</f>
        <v>3342.9900000000002</v>
      </c>
      <c r="I137" s="119">
        <f>100*J137/H137</f>
        <v>0.45071943379429685</v>
      </c>
      <c r="J137" s="120">
        <f>STDEV(G137:G139)</f>
        <v>15.067505599799965</v>
      </c>
    </row>
    <row r="138" spans="1:12" x14ac:dyDescent="0.25">
      <c r="A138" s="2" t="s">
        <v>219</v>
      </c>
      <c r="B138" t="str">
        <f t="shared" si="16"/>
        <v>AR24-005</v>
      </c>
      <c r="C138" t="str">
        <f t="shared" si="17"/>
        <v>14</v>
      </c>
      <c r="D138" t="str">
        <f t="shared" si="18"/>
        <v>02</v>
      </c>
      <c r="E138">
        <f t="shared" si="19"/>
        <v>6</v>
      </c>
      <c r="F138" s="6">
        <v>45350.550243055601</v>
      </c>
      <c r="G138">
        <v>3358.05</v>
      </c>
      <c r="H138" s="119"/>
      <c r="I138" s="119"/>
      <c r="J138" s="120"/>
      <c r="K138">
        <f>AVERAGE(I134:I142)</f>
        <v>1.54943432234274</v>
      </c>
      <c r="L138">
        <f>AVERAGE(J134:J142)</f>
        <v>55.79568837753046</v>
      </c>
    </row>
    <row r="139" spans="1:12" x14ac:dyDescent="0.25">
      <c r="A139" s="2" t="s">
        <v>220</v>
      </c>
      <c r="B139" t="str">
        <f t="shared" si="16"/>
        <v>AR24-005</v>
      </c>
      <c r="C139" t="str">
        <f t="shared" si="17"/>
        <v>14</v>
      </c>
      <c r="D139" t="str">
        <f t="shared" si="18"/>
        <v>03</v>
      </c>
      <c r="E139">
        <f t="shared" si="19"/>
        <v>6</v>
      </c>
      <c r="F139" s="6">
        <v>45350.550613425898</v>
      </c>
      <c r="G139">
        <v>3327.915</v>
      </c>
      <c r="H139" s="119"/>
      <c r="I139" s="119"/>
      <c r="J139" s="120"/>
    </row>
    <row r="140" spans="1:12" x14ac:dyDescent="0.25">
      <c r="A140" s="2" t="s">
        <v>221</v>
      </c>
      <c r="B140" t="str">
        <f t="shared" si="16"/>
        <v>AR24-005</v>
      </c>
      <c r="C140" t="str">
        <f t="shared" si="17"/>
        <v>15</v>
      </c>
      <c r="D140" t="str">
        <f t="shared" si="18"/>
        <v>01</v>
      </c>
      <c r="E140">
        <f t="shared" si="19"/>
        <v>6</v>
      </c>
      <c r="F140" s="6">
        <v>45350.541631944398</v>
      </c>
      <c r="G140">
        <v>3805.08</v>
      </c>
      <c r="H140" s="119">
        <f>AVERAGE(G140:G142)</f>
        <v>3745.4300000000003</v>
      </c>
      <c r="I140" s="119">
        <f>100*J140/H140</f>
        <v>2.5441128957077459</v>
      </c>
      <c r="J140" s="120">
        <f>STDEV(G140:G142)</f>
        <v>95.287967629706642</v>
      </c>
    </row>
    <row r="141" spans="1:12" x14ac:dyDescent="0.25">
      <c r="A141" s="2" t="s">
        <v>222</v>
      </c>
      <c r="B141" t="str">
        <f t="shared" si="16"/>
        <v>AR24-005</v>
      </c>
      <c r="C141" t="str">
        <f t="shared" si="17"/>
        <v>15</v>
      </c>
      <c r="D141" t="str">
        <f t="shared" si="18"/>
        <v>02</v>
      </c>
      <c r="E141">
        <f t="shared" si="19"/>
        <v>6</v>
      </c>
      <c r="F141" s="6">
        <v>45350.552812499998</v>
      </c>
      <c r="G141">
        <v>3795.6750000000002</v>
      </c>
      <c r="H141" s="119"/>
      <c r="I141" s="119"/>
      <c r="J141" s="120"/>
    </row>
    <row r="142" spans="1:12" x14ac:dyDescent="0.25">
      <c r="A142" s="2" t="s">
        <v>223</v>
      </c>
      <c r="B142" t="str">
        <f t="shared" si="16"/>
        <v>AR24-005</v>
      </c>
      <c r="C142" t="str">
        <f t="shared" si="17"/>
        <v>15</v>
      </c>
      <c r="D142" t="str">
        <f t="shared" si="18"/>
        <v>03</v>
      </c>
      <c r="E142">
        <f t="shared" si="19"/>
        <v>6</v>
      </c>
      <c r="F142" s="6">
        <v>45350.553194444401</v>
      </c>
      <c r="G142">
        <v>3635.5349999999999</v>
      </c>
      <c r="H142" s="119"/>
      <c r="I142" s="119"/>
      <c r="J142" s="120"/>
    </row>
    <row r="143" spans="1:12" x14ac:dyDescent="0.25">
      <c r="A143" s="2" t="s">
        <v>224</v>
      </c>
      <c r="B143" t="str">
        <f t="shared" si="16"/>
        <v>AR24-005</v>
      </c>
      <c r="C143" t="str">
        <f t="shared" si="17"/>
        <v>16</v>
      </c>
      <c r="D143" t="str">
        <f t="shared" si="18"/>
        <v>01</v>
      </c>
      <c r="E143">
        <f t="shared" si="19"/>
        <v>6</v>
      </c>
      <c r="F143" s="6">
        <v>45350.542129629597</v>
      </c>
      <c r="G143">
        <v>2853.66</v>
      </c>
      <c r="H143" s="70"/>
      <c r="I143" s="70"/>
      <c r="J143" s="71"/>
    </row>
    <row r="144" spans="1:12" x14ac:dyDescent="0.25">
      <c r="A144" s="2" t="s">
        <v>225</v>
      </c>
      <c r="B144" t="str">
        <f t="shared" si="16"/>
        <v>AR24-005</v>
      </c>
      <c r="C144" t="str">
        <f t="shared" si="17"/>
        <v>17</v>
      </c>
      <c r="D144" t="str">
        <f t="shared" si="18"/>
        <v>01</v>
      </c>
      <c r="E144">
        <f t="shared" si="19"/>
        <v>6</v>
      </c>
      <c r="F144" s="6">
        <v>45350.542500000003</v>
      </c>
      <c r="G144">
        <v>2762.5650000000001</v>
      </c>
      <c r="H144" s="70"/>
      <c r="I144" s="70"/>
      <c r="J144" s="71"/>
    </row>
    <row r="145" spans="1:10" x14ac:dyDescent="0.25">
      <c r="A145" s="2" t="s">
        <v>226</v>
      </c>
      <c r="B145" t="str">
        <f t="shared" si="16"/>
        <v>AR24-005</v>
      </c>
      <c r="C145" t="str">
        <f t="shared" si="17"/>
        <v>18</v>
      </c>
      <c r="D145" t="str">
        <f t="shared" si="18"/>
        <v>01</v>
      </c>
      <c r="E145">
        <f t="shared" si="19"/>
        <v>6</v>
      </c>
      <c r="F145" s="6">
        <v>45350.542870370402</v>
      </c>
      <c r="G145">
        <v>3669.5250000000001</v>
      </c>
      <c r="H145" s="70"/>
      <c r="I145" s="70"/>
      <c r="J145" s="71"/>
    </row>
    <row r="146" spans="1:10" x14ac:dyDescent="0.25">
      <c r="A146" s="2" t="s">
        <v>227</v>
      </c>
      <c r="B146" t="str">
        <f t="shared" si="16"/>
        <v>AR24-005</v>
      </c>
      <c r="C146" t="str">
        <f t="shared" si="17"/>
        <v>19</v>
      </c>
      <c r="D146" t="str">
        <f t="shared" si="18"/>
        <v>01</v>
      </c>
      <c r="E146">
        <f t="shared" si="19"/>
        <v>6</v>
      </c>
      <c r="F146" s="6">
        <v>45350.543240740699</v>
      </c>
      <c r="G146">
        <v>3059.085</v>
      </c>
      <c r="H146" s="70"/>
      <c r="I146" s="70"/>
      <c r="J146" s="71"/>
    </row>
    <row r="147" spans="1:10" x14ac:dyDescent="0.25">
      <c r="A147" s="2" t="s">
        <v>228</v>
      </c>
      <c r="B147" t="str">
        <f t="shared" si="16"/>
        <v>AR24-005</v>
      </c>
      <c r="C147" t="str">
        <f t="shared" si="17"/>
        <v>20</v>
      </c>
      <c r="D147" t="str">
        <f t="shared" si="18"/>
        <v>01</v>
      </c>
      <c r="E147">
        <f t="shared" si="19"/>
        <v>6</v>
      </c>
      <c r="F147" s="6">
        <v>45350.545451388898</v>
      </c>
      <c r="G147">
        <v>3040.2449999999999</v>
      </c>
      <c r="H147" s="70"/>
      <c r="I147" s="70"/>
      <c r="J147" s="71"/>
    </row>
    <row r="148" spans="1:10" x14ac:dyDescent="0.25">
      <c r="A148" s="2" t="s">
        <v>229</v>
      </c>
      <c r="B148" t="str">
        <f t="shared" si="16"/>
        <v>AR24-005</v>
      </c>
      <c r="C148" t="str">
        <f t="shared" si="17"/>
        <v>21</v>
      </c>
      <c r="D148" t="str">
        <f t="shared" si="18"/>
        <v>01</v>
      </c>
      <c r="E148">
        <f t="shared" si="19"/>
        <v>6</v>
      </c>
      <c r="F148" s="6">
        <v>45350.545821759297</v>
      </c>
      <c r="G148">
        <v>2953.29</v>
      </c>
      <c r="H148" s="70"/>
      <c r="I148" s="70"/>
      <c r="J148" s="71"/>
    </row>
    <row r="149" spans="1:10" x14ac:dyDescent="0.25">
      <c r="A149" s="2" t="s">
        <v>230</v>
      </c>
      <c r="B149" t="str">
        <f t="shared" si="16"/>
        <v>AR24-005</v>
      </c>
      <c r="C149" t="str">
        <f t="shared" si="17"/>
        <v>22</v>
      </c>
      <c r="D149" t="str">
        <f t="shared" si="18"/>
        <v>01</v>
      </c>
      <c r="E149">
        <f t="shared" si="19"/>
        <v>6</v>
      </c>
      <c r="F149" s="6">
        <v>45350.5469212963</v>
      </c>
      <c r="G149">
        <v>3273.57</v>
      </c>
      <c r="H149" s="70"/>
      <c r="I149" s="70"/>
      <c r="J149" s="71"/>
    </row>
    <row r="150" spans="1:10" x14ac:dyDescent="0.25">
      <c r="A150" s="2" t="s">
        <v>231</v>
      </c>
      <c r="B150" t="str">
        <f t="shared" si="16"/>
        <v>AR24-005</v>
      </c>
      <c r="C150" t="str">
        <f t="shared" si="17"/>
        <v>23</v>
      </c>
      <c r="D150" t="str">
        <f t="shared" si="18"/>
        <v>01</v>
      </c>
      <c r="E150">
        <f t="shared" si="19"/>
        <v>6</v>
      </c>
      <c r="F150" s="6">
        <v>45350.546550925901</v>
      </c>
      <c r="G150">
        <v>3422.49</v>
      </c>
      <c r="H150" s="70"/>
      <c r="I150" s="70"/>
      <c r="J150" s="71"/>
    </row>
    <row r="151" spans="1:10" ht="15.75" thickBot="1" x14ac:dyDescent="0.3">
      <c r="A151" s="12" t="s">
        <v>232</v>
      </c>
      <c r="B151" s="13" t="str">
        <f t="shared" si="16"/>
        <v>AR24-005</v>
      </c>
      <c r="C151" s="13" t="str">
        <f t="shared" si="17"/>
        <v>24</v>
      </c>
      <c r="D151" s="13" t="str">
        <f t="shared" si="18"/>
        <v>01</v>
      </c>
      <c r="E151" s="13">
        <f t="shared" si="19"/>
        <v>6</v>
      </c>
      <c r="F151" s="41">
        <v>45350.549131944397</v>
      </c>
      <c r="G151" s="13">
        <v>3145.41</v>
      </c>
      <c r="H151" s="72"/>
      <c r="I151" s="72"/>
      <c r="J151" s="73"/>
    </row>
    <row r="152" spans="1:10" x14ac:dyDescent="0.25">
      <c r="A152" s="7" t="s">
        <v>233</v>
      </c>
      <c r="B152" s="8" t="str">
        <f t="shared" ref="B152:B181" si="20">LEFT(A152,8)</f>
        <v>AR24-005</v>
      </c>
      <c r="C152" s="8" t="str">
        <f t="shared" ref="C152:C181" si="21">MID(A152,24,2)</f>
        <v>01</v>
      </c>
      <c r="D152" s="8" t="str">
        <f t="shared" ref="D152:D181" si="22">MID(A152,27,2)</f>
        <v>01</v>
      </c>
      <c r="E152" s="8">
        <v>8</v>
      </c>
      <c r="F152" s="40">
        <v>45352.4754398148</v>
      </c>
      <c r="G152" s="8">
        <v>4408.0349999999999</v>
      </c>
      <c r="H152" s="10"/>
      <c r="I152" s="10"/>
      <c r="J152" s="11"/>
    </row>
    <row r="153" spans="1:10" x14ac:dyDescent="0.25">
      <c r="A153" s="2" t="s">
        <v>234</v>
      </c>
      <c r="B153" t="str">
        <f t="shared" si="20"/>
        <v>AR24-005</v>
      </c>
      <c r="C153" t="str">
        <f t="shared" si="21"/>
        <v>02</v>
      </c>
      <c r="D153" t="str">
        <f t="shared" si="22"/>
        <v>01</v>
      </c>
      <c r="E153">
        <v>8</v>
      </c>
      <c r="F153" s="6">
        <v>45352.475636574098</v>
      </c>
      <c r="G153">
        <v>4162.2150000000001</v>
      </c>
      <c r="H153" s="4"/>
      <c r="I153" s="4"/>
      <c r="J153" s="5"/>
    </row>
    <row r="154" spans="1:10" x14ac:dyDescent="0.25">
      <c r="A154" s="2" t="s">
        <v>235</v>
      </c>
      <c r="B154" t="str">
        <f t="shared" si="20"/>
        <v>AR24-005</v>
      </c>
      <c r="C154" t="str">
        <f t="shared" si="21"/>
        <v>03</v>
      </c>
      <c r="D154" t="str">
        <f t="shared" si="22"/>
        <v>01</v>
      </c>
      <c r="E154">
        <v>8</v>
      </c>
      <c r="F154" s="6">
        <v>45352.4758912037</v>
      </c>
      <c r="G154">
        <v>4467.8999999999996</v>
      </c>
      <c r="H154" s="4"/>
      <c r="I154" s="4"/>
      <c r="J154" s="5"/>
    </row>
    <row r="155" spans="1:10" x14ac:dyDescent="0.25">
      <c r="A155" s="2" t="s">
        <v>236</v>
      </c>
      <c r="B155" t="str">
        <f t="shared" si="20"/>
        <v>AR24-005</v>
      </c>
      <c r="C155" t="str">
        <f t="shared" si="21"/>
        <v>04</v>
      </c>
      <c r="D155" t="str">
        <f t="shared" si="22"/>
        <v>01</v>
      </c>
      <c r="E155">
        <v>8</v>
      </c>
      <c r="F155" s="6">
        <v>45352.477002314801</v>
      </c>
      <c r="G155">
        <v>4975.6350000000002</v>
      </c>
      <c r="H155" s="4"/>
      <c r="I155" s="4"/>
      <c r="J155" s="5"/>
    </row>
    <row r="156" spans="1:10" x14ac:dyDescent="0.25">
      <c r="A156" s="2" t="s">
        <v>237</v>
      </c>
      <c r="B156" t="str">
        <f t="shared" si="20"/>
        <v>AR24-005</v>
      </c>
      <c r="C156" t="str">
        <f t="shared" si="21"/>
        <v>05</v>
      </c>
      <c r="D156" t="str">
        <f t="shared" si="22"/>
        <v>01</v>
      </c>
      <c r="E156">
        <v>8</v>
      </c>
      <c r="F156" s="6">
        <v>45352.476504629602</v>
      </c>
      <c r="G156">
        <v>4436.2349999999997</v>
      </c>
      <c r="H156" s="4"/>
      <c r="I156" s="4"/>
      <c r="J156" s="5"/>
    </row>
    <row r="157" spans="1:10" x14ac:dyDescent="0.25">
      <c r="A157" s="2" t="s">
        <v>238</v>
      </c>
      <c r="B157" t="str">
        <f t="shared" si="20"/>
        <v>AR24-005</v>
      </c>
      <c r="C157" t="str">
        <f t="shared" si="21"/>
        <v>06</v>
      </c>
      <c r="D157" t="str">
        <f t="shared" si="22"/>
        <v>01</v>
      </c>
      <c r="E157">
        <v>8</v>
      </c>
      <c r="F157" s="6">
        <v>45352.476747685199</v>
      </c>
      <c r="G157">
        <v>4555.9799999999996</v>
      </c>
      <c r="H157" s="4"/>
      <c r="I157" s="4"/>
      <c r="J157" s="5"/>
    </row>
    <row r="158" spans="1:10" x14ac:dyDescent="0.25">
      <c r="A158" s="2" t="s">
        <v>239</v>
      </c>
      <c r="B158" t="str">
        <f t="shared" si="20"/>
        <v>AR24-005</v>
      </c>
      <c r="C158" t="str">
        <f t="shared" si="21"/>
        <v>07</v>
      </c>
      <c r="D158" t="str">
        <f t="shared" si="22"/>
        <v>01</v>
      </c>
      <c r="E158">
        <v>8</v>
      </c>
      <c r="F158" s="6">
        <v>45352.477245370399</v>
      </c>
      <c r="G158">
        <v>4830.4949999999999</v>
      </c>
      <c r="H158" s="4"/>
      <c r="I158" s="4"/>
      <c r="J158" s="5"/>
    </row>
    <row r="159" spans="1:10" x14ac:dyDescent="0.25">
      <c r="A159" s="2" t="s">
        <v>240</v>
      </c>
      <c r="B159" t="str">
        <f t="shared" si="20"/>
        <v>AR24-005</v>
      </c>
      <c r="C159" t="str">
        <f t="shared" si="21"/>
        <v>08</v>
      </c>
      <c r="D159" t="str">
        <f t="shared" si="22"/>
        <v>01</v>
      </c>
      <c r="E159">
        <v>8</v>
      </c>
      <c r="F159" s="6">
        <v>45352.479444444398</v>
      </c>
      <c r="G159">
        <v>4161</v>
      </c>
      <c r="H159" s="4"/>
      <c r="I159" s="4"/>
      <c r="J159" s="5"/>
    </row>
    <row r="160" spans="1:10" x14ac:dyDescent="0.25">
      <c r="A160" s="2" t="s">
        <v>241</v>
      </c>
      <c r="B160" t="str">
        <f t="shared" si="20"/>
        <v>AR24-005</v>
      </c>
      <c r="C160" t="str">
        <f t="shared" si="21"/>
        <v>09</v>
      </c>
      <c r="D160" t="str">
        <f t="shared" si="22"/>
        <v>01</v>
      </c>
      <c r="E160">
        <v>8</v>
      </c>
      <c r="F160" s="6">
        <v>45352.479953703703</v>
      </c>
      <c r="G160">
        <v>4362.09</v>
      </c>
      <c r="H160" s="4"/>
      <c r="I160" s="4"/>
      <c r="J160" s="5"/>
    </row>
    <row r="161" spans="1:12" x14ac:dyDescent="0.25">
      <c r="A161" s="2" t="s">
        <v>242</v>
      </c>
      <c r="B161" t="str">
        <f t="shared" si="20"/>
        <v>AR24-005</v>
      </c>
      <c r="C161" t="str">
        <f t="shared" si="21"/>
        <v>10</v>
      </c>
      <c r="D161" t="str">
        <f t="shared" si="22"/>
        <v>01</v>
      </c>
      <c r="E161">
        <v>8</v>
      </c>
      <c r="F161" s="6">
        <v>45352.480312500003</v>
      </c>
      <c r="G161">
        <v>4503.165</v>
      </c>
      <c r="H161" s="4"/>
      <c r="I161" s="4"/>
      <c r="J161" s="5"/>
    </row>
    <row r="162" spans="1:12" x14ac:dyDescent="0.25">
      <c r="A162" s="2" t="s">
        <v>243</v>
      </c>
      <c r="B162" t="str">
        <f t="shared" si="20"/>
        <v>AR24-005</v>
      </c>
      <c r="C162" t="str">
        <f t="shared" si="21"/>
        <v>11</v>
      </c>
      <c r="D162" t="str">
        <f t="shared" si="22"/>
        <v>01</v>
      </c>
      <c r="E162">
        <v>8</v>
      </c>
      <c r="F162" s="6">
        <v>45352.480821759302</v>
      </c>
      <c r="G162">
        <v>4726.0200000000004</v>
      </c>
      <c r="H162" s="4"/>
      <c r="I162" s="4"/>
      <c r="J162" s="5"/>
    </row>
    <row r="163" spans="1:12" x14ac:dyDescent="0.25">
      <c r="A163" s="2" t="s">
        <v>244</v>
      </c>
      <c r="B163" t="str">
        <f t="shared" si="20"/>
        <v>AR24-005</v>
      </c>
      <c r="C163" t="str">
        <f t="shared" si="21"/>
        <v>12</v>
      </c>
      <c r="D163" t="str">
        <f t="shared" si="22"/>
        <v>01</v>
      </c>
      <c r="E163">
        <v>8</v>
      </c>
      <c r="F163" s="6">
        <v>45352.481655092597</v>
      </c>
      <c r="G163">
        <v>4117.47</v>
      </c>
      <c r="H163" s="4"/>
      <c r="I163" s="4"/>
      <c r="J163" s="5"/>
    </row>
    <row r="164" spans="1:12" x14ac:dyDescent="0.25">
      <c r="A164" s="2" t="s">
        <v>245</v>
      </c>
      <c r="B164" t="str">
        <f t="shared" si="20"/>
        <v>AR24-005</v>
      </c>
      <c r="C164" t="str">
        <f t="shared" si="21"/>
        <v>13</v>
      </c>
      <c r="D164" t="str">
        <f t="shared" si="22"/>
        <v>01</v>
      </c>
      <c r="E164">
        <v>8</v>
      </c>
      <c r="F164" s="6">
        <v>45352.482523148203</v>
      </c>
      <c r="G164">
        <v>4643.8500000000004</v>
      </c>
      <c r="H164" s="4"/>
      <c r="I164" s="4"/>
      <c r="J164" s="5"/>
    </row>
    <row r="165" spans="1:12" x14ac:dyDescent="0.25">
      <c r="A165" s="2" t="s">
        <v>246</v>
      </c>
      <c r="B165" t="str">
        <f t="shared" si="20"/>
        <v>AR24-005</v>
      </c>
      <c r="C165" t="str">
        <f t="shared" si="21"/>
        <v>14</v>
      </c>
      <c r="D165" t="str">
        <f t="shared" si="22"/>
        <v>01</v>
      </c>
      <c r="E165">
        <v>8</v>
      </c>
      <c r="F165" s="6">
        <v>45352.483009259297</v>
      </c>
      <c r="G165">
        <v>4672.1400000000003</v>
      </c>
      <c r="H165" s="4"/>
      <c r="I165" s="4"/>
      <c r="J165" s="5"/>
    </row>
    <row r="166" spans="1:12" x14ac:dyDescent="0.25">
      <c r="A166" s="2" t="s">
        <v>247</v>
      </c>
      <c r="B166" t="str">
        <f t="shared" si="20"/>
        <v>AR24-005</v>
      </c>
      <c r="C166" t="str">
        <f t="shared" si="21"/>
        <v>15</v>
      </c>
      <c r="D166" t="str">
        <f t="shared" si="22"/>
        <v>01</v>
      </c>
      <c r="E166">
        <v>8</v>
      </c>
      <c r="F166" s="6">
        <v>45352.483263888898</v>
      </c>
      <c r="G166">
        <v>4679.3549999999996</v>
      </c>
      <c r="H166" s="4"/>
      <c r="I166" s="4"/>
      <c r="J166" s="5"/>
    </row>
    <row r="167" spans="1:12" x14ac:dyDescent="0.25">
      <c r="A167" s="2" t="s">
        <v>248</v>
      </c>
      <c r="B167" t="str">
        <f t="shared" si="20"/>
        <v>AR24-005</v>
      </c>
      <c r="C167" t="str">
        <f t="shared" si="21"/>
        <v>16</v>
      </c>
      <c r="D167" t="str">
        <f t="shared" si="22"/>
        <v>01</v>
      </c>
      <c r="E167">
        <v>8</v>
      </c>
      <c r="F167" s="6">
        <v>45352.484004629601</v>
      </c>
      <c r="G167">
        <v>3910.59</v>
      </c>
      <c r="H167" s="119">
        <f>AVERAGE(G167:G169)</f>
        <v>3908.7049999999999</v>
      </c>
      <c r="I167" s="119">
        <f>100*J167/H167</f>
        <v>1.8035744225178079</v>
      </c>
      <c r="J167" s="120">
        <f>STDEV(G167:G169)</f>
        <v>70.496403631674681</v>
      </c>
    </row>
    <row r="168" spans="1:12" x14ac:dyDescent="0.25">
      <c r="A168" s="2" t="s">
        <v>249</v>
      </c>
      <c r="B168" t="str">
        <f t="shared" si="20"/>
        <v>AR24-005</v>
      </c>
      <c r="C168" t="str">
        <f t="shared" si="21"/>
        <v>16</v>
      </c>
      <c r="D168" t="str">
        <f t="shared" si="22"/>
        <v>02</v>
      </c>
      <c r="E168">
        <v>8</v>
      </c>
      <c r="F168" s="6">
        <v>45352.490266203698</v>
      </c>
      <c r="G168">
        <v>3837.2849999999999</v>
      </c>
      <c r="H168" s="119"/>
      <c r="I168" s="119"/>
      <c r="J168" s="120"/>
    </row>
    <row r="169" spans="1:12" x14ac:dyDescent="0.25">
      <c r="A169" s="2" t="s">
        <v>250</v>
      </c>
      <c r="B169" t="str">
        <f t="shared" si="20"/>
        <v>AR24-005</v>
      </c>
      <c r="C169" t="str">
        <f t="shared" si="21"/>
        <v>16</v>
      </c>
      <c r="D169" t="str">
        <f t="shared" si="22"/>
        <v>03</v>
      </c>
      <c r="E169">
        <v>8</v>
      </c>
      <c r="F169" s="6">
        <v>45352.490636574097</v>
      </c>
      <c r="G169">
        <v>3978.24</v>
      </c>
      <c r="H169" s="119"/>
      <c r="I169" s="119"/>
      <c r="J169" s="120"/>
    </row>
    <row r="170" spans="1:12" x14ac:dyDescent="0.25">
      <c r="A170" s="2" t="s">
        <v>251</v>
      </c>
      <c r="B170" t="str">
        <f t="shared" si="20"/>
        <v>AR24-005</v>
      </c>
      <c r="C170" t="str">
        <f t="shared" si="21"/>
        <v>17</v>
      </c>
      <c r="D170" t="str">
        <f t="shared" si="22"/>
        <v>01</v>
      </c>
      <c r="E170">
        <v>8</v>
      </c>
      <c r="F170" s="6">
        <v>45352.485474537003</v>
      </c>
      <c r="G170">
        <v>4039.6950000000002</v>
      </c>
      <c r="H170" s="119">
        <f>AVERAGE(G170:G172)</f>
        <v>4085.31</v>
      </c>
      <c r="I170" s="119">
        <f>100*J170/H170</f>
        <v>1.35327743460399</v>
      </c>
      <c r="J170" s="120">
        <f>STDEV(G170:G172)</f>
        <v>55.28557836362026</v>
      </c>
    </row>
    <row r="171" spans="1:12" x14ac:dyDescent="0.25">
      <c r="A171" s="2" t="s">
        <v>252</v>
      </c>
      <c r="B171" t="str">
        <f t="shared" si="20"/>
        <v>AR24-005</v>
      </c>
      <c r="C171" t="str">
        <f t="shared" si="21"/>
        <v>17</v>
      </c>
      <c r="D171" t="str">
        <f t="shared" si="22"/>
        <v>02</v>
      </c>
      <c r="E171">
        <v>8</v>
      </c>
      <c r="F171" s="6">
        <v>45352.491493055597</v>
      </c>
      <c r="G171">
        <v>4069.44</v>
      </c>
      <c r="H171" s="119"/>
      <c r="I171" s="119"/>
      <c r="J171" s="120"/>
      <c r="K171">
        <f>AVERAGE(I167:I175)</f>
        <v>1.2675151710318062</v>
      </c>
      <c r="L171">
        <f>AVERAGE(J167:J175)</f>
        <v>51.891036898654846</v>
      </c>
    </row>
    <row r="172" spans="1:12" x14ac:dyDescent="0.25">
      <c r="A172" s="2" t="s">
        <v>253</v>
      </c>
      <c r="B172" t="str">
        <f t="shared" si="20"/>
        <v>AR24-005</v>
      </c>
      <c r="C172" t="str">
        <f t="shared" si="21"/>
        <v>17</v>
      </c>
      <c r="D172" t="str">
        <f t="shared" si="22"/>
        <v>03</v>
      </c>
      <c r="E172">
        <v>8</v>
      </c>
      <c r="F172" s="6">
        <v>45352.492847222202</v>
      </c>
      <c r="G172">
        <v>4146.7950000000001</v>
      </c>
      <c r="H172" s="119"/>
      <c r="I172" s="119"/>
      <c r="J172" s="120"/>
    </row>
    <row r="173" spans="1:12" x14ac:dyDescent="0.25">
      <c r="A173" s="2" t="s">
        <v>254</v>
      </c>
      <c r="B173" t="str">
        <f t="shared" si="20"/>
        <v>AR24-005</v>
      </c>
      <c r="C173" t="str">
        <f t="shared" si="21"/>
        <v>18</v>
      </c>
      <c r="D173" t="str">
        <f t="shared" si="22"/>
        <v>01</v>
      </c>
      <c r="E173">
        <v>8</v>
      </c>
      <c r="F173" s="6">
        <v>45352.486203703702</v>
      </c>
      <c r="G173">
        <v>4658.25</v>
      </c>
      <c r="H173" s="119">
        <f>AVERAGE(G173:G175)</f>
        <v>4629.3049999999994</v>
      </c>
      <c r="I173" s="119">
        <f>100*J173/H173</f>
        <v>0.64569365597362038</v>
      </c>
      <c r="J173" s="120">
        <f>STDEV(G173:G175)</f>
        <v>29.891128700669601</v>
      </c>
    </row>
    <row r="174" spans="1:12" x14ac:dyDescent="0.25">
      <c r="A174" s="2" t="s">
        <v>255</v>
      </c>
      <c r="B174" t="str">
        <f t="shared" si="20"/>
        <v>AR24-005</v>
      </c>
      <c r="C174" t="str">
        <f t="shared" si="21"/>
        <v>18</v>
      </c>
      <c r="D174" t="str">
        <f t="shared" si="22"/>
        <v>02</v>
      </c>
      <c r="E174">
        <v>8</v>
      </c>
      <c r="F174" s="6">
        <v>45352.493703703702</v>
      </c>
      <c r="G174">
        <v>4598.55</v>
      </c>
      <c r="H174" s="119"/>
      <c r="I174" s="119"/>
      <c r="J174" s="120"/>
    </row>
    <row r="175" spans="1:12" x14ac:dyDescent="0.25">
      <c r="A175" s="2" t="s">
        <v>256</v>
      </c>
      <c r="B175" t="str">
        <f t="shared" si="20"/>
        <v>AR24-005</v>
      </c>
      <c r="C175" t="str">
        <f t="shared" si="21"/>
        <v>18</v>
      </c>
      <c r="D175" t="str">
        <f t="shared" si="22"/>
        <v>03</v>
      </c>
      <c r="E175">
        <v>8</v>
      </c>
      <c r="F175" s="6">
        <v>45352.4940740741</v>
      </c>
      <c r="G175">
        <v>4631.1149999999998</v>
      </c>
      <c r="H175" s="119"/>
      <c r="I175" s="119"/>
      <c r="J175" s="120"/>
    </row>
    <row r="176" spans="1:12" x14ac:dyDescent="0.25">
      <c r="A176" s="2" t="s">
        <v>257</v>
      </c>
      <c r="B176" t="str">
        <f t="shared" si="20"/>
        <v>AR24-005</v>
      </c>
      <c r="C176" t="str">
        <f t="shared" si="21"/>
        <v>19</v>
      </c>
      <c r="D176" t="str">
        <f t="shared" si="22"/>
        <v>01</v>
      </c>
      <c r="E176">
        <v>8</v>
      </c>
      <c r="F176" s="6">
        <v>45352.486574074101</v>
      </c>
      <c r="G176">
        <v>4361.8950000000004</v>
      </c>
      <c r="H176" s="4"/>
      <c r="I176" s="4"/>
      <c r="J176" s="5"/>
    </row>
    <row r="177" spans="1:10" x14ac:dyDescent="0.25">
      <c r="A177" s="2" t="s">
        <v>258</v>
      </c>
      <c r="B177" t="str">
        <f t="shared" si="20"/>
        <v>AR24-005</v>
      </c>
      <c r="C177" t="str">
        <f t="shared" si="21"/>
        <v>20</v>
      </c>
      <c r="D177" t="str">
        <f t="shared" si="22"/>
        <v>01</v>
      </c>
      <c r="E177">
        <v>8</v>
      </c>
      <c r="F177" s="6">
        <v>45352.486828703702</v>
      </c>
      <c r="G177">
        <v>4334.5200000000004</v>
      </c>
      <c r="H177" s="4"/>
      <c r="I177" s="4"/>
      <c r="J177" s="5"/>
    </row>
    <row r="178" spans="1:10" x14ac:dyDescent="0.25">
      <c r="A178" s="2" t="s">
        <v>259</v>
      </c>
      <c r="B178" t="str">
        <f t="shared" si="20"/>
        <v>AR24-005</v>
      </c>
      <c r="C178" t="str">
        <f t="shared" si="21"/>
        <v>21</v>
      </c>
      <c r="D178" t="str">
        <f t="shared" si="22"/>
        <v>01</v>
      </c>
      <c r="E178">
        <v>8</v>
      </c>
      <c r="F178" s="6">
        <v>45352.487685185202</v>
      </c>
      <c r="G178">
        <v>3946.44</v>
      </c>
      <c r="H178" s="4"/>
      <c r="I178" s="4"/>
      <c r="J178" s="5"/>
    </row>
    <row r="179" spans="1:10" x14ac:dyDescent="0.25">
      <c r="A179" s="2" t="s">
        <v>260</v>
      </c>
      <c r="B179" t="str">
        <f t="shared" si="20"/>
        <v>AR24-005</v>
      </c>
      <c r="C179" t="str">
        <f t="shared" si="21"/>
        <v>22</v>
      </c>
      <c r="D179" t="str">
        <f t="shared" si="22"/>
        <v>01</v>
      </c>
      <c r="E179">
        <v>8</v>
      </c>
      <c r="F179" s="6">
        <v>45352.489039351902</v>
      </c>
      <c r="G179">
        <v>4365.33</v>
      </c>
      <c r="H179" s="4"/>
      <c r="I179" s="4"/>
      <c r="J179" s="5"/>
    </row>
    <row r="180" spans="1:10" x14ac:dyDescent="0.25">
      <c r="A180" s="2" t="s">
        <v>261</v>
      </c>
      <c r="B180" t="str">
        <f t="shared" si="20"/>
        <v>AR24-005</v>
      </c>
      <c r="C180" t="str">
        <f t="shared" si="21"/>
        <v>23</v>
      </c>
      <c r="D180" t="str">
        <f t="shared" si="22"/>
        <v>01</v>
      </c>
      <c r="E180">
        <v>8</v>
      </c>
      <c r="F180" s="6">
        <v>45352.489270833299</v>
      </c>
      <c r="G180">
        <v>4380.84</v>
      </c>
      <c r="H180" s="4"/>
      <c r="I180" s="4"/>
      <c r="J180" s="5"/>
    </row>
    <row r="181" spans="1:10" ht="15.75" thickBot="1" x14ac:dyDescent="0.3">
      <c r="A181" s="12" t="s">
        <v>262</v>
      </c>
      <c r="B181" s="13" t="str">
        <f t="shared" si="20"/>
        <v>AR24-005</v>
      </c>
      <c r="C181" s="13" t="str">
        <f t="shared" si="21"/>
        <v>24</v>
      </c>
      <c r="D181" s="13" t="str">
        <f t="shared" si="22"/>
        <v>01</v>
      </c>
      <c r="E181" s="13">
        <v>8</v>
      </c>
      <c r="F181" s="41">
        <v>45352.4898958333</v>
      </c>
      <c r="G181" s="13">
        <v>4027.125</v>
      </c>
      <c r="H181" s="15"/>
      <c r="I181" s="15"/>
      <c r="J181" s="16"/>
    </row>
    <row r="182" spans="1:10" x14ac:dyDescent="0.25">
      <c r="A182" s="7" t="s">
        <v>263</v>
      </c>
      <c r="B182" s="8" t="str">
        <f t="shared" ref="B182:B189" si="23">LEFT(A182,8)</f>
        <v>AR24-005</v>
      </c>
      <c r="C182" s="8" t="str">
        <f t="shared" ref="C182:C189" si="24">MID(A182,24,2)</f>
        <v>03</v>
      </c>
      <c r="D182" s="8" t="str">
        <f t="shared" ref="D182:D189" si="25">MID(A182,27,2)</f>
        <v>01</v>
      </c>
      <c r="E182" s="8">
        <v>9</v>
      </c>
      <c r="F182" s="40">
        <v>45353.496504629598</v>
      </c>
      <c r="G182" s="8">
        <v>4742.07</v>
      </c>
      <c r="H182" s="10"/>
      <c r="I182" s="10"/>
      <c r="J182" s="11"/>
    </row>
    <row r="183" spans="1:10" x14ac:dyDescent="0.25">
      <c r="A183" s="2" t="s">
        <v>264</v>
      </c>
      <c r="B183" t="str">
        <f t="shared" si="23"/>
        <v>AR24-005</v>
      </c>
      <c r="C183" t="str">
        <f t="shared" si="24"/>
        <v>05</v>
      </c>
      <c r="D183" t="str">
        <f t="shared" si="25"/>
        <v>01</v>
      </c>
      <c r="E183">
        <v>9</v>
      </c>
      <c r="F183" s="6">
        <v>45353.496828703697</v>
      </c>
      <c r="G183">
        <v>5114.58</v>
      </c>
      <c r="H183" s="4"/>
      <c r="I183" s="4"/>
      <c r="J183" s="5"/>
    </row>
    <row r="184" spans="1:10" x14ac:dyDescent="0.25">
      <c r="A184" s="2" t="s">
        <v>265</v>
      </c>
      <c r="B184" t="str">
        <f t="shared" si="23"/>
        <v>AR24-005</v>
      </c>
      <c r="C184" t="str">
        <f t="shared" si="24"/>
        <v>06</v>
      </c>
      <c r="D184" t="str">
        <f t="shared" si="25"/>
        <v>01</v>
      </c>
      <c r="E184">
        <v>9</v>
      </c>
      <c r="F184" s="6">
        <v>45353.497037036999</v>
      </c>
      <c r="G184">
        <v>4932.03</v>
      </c>
      <c r="H184" s="4"/>
      <c r="I184" s="4"/>
      <c r="J184" s="5"/>
    </row>
    <row r="185" spans="1:10" x14ac:dyDescent="0.25">
      <c r="A185" s="2" t="s">
        <v>266</v>
      </c>
      <c r="B185" t="str">
        <f t="shared" si="23"/>
        <v>AR24-005</v>
      </c>
      <c r="C185" t="str">
        <f t="shared" si="24"/>
        <v>09</v>
      </c>
      <c r="D185" t="str">
        <f t="shared" si="25"/>
        <v>01</v>
      </c>
      <c r="E185">
        <v>9</v>
      </c>
      <c r="F185" s="6">
        <v>45353.497291666703</v>
      </c>
      <c r="G185">
        <v>4746.5249999999996</v>
      </c>
      <c r="H185" s="4"/>
      <c r="I185" s="4"/>
      <c r="J185" s="5"/>
    </row>
    <row r="186" spans="1:10" x14ac:dyDescent="0.25">
      <c r="A186" s="2" t="s">
        <v>267</v>
      </c>
      <c r="B186" t="str">
        <f t="shared" si="23"/>
        <v>AR24-005</v>
      </c>
      <c r="C186" t="str">
        <f t="shared" si="24"/>
        <v>13</v>
      </c>
      <c r="D186" t="str">
        <f t="shared" si="25"/>
        <v>01</v>
      </c>
      <c r="E186">
        <v>9</v>
      </c>
      <c r="F186" s="6">
        <v>45353.497534722199</v>
      </c>
      <c r="G186">
        <v>4920.6149999999998</v>
      </c>
      <c r="H186" s="4"/>
      <c r="I186" s="4"/>
      <c r="J186" s="5"/>
    </row>
    <row r="187" spans="1:10" x14ac:dyDescent="0.25">
      <c r="A187" s="2" t="s">
        <v>268</v>
      </c>
      <c r="B187" t="str">
        <f t="shared" si="23"/>
        <v>AR24-005</v>
      </c>
      <c r="C187" t="str">
        <f t="shared" si="24"/>
        <v>15</v>
      </c>
      <c r="D187" t="str">
        <f t="shared" si="25"/>
        <v>01</v>
      </c>
      <c r="E187">
        <v>9</v>
      </c>
      <c r="F187" s="6">
        <v>45353.497777777797</v>
      </c>
      <c r="G187">
        <v>4821.0749999999998</v>
      </c>
      <c r="H187" s="4"/>
      <c r="I187" s="4"/>
      <c r="J187" s="5"/>
    </row>
    <row r="188" spans="1:10" x14ac:dyDescent="0.25">
      <c r="A188" s="2" t="s">
        <v>269</v>
      </c>
      <c r="B188" t="str">
        <f t="shared" si="23"/>
        <v>AR24-005</v>
      </c>
      <c r="C188" t="str">
        <f t="shared" si="24"/>
        <v>18</v>
      </c>
      <c r="D188" t="str">
        <f t="shared" si="25"/>
        <v>01</v>
      </c>
      <c r="E188">
        <v>9</v>
      </c>
      <c r="F188" s="6">
        <v>45353.4980208333</v>
      </c>
      <c r="G188">
        <v>5012.13</v>
      </c>
      <c r="H188" s="4"/>
      <c r="I188" s="4"/>
      <c r="J188" s="5"/>
    </row>
    <row r="189" spans="1:10" ht="15.75" thickBot="1" x14ac:dyDescent="0.3">
      <c r="A189" s="12" t="s">
        <v>270</v>
      </c>
      <c r="B189" s="13" t="str">
        <f t="shared" si="23"/>
        <v>AR24-005</v>
      </c>
      <c r="C189" s="13" t="str">
        <f t="shared" si="24"/>
        <v>20</v>
      </c>
      <c r="D189" s="13" t="str">
        <f t="shared" si="25"/>
        <v>01</v>
      </c>
      <c r="E189" s="13">
        <v>9</v>
      </c>
      <c r="F189" s="41">
        <v>45353.498275462996</v>
      </c>
      <c r="G189" s="13">
        <v>4595.5050000000001</v>
      </c>
      <c r="H189" s="15"/>
      <c r="I189" s="15"/>
      <c r="J189" s="16"/>
    </row>
    <row r="190" spans="1:10" x14ac:dyDescent="0.25">
      <c r="A190" s="7" t="s">
        <v>271</v>
      </c>
      <c r="B190" s="8" t="str">
        <f t="shared" ref="B190:B219" si="26">LEFT(A190,8)</f>
        <v>AR24-005</v>
      </c>
      <c r="C190" s="8" t="str">
        <f t="shared" ref="C190:C219" si="27">MID(A190,24,2)</f>
        <v>01</v>
      </c>
      <c r="D190" s="8" t="str">
        <f t="shared" ref="D190:D219" si="28">MID(A190,27,2)</f>
        <v>01</v>
      </c>
      <c r="E190" s="8">
        <v>10</v>
      </c>
      <c r="F190" s="40">
        <v>45354.490902777798</v>
      </c>
      <c r="G190" s="8">
        <v>5622.96</v>
      </c>
      <c r="H190" s="10"/>
      <c r="I190" s="10"/>
      <c r="J190" s="11"/>
    </row>
    <row r="191" spans="1:10" x14ac:dyDescent="0.25">
      <c r="A191" s="2" t="s">
        <v>272</v>
      </c>
      <c r="B191" t="str">
        <f t="shared" si="26"/>
        <v>AR24-005</v>
      </c>
      <c r="C191" t="str">
        <f t="shared" si="27"/>
        <v>02</v>
      </c>
      <c r="D191" t="str">
        <f t="shared" si="28"/>
        <v>01</v>
      </c>
      <c r="E191">
        <v>10</v>
      </c>
      <c r="F191" s="6">
        <v>45354.492534722202</v>
      </c>
      <c r="G191">
        <v>5341.95</v>
      </c>
      <c r="H191" s="4"/>
      <c r="I191" s="4"/>
      <c r="J191" s="5"/>
    </row>
    <row r="192" spans="1:10" x14ac:dyDescent="0.25">
      <c r="A192" s="2" t="s">
        <v>273</v>
      </c>
      <c r="B192" t="str">
        <f t="shared" si="26"/>
        <v>AR24-005</v>
      </c>
      <c r="C192" t="str">
        <f t="shared" si="27"/>
        <v>03</v>
      </c>
      <c r="D192" t="str">
        <f t="shared" si="28"/>
        <v>01</v>
      </c>
      <c r="E192">
        <v>10</v>
      </c>
      <c r="F192" s="6">
        <v>45354.4920486111</v>
      </c>
      <c r="G192">
        <v>4896.03</v>
      </c>
      <c r="H192" s="4"/>
      <c r="I192" s="4"/>
      <c r="J192" s="5"/>
    </row>
    <row r="193" spans="1:10" x14ac:dyDescent="0.25">
      <c r="A193" s="2" t="s">
        <v>274</v>
      </c>
      <c r="B193" t="str">
        <f t="shared" si="26"/>
        <v>AR24-005</v>
      </c>
      <c r="C193" t="str">
        <f t="shared" si="27"/>
        <v>04</v>
      </c>
      <c r="D193" t="str">
        <f t="shared" si="28"/>
        <v>01</v>
      </c>
      <c r="E193">
        <v>10</v>
      </c>
      <c r="F193" s="6">
        <v>45354.492291666698</v>
      </c>
      <c r="G193">
        <v>6169.74</v>
      </c>
      <c r="H193" s="4"/>
      <c r="I193" s="4"/>
      <c r="J193" s="5"/>
    </row>
    <row r="194" spans="1:10" x14ac:dyDescent="0.25">
      <c r="A194" s="2" t="s">
        <v>275</v>
      </c>
      <c r="B194" t="str">
        <f t="shared" si="26"/>
        <v>AR24-005</v>
      </c>
      <c r="C194" t="str">
        <f t="shared" si="27"/>
        <v>05</v>
      </c>
      <c r="D194" t="str">
        <f t="shared" si="28"/>
        <v>01</v>
      </c>
      <c r="E194">
        <v>10</v>
      </c>
      <c r="F194" s="6">
        <v>45354.492777777799</v>
      </c>
      <c r="G194">
        <v>5562.1049999999996</v>
      </c>
      <c r="H194" s="4"/>
      <c r="I194" s="4"/>
      <c r="J194" s="5"/>
    </row>
    <row r="195" spans="1:10" x14ac:dyDescent="0.25">
      <c r="A195" s="2" t="s">
        <v>276</v>
      </c>
      <c r="B195" t="str">
        <f t="shared" si="26"/>
        <v>AR24-005</v>
      </c>
      <c r="C195" t="str">
        <f t="shared" si="27"/>
        <v>06</v>
      </c>
      <c r="D195" t="str">
        <f t="shared" si="28"/>
        <v>01</v>
      </c>
      <c r="E195">
        <v>10</v>
      </c>
      <c r="F195" s="6">
        <v>45354.493020833303</v>
      </c>
      <c r="G195">
        <v>5128.5749999999998</v>
      </c>
      <c r="H195" s="4"/>
      <c r="I195" s="4"/>
      <c r="J195" s="5"/>
    </row>
    <row r="196" spans="1:10" x14ac:dyDescent="0.25">
      <c r="A196" s="2" t="s">
        <v>277</v>
      </c>
      <c r="B196" t="str">
        <f t="shared" si="26"/>
        <v>AR24-005</v>
      </c>
      <c r="C196" t="str">
        <f t="shared" si="27"/>
        <v>07</v>
      </c>
      <c r="D196" t="str">
        <f t="shared" si="28"/>
        <v>01</v>
      </c>
      <c r="E196">
        <v>10</v>
      </c>
      <c r="F196" s="6">
        <v>45354.493275462999</v>
      </c>
      <c r="G196">
        <v>5951.5349999999999</v>
      </c>
      <c r="H196" s="4"/>
      <c r="I196" s="4"/>
      <c r="J196" s="5"/>
    </row>
    <row r="197" spans="1:10" x14ac:dyDescent="0.25">
      <c r="A197" s="2" t="s">
        <v>278</v>
      </c>
      <c r="B197" t="str">
        <f t="shared" si="26"/>
        <v>AR24-005</v>
      </c>
      <c r="C197" t="str">
        <f t="shared" si="27"/>
        <v>08</v>
      </c>
      <c r="D197" t="str">
        <f t="shared" si="28"/>
        <v>01</v>
      </c>
      <c r="E197">
        <v>10</v>
      </c>
      <c r="F197" s="6">
        <v>45354.493518518502</v>
      </c>
      <c r="G197">
        <v>5132.82</v>
      </c>
      <c r="H197" s="4"/>
      <c r="I197" s="4"/>
      <c r="J197" s="5"/>
    </row>
    <row r="198" spans="1:10" x14ac:dyDescent="0.25">
      <c r="A198" s="2" t="s">
        <v>279</v>
      </c>
      <c r="B198" t="str">
        <f t="shared" si="26"/>
        <v>AR24-005</v>
      </c>
      <c r="C198" t="str">
        <f t="shared" si="27"/>
        <v>09</v>
      </c>
      <c r="D198" t="str">
        <f t="shared" si="28"/>
        <v>01</v>
      </c>
      <c r="E198">
        <v>10</v>
      </c>
      <c r="F198" s="6">
        <v>45354.495856481502</v>
      </c>
      <c r="G198">
        <v>4706.1899999999996</v>
      </c>
      <c r="H198" s="4"/>
      <c r="I198" s="4"/>
      <c r="J198" s="5"/>
    </row>
    <row r="199" spans="1:10" x14ac:dyDescent="0.25">
      <c r="A199" s="2" t="s">
        <v>280</v>
      </c>
      <c r="B199" t="str">
        <f t="shared" si="26"/>
        <v>AR24-005</v>
      </c>
      <c r="C199" t="str">
        <f t="shared" si="27"/>
        <v>10</v>
      </c>
      <c r="D199" t="str">
        <f t="shared" si="28"/>
        <v>01</v>
      </c>
      <c r="E199">
        <v>10</v>
      </c>
      <c r="F199" s="6">
        <v>45354.496354166702</v>
      </c>
      <c r="G199">
        <v>5582.79</v>
      </c>
      <c r="H199" s="4"/>
      <c r="I199" s="4"/>
      <c r="J199" s="5"/>
    </row>
    <row r="200" spans="1:10" x14ac:dyDescent="0.25">
      <c r="A200" s="2" t="s">
        <v>281</v>
      </c>
      <c r="B200" t="str">
        <f t="shared" si="26"/>
        <v>AR24-005</v>
      </c>
      <c r="C200" t="str">
        <f t="shared" si="27"/>
        <v>11</v>
      </c>
      <c r="D200" t="str">
        <f t="shared" si="28"/>
        <v>01</v>
      </c>
      <c r="E200">
        <v>10</v>
      </c>
      <c r="F200" s="6">
        <v>45354.496840277803</v>
      </c>
      <c r="G200">
        <v>5718.5249999999996</v>
      </c>
      <c r="H200" s="4"/>
      <c r="I200" s="4"/>
      <c r="J200" s="5"/>
    </row>
    <row r="201" spans="1:10" x14ac:dyDescent="0.25">
      <c r="A201" s="2" t="s">
        <v>282</v>
      </c>
      <c r="B201" t="str">
        <f t="shared" si="26"/>
        <v>AR24-005</v>
      </c>
      <c r="C201" t="str">
        <f t="shared" si="27"/>
        <v>12</v>
      </c>
      <c r="D201" t="str">
        <f t="shared" si="28"/>
        <v>01</v>
      </c>
      <c r="E201">
        <v>10</v>
      </c>
      <c r="F201" s="6">
        <v>45354.497337963003</v>
      </c>
      <c r="G201">
        <v>5017.2150000000001</v>
      </c>
      <c r="H201" s="4"/>
      <c r="I201" s="4"/>
      <c r="J201" s="5"/>
    </row>
    <row r="202" spans="1:10" x14ac:dyDescent="0.25">
      <c r="A202" s="2" t="s">
        <v>283</v>
      </c>
      <c r="B202" t="str">
        <f t="shared" si="26"/>
        <v>AR24-005</v>
      </c>
      <c r="C202" t="str">
        <f t="shared" si="27"/>
        <v>13</v>
      </c>
      <c r="D202" t="str">
        <f t="shared" si="28"/>
        <v>01</v>
      </c>
      <c r="E202">
        <v>10</v>
      </c>
      <c r="F202" s="6">
        <v>45354.4980671296</v>
      </c>
      <c r="G202">
        <v>5154.4650000000001</v>
      </c>
      <c r="H202" s="4"/>
      <c r="I202" s="4"/>
      <c r="J202" s="5"/>
    </row>
    <row r="203" spans="1:10" x14ac:dyDescent="0.25">
      <c r="A203" s="2" t="s">
        <v>284</v>
      </c>
      <c r="B203" t="str">
        <f t="shared" si="26"/>
        <v>AR24-005</v>
      </c>
      <c r="C203" t="str">
        <f t="shared" si="27"/>
        <v>14</v>
      </c>
      <c r="D203" t="str">
        <f t="shared" si="28"/>
        <v>01</v>
      </c>
      <c r="E203">
        <v>10</v>
      </c>
      <c r="F203" s="6">
        <v>45354.498553240701</v>
      </c>
      <c r="G203">
        <v>5750.13</v>
      </c>
      <c r="H203" s="4"/>
      <c r="I203" s="4"/>
      <c r="J203" s="5"/>
    </row>
    <row r="204" spans="1:10" x14ac:dyDescent="0.25">
      <c r="A204" s="2" t="s">
        <v>285</v>
      </c>
      <c r="B204" t="str">
        <f t="shared" si="26"/>
        <v>AR24-005</v>
      </c>
      <c r="C204" t="str">
        <f t="shared" si="27"/>
        <v>15</v>
      </c>
      <c r="D204" t="str">
        <f t="shared" si="28"/>
        <v>01</v>
      </c>
      <c r="E204">
        <v>10</v>
      </c>
      <c r="F204" s="6">
        <v>45354.499039351896</v>
      </c>
      <c r="G204">
        <v>5295.585</v>
      </c>
      <c r="H204" s="4"/>
      <c r="I204" s="4"/>
      <c r="J204" s="5"/>
    </row>
    <row r="205" spans="1:10" x14ac:dyDescent="0.25">
      <c r="A205" s="2" t="s">
        <v>286</v>
      </c>
      <c r="B205" t="str">
        <f t="shared" si="26"/>
        <v>AR24-005</v>
      </c>
      <c r="C205" t="str">
        <f t="shared" si="27"/>
        <v>16</v>
      </c>
      <c r="D205" t="str">
        <f t="shared" si="28"/>
        <v>01</v>
      </c>
      <c r="E205">
        <v>10</v>
      </c>
      <c r="F205" s="6">
        <v>45354.499537037002</v>
      </c>
      <c r="G205">
        <v>4813.92</v>
      </c>
      <c r="H205" s="4"/>
      <c r="I205" s="4"/>
      <c r="J205" s="5"/>
    </row>
    <row r="206" spans="1:10" x14ac:dyDescent="0.25">
      <c r="A206" s="2" t="s">
        <v>287</v>
      </c>
      <c r="B206" t="str">
        <f t="shared" si="26"/>
        <v>AR24-005</v>
      </c>
      <c r="C206" t="str">
        <f t="shared" si="27"/>
        <v>17</v>
      </c>
      <c r="D206" t="str">
        <f t="shared" si="28"/>
        <v>01</v>
      </c>
      <c r="E206">
        <v>10</v>
      </c>
      <c r="F206" s="6">
        <v>45354.501747685201</v>
      </c>
      <c r="G206">
        <v>4996.2449999999999</v>
      </c>
      <c r="H206" s="4"/>
      <c r="I206" s="4"/>
      <c r="J206" s="5"/>
    </row>
    <row r="207" spans="1:10" x14ac:dyDescent="0.25">
      <c r="A207" s="2" t="s">
        <v>288</v>
      </c>
      <c r="B207" t="str">
        <f t="shared" si="26"/>
        <v>AR24-005</v>
      </c>
      <c r="C207" t="str">
        <f t="shared" si="27"/>
        <v>18</v>
      </c>
      <c r="D207" t="str">
        <f t="shared" si="28"/>
        <v>01</v>
      </c>
      <c r="E207">
        <v>10</v>
      </c>
      <c r="F207" s="6">
        <v>45354.5021180556</v>
      </c>
      <c r="G207">
        <v>5304.1350000000002</v>
      </c>
      <c r="H207" s="4"/>
      <c r="I207" s="4"/>
      <c r="J207" s="5"/>
    </row>
    <row r="208" spans="1:10" x14ac:dyDescent="0.25">
      <c r="A208" s="2" t="s">
        <v>289</v>
      </c>
      <c r="B208" t="str">
        <f t="shared" si="26"/>
        <v>AR24-005</v>
      </c>
      <c r="C208" t="str">
        <f t="shared" si="27"/>
        <v>19</v>
      </c>
      <c r="D208" t="str">
        <f t="shared" si="28"/>
        <v>01</v>
      </c>
      <c r="E208">
        <v>10</v>
      </c>
      <c r="F208" s="6">
        <v>45354.502372685201</v>
      </c>
      <c r="G208">
        <v>5239.3050000000003</v>
      </c>
      <c r="H208" s="119">
        <f>AVERAGE(G208:G210)</f>
        <v>5254.1449999999995</v>
      </c>
      <c r="I208" s="119">
        <f>100*J208/H208</f>
        <v>0.56114700208057611</v>
      </c>
      <c r="J208" s="120">
        <f>STDEV(G208:G210)</f>
        <v>29.483477152466481</v>
      </c>
    </row>
    <row r="209" spans="1:12" x14ac:dyDescent="0.25">
      <c r="A209" s="2" t="s">
        <v>290</v>
      </c>
      <c r="B209" t="str">
        <f t="shared" si="26"/>
        <v>AR24-005</v>
      </c>
      <c r="C209" t="str">
        <f t="shared" si="27"/>
        <v>19</v>
      </c>
      <c r="D209" t="str">
        <f t="shared" si="28"/>
        <v>02</v>
      </c>
      <c r="E209">
        <v>10</v>
      </c>
      <c r="F209" s="6">
        <v>45354.506423611099</v>
      </c>
      <c r="G209">
        <v>5235.03</v>
      </c>
      <c r="H209" s="119"/>
      <c r="I209" s="119"/>
      <c r="J209" s="120"/>
    </row>
    <row r="210" spans="1:12" x14ac:dyDescent="0.25">
      <c r="A210" s="2" t="s">
        <v>291</v>
      </c>
      <c r="B210" t="str">
        <f t="shared" si="26"/>
        <v>AR24-005</v>
      </c>
      <c r="C210" t="str">
        <f t="shared" si="27"/>
        <v>19</v>
      </c>
      <c r="D210" t="str">
        <f t="shared" si="28"/>
        <v>03</v>
      </c>
      <c r="E210">
        <v>10</v>
      </c>
      <c r="F210" s="6">
        <v>45354.506793981498</v>
      </c>
      <c r="G210">
        <v>5288.1</v>
      </c>
      <c r="H210" s="119"/>
      <c r="I210" s="119"/>
      <c r="J210" s="120"/>
    </row>
    <row r="211" spans="1:12" x14ac:dyDescent="0.25">
      <c r="A211" s="2" t="s">
        <v>292</v>
      </c>
      <c r="B211" t="str">
        <f t="shared" si="26"/>
        <v>AR24-005</v>
      </c>
      <c r="C211" t="str">
        <f t="shared" si="27"/>
        <v>20</v>
      </c>
      <c r="D211" t="str">
        <f t="shared" si="28"/>
        <v>01</v>
      </c>
      <c r="E211">
        <v>10</v>
      </c>
      <c r="F211" s="6">
        <v>45354.502731481502</v>
      </c>
      <c r="G211">
        <v>4765.4250000000002</v>
      </c>
      <c r="H211" s="119">
        <f>AVERAGE(G211:G213)</f>
        <v>4807.1400000000003</v>
      </c>
      <c r="I211" s="119">
        <f>100*J211/H211</f>
        <v>1.1601494038376259</v>
      </c>
      <c r="J211" s="120">
        <f>STDEV(G211:G213)</f>
        <v>55.770006051640046</v>
      </c>
    </row>
    <row r="212" spans="1:12" x14ac:dyDescent="0.25">
      <c r="A212" s="2" t="s">
        <v>293</v>
      </c>
      <c r="B212" t="str">
        <f t="shared" si="26"/>
        <v>AR24-005</v>
      </c>
      <c r="C212" t="str">
        <f t="shared" si="27"/>
        <v>20</v>
      </c>
      <c r="D212" t="str">
        <f t="shared" si="28"/>
        <v>02</v>
      </c>
      <c r="E212">
        <v>10</v>
      </c>
      <c r="F212" s="6">
        <v>45354.507152777798</v>
      </c>
      <c r="G212">
        <v>4870.4849999999997</v>
      </c>
      <c r="H212" s="119"/>
      <c r="I212" s="119"/>
      <c r="J212" s="120"/>
      <c r="K212">
        <f>AVERAGE(I208:I216)</f>
        <v>0.97308497695558671</v>
      </c>
      <c r="L212">
        <f>AVERAGE(J208:J216)</f>
        <v>47.98616078413022</v>
      </c>
    </row>
    <row r="213" spans="1:12" x14ac:dyDescent="0.25">
      <c r="A213" s="2" t="s">
        <v>294</v>
      </c>
      <c r="B213" t="str">
        <f t="shared" si="26"/>
        <v>AR24-005</v>
      </c>
      <c r="C213" t="str">
        <f t="shared" si="27"/>
        <v>20</v>
      </c>
      <c r="D213" t="str">
        <f t="shared" si="28"/>
        <v>03</v>
      </c>
      <c r="E213">
        <v>10</v>
      </c>
      <c r="F213" s="6">
        <v>45354.508136574099</v>
      </c>
      <c r="G213">
        <v>4785.51</v>
      </c>
      <c r="H213" s="119"/>
      <c r="I213" s="119"/>
      <c r="J213" s="120"/>
    </row>
    <row r="214" spans="1:12" x14ac:dyDescent="0.25">
      <c r="A214" s="2" t="s">
        <v>295</v>
      </c>
      <c r="B214" t="str">
        <f t="shared" si="26"/>
        <v>AR24-005</v>
      </c>
      <c r="C214" t="str">
        <f t="shared" si="27"/>
        <v>21</v>
      </c>
      <c r="D214" t="str">
        <f t="shared" si="28"/>
        <v>01</v>
      </c>
      <c r="E214">
        <v>10</v>
      </c>
      <c r="F214" s="6">
        <v>45354.5031018519</v>
      </c>
      <c r="G214">
        <v>4947.0150000000003</v>
      </c>
      <c r="H214" s="119">
        <f>AVERAGE(G214:G216)</f>
        <v>4900.420000000001</v>
      </c>
      <c r="I214" s="119">
        <f>100*J214/H214</f>
        <v>1.197958524948558</v>
      </c>
      <c r="J214" s="120">
        <f>STDEV(G214:G216)</f>
        <v>58.704999148284138</v>
      </c>
    </row>
    <row r="215" spans="1:12" x14ac:dyDescent="0.25">
      <c r="A215" s="2" t="s">
        <v>296</v>
      </c>
      <c r="B215" t="str">
        <f t="shared" si="26"/>
        <v>AR24-005</v>
      </c>
      <c r="C215" t="str">
        <f t="shared" si="27"/>
        <v>21</v>
      </c>
      <c r="D215" t="str">
        <f t="shared" si="28"/>
        <v>02</v>
      </c>
      <c r="E215">
        <v>10</v>
      </c>
      <c r="F215" s="6">
        <v>45354.509363425903</v>
      </c>
      <c r="G215">
        <v>4919.76</v>
      </c>
      <c r="H215" s="119"/>
      <c r="I215" s="119"/>
      <c r="J215" s="120"/>
    </row>
    <row r="216" spans="1:12" x14ac:dyDescent="0.25">
      <c r="A216" s="2" t="s">
        <v>297</v>
      </c>
      <c r="B216" t="str">
        <f t="shared" si="26"/>
        <v>AR24-005</v>
      </c>
      <c r="C216" t="str">
        <f t="shared" si="27"/>
        <v>21</v>
      </c>
      <c r="D216" t="str">
        <f t="shared" si="28"/>
        <v>03</v>
      </c>
      <c r="E216">
        <v>10</v>
      </c>
      <c r="F216" s="6">
        <v>45354.509733796302</v>
      </c>
      <c r="G216">
        <v>4834.4849999999997</v>
      </c>
      <c r="H216" s="119"/>
      <c r="I216" s="119"/>
      <c r="J216" s="120"/>
    </row>
    <row r="217" spans="1:12" x14ac:dyDescent="0.25">
      <c r="A217" s="2" t="s">
        <v>298</v>
      </c>
      <c r="B217" t="str">
        <f t="shared" si="26"/>
        <v>AR24-005</v>
      </c>
      <c r="C217" t="str">
        <f t="shared" si="27"/>
        <v>22</v>
      </c>
      <c r="D217" t="str">
        <f t="shared" si="28"/>
        <v>01</v>
      </c>
      <c r="E217">
        <v>10</v>
      </c>
      <c r="F217" s="6">
        <v>45354.503356481502</v>
      </c>
      <c r="G217">
        <v>5125.17</v>
      </c>
      <c r="H217" s="4"/>
      <c r="I217" s="4"/>
      <c r="J217" s="5"/>
    </row>
    <row r="218" spans="1:12" x14ac:dyDescent="0.25">
      <c r="A218" s="2" t="s">
        <v>299</v>
      </c>
      <c r="B218" t="str">
        <f t="shared" si="26"/>
        <v>AR24-005</v>
      </c>
      <c r="C218" t="str">
        <f t="shared" si="27"/>
        <v>23</v>
      </c>
      <c r="D218" t="str">
        <f t="shared" si="28"/>
        <v>01</v>
      </c>
      <c r="E218">
        <v>10</v>
      </c>
      <c r="F218" s="6">
        <v>45354.505555555603</v>
      </c>
      <c r="G218">
        <v>5431.89</v>
      </c>
      <c r="H218" s="4"/>
      <c r="I218" s="4"/>
      <c r="J218" s="5"/>
    </row>
    <row r="219" spans="1:12" ht="15.75" thickBot="1" x14ac:dyDescent="0.3">
      <c r="A219" s="12" t="s">
        <v>300</v>
      </c>
      <c r="B219" s="13" t="str">
        <f t="shared" si="26"/>
        <v>AR24-005</v>
      </c>
      <c r="C219" s="13" t="str">
        <f t="shared" si="27"/>
        <v>24</v>
      </c>
      <c r="D219" s="13" t="str">
        <f t="shared" si="28"/>
        <v>01</v>
      </c>
      <c r="E219" s="13">
        <v>10</v>
      </c>
      <c r="F219" s="41">
        <v>45354.5059259259</v>
      </c>
      <c r="G219" s="13">
        <v>5166.96</v>
      </c>
      <c r="H219" s="15"/>
      <c r="I219" s="15"/>
      <c r="J219" s="16"/>
    </row>
    <row r="220" spans="1:12" x14ac:dyDescent="0.25">
      <c r="A220" s="7" t="s">
        <v>301</v>
      </c>
      <c r="B220" s="8" t="str">
        <f t="shared" ref="B220:B279" si="29">LEFT(A220,8)</f>
        <v>AR24-005</v>
      </c>
      <c r="C220" s="8" t="str">
        <f t="shared" ref="C220:C249" si="30">MID(A220,24,2)</f>
        <v>01</v>
      </c>
      <c r="D220" s="8" t="str">
        <f t="shared" ref="D220:D249" si="31">MID(A220,27,2)</f>
        <v>01</v>
      </c>
      <c r="E220" s="8">
        <v>11</v>
      </c>
      <c r="F220" s="40">
        <v>45355.449884259302</v>
      </c>
      <c r="G220" s="8">
        <v>5822.22</v>
      </c>
      <c r="H220" s="121">
        <f>AVERAGE(G220:G222)</f>
        <v>5868.5149999999994</v>
      </c>
      <c r="I220" s="121">
        <f>100*J220/H220</f>
        <v>0.93745836172886043</v>
      </c>
      <c r="J220" s="122">
        <f>STDEV(G220:G222)</f>
        <v>55.014884576812427</v>
      </c>
    </row>
    <row r="221" spans="1:12" x14ac:dyDescent="0.25">
      <c r="A221" s="2" t="s">
        <v>302</v>
      </c>
      <c r="B221" t="str">
        <f t="shared" si="29"/>
        <v>AR24-005</v>
      </c>
      <c r="C221" t="str">
        <f t="shared" si="30"/>
        <v>01</v>
      </c>
      <c r="D221" t="str">
        <f t="shared" si="31"/>
        <v>02</v>
      </c>
      <c r="E221">
        <v>11</v>
      </c>
      <c r="F221" s="6">
        <v>45355.465393518498</v>
      </c>
      <c r="G221">
        <v>5853.99</v>
      </c>
      <c r="H221" s="119"/>
      <c r="I221" s="119"/>
      <c r="J221" s="120"/>
    </row>
    <row r="222" spans="1:12" x14ac:dyDescent="0.25">
      <c r="A222" s="2" t="s">
        <v>303</v>
      </c>
      <c r="B222" t="str">
        <f t="shared" si="29"/>
        <v>AR24-005</v>
      </c>
      <c r="C222" t="str">
        <f t="shared" si="30"/>
        <v>01</v>
      </c>
      <c r="D222" t="str">
        <f t="shared" si="31"/>
        <v>03</v>
      </c>
      <c r="E222">
        <v>11</v>
      </c>
      <c r="F222" s="6">
        <v>45355.465752314798</v>
      </c>
      <c r="G222">
        <v>5929.335</v>
      </c>
      <c r="H222" s="119"/>
      <c r="I222" s="119"/>
      <c r="J222" s="120"/>
    </row>
    <row r="223" spans="1:12" x14ac:dyDescent="0.25">
      <c r="A223" s="2" t="s">
        <v>304</v>
      </c>
      <c r="B223" t="str">
        <f t="shared" si="29"/>
        <v>AR24-005</v>
      </c>
      <c r="C223" t="str">
        <f t="shared" si="30"/>
        <v>02</v>
      </c>
      <c r="D223" t="str">
        <f t="shared" si="31"/>
        <v>01</v>
      </c>
      <c r="E223">
        <v>11</v>
      </c>
      <c r="F223" s="6">
        <v>45355.450787037</v>
      </c>
      <c r="G223">
        <v>5534.88</v>
      </c>
      <c r="H223" s="119">
        <f>AVERAGE(G223:G225)</f>
        <v>5586.4449999999997</v>
      </c>
      <c r="I223" s="119">
        <f>100*J223/H223</f>
        <v>0.90141293263872158</v>
      </c>
      <c r="J223" s="120">
        <f>STDEV(G223:G225)</f>
        <v>50.356937704749228</v>
      </c>
    </row>
    <row r="224" spans="1:12" x14ac:dyDescent="0.25">
      <c r="A224" s="2" t="s">
        <v>305</v>
      </c>
      <c r="B224" t="str">
        <f t="shared" si="29"/>
        <v>AR24-005</v>
      </c>
      <c r="C224" t="str">
        <f t="shared" si="30"/>
        <v>02</v>
      </c>
      <c r="D224" t="str">
        <f t="shared" si="31"/>
        <v>02</v>
      </c>
      <c r="E224">
        <v>11</v>
      </c>
      <c r="F224" s="6">
        <v>45355.466122685197</v>
      </c>
      <c r="G224">
        <v>5635.5</v>
      </c>
      <c r="H224" s="119"/>
      <c r="I224" s="119"/>
      <c r="J224" s="120"/>
      <c r="K224">
        <f>AVERAGE(I220:I228)</f>
        <v>1.1564316496196589</v>
      </c>
      <c r="L224">
        <f>AVERAGE(J220:J228)</f>
        <v>63.073423910184125</v>
      </c>
    </row>
    <row r="225" spans="1:10" x14ac:dyDescent="0.25">
      <c r="A225" s="2" t="s">
        <v>306</v>
      </c>
      <c r="B225" t="str">
        <f t="shared" si="29"/>
        <v>AR24-005</v>
      </c>
      <c r="C225" t="str">
        <f t="shared" si="30"/>
        <v>02</v>
      </c>
      <c r="D225" t="str">
        <f t="shared" si="31"/>
        <v>03</v>
      </c>
      <c r="E225">
        <v>11</v>
      </c>
      <c r="F225" s="6">
        <v>45355.467094907399</v>
      </c>
      <c r="G225">
        <v>5588.9549999999999</v>
      </c>
      <c r="H225" s="119"/>
      <c r="I225" s="119"/>
      <c r="J225" s="120"/>
    </row>
    <row r="226" spans="1:10" x14ac:dyDescent="0.25">
      <c r="A226" s="2" t="s">
        <v>307</v>
      </c>
      <c r="B226" t="str">
        <f t="shared" si="29"/>
        <v>AR24-005</v>
      </c>
      <c r="C226" t="str">
        <f t="shared" si="30"/>
        <v>03</v>
      </c>
      <c r="D226" t="str">
        <f t="shared" si="31"/>
        <v>01</v>
      </c>
      <c r="E226">
        <v>11</v>
      </c>
      <c r="F226" s="6">
        <v>45355.4510069444</v>
      </c>
      <c r="G226">
        <v>5233.2299999999996</v>
      </c>
      <c r="H226" s="119">
        <f>AVERAGE(G226:G228)</f>
        <v>5142.7399999999989</v>
      </c>
      <c r="I226" s="119">
        <f>100*J226/H226</f>
        <v>1.6304236544913946</v>
      </c>
      <c r="J226" s="120">
        <f>STDEV(G226:G228)</f>
        <v>83.848449448990721</v>
      </c>
    </row>
    <row r="227" spans="1:10" x14ac:dyDescent="0.25">
      <c r="A227" s="2" t="s">
        <v>308</v>
      </c>
      <c r="B227" t="str">
        <f t="shared" si="29"/>
        <v>AR24-005</v>
      </c>
      <c r="C227" t="str">
        <f t="shared" si="30"/>
        <v>03</v>
      </c>
      <c r="D227" t="str">
        <f t="shared" si="31"/>
        <v>02</v>
      </c>
      <c r="E227">
        <v>11</v>
      </c>
      <c r="F227" s="6">
        <v>45355.468333333301</v>
      </c>
      <c r="G227">
        <v>5067.6750000000002</v>
      </c>
      <c r="H227" s="119"/>
      <c r="I227" s="119"/>
      <c r="J227" s="120"/>
    </row>
    <row r="228" spans="1:10" x14ac:dyDescent="0.25">
      <c r="A228" s="2" t="s">
        <v>309</v>
      </c>
      <c r="B228" t="str">
        <f t="shared" si="29"/>
        <v>AR24-005</v>
      </c>
      <c r="C228" t="str">
        <f t="shared" si="30"/>
        <v>03</v>
      </c>
      <c r="D228" t="str">
        <f t="shared" si="31"/>
        <v>03</v>
      </c>
      <c r="E228">
        <v>11</v>
      </c>
      <c r="F228" s="6">
        <v>45355.4687037037</v>
      </c>
      <c r="G228">
        <v>5127.3149999999996</v>
      </c>
      <c r="H228" s="119"/>
      <c r="I228" s="119"/>
      <c r="J228" s="120"/>
    </row>
    <row r="229" spans="1:10" x14ac:dyDescent="0.25">
      <c r="A229" s="2" t="s">
        <v>310</v>
      </c>
      <c r="B229" t="str">
        <f t="shared" si="29"/>
        <v>AR24-005</v>
      </c>
      <c r="C229" t="str">
        <f t="shared" si="30"/>
        <v>04</v>
      </c>
      <c r="D229" t="str">
        <f t="shared" si="31"/>
        <v>01</v>
      </c>
      <c r="E229">
        <v>11</v>
      </c>
      <c r="F229" s="6">
        <v>45355.451249999998</v>
      </c>
      <c r="G229">
        <v>6625.665</v>
      </c>
      <c r="H229" s="4"/>
      <c r="I229" s="4"/>
      <c r="J229" s="5"/>
    </row>
    <row r="230" spans="1:10" x14ac:dyDescent="0.25">
      <c r="A230" s="2" t="s">
        <v>311</v>
      </c>
      <c r="B230" t="str">
        <f t="shared" si="29"/>
        <v>AR24-005</v>
      </c>
      <c r="C230" t="str">
        <f t="shared" si="30"/>
        <v>05</v>
      </c>
      <c r="D230" t="str">
        <f t="shared" si="31"/>
        <v>01</v>
      </c>
      <c r="E230">
        <v>11</v>
      </c>
      <c r="F230" s="6">
        <v>45355.451493055603</v>
      </c>
      <c r="G230">
        <v>5769.87</v>
      </c>
      <c r="H230" s="4"/>
      <c r="I230" s="4"/>
      <c r="J230" s="5"/>
    </row>
    <row r="231" spans="1:10" x14ac:dyDescent="0.25">
      <c r="A231" s="2" t="s">
        <v>312</v>
      </c>
      <c r="B231" t="str">
        <f t="shared" si="29"/>
        <v>AR24-005</v>
      </c>
      <c r="C231" t="str">
        <f t="shared" si="30"/>
        <v>06</v>
      </c>
      <c r="D231" t="str">
        <f t="shared" si="31"/>
        <v>01</v>
      </c>
      <c r="E231">
        <v>11</v>
      </c>
      <c r="F231" s="6">
        <v>45355.451747685198</v>
      </c>
      <c r="G231">
        <v>5432.3249999999998</v>
      </c>
      <c r="H231" s="4"/>
      <c r="I231" s="4"/>
      <c r="J231" s="5"/>
    </row>
    <row r="232" spans="1:10" x14ac:dyDescent="0.25">
      <c r="A232" s="2" t="s">
        <v>313</v>
      </c>
      <c r="B232" t="str">
        <f t="shared" si="29"/>
        <v>AR24-005</v>
      </c>
      <c r="C232" t="str">
        <f t="shared" si="30"/>
        <v>07</v>
      </c>
      <c r="D232" t="str">
        <f t="shared" si="31"/>
        <v>01</v>
      </c>
      <c r="E232">
        <v>11</v>
      </c>
      <c r="F232" s="6">
        <v>45355.451990740701</v>
      </c>
      <c r="G232">
        <v>6253.95</v>
      </c>
      <c r="H232" s="4"/>
      <c r="I232" s="4"/>
      <c r="J232" s="5"/>
    </row>
    <row r="233" spans="1:10" x14ac:dyDescent="0.25">
      <c r="A233" s="2" t="s">
        <v>314</v>
      </c>
      <c r="B233" t="str">
        <f t="shared" si="29"/>
        <v>AR24-005</v>
      </c>
      <c r="C233" t="str">
        <f t="shared" si="30"/>
        <v>08</v>
      </c>
      <c r="D233" t="str">
        <f t="shared" si="31"/>
        <v>01</v>
      </c>
      <c r="E233">
        <v>11</v>
      </c>
      <c r="F233" s="6">
        <v>45355.452233796299</v>
      </c>
      <c r="G233">
        <v>5587.875</v>
      </c>
      <c r="H233" s="4"/>
      <c r="I233" s="4"/>
      <c r="J233" s="5"/>
    </row>
    <row r="234" spans="1:10" x14ac:dyDescent="0.25">
      <c r="A234" s="2" t="s">
        <v>315</v>
      </c>
      <c r="B234" t="str">
        <f t="shared" si="29"/>
        <v>AR24-005</v>
      </c>
      <c r="C234" t="str">
        <f t="shared" si="30"/>
        <v>09</v>
      </c>
      <c r="D234" t="str">
        <f t="shared" si="31"/>
        <v>01</v>
      </c>
      <c r="E234">
        <v>11</v>
      </c>
      <c r="F234" s="6">
        <v>45355.452476851897</v>
      </c>
      <c r="G234">
        <v>5139.3149999999996</v>
      </c>
      <c r="H234" s="4"/>
      <c r="I234" s="4"/>
      <c r="J234" s="5"/>
    </row>
    <row r="235" spans="1:10" x14ac:dyDescent="0.25">
      <c r="A235" s="2" t="s">
        <v>316</v>
      </c>
      <c r="B235" t="str">
        <f t="shared" si="29"/>
        <v>AR24-005</v>
      </c>
      <c r="C235" t="str">
        <f t="shared" si="30"/>
        <v>10</v>
      </c>
      <c r="D235" t="str">
        <f t="shared" si="31"/>
        <v>01</v>
      </c>
      <c r="E235">
        <v>11</v>
      </c>
      <c r="F235" s="6">
        <v>45355.454826388901</v>
      </c>
      <c r="G235">
        <v>6099.96</v>
      </c>
      <c r="H235" s="4"/>
      <c r="I235" s="4"/>
      <c r="J235" s="5"/>
    </row>
    <row r="236" spans="1:10" x14ac:dyDescent="0.25">
      <c r="A236" s="2" t="s">
        <v>317</v>
      </c>
      <c r="B236" t="str">
        <f t="shared" si="29"/>
        <v>AR24-005</v>
      </c>
      <c r="C236" t="str">
        <f t="shared" si="30"/>
        <v>11</v>
      </c>
      <c r="D236" t="str">
        <f t="shared" si="31"/>
        <v>01</v>
      </c>
      <c r="E236">
        <v>11</v>
      </c>
      <c r="F236" s="6">
        <v>45355.455312500002</v>
      </c>
      <c r="G236">
        <v>6220.125</v>
      </c>
      <c r="H236" s="4"/>
      <c r="I236" s="4"/>
      <c r="J236" s="5"/>
    </row>
    <row r="237" spans="1:10" x14ac:dyDescent="0.25">
      <c r="A237" s="2" t="s">
        <v>318</v>
      </c>
      <c r="B237" t="str">
        <f t="shared" si="29"/>
        <v>AR24-005</v>
      </c>
      <c r="C237" t="str">
        <f t="shared" si="30"/>
        <v>12</v>
      </c>
      <c r="D237" t="str">
        <f t="shared" si="31"/>
        <v>01</v>
      </c>
      <c r="E237">
        <v>11</v>
      </c>
      <c r="F237" s="6">
        <v>45355.455810185202</v>
      </c>
      <c r="G237">
        <v>5463.48</v>
      </c>
      <c r="H237" s="4"/>
      <c r="I237" s="4"/>
      <c r="J237" s="5"/>
    </row>
    <row r="238" spans="1:10" x14ac:dyDescent="0.25">
      <c r="A238" s="2" t="s">
        <v>319</v>
      </c>
      <c r="B238" t="str">
        <f t="shared" si="29"/>
        <v>AR24-005</v>
      </c>
      <c r="C238" t="str">
        <f t="shared" si="30"/>
        <v>13</v>
      </c>
      <c r="D238" t="str">
        <f t="shared" si="31"/>
        <v>01</v>
      </c>
      <c r="E238">
        <v>11</v>
      </c>
      <c r="F238" s="6">
        <v>45355.456296296303</v>
      </c>
      <c r="G238">
        <v>5304</v>
      </c>
      <c r="H238" s="4"/>
      <c r="I238" s="4"/>
      <c r="J238" s="5"/>
    </row>
    <row r="239" spans="1:10" x14ac:dyDescent="0.25">
      <c r="A239" s="2" t="s">
        <v>320</v>
      </c>
      <c r="B239" t="str">
        <f t="shared" si="29"/>
        <v>AR24-005</v>
      </c>
      <c r="C239" t="str">
        <f t="shared" si="30"/>
        <v>14</v>
      </c>
      <c r="D239" t="str">
        <f t="shared" si="31"/>
        <v>01</v>
      </c>
      <c r="E239">
        <v>11</v>
      </c>
      <c r="F239" s="6">
        <v>45355.457025463002</v>
      </c>
      <c r="G239">
        <v>6166.71</v>
      </c>
      <c r="H239" s="4"/>
      <c r="I239" s="4"/>
      <c r="J239" s="5"/>
    </row>
    <row r="240" spans="1:10" x14ac:dyDescent="0.25">
      <c r="A240" s="2" t="s">
        <v>321</v>
      </c>
      <c r="B240" t="str">
        <f t="shared" si="29"/>
        <v>AR24-005</v>
      </c>
      <c r="C240" t="str">
        <f t="shared" si="30"/>
        <v>15</v>
      </c>
      <c r="D240" t="str">
        <f t="shared" si="31"/>
        <v>01</v>
      </c>
      <c r="E240">
        <v>11</v>
      </c>
      <c r="F240" s="6">
        <v>45355.457511574103</v>
      </c>
      <c r="G240">
        <v>5412.2849999999999</v>
      </c>
      <c r="H240" s="4"/>
      <c r="I240" s="4"/>
      <c r="J240" s="5"/>
    </row>
    <row r="241" spans="1:10" x14ac:dyDescent="0.25">
      <c r="A241" s="2" t="s">
        <v>322</v>
      </c>
      <c r="B241" t="str">
        <f t="shared" si="29"/>
        <v>AR24-005</v>
      </c>
      <c r="C241" t="str">
        <f t="shared" si="30"/>
        <v>16</v>
      </c>
      <c r="D241" t="str">
        <f t="shared" si="31"/>
        <v>01</v>
      </c>
      <c r="E241">
        <v>11</v>
      </c>
      <c r="F241" s="6">
        <v>45355.458009259302</v>
      </c>
      <c r="G241">
        <v>5049.3</v>
      </c>
      <c r="H241" s="4"/>
      <c r="I241" s="4"/>
      <c r="J241" s="5"/>
    </row>
    <row r="242" spans="1:10" x14ac:dyDescent="0.25">
      <c r="A242" s="2" t="s">
        <v>323</v>
      </c>
      <c r="B242" t="str">
        <f t="shared" si="29"/>
        <v>AR24-005</v>
      </c>
      <c r="C242" t="str">
        <f t="shared" si="30"/>
        <v>17</v>
      </c>
      <c r="D242" t="str">
        <f t="shared" si="31"/>
        <v>01</v>
      </c>
      <c r="E242">
        <v>11</v>
      </c>
      <c r="F242" s="6">
        <v>45355.458495370403</v>
      </c>
      <c r="G242">
        <v>5408.34</v>
      </c>
      <c r="H242" s="4"/>
      <c r="I242" s="4"/>
      <c r="J242" s="5"/>
    </row>
    <row r="243" spans="1:10" x14ac:dyDescent="0.25">
      <c r="A243" s="2" t="s">
        <v>324</v>
      </c>
      <c r="B243" t="str">
        <f t="shared" si="29"/>
        <v>AR24-005</v>
      </c>
      <c r="C243" t="str">
        <f t="shared" si="30"/>
        <v>18</v>
      </c>
      <c r="D243" t="str">
        <f t="shared" si="31"/>
        <v>01</v>
      </c>
      <c r="E243">
        <v>11</v>
      </c>
      <c r="F243" s="6">
        <v>45355.461689814802</v>
      </c>
      <c r="G243">
        <v>5488.6350000000002</v>
      </c>
      <c r="H243" s="4"/>
      <c r="I243" s="4"/>
      <c r="J243" s="5"/>
    </row>
    <row r="244" spans="1:10" x14ac:dyDescent="0.25">
      <c r="A244" s="2" t="s">
        <v>325</v>
      </c>
      <c r="B244" t="str">
        <f t="shared" si="29"/>
        <v>AR24-005</v>
      </c>
      <c r="C244" t="str">
        <f t="shared" si="30"/>
        <v>19</v>
      </c>
      <c r="D244" t="str">
        <f t="shared" si="31"/>
        <v>01</v>
      </c>
      <c r="E244">
        <v>11</v>
      </c>
      <c r="F244" s="6">
        <v>45355.4610763889</v>
      </c>
      <c r="G244">
        <v>5789.5349999999999</v>
      </c>
      <c r="H244" s="4"/>
      <c r="I244" s="4"/>
      <c r="J244" s="5"/>
    </row>
    <row r="245" spans="1:10" x14ac:dyDescent="0.25">
      <c r="A245" s="2" t="s">
        <v>326</v>
      </c>
      <c r="B245" t="str">
        <f t="shared" si="29"/>
        <v>AR24-005</v>
      </c>
      <c r="C245" t="str">
        <f t="shared" si="30"/>
        <v>20</v>
      </c>
      <c r="D245" t="str">
        <f t="shared" si="31"/>
        <v>01</v>
      </c>
      <c r="E245">
        <v>11</v>
      </c>
      <c r="F245" s="6">
        <v>45355.461331018501</v>
      </c>
      <c r="G245">
        <v>5017.08</v>
      </c>
      <c r="H245" s="4"/>
      <c r="I245" s="4"/>
      <c r="J245" s="5"/>
    </row>
    <row r="246" spans="1:10" x14ac:dyDescent="0.25">
      <c r="A246" s="2" t="s">
        <v>327</v>
      </c>
      <c r="B246" t="str">
        <f t="shared" si="29"/>
        <v>AR24-005</v>
      </c>
      <c r="C246" t="str">
        <f t="shared" si="30"/>
        <v>21</v>
      </c>
      <c r="D246" t="str">
        <f t="shared" si="31"/>
        <v>01</v>
      </c>
      <c r="E246">
        <v>11</v>
      </c>
      <c r="F246" s="6">
        <v>45355.4620601852</v>
      </c>
      <c r="G246">
        <v>5327.82</v>
      </c>
      <c r="H246" s="4"/>
      <c r="I246" s="4"/>
      <c r="J246" s="5"/>
    </row>
    <row r="247" spans="1:10" x14ac:dyDescent="0.25">
      <c r="A247" s="2" t="s">
        <v>328</v>
      </c>
      <c r="B247" t="str">
        <f t="shared" si="29"/>
        <v>AR24-005</v>
      </c>
      <c r="C247" t="str">
        <f t="shared" si="30"/>
        <v>22</v>
      </c>
      <c r="D247" t="str">
        <f t="shared" si="31"/>
        <v>01</v>
      </c>
      <c r="E247">
        <v>11</v>
      </c>
      <c r="F247" s="6">
        <v>45355.462314814802</v>
      </c>
      <c r="G247">
        <v>5730.09</v>
      </c>
      <c r="H247" s="4"/>
      <c r="I247" s="4"/>
      <c r="J247" s="5"/>
    </row>
    <row r="248" spans="1:10" x14ac:dyDescent="0.25">
      <c r="A248" s="2" t="s">
        <v>329</v>
      </c>
      <c r="B248" t="str">
        <f t="shared" si="29"/>
        <v>AR24-005</v>
      </c>
      <c r="C248" t="str">
        <f t="shared" si="30"/>
        <v>23</v>
      </c>
      <c r="D248" t="str">
        <f t="shared" si="31"/>
        <v>01</v>
      </c>
      <c r="E248">
        <v>11</v>
      </c>
      <c r="F248" s="6">
        <v>45355.464513888903</v>
      </c>
      <c r="G248">
        <v>5927.2950000000001</v>
      </c>
      <c r="H248" s="4"/>
      <c r="I248" s="4"/>
      <c r="J248" s="5"/>
    </row>
    <row r="249" spans="1:10" ht="15.75" thickBot="1" x14ac:dyDescent="0.3">
      <c r="A249" s="12" t="s">
        <v>330</v>
      </c>
      <c r="B249" s="13" t="str">
        <f t="shared" si="29"/>
        <v>AR24-005</v>
      </c>
      <c r="C249" s="13" t="str">
        <f t="shared" si="30"/>
        <v>24</v>
      </c>
      <c r="D249" s="13" t="str">
        <f t="shared" si="31"/>
        <v>01</v>
      </c>
      <c r="E249" s="13">
        <v>11</v>
      </c>
      <c r="F249" s="41">
        <v>45355.464895833298</v>
      </c>
      <c r="G249" s="13">
        <v>5436.5550000000003</v>
      </c>
      <c r="H249" s="15"/>
      <c r="I249" s="15"/>
      <c r="J249" s="16"/>
    </row>
    <row r="250" spans="1:10" x14ac:dyDescent="0.25">
      <c r="A250" s="7" t="s">
        <v>331</v>
      </c>
      <c r="B250" s="8" t="str">
        <f t="shared" si="29"/>
        <v>AR24-005</v>
      </c>
      <c r="C250" s="8" t="str">
        <f t="shared" ref="C250:C279" si="32">MID(A250,24,2)</f>
        <v>01</v>
      </c>
      <c r="D250" s="8" t="str">
        <f t="shared" ref="D250:D279" si="33">MID(A250,27,2)</f>
        <v>01</v>
      </c>
      <c r="E250" s="8">
        <v>12</v>
      </c>
      <c r="F250" s="40">
        <v>45356.596284722204</v>
      </c>
      <c r="G250" s="8">
        <v>6341.88</v>
      </c>
      <c r="H250" s="10"/>
      <c r="I250" s="10"/>
      <c r="J250" s="11"/>
    </row>
    <row r="251" spans="1:10" x14ac:dyDescent="0.25">
      <c r="A251" s="2" t="s">
        <v>332</v>
      </c>
      <c r="B251" t="str">
        <f t="shared" si="29"/>
        <v>AR24-005</v>
      </c>
      <c r="C251" t="str">
        <f t="shared" si="32"/>
        <v>02</v>
      </c>
      <c r="D251" t="str">
        <f t="shared" si="33"/>
        <v>01</v>
      </c>
      <c r="E251">
        <v>12</v>
      </c>
      <c r="F251" s="6">
        <v>45356.596620370401</v>
      </c>
      <c r="G251">
        <v>6153.24</v>
      </c>
      <c r="H251" s="4"/>
      <c r="I251" s="4"/>
      <c r="J251" s="5"/>
    </row>
    <row r="252" spans="1:10" x14ac:dyDescent="0.25">
      <c r="A252" s="2" t="s">
        <v>333</v>
      </c>
      <c r="B252" t="str">
        <f t="shared" si="29"/>
        <v>AR24-005</v>
      </c>
      <c r="C252" t="str">
        <f t="shared" si="32"/>
        <v>03</v>
      </c>
      <c r="D252" t="str">
        <f t="shared" si="33"/>
        <v>01</v>
      </c>
      <c r="E252">
        <v>12</v>
      </c>
      <c r="F252" s="6">
        <v>45356.596840277802</v>
      </c>
      <c r="G252">
        <v>5439.2550000000001</v>
      </c>
      <c r="H252" s="4"/>
      <c r="I252" s="4"/>
      <c r="J252" s="5"/>
    </row>
    <row r="253" spans="1:10" x14ac:dyDescent="0.25">
      <c r="A253" s="2" t="s">
        <v>334</v>
      </c>
      <c r="B253" t="str">
        <f t="shared" si="29"/>
        <v>AR24-005</v>
      </c>
      <c r="C253" t="str">
        <f t="shared" si="32"/>
        <v>04</v>
      </c>
      <c r="D253" t="str">
        <f t="shared" si="33"/>
        <v>01</v>
      </c>
      <c r="E253">
        <v>12</v>
      </c>
      <c r="F253" s="6">
        <v>45356.597083333298</v>
      </c>
      <c r="G253">
        <v>7113.93</v>
      </c>
      <c r="H253" s="4"/>
      <c r="I253" s="4"/>
      <c r="J253" s="5"/>
    </row>
    <row r="254" spans="1:10" x14ac:dyDescent="0.25">
      <c r="A254" s="2" t="s">
        <v>335</v>
      </c>
      <c r="B254" t="str">
        <f t="shared" si="29"/>
        <v>AR24-005</v>
      </c>
      <c r="C254" t="str">
        <f t="shared" si="32"/>
        <v>05</v>
      </c>
      <c r="D254" t="str">
        <f t="shared" si="33"/>
        <v>01</v>
      </c>
      <c r="E254">
        <v>12</v>
      </c>
      <c r="F254" s="6">
        <v>45356.597326388903</v>
      </c>
      <c r="G254">
        <v>5989.05</v>
      </c>
      <c r="H254" s="4"/>
      <c r="I254" s="4"/>
      <c r="J254" s="5"/>
    </row>
    <row r="255" spans="1:10" x14ac:dyDescent="0.25">
      <c r="A255" s="2" t="s">
        <v>336</v>
      </c>
      <c r="B255" t="str">
        <f t="shared" si="29"/>
        <v>AR24-005</v>
      </c>
      <c r="C255" t="str">
        <f t="shared" si="32"/>
        <v>06</v>
      </c>
      <c r="D255" t="str">
        <f t="shared" si="33"/>
        <v>01</v>
      </c>
      <c r="E255">
        <v>12</v>
      </c>
      <c r="F255" s="6">
        <v>45356.597569444399</v>
      </c>
      <c r="G255">
        <v>6056.7449999999999</v>
      </c>
      <c r="H255" s="4"/>
      <c r="I255" s="4"/>
      <c r="J255" s="5"/>
    </row>
    <row r="256" spans="1:10" x14ac:dyDescent="0.25">
      <c r="A256" s="2" t="s">
        <v>337</v>
      </c>
      <c r="B256" t="str">
        <f t="shared" si="29"/>
        <v>AR24-005</v>
      </c>
      <c r="C256" t="str">
        <f t="shared" si="32"/>
        <v>07</v>
      </c>
      <c r="D256" t="str">
        <f t="shared" si="33"/>
        <v>01</v>
      </c>
      <c r="E256">
        <v>12</v>
      </c>
      <c r="F256" s="6">
        <v>45356.597824074102</v>
      </c>
      <c r="G256">
        <v>6573.6450000000004</v>
      </c>
      <c r="H256" s="4"/>
      <c r="I256" s="4"/>
      <c r="J256" s="5"/>
    </row>
    <row r="257" spans="1:10" x14ac:dyDescent="0.25">
      <c r="A257" s="2" t="s">
        <v>338</v>
      </c>
      <c r="B257" t="str">
        <f t="shared" si="29"/>
        <v>AR24-005</v>
      </c>
      <c r="C257" t="str">
        <f t="shared" si="32"/>
        <v>08</v>
      </c>
      <c r="D257" t="str">
        <f t="shared" si="33"/>
        <v>01</v>
      </c>
      <c r="E257">
        <v>12</v>
      </c>
      <c r="F257" s="6">
        <v>45356.598067129598</v>
      </c>
      <c r="G257">
        <v>5604.9750000000004</v>
      </c>
      <c r="H257" s="4"/>
      <c r="I257" s="4"/>
      <c r="J257" s="5"/>
    </row>
    <row r="258" spans="1:10" x14ac:dyDescent="0.25">
      <c r="A258" s="2" t="s">
        <v>339</v>
      </c>
      <c r="B258" t="str">
        <f t="shared" si="29"/>
        <v>AR24-005</v>
      </c>
      <c r="C258" t="str">
        <f t="shared" si="32"/>
        <v>09</v>
      </c>
      <c r="D258" t="str">
        <f t="shared" si="33"/>
        <v>01</v>
      </c>
      <c r="E258">
        <v>12</v>
      </c>
      <c r="F258" s="6">
        <v>45356.598310185203</v>
      </c>
      <c r="G258">
        <v>5804.3549999999996</v>
      </c>
      <c r="H258" s="4"/>
      <c r="I258" s="4"/>
      <c r="J258" s="5"/>
    </row>
    <row r="259" spans="1:10" x14ac:dyDescent="0.25">
      <c r="A259" s="2" t="s">
        <v>340</v>
      </c>
      <c r="B259" t="str">
        <f t="shared" si="29"/>
        <v>AR24-005</v>
      </c>
      <c r="C259" t="str">
        <f t="shared" si="32"/>
        <v>10</v>
      </c>
      <c r="D259" t="str">
        <f t="shared" si="33"/>
        <v>01</v>
      </c>
      <c r="E259">
        <v>12</v>
      </c>
      <c r="F259" s="6">
        <v>45356.6006597222</v>
      </c>
      <c r="G259">
        <v>6366.1949999999997</v>
      </c>
      <c r="H259" s="4"/>
      <c r="I259" s="4"/>
      <c r="J259" s="5"/>
    </row>
    <row r="260" spans="1:10" x14ac:dyDescent="0.25">
      <c r="A260" s="2" t="s">
        <v>341</v>
      </c>
      <c r="B260" t="str">
        <f t="shared" si="29"/>
        <v>AR24-005</v>
      </c>
      <c r="C260" t="str">
        <f t="shared" si="32"/>
        <v>11</v>
      </c>
      <c r="D260" t="str">
        <f t="shared" si="33"/>
        <v>01</v>
      </c>
      <c r="E260">
        <v>12</v>
      </c>
      <c r="F260" s="6">
        <v>45356.601782407401</v>
      </c>
      <c r="G260">
        <v>6578.1149999999998</v>
      </c>
      <c r="H260" s="4"/>
      <c r="I260" s="4"/>
      <c r="J260" s="5"/>
    </row>
    <row r="261" spans="1:10" x14ac:dyDescent="0.25">
      <c r="A261" s="2" t="s">
        <v>342</v>
      </c>
      <c r="B261" t="str">
        <f t="shared" si="29"/>
        <v>AR24-005</v>
      </c>
      <c r="C261" t="str">
        <f t="shared" si="32"/>
        <v>12</v>
      </c>
      <c r="D261" t="str">
        <f t="shared" si="33"/>
        <v>01</v>
      </c>
      <c r="E261">
        <v>12</v>
      </c>
      <c r="F261" s="6">
        <v>45356.602129629602</v>
      </c>
      <c r="G261">
        <v>6067.92</v>
      </c>
      <c r="H261" s="4"/>
      <c r="I261" s="4"/>
      <c r="J261" s="5"/>
    </row>
    <row r="262" spans="1:10" x14ac:dyDescent="0.25">
      <c r="A262" s="2" t="s">
        <v>343</v>
      </c>
      <c r="B262" t="str">
        <f t="shared" si="29"/>
        <v>AR24-005</v>
      </c>
      <c r="C262" t="str">
        <f t="shared" si="32"/>
        <v>13</v>
      </c>
      <c r="D262" t="str">
        <f t="shared" si="33"/>
        <v>01</v>
      </c>
      <c r="E262">
        <v>12</v>
      </c>
      <c r="F262" s="6">
        <v>45356.602847222202</v>
      </c>
      <c r="G262">
        <v>5831.76</v>
      </c>
      <c r="H262" s="4"/>
      <c r="I262" s="4"/>
      <c r="J262" s="5"/>
    </row>
    <row r="263" spans="1:10" x14ac:dyDescent="0.25">
      <c r="A263" s="2" t="s">
        <v>344</v>
      </c>
      <c r="B263" t="str">
        <f t="shared" si="29"/>
        <v>AR24-005</v>
      </c>
      <c r="C263" t="str">
        <f t="shared" si="32"/>
        <v>14</v>
      </c>
      <c r="D263" t="str">
        <f t="shared" si="33"/>
        <v>01</v>
      </c>
      <c r="E263">
        <v>12</v>
      </c>
      <c r="F263" s="6">
        <v>45356.603344907402</v>
      </c>
      <c r="G263">
        <v>6554.5649999999996</v>
      </c>
      <c r="H263" s="4"/>
      <c r="I263" s="4"/>
      <c r="J263" s="5"/>
    </row>
    <row r="264" spans="1:10" x14ac:dyDescent="0.25">
      <c r="A264" s="2" t="s">
        <v>345</v>
      </c>
      <c r="B264" t="str">
        <f t="shared" si="29"/>
        <v>AR24-005</v>
      </c>
      <c r="C264" t="str">
        <f t="shared" si="32"/>
        <v>15</v>
      </c>
      <c r="D264" t="str">
        <f t="shared" si="33"/>
        <v>01</v>
      </c>
      <c r="E264">
        <v>12</v>
      </c>
      <c r="F264" s="6">
        <v>45356.603599536997</v>
      </c>
      <c r="G264">
        <v>5775.24</v>
      </c>
      <c r="H264" s="4"/>
      <c r="I264" s="4"/>
      <c r="J264" s="5"/>
    </row>
    <row r="265" spans="1:10" x14ac:dyDescent="0.25">
      <c r="A265" s="2" t="s">
        <v>346</v>
      </c>
      <c r="B265" t="str">
        <f t="shared" si="29"/>
        <v>AR24-005</v>
      </c>
      <c r="C265" t="str">
        <f t="shared" si="32"/>
        <v>16</v>
      </c>
      <c r="D265" t="str">
        <f t="shared" si="33"/>
        <v>01</v>
      </c>
      <c r="E265">
        <v>12</v>
      </c>
      <c r="F265" s="6">
        <v>45356.603842592602</v>
      </c>
      <c r="G265">
        <v>5679.03</v>
      </c>
      <c r="H265" s="4"/>
      <c r="I265" s="4"/>
      <c r="J265" s="5"/>
    </row>
    <row r="266" spans="1:10" x14ac:dyDescent="0.25">
      <c r="A266" s="2" t="s">
        <v>347</v>
      </c>
      <c r="B266" t="str">
        <f t="shared" si="29"/>
        <v>AR24-005</v>
      </c>
      <c r="C266" t="str">
        <f t="shared" si="32"/>
        <v>17</v>
      </c>
      <c r="D266" t="str">
        <f t="shared" si="33"/>
        <v>01</v>
      </c>
      <c r="E266">
        <v>12</v>
      </c>
      <c r="F266" s="6">
        <v>45356.604328703703</v>
      </c>
      <c r="G266">
        <v>5975.7749999999996</v>
      </c>
      <c r="H266" s="4"/>
      <c r="I266" s="4"/>
      <c r="J266" s="5"/>
    </row>
    <row r="267" spans="1:10" x14ac:dyDescent="0.25">
      <c r="A267" s="2" t="s">
        <v>348</v>
      </c>
      <c r="B267" t="str">
        <f t="shared" si="29"/>
        <v>AR24-005</v>
      </c>
      <c r="C267" t="str">
        <f t="shared" si="32"/>
        <v>18</v>
      </c>
      <c r="D267" t="str">
        <f t="shared" si="33"/>
        <v>01</v>
      </c>
      <c r="E267">
        <v>12</v>
      </c>
      <c r="F267" s="6">
        <v>45356.606527777803</v>
      </c>
      <c r="G267">
        <v>5841.4049999999997</v>
      </c>
      <c r="H267" s="4"/>
      <c r="I267" s="4"/>
      <c r="J267" s="5"/>
    </row>
    <row r="268" spans="1:10" x14ac:dyDescent="0.25">
      <c r="A268" s="2" t="s">
        <v>349</v>
      </c>
      <c r="B268" t="str">
        <f t="shared" si="29"/>
        <v>AR24-005</v>
      </c>
      <c r="C268" t="str">
        <f t="shared" si="32"/>
        <v>19</v>
      </c>
      <c r="D268" t="str">
        <f t="shared" si="33"/>
        <v>01</v>
      </c>
      <c r="E268">
        <v>12</v>
      </c>
      <c r="F268" s="6">
        <v>45356.606909722199</v>
      </c>
      <c r="G268">
        <v>6066.15</v>
      </c>
      <c r="H268" s="4"/>
      <c r="I268" s="4"/>
      <c r="J268" s="5"/>
    </row>
    <row r="269" spans="1:10" x14ac:dyDescent="0.25">
      <c r="A269" s="2" t="s">
        <v>350</v>
      </c>
      <c r="B269" t="str">
        <f t="shared" si="29"/>
        <v>AR24-005</v>
      </c>
      <c r="C269" t="str">
        <f t="shared" si="32"/>
        <v>20</v>
      </c>
      <c r="D269" t="str">
        <f t="shared" si="33"/>
        <v>01</v>
      </c>
      <c r="E269">
        <v>12</v>
      </c>
      <c r="F269" s="6">
        <v>45356.607164351903</v>
      </c>
      <c r="G269">
        <v>5475.4049999999997</v>
      </c>
      <c r="H269" s="4"/>
      <c r="I269" s="4"/>
      <c r="J269" s="5"/>
    </row>
    <row r="270" spans="1:10" x14ac:dyDescent="0.25">
      <c r="A270" s="2" t="s">
        <v>351</v>
      </c>
      <c r="B270" t="str">
        <f t="shared" si="29"/>
        <v>AR24-005</v>
      </c>
      <c r="C270" t="str">
        <f t="shared" si="32"/>
        <v>21</v>
      </c>
      <c r="D270" t="str">
        <f t="shared" si="33"/>
        <v>01</v>
      </c>
      <c r="E270">
        <v>12</v>
      </c>
      <c r="F270" s="6">
        <v>45356.607650462996</v>
      </c>
      <c r="G270">
        <v>5705.1149999999998</v>
      </c>
      <c r="H270" s="4"/>
      <c r="I270" s="4"/>
      <c r="J270" s="5"/>
    </row>
    <row r="271" spans="1:10" x14ac:dyDescent="0.25">
      <c r="A271" s="2" t="s">
        <v>352</v>
      </c>
      <c r="B271" t="str">
        <f t="shared" si="29"/>
        <v>AR24-005</v>
      </c>
      <c r="C271" t="str">
        <f t="shared" si="32"/>
        <v>22</v>
      </c>
      <c r="D271" t="str">
        <f t="shared" si="33"/>
        <v>01</v>
      </c>
      <c r="E271">
        <v>12</v>
      </c>
      <c r="F271" s="6">
        <v>45356.608020833301</v>
      </c>
      <c r="G271">
        <v>6224.7150000000001</v>
      </c>
      <c r="H271" s="119">
        <f>AVERAGE(G271:G273)</f>
        <v>6154.8349999999991</v>
      </c>
      <c r="I271" s="119">
        <f>100*J271/H271</f>
        <v>0.98336587554801524</v>
      </c>
      <c r="J271" s="120">
        <f>STDEV(G271:G273)</f>
        <v>60.524547086285672</v>
      </c>
    </row>
    <row r="272" spans="1:10" x14ac:dyDescent="0.25">
      <c r="A272" s="2" t="s">
        <v>353</v>
      </c>
      <c r="B272" t="str">
        <f t="shared" si="29"/>
        <v>AR24-005</v>
      </c>
      <c r="C272" t="str">
        <f t="shared" si="32"/>
        <v>22</v>
      </c>
      <c r="D272" t="str">
        <f t="shared" si="33"/>
        <v>02</v>
      </c>
      <c r="E272">
        <v>12</v>
      </c>
      <c r="F272" s="6">
        <v>45356.610601851899</v>
      </c>
      <c r="G272">
        <v>6118.9949999999999</v>
      </c>
      <c r="H272" s="119"/>
      <c r="I272" s="119"/>
      <c r="J272" s="120"/>
    </row>
    <row r="273" spans="1:12" x14ac:dyDescent="0.25">
      <c r="A273" s="2" t="s">
        <v>354</v>
      </c>
      <c r="B273" t="str">
        <f t="shared" si="29"/>
        <v>AR24-005</v>
      </c>
      <c r="C273" t="str">
        <f t="shared" si="32"/>
        <v>22</v>
      </c>
      <c r="D273" t="str">
        <f t="shared" si="33"/>
        <v>03</v>
      </c>
      <c r="E273">
        <v>12</v>
      </c>
      <c r="F273" s="6">
        <v>45356.610960648199</v>
      </c>
      <c r="G273">
        <v>6120.7950000000001</v>
      </c>
      <c r="H273" s="119"/>
      <c r="I273" s="119"/>
      <c r="J273" s="120"/>
    </row>
    <row r="274" spans="1:12" x14ac:dyDescent="0.25">
      <c r="A274" s="2" t="s">
        <v>355</v>
      </c>
      <c r="B274" t="str">
        <f t="shared" si="29"/>
        <v>AR24-005</v>
      </c>
      <c r="C274" t="str">
        <f t="shared" si="32"/>
        <v>23</v>
      </c>
      <c r="D274" t="str">
        <f t="shared" si="33"/>
        <v>01</v>
      </c>
      <c r="E274">
        <v>12</v>
      </c>
      <c r="F274" s="6">
        <v>45356.609363425901</v>
      </c>
      <c r="G274">
        <v>6441.27</v>
      </c>
      <c r="H274" s="119">
        <f>AVERAGE(G274:G276)</f>
        <v>6407.1349999999993</v>
      </c>
      <c r="I274" s="119">
        <f>100*J274/H274</f>
        <v>1.4311160403727456</v>
      </c>
      <c r="J274" s="120">
        <f>STDEV(G274:G276)</f>
        <v>91.693536713336314</v>
      </c>
    </row>
    <row r="275" spans="1:12" x14ac:dyDescent="0.25">
      <c r="A275" s="2" t="s">
        <v>356</v>
      </c>
      <c r="B275" t="str">
        <f t="shared" si="29"/>
        <v>AR24-005</v>
      </c>
      <c r="C275" t="str">
        <f t="shared" si="32"/>
        <v>23</v>
      </c>
      <c r="D275" t="str">
        <f t="shared" si="33"/>
        <v>02</v>
      </c>
      <c r="E275">
        <v>12</v>
      </c>
      <c r="F275" s="6">
        <v>45356.612511574102</v>
      </c>
      <c r="G275">
        <v>6476.8649999999998</v>
      </c>
      <c r="H275" s="119"/>
      <c r="I275" s="119"/>
      <c r="J275" s="120"/>
      <c r="K275">
        <f>AVERAGE(I271:I279)</f>
        <v>0.87744206146377202</v>
      </c>
      <c r="L275">
        <f>AVERAGE(J271:J279)</f>
        <v>55.120343842782411</v>
      </c>
    </row>
    <row r="276" spans="1:12" x14ac:dyDescent="0.25">
      <c r="A276" s="2" t="s">
        <v>357</v>
      </c>
      <c r="B276" t="str">
        <f t="shared" si="29"/>
        <v>AR24-005</v>
      </c>
      <c r="C276" t="str">
        <f t="shared" si="32"/>
        <v>23</v>
      </c>
      <c r="D276" t="str">
        <f t="shared" si="33"/>
        <v>03</v>
      </c>
      <c r="E276">
        <v>12</v>
      </c>
      <c r="F276" s="6">
        <v>45356.613171296303</v>
      </c>
      <c r="G276">
        <v>6303.27</v>
      </c>
      <c r="H276" s="119"/>
      <c r="I276" s="119"/>
      <c r="J276" s="120"/>
    </row>
    <row r="277" spans="1:12" x14ac:dyDescent="0.25">
      <c r="A277" s="2" t="s">
        <v>358</v>
      </c>
      <c r="B277" t="str">
        <f t="shared" si="29"/>
        <v>AR24-005</v>
      </c>
      <c r="C277" t="str">
        <f t="shared" si="32"/>
        <v>24</v>
      </c>
      <c r="D277" t="str">
        <f t="shared" si="33"/>
        <v>01</v>
      </c>
      <c r="E277">
        <v>12</v>
      </c>
      <c r="F277" s="6">
        <v>45356.610219907401</v>
      </c>
      <c r="G277">
        <v>6046.62</v>
      </c>
      <c r="H277" s="119">
        <f>AVERAGE(G277:G279)</f>
        <v>6033.1850000000004</v>
      </c>
      <c r="I277" s="119">
        <f>100*J277/H277</f>
        <v>0.21784426847055491</v>
      </c>
      <c r="J277" s="120">
        <f>STDEV(G277:G279)</f>
        <v>13.142947728725249</v>
      </c>
    </row>
    <row r="278" spans="1:12" x14ac:dyDescent="0.25">
      <c r="A278" s="2" t="s">
        <v>359</v>
      </c>
      <c r="B278" t="str">
        <f t="shared" si="29"/>
        <v>AR24-005</v>
      </c>
      <c r="C278" t="str">
        <f t="shared" si="32"/>
        <v>24</v>
      </c>
      <c r="D278" t="str">
        <f t="shared" si="33"/>
        <v>02</v>
      </c>
      <c r="E278">
        <v>12</v>
      </c>
      <c r="F278" s="6">
        <v>45356.613912036999</v>
      </c>
      <c r="G278">
        <v>6020.3549999999996</v>
      </c>
      <c r="H278" s="119"/>
      <c r="I278" s="119"/>
      <c r="J278" s="120"/>
    </row>
    <row r="279" spans="1:12" ht="15.75" thickBot="1" x14ac:dyDescent="0.3">
      <c r="A279" s="12" t="s">
        <v>360</v>
      </c>
      <c r="B279" s="13" t="str">
        <f t="shared" si="29"/>
        <v>AR24-005</v>
      </c>
      <c r="C279" s="13" t="str">
        <f t="shared" si="32"/>
        <v>24</v>
      </c>
      <c r="D279" s="13" t="str">
        <f t="shared" si="33"/>
        <v>03</v>
      </c>
      <c r="E279" s="13">
        <v>12</v>
      </c>
      <c r="F279" s="41">
        <v>45356.614282407398</v>
      </c>
      <c r="G279" s="13">
        <v>6032.58</v>
      </c>
      <c r="H279" s="126"/>
      <c r="I279" s="126"/>
      <c r="J279" s="125"/>
    </row>
  </sheetData>
  <mergeCells count="81">
    <mergeCell ref="J271:J273"/>
    <mergeCell ref="J274:J276"/>
    <mergeCell ref="J277:J279"/>
    <mergeCell ref="H277:H279"/>
    <mergeCell ref="H274:H276"/>
    <mergeCell ref="H271:H273"/>
    <mergeCell ref="I271:I273"/>
    <mergeCell ref="I274:I276"/>
    <mergeCell ref="I277:I279"/>
    <mergeCell ref="H140:H142"/>
    <mergeCell ref="I140:I142"/>
    <mergeCell ref="J140:J142"/>
    <mergeCell ref="H134:H136"/>
    <mergeCell ref="I134:I136"/>
    <mergeCell ref="J134:J136"/>
    <mergeCell ref="H137:H139"/>
    <mergeCell ref="I137:I139"/>
    <mergeCell ref="J137:J139"/>
    <mergeCell ref="H68:H70"/>
    <mergeCell ref="J68:J70"/>
    <mergeCell ref="H71:H73"/>
    <mergeCell ref="J71:J73"/>
    <mergeCell ref="H74:H76"/>
    <mergeCell ref="J74:J76"/>
    <mergeCell ref="I68:I70"/>
    <mergeCell ref="I71:I73"/>
    <mergeCell ref="I74:I76"/>
    <mergeCell ref="H2:H4"/>
    <mergeCell ref="H5:H7"/>
    <mergeCell ref="H8:H10"/>
    <mergeCell ref="J2:J4"/>
    <mergeCell ref="J5:J7"/>
    <mergeCell ref="J8:J10"/>
    <mergeCell ref="I2:I4"/>
    <mergeCell ref="I5:I7"/>
    <mergeCell ref="I8:I10"/>
    <mergeCell ref="H35:H37"/>
    <mergeCell ref="J35:J37"/>
    <mergeCell ref="H38:H40"/>
    <mergeCell ref="J38:J40"/>
    <mergeCell ref="H41:H43"/>
    <mergeCell ref="J41:J43"/>
    <mergeCell ref="I35:I37"/>
    <mergeCell ref="I38:I40"/>
    <mergeCell ref="I41:I43"/>
    <mergeCell ref="H101:H103"/>
    <mergeCell ref="J101:J103"/>
    <mergeCell ref="H104:H106"/>
    <mergeCell ref="J104:J106"/>
    <mergeCell ref="H107:H109"/>
    <mergeCell ref="J107:J109"/>
    <mergeCell ref="I101:I103"/>
    <mergeCell ref="I104:I106"/>
    <mergeCell ref="I107:I109"/>
    <mergeCell ref="J167:J169"/>
    <mergeCell ref="J170:J172"/>
    <mergeCell ref="J173:J175"/>
    <mergeCell ref="H167:H169"/>
    <mergeCell ref="I167:I169"/>
    <mergeCell ref="H170:H172"/>
    <mergeCell ref="I170:I172"/>
    <mergeCell ref="H173:H175"/>
    <mergeCell ref="I173:I175"/>
    <mergeCell ref="J208:J210"/>
    <mergeCell ref="J211:J213"/>
    <mergeCell ref="J214:J216"/>
    <mergeCell ref="H208:H210"/>
    <mergeCell ref="I208:I210"/>
    <mergeCell ref="H211:H213"/>
    <mergeCell ref="I211:I213"/>
    <mergeCell ref="H214:H216"/>
    <mergeCell ref="I214:I216"/>
    <mergeCell ref="H226:H228"/>
    <mergeCell ref="I226:I228"/>
    <mergeCell ref="J226:J228"/>
    <mergeCell ref="H220:H222"/>
    <mergeCell ref="I220:I222"/>
    <mergeCell ref="J220:J222"/>
    <mergeCell ref="H223:H225"/>
    <mergeCell ref="I223:I225"/>
    <mergeCell ref="J223:J2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CB10-6E21-496F-B68F-99654CA66D4E}">
  <dimension ref="A1:K297"/>
  <sheetViews>
    <sheetView workbookViewId="0">
      <selection activeCell="K2" sqref="K2:K297"/>
    </sheetView>
  </sheetViews>
  <sheetFormatPr defaultColWidth="8.85546875" defaultRowHeight="15" x14ac:dyDescent="0.25"/>
  <cols>
    <col min="1" max="1" width="12.5703125" bestFit="1" customWidth="1"/>
    <col min="2" max="2" width="10" bestFit="1" customWidth="1"/>
    <col min="3" max="3" width="5" bestFit="1" customWidth="1"/>
    <col min="4" max="4" width="4" bestFit="1" customWidth="1"/>
    <col min="5" max="5" width="5.85546875" bestFit="1" customWidth="1"/>
    <col min="6" max="6" width="6.42578125" bestFit="1" customWidth="1"/>
    <col min="7" max="7" width="4.28515625" bestFit="1" customWidth="1"/>
    <col min="8" max="8" width="12" bestFit="1" customWidth="1"/>
    <col min="9" max="9" width="8.5703125" bestFit="1" customWidth="1"/>
    <col min="10" max="10" width="12.7109375" bestFit="1" customWidth="1"/>
  </cols>
  <sheetData>
    <row r="1" spans="1:11" ht="45" x14ac:dyDescent="0.25">
      <c r="A1" s="63" t="s">
        <v>5</v>
      </c>
      <c r="B1" s="63" t="s">
        <v>6</v>
      </c>
      <c r="C1" s="63" t="s">
        <v>7</v>
      </c>
      <c r="D1" s="63" t="s">
        <v>8</v>
      </c>
      <c r="E1" s="63" t="s">
        <v>9</v>
      </c>
      <c r="F1" s="63" t="s">
        <v>361</v>
      </c>
      <c r="G1" s="63" t="s">
        <v>10</v>
      </c>
      <c r="H1" s="63" t="s">
        <v>362</v>
      </c>
      <c r="I1" s="63" t="s">
        <v>363</v>
      </c>
      <c r="J1" s="63" t="s">
        <v>364</v>
      </c>
      <c r="K1" s="63" t="s">
        <v>365</v>
      </c>
    </row>
    <row r="2" spans="1:11" x14ac:dyDescent="0.25">
      <c r="A2" t="s">
        <v>45</v>
      </c>
      <c r="B2" t="s">
        <v>46</v>
      </c>
      <c r="C2">
        <v>18</v>
      </c>
      <c r="D2">
        <v>7.1</v>
      </c>
      <c r="E2" s="61">
        <v>32.999999999999993</v>
      </c>
      <c r="F2" s="61" t="str">
        <f t="shared" ref="F2:F33" si="0">_xlfn.CONCAT(E2,", ",D2)</f>
        <v>33, 7.1</v>
      </c>
      <c r="G2">
        <v>0</v>
      </c>
      <c r="I2">
        <v>146.51</v>
      </c>
      <c r="K2" t="str">
        <f>IF(ISBLANK(J2),"",ABS(J2))</f>
        <v/>
      </c>
    </row>
    <row r="3" spans="1:11" x14ac:dyDescent="0.25">
      <c r="A3" t="s">
        <v>47</v>
      </c>
      <c r="B3" t="s">
        <v>46</v>
      </c>
      <c r="C3">
        <v>12</v>
      </c>
      <c r="D3">
        <v>7.3</v>
      </c>
      <c r="E3">
        <v>35</v>
      </c>
      <c r="F3" s="61" t="str">
        <f t="shared" si="0"/>
        <v>35, 7.3</v>
      </c>
      <c r="G3">
        <v>0</v>
      </c>
      <c r="I3">
        <v>146.51</v>
      </c>
      <c r="K3" t="str">
        <f t="shared" ref="K3:K66" si="1">IF(ISBLANK(J3),"",ABS(J3))</f>
        <v/>
      </c>
    </row>
    <row r="4" spans="1:11" x14ac:dyDescent="0.25">
      <c r="A4" t="s">
        <v>48</v>
      </c>
      <c r="B4" t="s">
        <v>49</v>
      </c>
      <c r="C4">
        <v>12</v>
      </c>
      <c r="D4">
        <v>7.2</v>
      </c>
      <c r="E4">
        <v>34</v>
      </c>
      <c r="F4" s="61" t="str">
        <f t="shared" si="0"/>
        <v>34, 7.2</v>
      </c>
      <c r="G4">
        <v>0</v>
      </c>
      <c r="I4">
        <v>146.51</v>
      </c>
      <c r="K4" t="str">
        <f t="shared" si="1"/>
        <v/>
      </c>
    </row>
    <row r="5" spans="1:11" x14ac:dyDescent="0.25">
      <c r="A5" t="s">
        <v>50</v>
      </c>
      <c r="B5" t="s">
        <v>51</v>
      </c>
      <c r="C5">
        <v>18</v>
      </c>
      <c r="D5">
        <v>7.3</v>
      </c>
      <c r="E5">
        <v>35</v>
      </c>
      <c r="F5" s="61" t="str">
        <f t="shared" si="0"/>
        <v>35, 7.3</v>
      </c>
      <c r="G5">
        <v>0</v>
      </c>
      <c r="I5">
        <v>146.51</v>
      </c>
      <c r="K5" t="str">
        <f t="shared" si="1"/>
        <v/>
      </c>
    </row>
    <row r="6" spans="1:11" x14ac:dyDescent="0.25">
      <c r="A6" t="s">
        <v>52</v>
      </c>
      <c r="B6" t="s">
        <v>49</v>
      </c>
      <c r="C6">
        <v>18</v>
      </c>
      <c r="D6">
        <v>7.3</v>
      </c>
      <c r="E6">
        <v>35</v>
      </c>
      <c r="F6" s="61" t="str">
        <f t="shared" si="0"/>
        <v>35, 7.3</v>
      </c>
      <c r="G6">
        <v>0</v>
      </c>
      <c r="I6">
        <v>146.51</v>
      </c>
      <c r="K6" t="str">
        <f t="shared" si="1"/>
        <v/>
      </c>
    </row>
    <row r="7" spans="1:11" x14ac:dyDescent="0.25">
      <c r="A7" t="s">
        <v>53</v>
      </c>
      <c r="B7" t="s">
        <v>49</v>
      </c>
      <c r="C7">
        <v>12</v>
      </c>
      <c r="D7">
        <v>7.3</v>
      </c>
      <c r="E7">
        <v>35</v>
      </c>
      <c r="F7" s="61" t="str">
        <f t="shared" si="0"/>
        <v>35, 7.3</v>
      </c>
      <c r="G7">
        <v>0</v>
      </c>
      <c r="I7">
        <v>146.51</v>
      </c>
      <c r="K7" t="str">
        <f t="shared" si="1"/>
        <v/>
      </c>
    </row>
    <row r="8" spans="1:11" x14ac:dyDescent="0.25">
      <c r="A8" t="s">
        <v>54</v>
      </c>
      <c r="B8" t="s">
        <v>46</v>
      </c>
      <c r="C8">
        <v>18</v>
      </c>
      <c r="D8">
        <v>7.3</v>
      </c>
      <c r="E8">
        <v>35</v>
      </c>
      <c r="F8" s="61" t="str">
        <f t="shared" si="0"/>
        <v>35, 7.3</v>
      </c>
      <c r="G8">
        <v>0</v>
      </c>
      <c r="I8">
        <v>146.51</v>
      </c>
      <c r="K8" t="str">
        <f t="shared" si="1"/>
        <v/>
      </c>
    </row>
    <row r="9" spans="1:11" x14ac:dyDescent="0.25">
      <c r="A9" t="s">
        <v>55</v>
      </c>
      <c r="B9" t="s">
        <v>51</v>
      </c>
      <c r="C9">
        <v>15</v>
      </c>
      <c r="D9">
        <v>7.2</v>
      </c>
      <c r="E9">
        <v>34</v>
      </c>
      <c r="F9" s="61" t="str">
        <f t="shared" si="0"/>
        <v>34, 7.2</v>
      </c>
      <c r="G9">
        <v>0</v>
      </c>
      <c r="I9">
        <v>146.51</v>
      </c>
      <c r="K9" t="str">
        <f t="shared" si="1"/>
        <v/>
      </c>
    </row>
    <row r="10" spans="1:11" x14ac:dyDescent="0.25">
      <c r="A10" t="s">
        <v>56</v>
      </c>
      <c r="B10" t="s">
        <v>49</v>
      </c>
      <c r="C10">
        <v>18</v>
      </c>
      <c r="D10">
        <v>7.1</v>
      </c>
      <c r="E10">
        <v>32.999999999999993</v>
      </c>
      <c r="F10" s="61" t="str">
        <f t="shared" si="0"/>
        <v>33, 7.1</v>
      </c>
      <c r="G10">
        <v>0</v>
      </c>
      <c r="I10">
        <v>146.51</v>
      </c>
      <c r="K10" t="str">
        <f t="shared" si="1"/>
        <v/>
      </c>
    </row>
    <row r="11" spans="1:11" x14ac:dyDescent="0.25">
      <c r="A11" t="s">
        <v>57</v>
      </c>
      <c r="B11" t="s">
        <v>46</v>
      </c>
      <c r="C11">
        <v>18</v>
      </c>
      <c r="D11">
        <v>7.2</v>
      </c>
      <c r="E11">
        <v>34</v>
      </c>
      <c r="F11" s="61" t="str">
        <f t="shared" si="0"/>
        <v>34, 7.2</v>
      </c>
      <c r="G11">
        <v>0</v>
      </c>
      <c r="I11">
        <v>146.51</v>
      </c>
      <c r="K11" t="str">
        <f t="shared" si="1"/>
        <v/>
      </c>
    </row>
    <row r="12" spans="1:11" x14ac:dyDescent="0.25">
      <c r="A12" t="s">
        <v>58</v>
      </c>
      <c r="B12" t="s">
        <v>51</v>
      </c>
      <c r="C12">
        <v>18</v>
      </c>
      <c r="D12">
        <v>7.1</v>
      </c>
      <c r="E12" s="61">
        <v>32.999999999999993</v>
      </c>
      <c r="F12" s="61" t="str">
        <f t="shared" si="0"/>
        <v>33, 7.1</v>
      </c>
      <c r="G12">
        <v>0</v>
      </c>
      <c r="I12">
        <v>146.51</v>
      </c>
      <c r="K12" t="str">
        <f t="shared" si="1"/>
        <v/>
      </c>
    </row>
    <row r="13" spans="1:11" x14ac:dyDescent="0.25">
      <c r="A13" t="s">
        <v>59</v>
      </c>
      <c r="B13" t="s">
        <v>46</v>
      </c>
      <c r="C13">
        <v>15</v>
      </c>
      <c r="D13">
        <v>7.1</v>
      </c>
      <c r="E13">
        <v>32.999999999999993</v>
      </c>
      <c r="F13" s="61" t="str">
        <f t="shared" si="0"/>
        <v>33, 7.1</v>
      </c>
      <c r="G13">
        <v>0</v>
      </c>
      <c r="I13">
        <v>146.51</v>
      </c>
      <c r="K13" t="str">
        <f t="shared" si="1"/>
        <v/>
      </c>
    </row>
    <row r="14" spans="1:11" x14ac:dyDescent="0.25">
      <c r="A14" t="s">
        <v>60</v>
      </c>
      <c r="B14" t="s">
        <v>49</v>
      </c>
      <c r="C14">
        <v>15</v>
      </c>
      <c r="D14">
        <v>7.1</v>
      </c>
      <c r="E14">
        <v>32.999999999999993</v>
      </c>
      <c r="F14" s="61" t="str">
        <f t="shared" si="0"/>
        <v>33, 7.1</v>
      </c>
      <c r="G14">
        <v>0</v>
      </c>
      <c r="I14">
        <v>146.51</v>
      </c>
      <c r="K14" t="str">
        <f t="shared" si="1"/>
        <v/>
      </c>
    </row>
    <row r="15" spans="1:11" x14ac:dyDescent="0.25">
      <c r="A15" t="s">
        <v>61</v>
      </c>
      <c r="B15" t="s">
        <v>46</v>
      </c>
      <c r="C15">
        <v>15</v>
      </c>
      <c r="D15">
        <v>7.3</v>
      </c>
      <c r="E15">
        <v>35</v>
      </c>
      <c r="F15" s="61" t="str">
        <f t="shared" si="0"/>
        <v>35, 7.3</v>
      </c>
      <c r="G15">
        <v>0</v>
      </c>
      <c r="I15">
        <v>146.51</v>
      </c>
      <c r="K15" t="str">
        <f t="shared" si="1"/>
        <v/>
      </c>
    </row>
    <row r="16" spans="1:11" x14ac:dyDescent="0.25">
      <c r="A16" t="s">
        <v>62</v>
      </c>
      <c r="B16" t="s">
        <v>49</v>
      </c>
      <c r="C16">
        <v>18</v>
      </c>
      <c r="D16">
        <v>7.2</v>
      </c>
      <c r="E16">
        <v>34</v>
      </c>
      <c r="F16" s="61" t="str">
        <f t="shared" si="0"/>
        <v>34, 7.2</v>
      </c>
      <c r="G16">
        <v>0</v>
      </c>
      <c r="I16">
        <v>146.51</v>
      </c>
      <c r="K16" t="str">
        <f t="shared" si="1"/>
        <v/>
      </c>
    </row>
    <row r="17" spans="1:11" x14ac:dyDescent="0.25">
      <c r="A17" t="s">
        <v>63</v>
      </c>
      <c r="B17" t="s">
        <v>51</v>
      </c>
      <c r="C17">
        <v>12</v>
      </c>
      <c r="D17">
        <v>7.1</v>
      </c>
      <c r="E17">
        <v>32.999999999999993</v>
      </c>
      <c r="F17" s="61" t="str">
        <f t="shared" si="0"/>
        <v>33, 7.1</v>
      </c>
      <c r="G17">
        <v>0</v>
      </c>
      <c r="I17">
        <v>146.51</v>
      </c>
      <c r="K17" t="str">
        <f t="shared" si="1"/>
        <v/>
      </c>
    </row>
    <row r="18" spans="1:11" x14ac:dyDescent="0.25">
      <c r="A18" t="s">
        <v>64</v>
      </c>
      <c r="B18" t="s">
        <v>46</v>
      </c>
      <c r="C18">
        <v>12</v>
      </c>
      <c r="D18">
        <v>7.1</v>
      </c>
      <c r="E18">
        <v>32.999999999999993</v>
      </c>
      <c r="F18" s="61" t="str">
        <f t="shared" si="0"/>
        <v>33, 7.1</v>
      </c>
      <c r="G18">
        <v>0</v>
      </c>
      <c r="I18">
        <v>146.51</v>
      </c>
      <c r="K18" t="str">
        <f t="shared" si="1"/>
        <v/>
      </c>
    </row>
    <row r="19" spans="1:11" x14ac:dyDescent="0.25">
      <c r="A19" t="s">
        <v>65</v>
      </c>
      <c r="B19" t="s">
        <v>49</v>
      </c>
      <c r="C19">
        <v>15</v>
      </c>
      <c r="D19">
        <v>7.3</v>
      </c>
      <c r="E19">
        <v>35</v>
      </c>
      <c r="F19" s="61" t="str">
        <f t="shared" si="0"/>
        <v>35, 7.3</v>
      </c>
      <c r="G19">
        <v>0</v>
      </c>
      <c r="I19">
        <v>146.51</v>
      </c>
      <c r="K19" t="str">
        <f t="shared" si="1"/>
        <v/>
      </c>
    </row>
    <row r="20" spans="1:11" x14ac:dyDescent="0.25">
      <c r="A20" t="s">
        <v>66</v>
      </c>
      <c r="B20" t="s">
        <v>46</v>
      </c>
      <c r="C20">
        <v>12</v>
      </c>
      <c r="D20">
        <v>7.2</v>
      </c>
      <c r="E20">
        <v>34</v>
      </c>
      <c r="F20" s="61" t="str">
        <f t="shared" si="0"/>
        <v>34, 7.2</v>
      </c>
      <c r="G20">
        <v>0</v>
      </c>
      <c r="I20">
        <v>146.51</v>
      </c>
      <c r="K20" t="str">
        <f t="shared" si="1"/>
        <v/>
      </c>
    </row>
    <row r="21" spans="1:11" x14ac:dyDescent="0.25">
      <c r="A21" t="s">
        <v>67</v>
      </c>
      <c r="B21" t="s">
        <v>49</v>
      </c>
      <c r="C21">
        <v>12</v>
      </c>
      <c r="D21">
        <v>7.1</v>
      </c>
      <c r="E21">
        <v>32.999999999999993</v>
      </c>
      <c r="F21" s="61" t="str">
        <f t="shared" si="0"/>
        <v>33, 7.1</v>
      </c>
      <c r="G21">
        <v>0</v>
      </c>
      <c r="I21">
        <v>146.51</v>
      </c>
      <c r="K21" t="str">
        <f t="shared" si="1"/>
        <v/>
      </c>
    </row>
    <row r="22" spans="1:11" x14ac:dyDescent="0.25">
      <c r="A22" t="s">
        <v>68</v>
      </c>
      <c r="B22" t="s">
        <v>51</v>
      </c>
      <c r="C22">
        <v>12</v>
      </c>
      <c r="D22">
        <v>7.3</v>
      </c>
      <c r="E22">
        <v>35</v>
      </c>
      <c r="F22" s="61" t="str">
        <f t="shared" si="0"/>
        <v>35, 7.3</v>
      </c>
      <c r="G22">
        <v>0</v>
      </c>
      <c r="I22">
        <v>146.51</v>
      </c>
      <c r="K22" t="str">
        <f t="shared" si="1"/>
        <v/>
      </c>
    </row>
    <row r="23" spans="1:11" x14ac:dyDescent="0.25">
      <c r="A23" t="s">
        <v>69</v>
      </c>
      <c r="B23" t="s">
        <v>51</v>
      </c>
      <c r="C23">
        <v>15</v>
      </c>
      <c r="D23">
        <v>7.2</v>
      </c>
      <c r="E23">
        <v>34</v>
      </c>
      <c r="F23" s="61" t="str">
        <f t="shared" si="0"/>
        <v>34, 7.2</v>
      </c>
      <c r="G23">
        <v>0</v>
      </c>
      <c r="I23">
        <v>146.51</v>
      </c>
      <c r="K23" t="str">
        <f t="shared" si="1"/>
        <v/>
      </c>
    </row>
    <row r="24" spans="1:11" x14ac:dyDescent="0.25">
      <c r="A24" t="s">
        <v>70</v>
      </c>
      <c r="B24" t="s">
        <v>51</v>
      </c>
      <c r="C24">
        <v>15</v>
      </c>
      <c r="D24">
        <v>7.2</v>
      </c>
      <c r="E24">
        <v>34</v>
      </c>
      <c r="F24" s="61" t="str">
        <f t="shared" si="0"/>
        <v>34, 7.2</v>
      </c>
      <c r="G24">
        <v>0</v>
      </c>
      <c r="I24">
        <v>146.51</v>
      </c>
      <c r="K24" t="str">
        <f t="shared" si="1"/>
        <v/>
      </c>
    </row>
    <row r="25" spans="1:11" x14ac:dyDescent="0.25">
      <c r="A25" t="s">
        <v>71</v>
      </c>
      <c r="B25" t="s">
        <v>51</v>
      </c>
      <c r="C25">
        <v>15</v>
      </c>
      <c r="D25">
        <v>7.2</v>
      </c>
      <c r="E25">
        <v>34</v>
      </c>
      <c r="F25" s="61" t="str">
        <f t="shared" si="0"/>
        <v>34, 7.2</v>
      </c>
      <c r="G25">
        <v>0</v>
      </c>
      <c r="I25">
        <v>146.51</v>
      </c>
      <c r="K25" t="str">
        <f t="shared" si="1"/>
        <v/>
      </c>
    </row>
    <row r="26" spans="1:11" x14ac:dyDescent="0.25">
      <c r="A26" t="s">
        <v>45</v>
      </c>
      <c r="B26" t="s">
        <v>46</v>
      </c>
      <c r="C26">
        <v>18</v>
      </c>
      <c r="D26">
        <v>7.1</v>
      </c>
      <c r="E26" s="61">
        <v>32.999999999999993</v>
      </c>
      <c r="F26" s="61" t="str">
        <f t="shared" si="0"/>
        <v>33, 7.1</v>
      </c>
      <c r="G26">
        <v>1</v>
      </c>
      <c r="H26" s="20">
        <v>615.07679999999993</v>
      </c>
      <c r="I26">
        <v>509.83</v>
      </c>
      <c r="J26">
        <f t="shared" ref="J26:J66" si="2">100*(H26-I26)/I26</f>
        <v>20.643508620520556</v>
      </c>
      <c r="K26">
        <f t="shared" si="1"/>
        <v>20.643508620520556</v>
      </c>
    </row>
    <row r="27" spans="1:11" x14ac:dyDescent="0.25">
      <c r="A27" t="s">
        <v>47</v>
      </c>
      <c r="B27" t="s">
        <v>46</v>
      </c>
      <c r="C27">
        <v>12</v>
      </c>
      <c r="D27">
        <v>7.3</v>
      </c>
      <c r="E27">
        <v>35</v>
      </c>
      <c r="F27" s="61" t="str">
        <f t="shared" si="0"/>
        <v>35, 7.3</v>
      </c>
      <c r="G27">
        <v>1</v>
      </c>
      <c r="H27" s="20">
        <v>421.26396666666665</v>
      </c>
      <c r="I27">
        <v>509.83</v>
      </c>
      <c r="J27">
        <f>100*(H27-I27)/I27</f>
        <v>-17.371679448705127</v>
      </c>
      <c r="K27">
        <f t="shared" si="1"/>
        <v>17.371679448705127</v>
      </c>
    </row>
    <row r="28" spans="1:11" x14ac:dyDescent="0.25">
      <c r="A28" t="s">
        <v>48</v>
      </c>
      <c r="B28" t="s">
        <v>49</v>
      </c>
      <c r="C28">
        <v>12</v>
      </c>
      <c r="D28">
        <v>7.2</v>
      </c>
      <c r="E28">
        <v>34</v>
      </c>
      <c r="F28" s="61" t="str">
        <f t="shared" si="0"/>
        <v>34, 7.2</v>
      </c>
      <c r="G28">
        <v>1</v>
      </c>
      <c r="H28" s="20">
        <v>423.89043333333331</v>
      </c>
      <c r="I28">
        <v>509.83</v>
      </c>
      <c r="J28">
        <f t="shared" si="2"/>
        <v>-16.856514262924247</v>
      </c>
      <c r="K28">
        <f t="shared" si="1"/>
        <v>16.856514262924247</v>
      </c>
    </row>
    <row r="29" spans="1:11" x14ac:dyDescent="0.25">
      <c r="A29" t="s">
        <v>50</v>
      </c>
      <c r="B29" t="s">
        <v>51</v>
      </c>
      <c r="C29">
        <v>18</v>
      </c>
      <c r="D29">
        <v>7.3</v>
      </c>
      <c r="E29">
        <v>35</v>
      </c>
      <c r="F29" s="61" t="str">
        <f t="shared" si="0"/>
        <v>35, 7.3</v>
      </c>
      <c r="G29">
        <v>1</v>
      </c>
      <c r="H29" s="20">
        <v>609.57479999999998</v>
      </c>
      <c r="I29">
        <v>509.83</v>
      </c>
      <c r="J29">
        <f t="shared" si="2"/>
        <v>19.564325363356414</v>
      </c>
      <c r="K29">
        <f t="shared" si="1"/>
        <v>19.564325363356414</v>
      </c>
    </row>
    <row r="30" spans="1:11" x14ac:dyDescent="0.25">
      <c r="A30" t="s">
        <v>52</v>
      </c>
      <c r="B30" t="s">
        <v>49</v>
      </c>
      <c r="C30">
        <v>18</v>
      </c>
      <c r="D30">
        <v>7.3</v>
      </c>
      <c r="E30">
        <v>35</v>
      </c>
      <c r="F30" s="61" t="str">
        <f t="shared" si="0"/>
        <v>35, 7.3</v>
      </c>
      <c r="G30">
        <v>1</v>
      </c>
      <c r="H30" s="20">
        <v>606.81020000000001</v>
      </c>
      <c r="I30">
        <v>509.83</v>
      </c>
      <c r="J30">
        <f t="shared" si="2"/>
        <v>19.02206617892239</v>
      </c>
      <c r="K30">
        <f t="shared" si="1"/>
        <v>19.02206617892239</v>
      </c>
    </row>
    <row r="31" spans="1:11" x14ac:dyDescent="0.25">
      <c r="A31" t="s">
        <v>53</v>
      </c>
      <c r="B31" t="s">
        <v>49</v>
      </c>
      <c r="C31">
        <v>12</v>
      </c>
      <c r="D31">
        <v>7.3</v>
      </c>
      <c r="E31">
        <v>35</v>
      </c>
      <c r="F31" s="61" t="str">
        <f t="shared" si="0"/>
        <v>35, 7.3</v>
      </c>
      <c r="G31">
        <v>1</v>
      </c>
      <c r="H31" s="20">
        <v>419.69819999999999</v>
      </c>
      <c r="I31">
        <v>509.83</v>
      </c>
      <c r="J31">
        <f t="shared" si="2"/>
        <v>-17.678794892415119</v>
      </c>
      <c r="K31">
        <f t="shared" si="1"/>
        <v>17.678794892415119</v>
      </c>
    </row>
    <row r="32" spans="1:11" x14ac:dyDescent="0.25">
      <c r="A32" t="s">
        <v>54</v>
      </c>
      <c r="B32" t="s">
        <v>46</v>
      </c>
      <c r="C32">
        <v>18</v>
      </c>
      <c r="D32">
        <v>7.3</v>
      </c>
      <c r="E32">
        <v>35</v>
      </c>
      <c r="F32" s="61" t="str">
        <f t="shared" si="0"/>
        <v>35, 7.3</v>
      </c>
      <c r="G32">
        <v>1</v>
      </c>
      <c r="H32" s="20">
        <v>620.04719999999998</v>
      </c>
      <c r="I32">
        <v>509.83</v>
      </c>
      <c r="J32">
        <f t="shared" si="2"/>
        <v>21.61842182688347</v>
      </c>
      <c r="K32">
        <f t="shared" si="1"/>
        <v>21.61842182688347</v>
      </c>
    </row>
    <row r="33" spans="1:11" x14ac:dyDescent="0.25">
      <c r="A33" t="s">
        <v>55</v>
      </c>
      <c r="B33" t="s">
        <v>51</v>
      </c>
      <c r="C33">
        <v>15</v>
      </c>
      <c r="D33">
        <v>7.2</v>
      </c>
      <c r="E33">
        <v>34</v>
      </c>
      <c r="F33" s="61" t="str">
        <f t="shared" si="0"/>
        <v>34, 7.2</v>
      </c>
      <c r="G33">
        <v>1</v>
      </c>
      <c r="H33" s="20">
        <v>520.03769999999997</v>
      </c>
      <c r="I33">
        <v>509.83</v>
      </c>
      <c r="J33">
        <f t="shared" si="2"/>
        <v>2.0021771963203401</v>
      </c>
      <c r="K33">
        <f t="shared" si="1"/>
        <v>2.0021771963203401</v>
      </c>
    </row>
    <row r="34" spans="1:11" x14ac:dyDescent="0.25">
      <c r="A34" t="s">
        <v>56</v>
      </c>
      <c r="B34" t="s">
        <v>49</v>
      </c>
      <c r="C34">
        <v>18</v>
      </c>
      <c r="D34">
        <v>7.1</v>
      </c>
      <c r="E34">
        <v>32.999999999999993</v>
      </c>
      <c r="F34" s="61" t="str">
        <f t="shared" ref="F34:F65" si="3">_xlfn.CONCAT(E34,", ",D34)</f>
        <v>33, 7.1</v>
      </c>
      <c r="G34">
        <v>1</v>
      </c>
      <c r="H34" s="20">
        <v>609.16030000000001</v>
      </c>
      <c r="I34">
        <v>509.83</v>
      </c>
      <c r="J34">
        <f t="shared" si="2"/>
        <v>19.483023753015715</v>
      </c>
      <c r="K34">
        <f t="shared" si="1"/>
        <v>19.483023753015715</v>
      </c>
    </row>
    <row r="35" spans="1:11" x14ac:dyDescent="0.25">
      <c r="A35" t="s">
        <v>57</v>
      </c>
      <c r="B35" t="s">
        <v>46</v>
      </c>
      <c r="C35">
        <v>18</v>
      </c>
      <c r="D35">
        <v>7.2</v>
      </c>
      <c r="E35">
        <v>34</v>
      </c>
      <c r="F35" s="61" t="str">
        <f t="shared" si="3"/>
        <v>34, 7.2</v>
      </c>
      <c r="G35">
        <v>1</v>
      </c>
      <c r="H35" s="20">
        <v>603.48019999999997</v>
      </c>
      <c r="I35">
        <v>509.83</v>
      </c>
      <c r="J35">
        <f t="shared" si="2"/>
        <v>18.368907282819762</v>
      </c>
      <c r="K35">
        <f t="shared" si="1"/>
        <v>18.368907282819762</v>
      </c>
    </row>
    <row r="36" spans="1:11" x14ac:dyDescent="0.25">
      <c r="A36" t="s">
        <v>58</v>
      </c>
      <c r="B36" t="s">
        <v>51</v>
      </c>
      <c r="C36">
        <v>18</v>
      </c>
      <c r="D36">
        <v>7.1</v>
      </c>
      <c r="E36" s="61">
        <v>32.999999999999993</v>
      </c>
      <c r="F36" s="61" t="str">
        <f t="shared" si="3"/>
        <v>33, 7.1</v>
      </c>
      <c r="G36">
        <v>1</v>
      </c>
      <c r="H36" s="20">
        <v>597.38480000000004</v>
      </c>
      <c r="I36">
        <v>509.83</v>
      </c>
      <c r="J36">
        <f t="shared" si="2"/>
        <v>17.173332287233009</v>
      </c>
      <c r="K36">
        <f t="shared" si="1"/>
        <v>17.173332287233009</v>
      </c>
    </row>
    <row r="37" spans="1:11" x14ac:dyDescent="0.25">
      <c r="A37" t="s">
        <v>59</v>
      </c>
      <c r="B37" t="s">
        <v>46</v>
      </c>
      <c r="C37">
        <v>15</v>
      </c>
      <c r="D37">
        <v>7.1</v>
      </c>
      <c r="E37">
        <v>32.999999999999993</v>
      </c>
      <c r="F37" s="61" t="str">
        <f t="shared" si="3"/>
        <v>33, 7.1</v>
      </c>
      <c r="G37">
        <v>1</v>
      </c>
      <c r="H37" s="20">
        <v>510.31060000000002</v>
      </c>
      <c r="I37">
        <v>509.83</v>
      </c>
      <c r="J37">
        <f t="shared" si="2"/>
        <v>9.4266716356440017E-2</v>
      </c>
      <c r="K37">
        <f t="shared" si="1"/>
        <v>9.4266716356440017E-2</v>
      </c>
    </row>
    <row r="38" spans="1:11" x14ac:dyDescent="0.25">
      <c r="A38" t="s">
        <v>60</v>
      </c>
      <c r="B38" t="s">
        <v>49</v>
      </c>
      <c r="C38">
        <v>15</v>
      </c>
      <c r="D38">
        <v>7.1</v>
      </c>
      <c r="E38">
        <v>32.999999999999993</v>
      </c>
      <c r="F38" s="61" t="str">
        <f t="shared" si="3"/>
        <v>33, 7.1</v>
      </c>
      <c r="G38">
        <v>1</v>
      </c>
      <c r="H38" s="20">
        <v>507.12779999999998</v>
      </c>
      <c r="I38">
        <v>509.83</v>
      </c>
      <c r="J38">
        <f t="shared" si="2"/>
        <v>-0.53001981052507796</v>
      </c>
      <c r="K38">
        <f t="shared" si="1"/>
        <v>0.53001981052507796</v>
      </c>
    </row>
    <row r="39" spans="1:11" x14ac:dyDescent="0.25">
      <c r="A39" t="s">
        <v>61</v>
      </c>
      <c r="B39" t="s">
        <v>46</v>
      </c>
      <c r="C39">
        <v>15</v>
      </c>
      <c r="D39">
        <v>7.3</v>
      </c>
      <c r="E39">
        <v>35</v>
      </c>
      <c r="F39" s="61" t="str">
        <f t="shared" si="3"/>
        <v>35, 7.3</v>
      </c>
      <c r="G39">
        <v>1</v>
      </c>
      <c r="H39" s="20">
        <v>529.27189999999996</v>
      </c>
      <c r="I39">
        <v>509.83</v>
      </c>
      <c r="J39">
        <f t="shared" si="2"/>
        <v>3.8134083910323002</v>
      </c>
      <c r="K39">
        <f t="shared" si="1"/>
        <v>3.8134083910323002</v>
      </c>
    </row>
    <row r="40" spans="1:11" x14ac:dyDescent="0.25">
      <c r="A40" t="s">
        <v>62</v>
      </c>
      <c r="B40" t="s">
        <v>49</v>
      </c>
      <c r="C40">
        <v>18</v>
      </c>
      <c r="D40">
        <v>7.2</v>
      </c>
      <c r="E40">
        <v>34</v>
      </c>
      <c r="F40" s="61" t="str">
        <f t="shared" si="3"/>
        <v>34, 7.2</v>
      </c>
      <c r="G40">
        <v>1</v>
      </c>
      <c r="H40" s="20">
        <v>589.55160000000001</v>
      </c>
      <c r="I40">
        <v>509.83</v>
      </c>
      <c r="J40">
        <f>100*(H40-I40)/I40</f>
        <v>15.636898574034488</v>
      </c>
      <c r="K40">
        <f t="shared" si="1"/>
        <v>15.636898574034488</v>
      </c>
    </row>
    <row r="41" spans="1:11" x14ac:dyDescent="0.25">
      <c r="A41" t="s">
        <v>63</v>
      </c>
      <c r="B41" t="s">
        <v>51</v>
      </c>
      <c r="C41">
        <v>12</v>
      </c>
      <c r="D41">
        <v>7.1</v>
      </c>
      <c r="E41">
        <v>32.999999999999993</v>
      </c>
      <c r="F41" s="61" t="str">
        <f t="shared" si="3"/>
        <v>33, 7.1</v>
      </c>
      <c r="G41">
        <v>1</v>
      </c>
      <c r="H41" s="20">
        <v>422.70150000000001</v>
      </c>
      <c r="I41">
        <v>509.83</v>
      </c>
      <c r="J41">
        <f>100*(H41-I41)/I41</f>
        <v>-17.0897161799031</v>
      </c>
      <c r="K41">
        <f t="shared" si="1"/>
        <v>17.0897161799031</v>
      </c>
    </row>
    <row r="42" spans="1:11" x14ac:dyDescent="0.25">
      <c r="A42" t="s">
        <v>64</v>
      </c>
      <c r="B42" t="s">
        <v>46</v>
      </c>
      <c r="C42">
        <v>12</v>
      </c>
      <c r="D42">
        <v>7.1</v>
      </c>
      <c r="E42">
        <v>32.999999999999993</v>
      </c>
      <c r="F42" s="61" t="str">
        <f t="shared" si="3"/>
        <v>33, 7.1</v>
      </c>
      <c r="G42">
        <v>1</v>
      </c>
      <c r="H42" s="20">
        <v>406.33850000000001</v>
      </c>
      <c r="I42">
        <v>509.83</v>
      </c>
      <c r="J42">
        <f t="shared" si="2"/>
        <v>-20.29921738618755</v>
      </c>
      <c r="K42">
        <f t="shared" si="1"/>
        <v>20.29921738618755</v>
      </c>
    </row>
    <row r="43" spans="1:11" x14ac:dyDescent="0.25">
      <c r="A43" t="s">
        <v>65</v>
      </c>
      <c r="B43" t="s">
        <v>49</v>
      </c>
      <c r="C43">
        <v>15</v>
      </c>
      <c r="D43">
        <v>7.3</v>
      </c>
      <c r="E43">
        <v>35</v>
      </c>
      <c r="F43" s="61" t="str">
        <f t="shared" si="3"/>
        <v>35, 7.3</v>
      </c>
      <c r="G43">
        <v>1</v>
      </c>
      <c r="H43" s="20">
        <v>520.61329999999998</v>
      </c>
      <c r="I43">
        <v>509.83</v>
      </c>
      <c r="J43">
        <f t="shared" si="2"/>
        <v>2.1150775748778998</v>
      </c>
      <c r="K43">
        <f t="shared" si="1"/>
        <v>2.1150775748778998</v>
      </c>
    </row>
    <row r="44" spans="1:11" x14ac:dyDescent="0.25">
      <c r="A44" t="s">
        <v>66</v>
      </c>
      <c r="B44" t="s">
        <v>46</v>
      </c>
      <c r="C44">
        <v>12</v>
      </c>
      <c r="D44">
        <v>7.2</v>
      </c>
      <c r="E44">
        <v>34</v>
      </c>
      <c r="F44" s="61" t="str">
        <f t="shared" si="3"/>
        <v>34, 7.2</v>
      </c>
      <c r="G44">
        <v>1</v>
      </c>
      <c r="H44" s="20">
        <v>423.25850000000003</v>
      </c>
      <c r="I44">
        <v>509.83</v>
      </c>
      <c r="J44">
        <f t="shared" si="2"/>
        <v>-16.980464076260706</v>
      </c>
      <c r="K44">
        <f t="shared" si="1"/>
        <v>16.980464076260706</v>
      </c>
    </row>
    <row r="45" spans="1:11" x14ac:dyDescent="0.25">
      <c r="A45" t="s">
        <v>67</v>
      </c>
      <c r="B45" t="s">
        <v>49</v>
      </c>
      <c r="C45">
        <v>12</v>
      </c>
      <c r="D45">
        <v>7.1</v>
      </c>
      <c r="E45">
        <v>32.999999999999993</v>
      </c>
      <c r="F45" s="61" t="str">
        <f t="shared" si="3"/>
        <v>33, 7.1</v>
      </c>
      <c r="G45">
        <v>1</v>
      </c>
      <c r="H45" s="20">
        <v>412.70909999999998</v>
      </c>
      <c r="I45">
        <v>509.83</v>
      </c>
      <c r="J45">
        <f t="shared" si="2"/>
        <v>-19.049663613361318</v>
      </c>
      <c r="K45">
        <f t="shared" si="1"/>
        <v>19.049663613361318</v>
      </c>
    </row>
    <row r="46" spans="1:11" x14ac:dyDescent="0.25">
      <c r="A46" t="s">
        <v>68</v>
      </c>
      <c r="B46" t="s">
        <v>51</v>
      </c>
      <c r="C46">
        <v>12</v>
      </c>
      <c r="D46">
        <v>7.3</v>
      </c>
      <c r="E46">
        <v>35</v>
      </c>
      <c r="F46" s="61" t="str">
        <f t="shared" si="3"/>
        <v>35, 7.3</v>
      </c>
      <c r="G46">
        <v>1</v>
      </c>
      <c r="H46" s="20">
        <v>439.78859999999997</v>
      </c>
      <c r="I46">
        <v>509.83</v>
      </c>
      <c r="J46">
        <f t="shared" si="2"/>
        <v>-13.738187238883553</v>
      </c>
      <c r="K46">
        <f t="shared" si="1"/>
        <v>13.738187238883553</v>
      </c>
    </row>
    <row r="47" spans="1:11" x14ac:dyDescent="0.25">
      <c r="A47" t="s">
        <v>69</v>
      </c>
      <c r="B47" t="s">
        <v>51</v>
      </c>
      <c r="C47">
        <v>15</v>
      </c>
      <c r="D47">
        <v>7.2</v>
      </c>
      <c r="E47">
        <v>34</v>
      </c>
      <c r="F47" s="61" t="str">
        <f t="shared" si="3"/>
        <v>34, 7.2</v>
      </c>
      <c r="G47">
        <v>1</v>
      </c>
      <c r="H47" s="20">
        <v>513.25040000000001</v>
      </c>
      <c r="I47">
        <v>509.83</v>
      </c>
      <c r="J47">
        <f t="shared" si="2"/>
        <v>0.67089029676559431</v>
      </c>
      <c r="K47">
        <f t="shared" si="1"/>
        <v>0.67089029676559431</v>
      </c>
    </row>
    <row r="48" spans="1:11" x14ac:dyDescent="0.25">
      <c r="A48" t="s">
        <v>70</v>
      </c>
      <c r="B48" t="s">
        <v>51</v>
      </c>
      <c r="C48">
        <v>15</v>
      </c>
      <c r="D48">
        <v>7.2</v>
      </c>
      <c r="E48">
        <v>34</v>
      </c>
      <c r="F48" s="61" t="str">
        <f t="shared" si="3"/>
        <v>34, 7.2</v>
      </c>
      <c r="G48">
        <v>1</v>
      </c>
      <c r="H48" s="20">
        <v>515.30010000000004</v>
      </c>
      <c r="I48">
        <v>509.83</v>
      </c>
      <c r="J48">
        <f t="shared" si="2"/>
        <v>1.072926269540839</v>
      </c>
      <c r="K48">
        <f t="shared" si="1"/>
        <v>1.072926269540839</v>
      </c>
    </row>
    <row r="49" spans="1:11" x14ac:dyDescent="0.25">
      <c r="A49" t="s">
        <v>71</v>
      </c>
      <c r="B49" t="s">
        <v>51</v>
      </c>
      <c r="C49">
        <v>15</v>
      </c>
      <c r="D49">
        <v>7.2</v>
      </c>
      <c r="E49">
        <v>34</v>
      </c>
      <c r="F49" s="61" t="str">
        <f t="shared" si="3"/>
        <v>34, 7.2</v>
      </c>
      <c r="G49">
        <v>1</v>
      </c>
      <c r="H49" s="20">
        <v>513.92849999999999</v>
      </c>
      <c r="I49">
        <v>509.83</v>
      </c>
      <c r="J49">
        <f t="shared" si="2"/>
        <v>0.80389541611909887</v>
      </c>
      <c r="K49">
        <f t="shared" si="1"/>
        <v>0.80389541611909887</v>
      </c>
    </row>
    <row r="50" spans="1:11" x14ac:dyDescent="0.25">
      <c r="A50" t="s">
        <v>45</v>
      </c>
      <c r="B50" t="s">
        <v>46</v>
      </c>
      <c r="C50">
        <v>18</v>
      </c>
      <c r="D50">
        <v>7.1</v>
      </c>
      <c r="E50">
        <v>32.999999999999993</v>
      </c>
      <c r="F50" s="61" t="str">
        <f t="shared" si="3"/>
        <v>33, 7.1</v>
      </c>
      <c r="G50">
        <v>2</v>
      </c>
      <c r="H50" s="20">
        <v>1024.7850000000001</v>
      </c>
      <c r="I50">
        <v>997.91</v>
      </c>
      <c r="J50">
        <f t="shared" si="2"/>
        <v>2.6931286388552187</v>
      </c>
      <c r="K50">
        <f t="shared" si="1"/>
        <v>2.6931286388552187</v>
      </c>
    </row>
    <row r="51" spans="1:11" x14ac:dyDescent="0.25">
      <c r="A51" t="s">
        <v>47</v>
      </c>
      <c r="B51" t="s">
        <v>46</v>
      </c>
      <c r="C51">
        <v>12</v>
      </c>
      <c r="D51">
        <v>7.3</v>
      </c>
      <c r="E51">
        <v>35</v>
      </c>
      <c r="F51" s="61" t="str">
        <f t="shared" si="3"/>
        <v>35, 7.3</v>
      </c>
      <c r="G51">
        <v>2</v>
      </c>
      <c r="H51" s="20">
        <v>782.49189999999999</v>
      </c>
      <c r="I51">
        <v>997.91</v>
      </c>
      <c r="J51">
        <f t="shared" si="2"/>
        <v>-21.586926676754416</v>
      </c>
      <c r="K51">
        <f t="shared" si="1"/>
        <v>21.586926676754416</v>
      </c>
    </row>
    <row r="52" spans="1:11" x14ac:dyDescent="0.25">
      <c r="A52" t="s">
        <v>48</v>
      </c>
      <c r="B52" t="s">
        <v>49</v>
      </c>
      <c r="C52">
        <v>12</v>
      </c>
      <c r="D52">
        <v>7.2</v>
      </c>
      <c r="E52">
        <v>34</v>
      </c>
      <c r="F52" s="61" t="str">
        <f t="shared" si="3"/>
        <v>34, 7.2</v>
      </c>
      <c r="G52">
        <v>2</v>
      </c>
      <c r="H52" s="20">
        <v>787.00490000000002</v>
      </c>
      <c r="I52">
        <v>997.91</v>
      </c>
      <c r="J52">
        <f t="shared" si="2"/>
        <v>-21.134681484302188</v>
      </c>
      <c r="K52">
        <f t="shared" si="1"/>
        <v>21.134681484302188</v>
      </c>
    </row>
    <row r="53" spans="1:11" x14ac:dyDescent="0.25">
      <c r="A53" t="s">
        <v>50</v>
      </c>
      <c r="B53" t="s">
        <v>51</v>
      </c>
      <c r="C53">
        <v>18</v>
      </c>
      <c r="D53">
        <v>7.3</v>
      </c>
      <c r="E53">
        <v>35</v>
      </c>
      <c r="F53" s="61" t="str">
        <f t="shared" si="3"/>
        <v>35, 7.3</v>
      </c>
      <c r="G53">
        <v>2</v>
      </c>
      <c r="H53" s="20">
        <v>1078.6896666666669</v>
      </c>
      <c r="I53">
        <v>997.91</v>
      </c>
      <c r="J53">
        <f t="shared" si="2"/>
        <v>8.0948849762670889</v>
      </c>
      <c r="K53">
        <f t="shared" si="1"/>
        <v>8.0948849762670889</v>
      </c>
    </row>
    <row r="54" spans="1:11" x14ac:dyDescent="0.25">
      <c r="A54" t="s">
        <v>52</v>
      </c>
      <c r="B54" t="s">
        <v>49</v>
      </c>
      <c r="C54">
        <v>18</v>
      </c>
      <c r="D54">
        <v>7.3</v>
      </c>
      <c r="E54">
        <v>35</v>
      </c>
      <c r="F54" s="61" t="str">
        <f t="shared" si="3"/>
        <v>35, 7.3</v>
      </c>
      <c r="G54">
        <v>2</v>
      </c>
      <c r="H54" s="20">
        <v>1075.1393333333333</v>
      </c>
      <c r="I54">
        <v>997.91</v>
      </c>
      <c r="J54">
        <f t="shared" si="2"/>
        <v>7.7391080691979566</v>
      </c>
      <c r="K54">
        <f t="shared" si="1"/>
        <v>7.7391080691979566</v>
      </c>
    </row>
    <row r="55" spans="1:11" x14ac:dyDescent="0.25">
      <c r="A55" t="s">
        <v>53</v>
      </c>
      <c r="B55" t="s">
        <v>49</v>
      </c>
      <c r="C55">
        <v>12</v>
      </c>
      <c r="D55">
        <v>7.3</v>
      </c>
      <c r="E55">
        <v>35</v>
      </c>
      <c r="F55" s="61" t="str">
        <f t="shared" si="3"/>
        <v>35, 7.3</v>
      </c>
      <c r="G55">
        <v>2</v>
      </c>
      <c r="H55" s="20">
        <v>755.10763333333341</v>
      </c>
      <c r="I55">
        <v>997.91</v>
      </c>
      <c r="J55">
        <f t="shared" si="2"/>
        <v>-24.331088641928286</v>
      </c>
      <c r="K55">
        <f t="shared" si="1"/>
        <v>24.331088641928286</v>
      </c>
    </row>
    <row r="56" spans="1:11" x14ac:dyDescent="0.25">
      <c r="A56" t="s">
        <v>54</v>
      </c>
      <c r="B56" t="s">
        <v>46</v>
      </c>
      <c r="C56">
        <v>18</v>
      </c>
      <c r="D56">
        <v>7.3</v>
      </c>
      <c r="E56">
        <v>35</v>
      </c>
      <c r="F56" s="61" t="str">
        <f t="shared" si="3"/>
        <v>35, 7.3</v>
      </c>
      <c r="G56">
        <v>2</v>
      </c>
      <c r="H56" s="20">
        <v>1013.149</v>
      </c>
      <c r="I56">
        <v>997.91</v>
      </c>
      <c r="J56">
        <f t="shared" si="2"/>
        <v>1.5270916214889152</v>
      </c>
      <c r="K56">
        <f t="shared" si="1"/>
        <v>1.5270916214889152</v>
      </c>
    </row>
    <row r="57" spans="1:11" x14ac:dyDescent="0.25">
      <c r="A57" t="s">
        <v>55</v>
      </c>
      <c r="B57" t="s">
        <v>51</v>
      </c>
      <c r="C57">
        <v>15</v>
      </c>
      <c r="D57">
        <v>7.2</v>
      </c>
      <c r="E57">
        <v>34</v>
      </c>
      <c r="F57" s="61" t="str">
        <f t="shared" si="3"/>
        <v>34, 7.2</v>
      </c>
      <c r="G57">
        <v>2</v>
      </c>
      <c r="H57" s="20">
        <v>964.61969999999997</v>
      </c>
      <c r="I57">
        <v>997.91</v>
      </c>
      <c r="J57">
        <f t="shared" si="2"/>
        <v>-3.3360022446914055</v>
      </c>
      <c r="K57">
        <f t="shared" si="1"/>
        <v>3.3360022446914055</v>
      </c>
    </row>
    <row r="58" spans="1:11" x14ac:dyDescent="0.25">
      <c r="A58" t="s">
        <v>56</v>
      </c>
      <c r="B58" t="s">
        <v>49</v>
      </c>
      <c r="C58">
        <v>18</v>
      </c>
      <c r="D58">
        <v>7.1</v>
      </c>
      <c r="E58">
        <v>32.999999999999993</v>
      </c>
      <c r="F58" s="61" t="str">
        <f t="shared" si="3"/>
        <v>33, 7.1</v>
      </c>
      <c r="G58">
        <v>2</v>
      </c>
      <c r="H58" s="20">
        <v>1075.037</v>
      </c>
      <c r="I58">
        <v>997.91</v>
      </c>
      <c r="J58">
        <f t="shared" si="2"/>
        <v>7.7288533034041214</v>
      </c>
      <c r="K58">
        <f t="shared" si="1"/>
        <v>7.7288533034041214</v>
      </c>
    </row>
    <row r="59" spans="1:11" x14ac:dyDescent="0.25">
      <c r="A59" t="s">
        <v>57</v>
      </c>
      <c r="B59" t="s">
        <v>46</v>
      </c>
      <c r="C59">
        <v>18</v>
      </c>
      <c r="D59">
        <v>7.2</v>
      </c>
      <c r="E59">
        <v>34</v>
      </c>
      <c r="F59" s="61" t="str">
        <f t="shared" si="3"/>
        <v>34, 7.2</v>
      </c>
      <c r="G59">
        <v>2</v>
      </c>
      <c r="H59" s="20">
        <v>887.16219999999998</v>
      </c>
      <c r="I59">
        <v>997.91</v>
      </c>
      <c r="J59">
        <f t="shared" si="2"/>
        <v>-11.09797476726358</v>
      </c>
      <c r="K59">
        <f t="shared" si="1"/>
        <v>11.09797476726358</v>
      </c>
    </row>
    <row r="60" spans="1:11" x14ac:dyDescent="0.25">
      <c r="A60" t="s">
        <v>58</v>
      </c>
      <c r="B60" t="s">
        <v>51</v>
      </c>
      <c r="C60">
        <v>18</v>
      </c>
      <c r="D60">
        <v>7.1</v>
      </c>
      <c r="E60">
        <v>32.999999999999993</v>
      </c>
      <c r="F60" s="61" t="str">
        <f t="shared" si="3"/>
        <v>33, 7.1</v>
      </c>
      <c r="G60">
        <v>2</v>
      </c>
      <c r="H60" s="20">
        <v>1044.318</v>
      </c>
      <c r="I60">
        <v>997.91</v>
      </c>
      <c r="J60">
        <f t="shared" si="2"/>
        <v>4.6505195859346049</v>
      </c>
      <c r="K60">
        <f t="shared" si="1"/>
        <v>4.6505195859346049</v>
      </c>
    </row>
    <row r="61" spans="1:11" x14ac:dyDescent="0.25">
      <c r="A61" t="s">
        <v>59</v>
      </c>
      <c r="B61" t="s">
        <v>46</v>
      </c>
      <c r="C61">
        <v>15</v>
      </c>
      <c r="D61">
        <v>7.1</v>
      </c>
      <c r="E61">
        <v>32.999999999999993</v>
      </c>
      <c r="F61" s="61" t="str">
        <f t="shared" si="3"/>
        <v>33, 7.1</v>
      </c>
      <c r="G61">
        <v>2</v>
      </c>
      <c r="H61" s="20">
        <v>906.48569999999995</v>
      </c>
      <c r="I61">
        <v>997.91</v>
      </c>
      <c r="J61">
        <f t="shared" si="2"/>
        <v>-9.1615776973875427</v>
      </c>
      <c r="K61">
        <f t="shared" si="1"/>
        <v>9.1615776973875427</v>
      </c>
    </row>
    <row r="62" spans="1:11" x14ac:dyDescent="0.25">
      <c r="A62" t="s">
        <v>60</v>
      </c>
      <c r="B62" t="s">
        <v>49</v>
      </c>
      <c r="C62">
        <v>15</v>
      </c>
      <c r="D62">
        <v>7.1</v>
      </c>
      <c r="E62">
        <v>32.999999999999993</v>
      </c>
      <c r="F62" s="61" t="str">
        <f t="shared" si="3"/>
        <v>33, 7.1</v>
      </c>
      <c r="G62">
        <v>2</v>
      </c>
      <c r="H62" s="20">
        <v>952.45950000000005</v>
      </c>
      <c r="I62">
        <v>997.91</v>
      </c>
      <c r="J62">
        <f t="shared" si="2"/>
        <v>-4.5545690493130566</v>
      </c>
      <c r="K62">
        <f t="shared" si="1"/>
        <v>4.5545690493130566</v>
      </c>
    </row>
    <row r="63" spans="1:11" x14ac:dyDescent="0.25">
      <c r="A63" t="s">
        <v>61</v>
      </c>
      <c r="B63" t="s">
        <v>46</v>
      </c>
      <c r="C63">
        <v>15</v>
      </c>
      <c r="D63">
        <v>7.3</v>
      </c>
      <c r="E63">
        <v>35</v>
      </c>
      <c r="F63" s="61" t="str">
        <f t="shared" si="3"/>
        <v>35, 7.3</v>
      </c>
      <c r="G63">
        <v>2</v>
      </c>
      <c r="H63" s="20">
        <v>775.64110000000005</v>
      </c>
      <c r="I63">
        <v>997.91</v>
      </c>
      <c r="J63">
        <f t="shared" si="2"/>
        <v>-22.273441492719776</v>
      </c>
      <c r="K63">
        <f t="shared" si="1"/>
        <v>22.273441492719776</v>
      </c>
    </row>
    <row r="64" spans="1:11" x14ac:dyDescent="0.25">
      <c r="A64" t="s">
        <v>62</v>
      </c>
      <c r="B64" t="s">
        <v>49</v>
      </c>
      <c r="C64">
        <v>18</v>
      </c>
      <c r="D64">
        <v>7.2</v>
      </c>
      <c r="E64">
        <v>34</v>
      </c>
      <c r="F64" s="61" t="str">
        <f t="shared" si="3"/>
        <v>34, 7.2</v>
      </c>
      <c r="G64">
        <v>2</v>
      </c>
      <c r="H64" s="20">
        <v>1096.682</v>
      </c>
      <c r="I64">
        <v>997.91</v>
      </c>
      <c r="J64">
        <f t="shared" si="2"/>
        <v>9.8978865829583871</v>
      </c>
      <c r="K64">
        <f t="shared" si="1"/>
        <v>9.8978865829583871</v>
      </c>
    </row>
    <row r="65" spans="1:11" x14ac:dyDescent="0.25">
      <c r="A65" t="s">
        <v>63</v>
      </c>
      <c r="B65" t="s">
        <v>51</v>
      </c>
      <c r="C65">
        <v>12</v>
      </c>
      <c r="D65">
        <v>7.1</v>
      </c>
      <c r="E65">
        <v>32.999999999999993</v>
      </c>
      <c r="F65" s="61" t="str">
        <f t="shared" si="3"/>
        <v>33, 7.1</v>
      </c>
      <c r="G65">
        <v>2</v>
      </c>
      <c r="H65" s="20">
        <v>795.92439999999999</v>
      </c>
      <c r="I65">
        <v>997.91</v>
      </c>
      <c r="J65">
        <f t="shared" si="2"/>
        <v>-20.240863404515437</v>
      </c>
      <c r="K65">
        <f t="shared" si="1"/>
        <v>20.240863404515437</v>
      </c>
    </row>
    <row r="66" spans="1:11" x14ac:dyDescent="0.25">
      <c r="A66" t="s">
        <v>64</v>
      </c>
      <c r="B66" t="s">
        <v>46</v>
      </c>
      <c r="C66">
        <v>12</v>
      </c>
      <c r="D66">
        <v>7.1</v>
      </c>
      <c r="E66">
        <v>32.999999999999993</v>
      </c>
      <c r="F66" s="61" t="str">
        <f t="shared" ref="F66:F97" si="4">_xlfn.CONCAT(E66,", ",D66)</f>
        <v>33, 7.1</v>
      </c>
      <c r="G66">
        <v>2</v>
      </c>
      <c r="H66" s="20">
        <v>763.04660000000001</v>
      </c>
      <c r="I66">
        <v>997.91</v>
      </c>
      <c r="J66">
        <f t="shared" si="2"/>
        <v>-23.535529256145342</v>
      </c>
      <c r="K66">
        <f t="shared" si="1"/>
        <v>23.535529256145342</v>
      </c>
    </row>
    <row r="67" spans="1:11" x14ac:dyDescent="0.25">
      <c r="A67" t="s">
        <v>65</v>
      </c>
      <c r="B67" t="s">
        <v>49</v>
      </c>
      <c r="C67">
        <v>15</v>
      </c>
      <c r="D67">
        <v>7.3</v>
      </c>
      <c r="E67">
        <v>35</v>
      </c>
      <c r="F67" s="61" t="str">
        <f t="shared" si="4"/>
        <v>35, 7.3</v>
      </c>
      <c r="G67">
        <v>2</v>
      </c>
      <c r="H67" s="20">
        <v>933.90369999999996</v>
      </c>
      <c r="I67">
        <v>997.91</v>
      </c>
      <c r="J67">
        <f t="shared" ref="J67:J121" si="5">100*(H67-I67)/I67</f>
        <v>-6.4140353338477434</v>
      </c>
      <c r="K67">
        <f t="shared" ref="K67:K130" si="6">IF(ISBLANK(J67),"",ABS(J67))</f>
        <v>6.4140353338477434</v>
      </c>
    </row>
    <row r="68" spans="1:11" x14ac:dyDescent="0.25">
      <c r="A68" t="s">
        <v>66</v>
      </c>
      <c r="B68" t="s">
        <v>46</v>
      </c>
      <c r="C68">
        <v>12</v>
      </c>
      <c r="D68">
        <v>7.2</v>
      </c>
      <c r="E68">
        <v>34</v>
      </c>
      <c r="F68" s="61" t="str">
        <f t="shared" si="4"/>
        <v>34, 7.2</v>
      </c>
      <c r="G68">
        <v>2</v>
      </c>
      <c r="H68" s="20">
        <v>710.95780000000002</v>
      </c>
      <c r="I68">
        <v>997.91</v>
      </c>
      <c r="J68">
        <f t="shared" si="5"/>
        <v>-28.755318615907242</v>
      </c>
      <c r="K68">
        <f t="shared" si="6"/>
        <v>28.755318615907242</v>
      </c>
    </row>
    <row r="69" spans="1:11" x14ac:dyDescent="0.25">
      <c r="A69" t="s">
        <v>67</v>
      </c>
      <c r="B69" t="s">
        <v>49</v>
      </c>
      <c r="C69">
        <v>12</v>
      </c>
      <c r="D69">
        <v>7.1</v>
      </c>
      <c r="E69">
        <v>32.999999999999993</v>
      </c>
      <c r="F69" s="61" t="str">
        <f t="shared" si="4"/>
        <v>33, 7.1</v>
      </c>
      <c r="G69">
        <v>2</v>
      </c>
      <c r="H69" s="20">
        <v>760.81700000000001</v>
      </c>
      <c r="I69">
        <v>997.91</v>
      </c>
      <c r="J69">
        <f t="shared" si="5"/>
        <v>-23.758956218496653</v>
      </c>
      <c r="K69">
        <f t="shared" si="6"/>
        <v>23.758956218496653</v>
      </c>
    </row>
    <row r="70" spans="1:11" x14ac:dyDescent="0.25">
      <c r="A70" t="s">
        <v>68</v>
      </c>
      <c r="B70" t="s">
        <v>51</v>
      </c>
      <c r="C70">
        <v>12</v>
      </c>
      <c r="D70">
        <v>7.3</v>
      </c>
      <c r="E70">
        <v>35</v>
      </c>
      <c r="F70" s="61" t="str">
        <f t="shared" si="4"/>
        <v>35, 7.3</v>
      </c>
      <c r="G70">
        <v>2</v>
      </c>
      <c r="H70" s="20">
        <v>788.78700000000003</v>
      </c>
      <c r="I70">
        <v>997.91</v>
      </c>
      <c r="J70">
        <f t="shared" si="5"/>
        <v>-20.95609824533274</v>
      </c>
      <c r="K70">
        <f t="shared" si="6"/>
        <v>20.95609824533274</v>
      </c>
    </row>
    <row r="71" spans="1:11" x14ac:dyDescent="0.25">
      <c r="A71" t="s">
        <v>69</v>
      </c>
      <c r="B71" t="s">
        <v>51</v>
      </c>
      <c r="C71">
        <v>15</v>
      </c>
      <c r="D71">
        <v>7.2</v>
      </c>
      <c r="E71">
        <v>34</v>
      </c>
      <c r="F71" s="61" t="str">
        <f t="shared" si="4"/>
        <v>34, 7.2</v>
      </c>
      <c r="G71">
        <v>2</v>
      </c>
      <c r="H71" s="20">
        <v>934.42179999999996</v>
      </c>
      <c r="I71">
        <v>997.91</v>
      </c>
      <c r="J71">
        <f t="shared" si="5"/>
        <v>-6.3621168241625004</v>
      </c>
      <c r="K71">
        <f t="shared" si="6"/>
        <v>6.3621168241625004</v>
      </c>
    </row>
    <row r="72" spans="1:11" x14ac:dyDescent="0.25">
      <c r="A72" t="s">
        <v>70</v>
      </c>
      <c r="B72" t="s">
        <v>51</v>
      </c>
      <c r="C72">
        <v>15</v>
      </c>
      <c r="D72">
        <v>7.2</v>
      </c>
      <c r="E72">
        <v>34</v>
      </c>
      <c r="F72" s="61" t="str">
        <f t="shared" si="4"/>
        <v>34, 7.2</v>
      </c>
      <c r="G72">
        <v>2</v>
      </c>
      <c r="H72" s="20">
        <v>946.42039999999997</v>
      </c>
      <c r="I72">
        <v>997.91</v>
      </c>
      <c r="J72">
        <f t="shared" si="5"/>
        <v>-5.1597438646771749</v>
      </c>
      <c r="K72">
        <f t="shared" si="6"/>
        <v>5.1597438646771749</v>
      </c>
    </row>
    <row r="73" spans="1:11" x14ac:dyDescent="0.25">
      <c r="A73" t="s">
        <v>71</v>
      </c>
      <c r="B73" t="s">
        <v>51</v>
      </c>
      <c r="C73">
        <v>15</v>
      </c>
      <c r="D73">
        <v>7.2</v>
      </c>
      <c r="E73">
        <v>34</v>
      </c>
      <c r="F73" s="61" t="str">
        <f t="shared" si="4"/>
        <v>34, 7.2</v>
      </c>
      <c r="G73">
        <v>2</v>
      </c>
      <c r="H73" s="20">
        <v>926.63509999999997</v>
      </c>
      <c r="I73">
        <v>997.91</v>
      </c>
      <c r="J73">
        <f t="shared" si="5"/>
        <v>-7.14241765289455</v>
      </c>
      <c r="K73">
        <f t="shared" si="6"/>
        <v>7.14241765289455</v>
      </c>
    </row>
    <row r="74" spans="1:11" x14ac:dyDescent="0.25">
      <c r="A74" t="s">
        <v>45</v>
      </c>
      <c r="B74" t="s">
        <v>46</v>
      </c>
      <c r="C74">
        <v>18</v>
      </c>
      <c r="D74">
        <v>7.1</v>
      </c>
      <c r="E74">
        <v>32.999999999999993</v>
      </c>
      <c r="F74" s="61" t="str">
        <f t="shared" si="4"/>
        <v>33, 7.1</v>
      </c>
      <c r="G74">
        <v>3</v>
      </c>
      <c r="H74">
        <v>1379.32</v>
      </c>
      <c r="I74">
        <v>1505.08</v>
      </c>
      <c r="J74">
        <f t="shared" si="5"/>
        <v>-8.3557020224838556</v>
      </c>
      <c r="K74">
        <f t="shared" si="6"/>
        <v>8.3557020224838556</v>
      </c>
    </row>
    <row r="75" spans="1:11" x14ac:dyDescent="0.25">
      <c r="A75" t="s">
        <v>47</v>
      </c>
      <c r="B75" t="s">
        <v>46</v>
      </c>
      <c r="C75">
        <v>12</v>
      </c>
      <c r="D75">
        <v>7.3</v>
      </c>
      <c r="E75">
        <v>35</v>
      </c>
      <c r="F75" s="61" t="str">
        <f t="shared" si="4"/>
        <v>35, 7.3</v>
      </c>
      <c r="G75">
        <v>3</v>
      </c>
      <c r="H75">
        <v>1134.1420000000001</v>
      </c>
      <c r="I75">
        <v>1505.08</v>
      </c>
      <c r="J75">
        <f t="shared" si="5"/>
        <v>-24.645733117176491</v>
      </c>
      <c r="K75">
        <f t="shared" si="6"/>
        <v>24.645733117176491</v>
      </c>
    </row>
    <row r="76" spans="1:11" x14ac:dyDescent="0.25">
      <c r="A76" t="s">
        <v>48</v>
      </c>
      <c r="B76" t="s">
        <v>49</v>
      </c>
      <c r="C76">
        <v>12</v>
      </c>
      <c r="D76">
        <v>7.2</v>
      </c>
      <c r="E76">
        <v>34</v>
      </c>
      <c r="F76" s="61" t="str">
        <f t="shared" si="4"/>
        <v>34, 7.2</v>
      </c>
      <c r="G76">
        <v>3</v>
      </c>
      <c r="H76">
        <v>1305.461</v>
      </c>
      <c r="I76">
        <v>1505.08</v>
      </c>
      <c r="J76">
        <f t="shared" si="5"/>
        <v>-13.26301591941956</v>
      </c>
      <c r="K76">
        <f t="shared" si="6"/>
        <v>13.26301591941956</v>
      </c>
    </row>
    <row r="77" spans="1:11" x14ac:dyDescent="0.25">
      <c r="A77" t="s">
        <v>50</v>
      </c>
      <c r="B77" t="s">
        <v>51</v>
      </c>
      <c r="C77">
        <v>18</v>
      </c>
      <c r="D77">
        <v>7.3</v>
      </c>
      <c r="E77">
        <v>35</v>
      </c>
      <c r="F77" s="61" t="str">
        <f t="shared" si="4"/>
        <v>35, 7.3</v>
      </c>
      <c r="G77">
        <v>3</v>
      </c>
      <c r="H77">
        <v>1776.4649999999999</v>
      </c>
      <c r="I77">
        <v>1505.08</v>
      </c>
      <c r="J77">
        <f t="shared" si="5"/>
        <v>18.031267440933373</v>
      </c>
      <c r="K77">
        <f t="shared" si="6"/>
        <v>18.031267440933373</v>
      </c>
    </row>
    <row r="78" spans="1:11" x14ac:dyDescent="0.25">
      <c r="A78" t="s">
        <v>52</v>
      </c>
      <c r="B78" t="s">
        <v>49</v>
      </c>
      <c r="C78">
        <v>18</v>
      </c>
      <c r="D78">
        <v>7.3</v>
      </c>
      <c r="E78">
        <v>35</v>
      </c>
      <c r="F78" s="61" t="str">
        <f t="shared" si="4"/>
        <v>35, 7.3</v>
      </c>
      <c r="G78">
        <v>3</v>
      </c>
      <c r="H78">
        <v>1728.075</v>
      </c>
      <c r="I78">
        <v>1505.08</v>
      </c>
      <c r="J78">
        <f t="shared" si="5"/>
        <v>14.816155951843099</v>
      </c>
      <c r="K78">
        <f t="shared" si="6"/>
        <v>14.816155951843099</v>
      </c>
    </row>
    <row r="79" spans="1:11" x14ac:dyDescent="0.25">
      <c r="A79" t="s">
        <v>53</v>
      </c>
      <c r="B79" t="s">
        <v>49</v>
      </c>
      <c r="C79">
        <v>12</v>
      </c>
      <c r="D79">
        <v>7.3</v>
      </c>
      <c r="E79">
        <v>35</v>
      </c>
      <c r="F79" s="61" t="str">
        <f t="shared" si="4"/>
        <v>35, 7.3</v>
      </c>
      <c r="G79">
        <v>3</v>
      </c>
      <c r="H79">
        <v>1238.914</v>
      </c>
      <c r="I79">
        <v>1505.08</v>
      </c>
      <c r="J79">
        <f t="shared" si="5"/>
        <v>-17.684508464666326</v>
      </c>
      <c r="K79">
        <f t="shared" si="6"/>
        <v>17.684508464666326</v>
      </c>
    </row>
    <row r="80" spans="1:11" x14ac:dyDescent="0.25">
      <c r="A80" t="s">
        <v>54</v>
      </c>
      <c r="B80" t="s">
        <v>46</v>
      </c>
      <c r="C80">
        <v>18</v>
      </c>
      <c r="D80">
        <v>7.3</v>
      </c>
      <c r="E80">
        <v>35</v>
      </c>
      <c r="F80" s="61" t="str">
        <f t="shared" si="4"/>
        <v>35, 7.3</v>
      </c>
      <c r="G80">
        <v>3</v>
      </c>
      <c r="H80">
        <v>1304.9646666666667</v>
      </c>
      <c r="I80">
        <v>1505.08</v>
      </c>
      <c r="J80">
        <f t="shared" si="5"/>
        <v>-13.295993125503839</v>
      </c>
      <c r="K80">
        <f t="shared" si="6"/>
        <v>13.295993125503839</v>
      </c>
    </row>
    <row r="81" spans="1:11" x14ac:dyDescent="0.25">
      <c r="A81" t="s">
        <v>55</v>
      </c>
      <c r="B81" t="s">
        <v>51</v>
      </c>
      <c r="C81">
        <v>15</v>
      </c>
      <c r="D81">
        <v>7.2</v>
      </c>
      <c r="E81">
        <v>34</v>
      </c>
      <c r="F81" s="61" t="str">
        <f t="shared" si="4"/>
        <v>34, 7.2</v>
      </c>
      <c r="G81">
        <v>3</v>
      </c>
      <c r="H81">
        <v>1476.8010000000002</v>
      </c>
      <c r="I81">
        <v>1505.08</v>
      </c>
      <c r="J81">
        <f t="shared" si="5"/>
        <v>-1.8789034469928356</v>
      </c>
      <c r="K81">
        <f t="shared" si="6"/>
        <v>1.8789034469928356</v>
      </c>
    </row>
    <row r="82" spans="1:11" x14ac:dyDescent="0.25">
      <c r="A82" t="s">
        <v>56</v>
      </c>
      <c r="B82" t="s">
        <v>49</v>
      </c>
      <c r="C82">
        <v>18</v>
      </c>
      <c r="D82">
        <v>7.1</v>
      </c>
      <c r="E82">
        <v>32.999999999999993</v>
      </c>
      <c r="F82" s="61" t="str">
        <f t="shared" si="4"/>
        <v>33, 7.1</v>
      </c>
      <c r="G82">
        <v>3</v>
      </c>
      <c r="H82">
        <v>1545.3763333333336</v>
      </c>
      <c r="I82">
        <v>1505.08</v>
      </c>
      <c r="J82">
        <f t="shared" si="5"/>
        <v>2.6773549135815822</v>
      </c>
      <c r="K82">
        <f t="shared" si="6"/>
        <v>2.6773549135815822</v>
      </c>
    </row>
    <row r="83" spans="1:11" x14ac:dyDescent="0.25">
      <c r="A83" t="s">
        <v>57</v>
      </c>
      <c r="B83" t="s">
        <v>46</v>
      </c>
      <c r="C83">
        <v>18</v>
      </c>
      <c r="D83">
        <v>7.2</v>
      </c>
      <c r="E83">
        <v>34</v>
      </c>
      <c r="F83" s="61" t="str">
        <f t="shared" si="4"/>
        <v>34, 7.2</v>
      </c>
      <c r="G83">
        <v>3</v>
      </c>
      <c r="H83">
        <v>1230.4880000000001</v>
      </c>
      <c r="I83">
        <v>1505.08</v>
      </c>
      <c r="J83">
        <f t="shared" si="5"/>
        <v>-18.244345815504815</v>
      </c>
      <c r="K83">
        <f t="shared" si="6"/>
        <v>18.244345815504815</v>
      </c>
    </row>
    <row r="84" spans="1:11" x14ac:dyDescent="0.25">
      <c r="A84" t="s">
        <v>58</v>
      </c>
      <c r="B84" t="s">
        <v>51</v>
      </c>
      <c r="C84">
        <v>18</v>
      </c>
      <c r="D84">
        <v>7.1</v>
      </c>
      <c r="E84">
        <v>32.999999999999993</v>
      </c>
      <c r="F84" s="61" t="str">
        <f t="shared" si="4"/>
        <v>33, 7.1</v>
      </c>
      <c r="G84">
        <v>3</v>
      </c>
      <c r="H84">
        <v>1818.135</v>
      </c>
      <c r="I84">
        <v>1505.08</v>
      </c>
      <c r="J84">
        <f t="shared" si="5"/>
        <v>20.799891035692461</v>
      </c>
      <c r="K84">
        <f t="shared" si="6"/>
        <v>20.799891035692461</v>
      </c>
    </row>
    <row r="85" spans="1:11" x14ac:dyDescent="0.25">
      <c r="A85" t="s">
        <v>59</v>
      </c>
      <c r="B85" t="s">
        <v>46</v>
      </c>
      <c r="C85">
        <v>15</v>
      </c>
      <c r="D85">
        <v>7.1</v>
      </c>
      <c r="E85">
        <v>32.999999999999993</v>
      </c>
      <c r="F85" s="61" t="str">
        <f t="shared" si="4"/>
        <v>33, 7.1</v>
      </c>
      <c r="G85">
        <v>3</v>
      </c>
      <c r="H85">
        <v>1171.662</v>
      </c>
      <c r="I85">
        <v>1505.08</v>
      </c>
      <c r="J85">
        <f t="shared" si="5"/>
        <v>-22.152842373827298</v>
      </c>
      <c r="K85">
        <f t="shared" si="6"/>
        <v>22.152842373827298</v>
      </c>
    </row>
    <row r="86" spans="1:11" x14ac:dyDescent="0.25">
      <c r="A86" t="s">
        <v>60</v>
      </c>
      <c r="B86" t="s">
        <v>49</v>
      </c>
      <c r="C86">
        <v>15</v>
      </c>
      <c r="D86">
        <v>7.1</v>
      </c>
      <c r="E86">
        <v>32.999999999999993</v>
      </c>
      <c r="F86" s="61" t="str">
        <f t="shared" si="4"/>
        <v>33, 7.1</v>
      </c>
      <c r="G86">
        <v>3</v>
      </c>
      <c r="H86">
        <v>1535.1</v>
      </c>
      <c r="I86">
        <v>1505.08</v>
      </c>
      <c r="J86">
        <f t="shared" si="5"/>
        <v>1.99457836128312</v>
      </c>
      <c r="K86">
        <f t="shared" si="6"/>
        <v>1.99457836128312</v>
      </c>
    </row>
    <row r="87" spans="1:11" x14ac:dyDescent="0.25">
      <c r="A87" t="s">
        <v>61</v>
      </c>
      <c r="B87" t="s">
        <v>46</v>
      </c>
      <c r="C87">
        <v>15</v>
      </c>
      <c r="D87">
        <v>7.3</v>
      </c>
      <c r="E87">
        <v>35</v>
      </c>
      <c r="F87" s="61" t="str">
        <f t="shared" si="4"/>
        <v>35, 7.3</v>
      </c>
      <c r="G87">
        <v>3</v>
      </c>
      <c r="H87">
        <v>1182.278</v>
      </c>
      <c r="I87">
        <v>1505.08</v>
      </c>
      <c r="J87">
        <f t="shared" si="5"/>
        <v>-21.447497807425513</v>
      </c>
      <c r="K87">
        <f t="shared" si="6"/>
        <v>21.447497807425513</v>
      </c>
    </row>
    <row r="88" spans="1:11" x14ac:dyDescent="0.25">
      <c r="A88" t="s">
        <v>62</v>
      </c>
      <c r="B88" t="s">
        <v>49</v>
      </c>
      <c r="C88">
        <v>18</v>
      </c>
      <c r="D88">
        <v>7.2</v>
      </c>
      <c r="E88">
        <v>34</v>
      </c>
      <c r="F88" s="61" t="str">
        <f t="shared" si="4"/>
        <v>34, 7.2</v>
      </c>
      <c r="G88">
        <v>3</v>
      </c>
      <c r="H88">
        <v>1711.11</v>
      </c>
      <c r="I88">
        <v>1505.08</v>
      </c>
      <c r="J88">
        <f t="shared" si="5"/>
        <v>13.688973343609641</v>
      </c>
      <c r="K88">
        <f t="shared" si="6"/>
        <v>13.688973343609641</v>
      </c>
    </row>
    <row r="89" spans="1:11" x14ac:dyDescent="0.25">
      <c r="A89" t="s">
        <v>63</v>
      </c>
      <c r="B89" t="s">
        <v>51</v>
      </c>
      <c r="C89">
        <v>12</v>
      </c>
      <c r="D89">
        <v>7.1</v>
      </c>
      <c r="E89">
        <v>32.999999999999993</v>
      </c>
      <c r="F89" s="61" t="str">
        <f t="shared" si="4"/>
        <v>33, 7.1</v>
      </c>
      <c r="G89">
        <v>3</v>
      </c>
      <c r="H89">
        <v>1184.9459999999999</v>
      </c>
      <c r="I89">
        <v>1505.08</v>
      </c>
      <c r="J89">
        <f t="shared" si="5"/>
        <v>-21.270231482711885</v>
      </c>
      <c r="K89">
        <f t="shared" si="6"/>
        <v>21.270231482711885</v>
      </c>
    </row>
    <row r="90" spans="1:11" x14ac:dyDescent="0.25">
      <c r="A90" t="s">
        <v>64</v>
      </c>
      <c r="B90" t="s">
        <v>46</v>
      </c>
      <c r="C90">
        <v>12</v>
      </c>
      <c r="D90">
        <v>7.1</v>
      </c>
      <c r="E90">
        <v>32.999999999999993</v>
      </c>
      <c r="F90" s="61" t="str">
        <f t="shared" si="4"/>
        <v>33, 7.1</v>
      </c>
      <c r="G90">
        <v>3</v>
      </c>
      <c r="H90">
        <v>1113.8920000000001</v>
      </c>
      <c r="I90">
        <v>1505.08</v>
      </c>
      <c r="J90">
        <f t="shared" si="5"/>
        <v>-25.991176548754876</v>
      </c>
      <c r="K90">
        <f t="shared" si="6"/>
        <v>25.991176548754876</v>
      </c>
    </row>
    <row r="91" spans="1:11" x14ac:dyDescent="0.25">
      <c r="A91" t="s">
        <v>65</v>
      </c>
      <c r="B91" t="s">
        <v>49</v>
      </c>
      <c r="C91">
        <v>15</v>
      </c>
      <c r="D91">
        <v>7.3</v>
      </c>
      <c r="E91">
        <v>35</v>
      </c>
      <c r="F91" s="61" t="str">
        <f t="shared" si="4"/>
        <v>35, 7.3</v>
      </c>
      <c r="G91">
        <v>3</v>
      </c>
      <c r="H91">
        <v>1496.0509999999999</v>
      </c>
      <c r="I91">
        <v>1505.08</v>
      </c>
      <c r="J91">
        <f t="shared" si="5"/>
        <v>-0.59990166635660547</v>
      </c>
      <c r="K91">
        <f t="shared" si="6"/>
        <v>0.59990166635660547</v>
      </c>
    </row>
    <row r="92" spans="1:11" x14ac:dyDescent="0.25">
      <c r="A92" t="s">
        <v>66</v>
      </c>
      <c r="B92" t="s">
        <v>46</v>
      </c>
      <c r="C92">
        <v>12</v>
      </c>
      <c r="D92">
        <v>7.2</v>
      </c>
      <c r="E92">
        <v>34</v>
      </c>
      <c r="F92" s="61" t="str">
        <f t="shared" si="4"/>
        <v>34, 7.2</v>
      </c>
      <c r="G92">
        <v>3</v>
      </c>
      <c r="H92">
        <v>1127.2059999999999</v>
      </c>
      <c r="I92">
        <v>1505.08</v>
      </c>
      <c r="J92">
        <f t="shared" si="5"/>
        <v>-25.106572408111198</v>
      </c>
      <c r="K92">
        <f t="shared" si="6"/>
        <v>25.106572408111198</v>
      </c>
    </row>
    <row r="93" spans="1:11" x14ac:dyDescent="0.25">
      <c r="A93" t="s">
        <v>67</v>
      </c>
      <c r="B93" t="s">
        <v>49</v>
      </c>
      <c r="C93">
        <v>12</v>
      </c>
      <c r="D93">
        <v>7.1</v>
      </c>
      <c r="E93">
        <v>32.999999999999993</v>
      </c>
      <c r="F93" s="61" t="str">
        <f t="shared" si="4"/>
        <v>33, 7.1</v>
      </c>
      <c r="G93">
        <v>3</v>
      </c>
      <c r="H93">
        <v>1274.4849999999999</v>
      </c>
      <c r="I93">
        <v>1505.08</v>
      </c>
      <c r="J93">
        <f t="shared" si="5"/>
        <v>-15.321112499003378</v>
      </c>
      <c r="K93">
        <f t="shared" si="6"/>
        <v>15.321112499003378</v>
      </c>
    </row>
    <row r="94" spans="1:11" x14ac:dyDescent="0.25">
      <c r="A94" t="s">
        <v>68</v>
      </c>
      <c r="B94" t="s">
        <v>51</v>
      </c>
      <c r="C94">
        <v>12</v>
      </c>
      <c r="D94">
        <v>7.3</v>
      </c>
      <c r="E94">
        <v>35</v>
      </c>
      <c r="F94" s="61" t="str">
        <f t="shared" si="4"/>
        <v>35, 7.3</v>
      </c>
      <c r="G94">
        <v>3</v>
      </c>
      <c r="H94">
        <v>1388.5509999999999</v>
      </c>
      <c r="I94">
        <v>1505.08</v>
      </c>
      <c r="J94">
        <f t="shared" si="5"/>
        <v>-7.7423791426369366</v>
      </c>
      <c r="K94">
        <f t="shared" si="6"/>
        <v>7.7423791426369366</v>
      </c>
    </row>
    <row r="95" spans="1:11" x14ac:dyDescent="0.25">
      <c r="A95" t="s">
        <v>69</v>
      </c>
      <c r="B95" t="s">
        <v>51</v>
      </c>
      <c r="C95">
        <v>15</v>
      </c>
      <c r="D95">
        <v>7.2</v>
      </c>
      <c r="E95">
        <v>34</v>
      </c>
      <c r="F95" s="61" t="str">
        <f t="shared" si="4"/>
        <v>34, 7.2</v>
      </c>
      <c r="G95">
        <v>3</v>
      </c>
      <c r="H95">
        <v>1485.4960000000001</v>
      </c>
      <c r="I95">
        <v>1505.08</v>
      </c>
      <c r="J95">
        <f t="shared" si="5"/>
        <v>-1.3011932920509097</v>
      </c>
      <c r="K95">
        <f t="shared" si="6"/>
        <v>1.3011932920509097</v>
      </c>
    </row>
    <row r="96" spans="1:11" x14ac:dyDescent="0.25">
      <c r="A96" t="s">
        <v>70</v>
      </c>
      <c r="B96" t="s">
        <v>51</v>
      </c>
      <c r="C96">
        <v>15</v>
      </c>
      <c r="D96">
        <v>7.2</v>
      </c>
      <c r="E96">
        <v>34</v>
      </c>
      <c r="F96" s="61" t="str">
        <f t="shared" si="4"/>
        <v>34, 7.2</v>
      </c>
      <c r="G96">
        <v>3</v>
      </c>
      <c r="H96">
        <v>1513.11</v>
      </c>
      <c r="I96">
        <v>1505.08</v>
      </c>
      <c r="J96">
        <f t="shared" si="5"/>
        <v>0.53352645706540336</v>
      </c>
      <c r="K96">
        <f t="shared" si="6"/>
        <v>0.53352645706540336</v>
      </c>
    </row>
    <row r="97" spans="1:11" x14ac:dyDescent="0.25">
      <c r="A97" t="s">
        <v>71</v>
      </c>
      <c r="B97" t="s">
        <v>51</v>
      </c>
      <c r="C97">
        <v>15</v>
      </c>
      <c r="D97">
        <v>7.2</v>
      </c>
      <c r="E97">
        <v>34</v>
      </c>
      <c r="F97" s="61" t="str">
        <f t="shared" si="4"/>
        <v>34, 7.2</v>
      </c>
      <c r="G97">
        <v>3</v>
      </c>
      <c r="H97">
        <v>1478.4749999999999</v>
      </c>
      <c r="I97">
        <v>1505.08</v>
      </c>
      <c r="J97">
        <f t="shared" si="5"/>
        <v>-1.7676801233157053</v>
      </c>
      <c r="K97">
        <f t="shared" si="6"/>
        <v>1.7676801233157053</v>
      </c>
    </row>
    <row r="98" spans="1:11" x14ac:dyDescent="0.25">
      <c r="A98" t="s">
        <v>45</v>
      </c>
      <c r="B98" t="s">
        <v>46</v>
      </c>
      <c r="C98">
        <v>18</v>
      </c>
      <c r="D98">
        <v>7.1</v>
      </c>
      <c r="E98">
        <v>32.999999999999993</v>
      </c>
      <c r="F98" s="61" t="str">
        <f t="shared" ref="F98:F145" si="7">_xlfn.CONCAT(E98,", ",D98)</f>
        <v>33, 7.1</v>
      </c>
      <c r="G98">
        <v>4</v>
      </c>
      <c r="H98">
        <v>1903.9349999999999</v>
      </c>
      <c r="I98">
        <v>2119.61</v>
      </c>
      <c r="J98">
        <f t="shared" si="5"/>
        <v>-10.175220913281224</v>
      </c>
      <c r="K98">
        <f t="shared" si="6"/>
        <v>10.175220913281224</v>
      </c>
    </row>
    <row r="99" spans="1:11" x14ac:dyDescent="0.25">
      <c r="A99" t="s">
        <v>47</v>
      </c>
      <c r="B99" t="s">
        <v>46</v>
      </c>
      <c r="C99">
        <v>12</v>
      </c>
      <c r="D99">
        <v>7.3</v>
      </c>
      <c r="E99">
        <v>35</v>
      </c>
      <c r="F99" s="61" t="str">
        <f t="shared" si="7"/>
        <v>35, 7.3</v>
      </c>
      <c r="G99">
        <v>4</v>
      </c>
      <c r="H99">
        <v>1766.7449999999999</v>
      </c>
      <c r="I99">
        <v>2119.61</v>
      </c>
      <c r="J99">
        <f t="shared" si="5"/>
        <v>-16.647638008878999</v>
      </c>
      <c r="K99">
        <f t="shared" si="6"/>
        <v>16.647638008878999</v>
      </c>
    </row>
    <row r="100" spans="1:11" x14ac:dyDescent="0.25">
      <c r="A100" t="s">
        <v>48</v>
      </c>
      <c r="B100" t="s">
        <v>49</v>
      </c>
      <c r="C100">
        <v>12</v>
      </c>
      <c r="D100">
        <v>7.2</v>
      </c>
      <c r="E100">
        <v>34</v>
      </c>
      <c r="F100" s="61" t="str">
        <f t="shared" si="7"/>
        <v>34, 7.2</v>
      </c>
      <c r="G100">
        <v>4</v>
      </c>
      <c r="H100">
        <v>1858.6949999999999</v>
      </c>
      <c r="I100">
        <v>2119.61</v>
      </c>
      <c r="J100">
        <f t="shared" si="5"/>
        <v>-12.309575818192977</v>
      </c>
      <c r="K100">
        <f t="shared" si="6"/>
        <v>12.309575818192977</v>
      </c>
    </row>
    <row r="101" spans="1:11" x14ac:dyDescent="0.25">
      <c r="A101" t="s">
        <v>50</v>
      </c>
      <c r="B101" t="s">
        <v>51</v>
      </c>
      <c r="C101">
        <v>18</v>
      </c>
      <c r="D101">
        <v>7.3</v>
      </c>
      <c r="E101">
        <v>35</v>
      </c>
      <c r="F101" s="61" t="str">
        <f t="shared" si="7"/>
        <v>35, 7.3</v>
      </c>
      <c r="G101">
        <v>4</v>
      </c>
      <c r="H101">
        <v>2381.2950000000001</v>
      </c>
      <c r="I101">
        <v>2119.61</v>
      </c>
      <c r="J101">
        <f t="shared" si="5"/>
        <v>12.345903255787617</v>
      </c>
      <c r="K101">
        <f t="shared" si="6"/>
        <v>12.345903255787617</v>
      </c>
    </row>
    <row r="102" spans="1:11" x14ac:dyDescent="0.25">
      <c r="A102" t="s">
        <v>52</v>
      </c>
      <c r="B102" t="s">
        <v>49</v>
      </c>
      <c r="C102">
        <v>18</v>
      </c>
      <c r="D102">
        <v>7.3</v>
      </c>
      <c r="E102">
        <v>35</v>
      </c>
      <c r="F102" s="61" t="str">
        <f t="shared" si="7"/>
        <v>35, 7.3</v>
      </c>
      <c r="G102">
        <v>4</v>
      </c>
      <c r="H102">
        <v>2238.9299999999998</v>
      </c>
      <c r="I102">
        <v>2119.61</v>
      </c>
      <c r="J102">
        <f t="shared" si="5"/>
        <v>5.6293374724595422</v>
      </c>
      <c r="K102">
        <f t="shared" si="6"/>
        <v>5.6293374724595422</v>
      </c>
    </row>
    <row r="103" spans="1:11" x14ac:dyDescent="0.25">
      <c r="A103" t="s">
        <v>53</v>
      </c>
      <c r="B103" t="s">
        <v>49</v>
      </c>
      <c r="C103">
        <v>12</v>
      </c>
      <c r="D103">
        <v>7.3</v>
      </c>
      <c r="E103">
        <v>35</v>
      </c>
      <c r="F103" s="61" t="str">
        <f t="shared" si="7"/>
        <v>35, 7.3</v>
      </c>
      <c r="G103">
        <v>4</v>
      </c>
      <c r="H103">
        <v>1936.47</v>
      </c>
      <c r="I103">
        <v>2119.61</v>
      </c>
      <c r="J103">
        <f t="shared" si="5"/>
        <v>-8.6402687286812245</v>
      </c>
      <c r="K103">
        <f t="shared" si="6"/>
        <v>8.6402687286812245</v>
      </c>
    </row>
    <row r="104" spans="1:11" x14ac:dyDescent="0.25">
      <c r="A104" t="s">
        <v>54</v>
      </c>
      <c r="B104" t="s">
        <v>46</v>
      </c>
      <c r="C104">
        <v>18</v>
      </c>
      <c r="D104">
        <v>7.3</v>
      </c>
      <c r="E104">
        <v>35</v>
      </c>
      <c r="F104" s="61" t="str">
        <f t="shared" si="7"/>
        <v>35, 7.3</v>
      </c>
      <c r="G104">
        <v>4</v>
      </c>
      <c r="H104">
        <v>2102.79</v>
      </c>
      <c r="I104">
        <v>2119.61</v>
      </c>
      <c r="J104">
        <f t="shared" si="5"/>
        <v>-0.79354220823642851</v>
      </c>
      <c r="K104">
        <f t="shared" si="6"/>
        <v>0.79354220823642851</v>
      </c>
    </row>
    <row r="105" spans="1:11" x14ac:dyDescent="0.25">
      <c r="A105" t="s">
        <v>55</v>
      </c>
      <c r="B105" t="s">
        <v>51</v>
      </c>
      <c r="C105">
        <v>15</v>
      </c>
      <c r="D105">
        <v>7.2</v>
      </c>
      <c r="E105">
        <v>34</v>
      </c>
      <c r="F105" s="61" t="str">
        <f t="shared" si="7"/>
        <v>34, 7.2</v>
      </c>
      <c r="G105">
        <v>4</v>
      </c>
      <c r="H105">
        <v>2073.375</v>
      </c>
      <c r="I105">
        <v>2119.61</v>
      </c>
      <c r="J105">
        <f t="shared" si="5"/>
        <v>-2.1812975028425101</v>
      </c>
      <c r="K105">
        <f t="shared" si="6"/>
        <v>2.1812975028425101</v>
      </c>
    </row>
    <row r="106" spans="1:11" x14ac:dyDescent="0.25">
      <c r="A106" t="s">
        <v>56</v>
      </c>
      <c r="B106" t="s">
        <v>49</v>
      </c>
      <c r="C106">
        <v>18</v>
      </c>
      <c r="D106">
        <v>7.1</v>
      </c>
      <c r="E106">
        <v>32.999999999999993</v>
      </c>
      <c r="F106" s="61" t="str">
        <f t="shared" si="7"/>
        <v>33, 7.1</v>
      </c>
      <c r="G106">
        <v>4</v>
      </c>
      <c r="H106">
        <v>2108.64</v>
      </c>
      <c r="I106">
        <v>2119.61</v>
      </c>
      <c r="J106">
        <f t="shared" si="5"/>
        <v>-0.51754803949784411</v>
      </c>
      <c r="K106">
        <f t="shared" si="6"/>
        <v>0.51754803949784411</v>
      </c>
    </row>
    <row r="107" spans="1:11" x14ac:dyDescent="0.25">
      <c r="A107" t="s">
        <v>57</v>
      </c>
      <c r="B107" t="s">
        <v>46</v>
      </c>
      <c r="C107">
        <v>18</v>
      </c>
      <c r="D107">
        <v>7.2</v>
      </c>
      <c r="E107">
        <v>34</v>
      </c>
      <c r="F107" s="61" t="str">
        <f t="shared" si="7"/>
        <v>34, 7.2</v>
      </c>
      <c r="G107">
        <v>4</v>
      </c>
      <c r="H107">
        <v>1726.43</v>
      </c>
      <c r="I107">
        <v>2119.61</v>
      </c>
      <c r="J107">
        <f t="shared" si="5"/>
        <v>-18.549638848656123</v>
      </c>
      <c r="K107">
        <f t="shared" si="6"/>
        <v>18.549638848656123</v>
      </c>
    </row>
    <row r="108" spans="1:11" x14ac:dyDescent="0.25">
      <c r="A108" t="s">
        <v>58</v>
      </c>
      <c r="B108" t="s">
        <v>51</v>
      </c>
      <c r="C108">
        <v>18</v>
      </c>
      <c r="D108">
        <v>7.1</v>
      </c>
      <c r="E108">
        <v>32.999999999999993</v>
      </c>
      <c r="F108" s="61" t="str">
        <f t="shared" si="7"/>
        <v>33, 7.1</v>
      </c>
      <c r="G108">
        <v>4</v>
      </c>
      <c r="H108">
        <v>2216.6799999999998</v>
      </c>
      <c r="I108">
        <v>2119.61</v>
      </c>
      <c r="J108">
        <f t="shared" si="5"/>
        <v>4.5796160614452521</v>
      </c>
      <c r="K108">
        <f t="shared" si="6"/>
        <v>4.5796160614452521</v>
      </c>
    </row>
    <row r="109" spans="1:11" x14ac:dyDescent="0.25">
      <c r="A109" t="s">
        <v>59</v>
      </c>
      <c r="B109" t="s">
        <v>46</v>
      </c>
      <c r="C109">
        <v>15</v>
      </c>
      <c r="D109">
        <v>7.1</v>
      </c>
      <c r="E109">
        <v>32.999999999999993</v>
      </c>
      <c r="F109" s="61" t="str">
        <f t="shared" si="7"/>
        <v>33, 7.1</v>
      </c>
      <c r="G109">
        <v>4</v>
      </c>
      <c r="H109">
        <v>1533.1813333333332</v>
      </c>
      <c r="I109">
        <v>2119.61</v>
      </c>
      <c r="J109">
        <f t="shared" si="5"/>
        <v>-27.666819210452246</v>
      </c>
      <c r="K109">
        <f t="shared" si="6"/>
        <v>27.666819210452246</v>
      </c>
    </row>
    <row r="110" spans="1:11" x14ac:dyDescent="0.25">
      <c r="A110" t="s">
        <v>60</v>
      </c>
      <c r="B110" t="s">
        <v>49</v>
      </c>
      <c r="C110">
        <v>15</v>
      </c>
      <c r="D110">
        <v>7.1</v>
      </c>
      <c r="E110">
        <v>32.999999999999993</v>
      </c>
      <c r="F110" s="61" t="str">
        <f t="shared" si="7"/>
        <v>33, 7.1</v>
      </c>
      <c r="G110">
        <v>4</v>
      </c>
      <c r="H110">
        <v>2059.14</v>
      </c>
      <c r="I110">
        <v>2119.61</v>
      </c>
      <c r="J110">
        <f t="shared" si="5"/>
        <v>-2.8528833134397482</v>
      </c>
      <c r="K110">
        <f t="shared" si="6"/>
        <v>2.8528833134397482</v>
      </c>
    </row>
    <row r="111" spans="1:11" x14ac:dyDescent="0.25">
      <c r="A111" t="s">
        <v>61</v>
      </c>
      <c r="B111" t="s">
        <v>46</v>
      </c>
      <c r="C111">
        <v>15</v>
      </c>
      <c r="D111">
        <v>7.3</v>
      </c>
      <c r="E111">
        <v>35</v>
      </c>
      <c r="F111" s="61" t="str">
        <f t="shared" si="7"/>
        <v>35, 7.3</v>
      </c>
      <c r="G111">
        <v>4</v>
      </c>
      <c r="H111">
        <v>1780.095</v>
      </c>
      <c r="I111">
        <v>2119.61</v>
      </c>
      <c r="J111">
        <f t="shared" si="5"/>
        <v>-16.01780516227042</v>
      </c>
      <c r="K111">
        <f t="shared" si="6"/>
        <v>16.01780516227042</v>
      </c>
    </row>
    <row r="112" spans="1:11" x14ac:dyDescent="0.25">
      <c r="A112" t="s">
        <v>62</v>
      </c>
      <c r="B112" t="s">
        <v>49</v>
      </c>
      <c r="C112">
        <v>18</v>
      </c>
      <c r="D112">
        <v>7.2</v>
      </c>
      <c r="E112">
        <v>34</v>
      </c>
      <c r="F112" s="61" t="str">
        <f t="shared" si="7"/>
        <v>34, 7.2</v>
      </c>
      <c r="G112">
        <v>4</v>
      </c>
      <c r="H112">
        <v>2379.6750000000002</v>
      </c>
      <c r="I112">
        <v>2119.61</v>
      </c>
      <c r="J112">
        <f t="shared" si="5"/>
        <v>12.269474101367708</v>
      </c>
      <c r="K112">
        <f t="shared" si="6"/>
        <v>12.269474101367708</v>
      </c>
    </row>
    <row r="113" spans="1:11" x14ac:dyDescent="0.25">
      <c r="A113" t="s">
        <v>63</v>
      </c>
      <c r="B113" t="s">
        <v>51</v>
      </c>
      <c r="C113">
        <v>12</v>
      </c>
      <c r="D113">
        <v>7.1</v>
      </c>
      <c r="E113">
        <v>32.999999999999993</v>
      </c>
      <c r="F113" s="61" t="str">
        <f t="shared" si="7"/>
        <v>33, 7.1</v>
      </c>
      <c r="G113">
        <v>4</v>
      </c>
      <c r="H113">
        <v>1695.9749999999999</v>
      </c>
      <c r="I113">
        <v>2119.61</v>
      </c>
      <c r="J113">
        <f t="shared" si="5"/>
        <v>-19.986459773260183</v>
      </c>
      <c r="K113">
        <f t="shared" si="6"/>
        <v>19.986459773260183</v>
      </c>
    </row>
    <row r="114" spans="1:11" x14ac:dyDescent="0.25">
      <c r="A114" t="s">
        <v>64</v>
      </c>
      <c r="B114" t="s">
        <v>46</v>
      </c>
      <c r="C114">
        <v>12</v>
      </c>
      <c r="D114">
        <v>7.1</v>
      </c>
      <c r="E114">
        <v>32.999999999999993</v>
      </c>
      <c r="F114" s="61" t="str">
        <f t="shared" si="7"/>
        <v>33, 7.1</v>
      </c>
      <c r="G114">
        <v>4</v>
      </c>
      <c r="H114">
        <v>1544.19</v>
      </c>
      <c r="I114">
        <v>2119.61</v>
      </c>
      <c r="J114">
        <f t="shared" si="5"/>
        <v>-27.147446935992942</v>
      </c>
      <c r="K114">
        <f t="shared" si="6"/>
        <v>27.147446935992942</v>
      </c>
    </row>
    <row r="115" spans="1:11" x14ac:dyDescent="0.25">
      <c r="A115" t="s">
        <v>65</v>
      </c>
      <c r="B115" t="s">
        <v>49</v>
      </c>
      <c r="C115">
        <v>15</v>
      </c>
      <c r="D115">
        <v>7.3</v>
      </c>
      <c r="E115">
        <v>35</v>
      </c>
      <c r="F115" s="61" t="str">
        <f t="shared" si="7"/>
        <v>35, 7.3</v>
      </c>
      <c r="G115">
        <v>4</v>
      </c>
      <c r="H115">
        <v>2189.4450000000002</v>
      </c>
      <c r="I115">
        <v>2119.61</v>
      </c>
      <c r="J115">
        <f t="shared" si="5"/>
        <v>3.2947098758733935</v>
      </c>
      <c r="K115">
        <f t="shared" si="6"/>
        <v>3.2947098758733935</v>
      </c>
    </row>
    <row r="116" spans="1:11" x14ac:dyDescent="0.25">
      <c r="A116" t="s">
        <v>66</v>
      </c>
      <c r="B116" t="s">
        <v>46</v>
      </c>
      <c r="C116">
        <v>12</v>
      </c>
      <c r="D116">
        <v>7.2</v>
      </c>
      <c r="E116">
        <v>34</v>
      </c>
      <c r="F116" s="61" t="str">
        <f t="shared" si="7"/>
        <v>34, 7.2</v>
      </c>
      <c r="G116">
        <v>4</v>
      </c>
      <c r="H116">
        <v>1662.33</v>
      </c>
      <c r="I116">
        <v>2119.61</v>
      </c>
      <c r="J116">
        <f t="shared" si="5"/>
        <v>-21.573780082184939</v>
      </c>
      <c r="K116">
        <f t="shared" si="6"/>
        <v>21.573780082184939</v>
      </c>
    </row>
    <row r="117" spans="1:11" x14ac:dyDescent="0.25">
      <c r="A117" t="s">
        <v>67</v>
      </c>
      <c r="B117" t="s">
        <v>49</v>
      </c>
      <c r="C117">
        <v>12</v>
      </c>
      <c r="D117">
        <v>7.1</v>
      </c>
      <c r="E117">
        <v>32.999999999999993</v>
      </c>
      <c r="F117" s="61" t="str">
        <f t="shared" si="7"/>
        <v>33, 7.1</v>
      </c>
      <c r="G117">
        <v>4</v>
      </c>
      <c r="H117">
        <v>1826.0550000000001</v>
      </c>
      <c r="I117">
        <v>2119.61</v>
      </c>
      <c r="J117">
        <f t="shared" si="5"/>
        <v>-13.84948174428315</v>
      </c>
      <c r="K117">
        <f t="shared" si="6"/>
        <v>13.84948174428315</v>
      </c>
    </row>
    <row r="118" spans="1:11" x14ac:dyDescent="0.25">
      <c r="A118" t="s">
        <v>68</v>
      </c>
      <c r="B118" t="s">
        <v>51</v>
      </c>
      <c r="C118">
        <v>12</v>
      </c>
      <c r="D118">
        <v>7.3</v>
      </c>
      <c r="E118">
        <v>35</v>
      </c>
      <c r="F118" s="61" t="str">
        <f t="shared" si="7"/>
        <v>35, 7.3</v>
      </c>
      <c r="G118">
        <v>4</v>
      </c>
      <c r="H118">
        <v>1736.7</v>
      </c>
      <c r="I118">
        <v>2119.61</v>
      </c>
      <c r="J118">
        <f t="shared" si="5"/>
        <v>-18.065115752426156</v>
      </c>
      <c r="K118">
        <f t="shared" si="6"/>
        <v>18.065115752426156</v>
      </c>
    </row>
    <row r="119" spans="1:11" x14ac:dyDescent="0.25">
      <c r="A119" t="s">
        <v>69</v>
      </c>
      <c r="B119" t="s">
        <v>51</v>
      </c>
      <c r="C119">
        <v>15</v>
      </c>
      <c r="D119">
        <v>7.2</v>
      </c>
      <c r="E119">
        <v>34</v>
      </c>
      <c r="F119" s="61" t="str">
        <f t="shared" si="7"/>
        <v>34, 7.2</v>
      </c>
      <c r="G119">
        <v>4</v>
      </c>
      <c r="H119">
        <v>2179.875</v>
      </c>
      <c r="I119">
        <v>2119.61</v>
      </c>
      <c r="J119">
        <f t="shared" si="5"/>
        <v>2.8432117229112843</v>
      </c>
      <c r="K119">
        <f t="shared" si="6"/>
        <v>2.8432117229112843</v>
      </c>
    </row>
    <row r="120" spans="1:11" x14ac:dyDescent="0.25">
      <c r="A120" t="s">
        <v>70</v>
      </c>
      <c r="B120" t="s">
        <v>51</v>
      </c>
      <c r="C120">
        <v>15</v>
      </c>
      <c r="D120">
        <v>7.2</v>
      </c>
      <c r="E120">
        <v>34</v>
      </c>
      <c r="F120" s="61" t="str">
        <f t="shared" si="7"/>
        <v>34, 7.2</v>
      </c>
      <c r="G120">
        <v>4</v>
      </c>
      <c r="H120">
        <v>2113.875</v>
      </c>
      <c r="I120">
        <v>2119.61</v>
      </c>
      <c r="J120">
        <f t="shared" si="5"/>
        <v>-0.27056864234458827</v>
      </c>
      <c r="K120">
        <f t="shared" si="6"/>
        <v>0.27056864234458827</v>
      </c>
    </row>
    <row r="121" spans="1:11" x14ac:dyDescent="0.25">
      <c r="A121" t="s">
        <v>71</v>
      </c>
      <c r="B121" t="s">
        <v>51</v>
      </c>
      <c r="C121">
        <v>15</v>
      </c>
      <c r="D121">
        <v>7.2</v>
      </c>
      <c r="E121">
        <v>34</v>
      </c>
      <c r="F121" s="61" t="str">
        <f t="shared" si="7"/>
        <v>34, 7.2</v>
      </c>
      <c r="G121">
        <v>4</v>
      </c>
      <c r="H121">
        <v>1874.79</v>
      </c>
      <c r="I121">
        <v>2119.61</v>
      </c>
      <c r="J121">
        <f t="shared" si="5"/>
        <v>-11.550238015483986</v>
      </c>
      <c r="K121">
        <f t="shared" si="6"/>
        <v>11.550238015483986</v>
      </c>
    </row>
    <row r="122" spans="1:11" x14ac:dyDescent="0.25">
      <c r="A122" t="s">
        <v>45</v>
      </c>
      <c r="B122" t="s">
        <v>46</v>
      </c>
      <c r="C122">
        <v>18</v>
      </c>
      <c r="D122">
        <v>7.1</v>
      </c>
      <c r="E122">
        <v>32.999999999999993</v>
      </c>
      <c r="F122" s="61" t="str">
        <f t="shared" si="7"/>
        <v>33, 7.1</v>
      </c>
      <c r="G122">
        <v>5</v>
      </c>
      <c r="H122">
        <f t="shared" ref="H122:H145" si="8">AVERAGE(H98,H146)</f>
        <v>2537.7224999999999</v>
      </c>
      <c r="I122">
        <v>2716.05</v>
      </c>
      <c r="J122">
        <f t="shared" ref="J122:J146" si="9">100*(H122-I122)/I122</f>
        <v>-6.5656928259789149</v>
      </c>
      <c r="K122">
        <f t="shared" si="6"/>
        <v>6.5656928259789149</v>
      </c>
    </row>
    <row r="123" spans="1:11" x14ac:dyDescent="0.25">
      <c r="A123" t="s">
        <v>47</v>
      </c>
      <c r="B123" t="s">
        <v>46</v>
      </c>
      <c r="C123">
        <v>12</v>
      </c>
      <c r="D123">
        <v>7.3</v>
      </c>
      <c r="E123">
        <v>35</v>
      </c>
      <c r="F123" s="61" t="str">
        <f t="shared" si="7"/>
        <v>35, 7.3</v>
      </c>
      <c r="G123">
        <v>5</v>
      </c>
      <c r="H123">
        <f t="shared" si="8"/>
        <v>2356.5149999999999</v>
      </c>
      <c r="I123">
        <v>2716.05</v>
      </c>
      <c r="J123">
        <f t="shared" si="9"/>
        <v>-13.237421991495012</v>
      </c>
      <c r="K123">
        <f t="shared" si="6"/>
        <v>13.237421991495012</v>
      </c>
    </row>
    <row r="124" spans="1:11" x14ac:dyDescent="0.25">
      <c r="A124" t="s">
        <v>48</v>
      </c>
      <c r="B124" t="s">
        <v>49</v>
      </c>
      <c r="C124">
        <v>12</v>
      </c>
      <c r="D124">
        <v>7.2</v>
      </c>
      <c r="E124">
        <v>34</v>
      </c>
      <c r="F124" s="61" t="str">
        <f t="shared" si="7"/>
        <v>34, 7.2</v>
      </c>
      <c r="G124">
        <v>5</v>
      </c>
      <c r="H124">
        <f t="shared" si="8"/>
        <v>2569.9949999999999</v>
      </c>
      <c r="I124">
        <v>2716.05</v>
      </c>
      <c r="J124">
        <f t="shared" si="9"/>
        <v>-5.3774783233003918</v>
      </c>
      <c r="K124">
        <f t="shared" si="6"/>
        <v>5.3774783233003918</v>
      </c>
    </row>
    <row r="125" spans="1:11" x14ac:dyDescent="0.25">
      <c r="A125" t="s">
        <v>50</v>
      </c>
      <c r="B125" t="s">
        <v>51</v>
      </c>
      <c r="C125">
        <v>18</v>
      </c>
      <c r="D125">
        <v>7.3</v>
      </c>
      <c r="E125">
        <v>35</v>
      </c>
      <c r="F125" s="61" t="str">
        <f t="shared" si="7"/>
        <v>35, 7.3</v>
      </c>
      <c r="G125">
        <v>5</v>
      </c>
      <c r="H125">
        <f t="shared" si="8"/>
        <v>3115.41</v>
      </c>
      <c r="I125">
        <v>2716.05</v>
      </c>
      <c r="J125">
        <f t="shared" si="9"/>
        <v>14.703705749157773</v>
      </c>
      <c r="K125">
        <f t="shared" si="6"/>
        <v>14.703705749157773</v>
      </c>
    </row>
    <row r="126" spans="1:11" x14ac:dyDescent="0.25">
      <c r="A126" t="s">
        <v>52</v>
      </c>
      <c r="B126" t="s">
        <v>49</v>
      </c>
      <c r="C126">
        <v>18</v>
      </c>
      <c r="D126">
        <v>7.3</v>
      </c>
      <c r="E126">
        <v>35</v>
      </c>
      <c r="F126" s="61" t="str">
        <f t="shared" si="7"/>
        <v>35, 7.3</v>
      </c>
      <c r="G126">
        <v>5</v>
      </c>
      <c r="H126">
        <f t="shared" si="8"/>
        <v>2879.6025</v>
      </c>
      <c r="I126">
        <v>2716.05</v>
      </c>
      <c r="J126">
        <f t="shared" si="9"/>
        <v>6.0217043132490113</v>
      </c>
      <c r="K126">
        <f t="shared" si="6"/>
        <v>6.0217043132490113</v>
      </c>
    </row>
    <row r="127" spans="1:11" x14ac:dyDescent="0.25">
      <c r="A127" t="s">
        <v>53</v>
      </c>
      <c r="B127" t="s">
        <v>49</v>
      </c>
      <c r="C127">
        <v>12</v>
      </c>
      <c r="D127">
        <v>7.3</v>
      </c>
      <c r="E127">
        <v>35</v>
      </c>
      <c r="F127" s="61" t="str">
        <f t="shared" si="7"/>
        <v>35, 7.3</v>
      </c>
      <c r="G127">
        <v>5</v>
      </c>
      <c r="H127">
        <f t="shared" si="8"/>
        <v>2690.88</v>
      </c>
      <c r="I127">
        <v>2716.05</v>
      </c>
      <c r="J127">
        <f t="shared" si="9"/>
        <v>-0.92671342574695126</v>
      </c>
      <c r="K127">
        <f t="shared" si="6"/>
        <v>0.92671342574695126</v>
      </c>
    </row>
    <row r="128" spans="1:11" x14ac:dyDescent="0.25">
      <c r="A128" t="s">
        <v>54</v>
      </c>
      <c r="B128" t="s">
        <v>46</v>
      </c>
      <c r="C128">
        <v>18</v>
      </c>
      <c r="D128">
        <v>7.3</v>
      </c>
      <c r="E128">
        <v>35</v>
      </c>
      <c r="F128" s="61" t="str">
        <f t="shared" si="7"/>
        <v>35, 7.3</v>
      </c>
      <c r="G128">
        <v>5</v>
      </c>
      <c r="H128">
        <f t="shared" si="8"/>
        <v>2787.6</v>
      </c>
      <c r="I128">
        <v>2716.05</v>
      </c>
      <c r="J128">
        <f t="shared" si="9"/>
        <v>2.6343403103771919</v>
      </c>
      <c r="K128">
        <f t="shared" si="6"/>
        <v>2.6343403103771919</v>
      </c>
    </row>
    <row r="129" spans="1:11" x14ac:dyDescent="0.25">
      <c r="A129" t="s">
        <v>55</v>
      </c>
      <c r="B129" t="s">
        <v>51</v>
      </c>
      <c r="C129">
        <v>15</v>
      </c>
      <c r="D129">
        <v>7.2</v>
      </c>
      <c r="E129">
        <v>34</v>
      </c>
      <c r="F129" s="61" t="str">
        <f t="shared" si="7"/>
        <v>34, 7.2</v>
      </c>
      <c r="G129">
        <v>5</v>
      </c>
      <c r="H129">
        <f t="shared" si="8"/>
        <v>2688.585</v>
      </c>
      <c r="I129">
        <v>2716.05</v>
      </c>
      <c r="J129">
        <f t="shared" si="9"/>
        <v>-1.0112111338156566</v>
      </c>
      <c r="K129">
        <f t="shared" si="6"/>
        <v>1.0112111338156566</v>
      </c>
    </row>
    <row r="130" spans="1:11" x14ac:dyDescent="0.25">
      <c r="A130" t="s">
        <v>56</v>
      </c>
      <c r="B130" t="s">
        <v>49</v>
      </c>
      <c r="C130">
        <v>18</v>
      </c>
      <c r="D130">
        <v>7.1</v>
      </c>
      <c r="E130">
        <v>32.999999999999993</v>
      </c>
      <c r="F130" s="61" t="str">
        <f t="shared" si="7"/>
        <v>33, 7.1</v>
      </c>
      <c r="G130">
        <v>5</v>
      </c>
      <c r="H130">
        <f t="shared" si="8"/>
        <v>2855.3175000000001</v>
      </c>
      <c r="I130">
        <v>2716.05</v>
      </c>
      <c r="J130">
        <f t="shared" si="9"/>
        <v>5.1275749710056857</v>
      </c>
      <c r="K130">
        <f t="shared" si="6"/>
        <v>5.1275749710056857</v>
      </c>
    </row>
    <row r="131" spans="1:11" x14ac:dyDescent="0.25">
      <c r="A131" t="s">
        <v>57</v>
      </c>
      <c r="B131" t="s">
        <v>46</v>
      </c>
      <c r="C131">
        <v>18</v>
      </c>
      <c r="D131">
        <v>7.2</v>
      </c>
      <c r="E131">
        <v>34</v>
      </c>
      <c r="F131" s="61" t="str">
        <f t="shared" si="7"/>
        <v>34, 7.2</v>
      </c>
      <c r="G131">
        <v>5</v>
      </c>
      <c r="H131">
        <f t="shared" si="8"/>
        <v>2470.9900000000002</v>
      </c>
      <c r="I131">
        <v>2716.05</v>
      </c>
      <c r="J131">
        <f t="shared" si="9"/>
        <v>-9.022661585758728</v>
      </c>
      <c r="K131">
        <f t="shared" ref="K131:K194" si="10">IF(ISBLANK(J131),"",ABS(J131))</f>
        <v>9.022661585758728</v>
      </c>
    </row>
    <row r="132" spans="1:11" x14ac:dyDescent="0.25">
      <c r="A132" t="s">
        <v>58</v>
      </c>
      <c r="B132" t="s">
        <v>51</v>
      </c>
      <c r="C132">
        <v>18</v>
      </c>
      <c r="D132">
        <v>7.1</v>
      </c>
      <c r="E132">
        <v>32.999999999999993</v>
      </c>
      <c r="F132" s="61" t="str">
        <f t="shared" si="7"/>
        <v>33, 7.1</v>
      </c>
      <c r="G132">
        <v>5</v>
      </c>
      <c r="H132">
        <f t="shared" si="8"/>
        <v>2900.06</v>
      </c>
      <c r="I132">
        <v>2716.05</v>
      </c>
      <c r="J132">
        <f t="shared" si="9"/>
        <v>6.7749120966108789</v>
      </c>
      <c r="K132">
        <f t="shared" si="10"/>
        <v>6.7749120966108789</v>
      </c>
    </row>
    <row r="133" spans="1:11" x14ac:dyDescent="0.25">
      <c r="A133" t="s">
        <v>59</v>
      </c>
      <c r="B133" t="s">
        <v>46</v>
      </c>
      <c r="C133">
        <v>15</v>
      </c>
      <c r="D133">
        <v>7.1</v>
      </c>
      <c r="E133">
        <v>32.999999999999993</v>
      </c>
      <c r="F133" s="61" t="str">
        <f t="shared" si="7"/>
        <v>33, 7.1</v>
      </c>
      <c r="G133">
        <v>5</v>
      </c>
      <c r="H133">
        <f t="shared" si="8"/>
        <v>2171.8131666666668</v>
      </c>
      <c r="I133">
        <v>2716.05</v>
      </c>
      <c r="J133">
        <f t="shared" si="9"/>
        <v>-20.037806127771333</v>
      </c>
      <c r="K133">
        <f t="shared" si="10"/>
        <v>20.037806127771333</v>
      </c>
    </row>
    <row r="134" spans="1:11" x14ac:dyDescent="0.25">
      <c r="A134" t="s">
        <v>60</v>
      </c>
      <c r="B134" t="s">
        <v>49</v>
      </c>
      <c r="C134">
        <v>15</v>
      </c>
      <c r="D134">
        <v>7.1</v>
      </c>
      <c r="E134">
        <v>32.999999999999993</v>
      </c>
      <c r="F134" s="61" t="str">
        <f t="shared" si="7"/>
        <v>33, 7.1</v>
      </c>
      <c r="G134">
        <v>5</v>
      </c>
      <c r="H134">
        <f t="shared" si="8"/>
        <v>2754.1724999999997</v>
      </c>
      <c r="I134">
        <v>2716.05</v>
      </c>
      <c r="J134">
        <f t="shared" si="9"/>
        <v>1.4036008173634318</v>
      </c>
      <c r="K134">
        <f t="shared" si="10"/>
        <v>1.4036008173634318</v>
      </c>
    </row>
    <row r="135" spans="1:11" x14ac:dyDescent="0.25">
      <c r="A135" t="s">
        <v>61</v>
      </c>
      <c r="B135" t="s">
        <v>46</v>
      </c>
      <c r="C135">
        <v>15</v>
      </c>
      <c r="D135">
        <v>7.3</v>
      </c>
      <c r="E135">
        <v>35</v>
      </c>
      <c r="F135" s="61" t="str">
        <f t="shared" si="7"/>
        <v>35, 7.3</v>
      </c>
      <c r="G135">
        <v>5</v>
      </c>
      <c r="H135">
        <f t="shared" si="8"/>
        <v>2561.5425</v>
      </c>
      <c r="I135">
        <v>2716.05</v>
      </c>
      <c r="J135">
        <f t="shared" si="9"/>
        <v>-5.6886839343900206</v>
      </c>
      <c r="K135">
        <f t="shared" si="10"/>
        <v>5.6886839343900206</v>
      </c>
    </row>
    <row r="136" spans="1:11" x14ac:dyDescent="0.25">
      <c r="A136" t="s">
        <v>62</v>
      </c>
      <c r="B136" t="s">
        <v>49</v>
      </c>
      <c r="C136">
        <v>18</v>
      </c>
      <c r="D136">
        <v>7.2</v>
      </c>
      <c r="E136">
        <v>34</v>
      </c>
      <c r="F136" s="61" t="str">
        <f t="shared" si="7"/>
        <v>34, 7.2</v>
      </c>
      <c r="G136">
        <v>5</v>
      </c>
      <c r="H136">
        <f t="shared" si="8"/>
        <v>3062.5525000000002</v>
      </c>
      <c r="I136">
        <v>2716.05</v>
      </c>
      <c r="J136">
        <f t="shared" si="9"/>
        <v>12.757589146002468</v>
      </c>
      <c r="K136">
        <f t="shared" si="10"/>
        <v>12.757589146002468</v>
      </c>
    </row>
    <row r="137" spans="1:11" x14ac:dyDescent="0.25">
      <c r="A137" t="s">
        <v>63</v>
      </c>
      <c r="B137" t="s">
        <v>51</v>
      </c>
      <c r="C137">
        <v>12</v>
      </c>
      <c r="D137">
        <v>7.1</v>
      </c>
      <c r="E137">
        <v>32.999999999999993</v>
      </c>
      <c r="F137" s="61" t="str">
        <f t="shared" si="7"/>
        <v>33, 7.1</v>
      </c>
      <c r="G137">
        <v>5</v>
      </c>
      <c r="H137">
        <f t="shared" si="8"/>
        <v>2274.8175000000001</v>
      </c>
      <c r="I137">
        <v>2716.05</v>
      </c>
      <c r="J137">
        <f t="shared" si="9"/>
        <v>-16.245374716960292</v>
      </c>
      <c r="K137">
        <f t="shared" si="10"/>
        <v>16.245374716960292</v>
      </c>
    </row>
    <row r="138" spans="1:11" x14ac:dyDescent="0.25">
      <c r="A138" t="s">
        <v>64</v>
      </c>
      <c r="B138" t="s">
        <v>46</v>
      </c>
      <c r="C138">
        <v>12</v>
      </c>
      <c r="D138">
        <v>7.1</v>
      </c>
      <c r="E138">
        <v>32.999999999999993</v>
      </c>
      <c r="F138" s="61" t="str">
        <f t="shared" si="7"/>
        <v>33, 7.1</v>
      </c>
      <c r="G138">
        <v>5</v>
      </c>
      <c r="H138">
        <f t="shared" si="8"/>
        <v>2153.3775000000001</v>
      </c>
      <c r="I138">
        <v>2716.05</v>
      </c>
      <c r="J138">
        <f t="shared" si="9"/>
        <v>-20.71657370077871</v>
      </c>
      <c r="K138">
        <f t="shared" si="10"/>
        <v>20.71657370077871</v>
      </c>
    </row>
    <row r="139" spans="1:11" x14ac:dyDescent="0.25">
      <c r="A139" t="s">
        <v>65</v>
      </c>
      <c r="B139" t="s">
        <v>49</v>
      </c>
      <c r="C139">
        <v>15</v>
      </c>
      <c r="D139">
        <v>7.3</v>
      </c>
      <c r="E139">
        <v>35</v>
      </c>
      <c r="F139" s="61" t="str">
        <f t="shared" si="7"/>
        <v>35, 7.3</v>
      </c>
      <c r="G139">
        <v>5</v>
      </c>
      <c r="H139">
        <f t="shared" si="8"/>
        <v>2929.4850000000001</v>
      </c>
      <c r="I139">
        <v>2716.05</v>
      </c>
      <c r="J139">
        <f t="shared" si="9"/>
        <v>7.8582868503893488</v>
      </c>
      <c r="K139">
        <f t="shared" si="10"/>
        <v>7.8582868503893488</v>
      </c>
    </row>
    <row r="140" spans="1:11" x14ac:dyDescent="0.25">
      <c r="A140" t="s">
        <v>66</v>
      </c>
      <c r="B140" t="s">
        <v>46</v>
      </c>
      <c r="C140">
        <v>12</v>
      </c>
      <c r="D140">
        <v>7.2</v>
      </c>
      <c r="E140">
        <v>34</v>
      </c>
      <c r="F140" s="61" t="str">
        <f t="shared" si="7"/>
        <v>34, 7.2</v>
      </c>
      <c r="G140">
        <v>5</v>
      </c>
      <c r="H140">
        <f t="shared" si="8"/>
        <v>2360.7075</v>
      </c>
      <c r="I140">
        <v>2716.05</v>
      </c>
      <c r="J140">
        <f t="shared" si="9"/>
        <v>-13.083061799304144</v>
      </c>
      <c r="K140">
        <f t="shared" si="10"/>
        <v>13.083061799304144</v>
      </c>
    </row>
    <row r="141" spans="1:11" x14ac:dyDescent="0.25">
      <c r="A141" t="s">
        <v>67</v>
      </c>
      <c r="B141" t="s">
        <v>49</v>
      </c>
      <c r="C141">
        <v>12</v>
      </c>
      <c r="D141">
        <v>7.1</v>
      </c>
      <c r="E141">
        <v>32.999999999999993</v>
      </c>
      <c r="F141" s="61" t="str">
        <f t="shared" si="7"/>
        <v>33, 7.1</v>
      </c>
      <c r="G141">
        <v>5</v>
      </c>
      <c r="H141">
        <f t="shared" si="8"/>
        <v>2433.15</v>
      </c>
      <c r="I141">
        <v>2716.05</v>
      </c>
      <c r="J141">
        <f t="shared" si="9"/>
        <v>-10.415861269122441</v>
      </c>
      <c r="K141">
        <f t="shared" si="10"/>
        <v>10.415861269122441</v>
      </c>
    </row>
    <row r="142" spans="1:11" x14ac:dyDescent="0.25">
      <c r="A142" t="s">
        <v>68</v>
      </c>
      <c r="B142" t="s">
        <v>51</v>
      </c>
      <c r="C142">
        <v>12</v>
      </c>
      <c r="D142">
        <v>7.3</v>
      </c>
      <c r="E142">
        <v>35</v>
      </c>
      <c r="F142" s="61" t="str">
        <f t="shared" si="7"/>
        <v>35, 7.3</v>
      </c>
      <c r="G142">
        <v>5</v>
      </c>
      <c r="H142">
        <f t="shared" si="8"/>
        <v>2344.9949999999999</v>
      </c>
      <c r="I142">
        <v>2716.05</v>
      </c>
      <c r="J142">
        <f t="shared" si="9"/>
        <v>-13.661567349643795</v>
      </c>
      <c r="K142">
        <f t="shared" si="10"/>
        <v>13.661567349643795</v>
      </c>
    </row>
    <row r="143" spans="1:11" x14ac:dyDescent="0.25">
      <c r="A143" t="s">
        <v>69</v>
      </c>
      <c r="B143" t="s">
        <v>51</v>
      </c>
      <c r="C143">
        <v>15</v>
      </c>
      <c r="D143">
        <v>7.2</v>
      </c>
      <c r="E143">
        <v>34</v>
      </c>
      <c r="F143" s="61" t="str">
        <f t="shared" si="7"/>
        <v>34, 7.2</v>
      </c>
      <c r="G143">
        <v>5</v>
      </c>
      <c r="H143">
        <f t="shared" si="8"/>
        <v>2726.7224999999999</v>
      </c>
      <c r="I143">
        <v>2716.05</v>
      </c>
      <c r="J143">
        <f t="shared" si="9"/>
        <v>0.39294195614954336</v>
      </c>
      <c r="K143">
        <f t="shared" si="10"/>
        <v>0.39294195614954336</v>
      </c>
    </row>
    <row r="144" spans="1:11" x14ac:dyDescent="0.25">
      <c r="A144" t="s">
        <v>70</v>
      </c>
      <c r="B144" t="s">
        <v>51</v>
      </c>
      <c r="C144">
        <v>15</v>
      </c>
      <c r="D144">
        <v>7.2</v>
      </c>
      <c r="E144">
        <v>34</v>
      </c>
      <c r="F144" s="61" t="str">
        <f t="shared" si="7"/>
        <v>34, 7.2</v>
      </c>
      <c r="G144">
        <v>5</v>
      </c>
      <c r="H144">
        <f t="shared" si="8"/>
        <v>2768.1824999999999</v>
      </c>
      <c r="I144">
        <v>2716.05</v>
      </c>
      <c r="J144">
        <f t="shared" si="9"/>
        <v>1.9194234274037556</v>
      </c>
      <c r="K144">
        <f t="shared" si="10"/>
        <v>1.9194234274037556</v>
      </c>
    </row>
    <row r="145" spans="1:11" x14ac:dyDescent="0.25">
      <c r="A145" t="s">
        <v>71</v>
      </c>
      <c r="B145" t="s">
        <v>51</v>
      </c>
      <c r="C145">
        <v>15</v>
      </c>
      <c r="D145">
        <v>7.2</v>
      </c>
      <c r="E145">
        <v>34</v>
      </c>
      <c r="F145" s="61" t="str">
        <f t="shared" si="7"/>
        <v>34, 7.2</v>
      </c>
      <c r="G145">
        <v>5</v>
      </c>
      <c r="H145">
        <f t="shared" si="8"/>
        <v>2510.1</v>
      </c>
      <c r="I145">
        <v>2716.05</v>
      </c>
      <c r="J145">
        <f t="shared" si="9"/>
        <v>-7.5827028221130055</v>
      </c>
      <c r="K145">
        <f t="shared" si="10"/>
        <v>7.5827028221130055</v>
      </c>
    </row>
    <row r="146" spans="1:11" x14ac:dyDescent="0.25">
      <c r="A146" t="s">
        <v>45</v>
      </c>
      <c r="B146" t="s">
        <v>46</v>
      </c>
      <c r="C146">
        <v>18</v>
      </c>
      <c r="D146">
        <v>7.1</v>
      </c>
      <c r="E146">
        <v>32.999999999999993</v>
      </c>
      <c r="F146" s="61" t="str">
        <f t="shared" ref="F146:F153" si="11">_xlfn.CONCAT(E146,", ",D146)</f>
        <v>33, 7.1</v>
      </c>
      <c r="G146">
        <v>6</v>
      </c>
      <c r="H146">
        <v>3171.51</v>
      </c>
      <c r="I146">
        <v>3307.9</v>
      </c>
      <c r="J146">
        <f t="shared" si="9"/>
        <v>-4.1231597085764342</v>
      </c>
      <c r="K146">
        <f t="shared" si="10"/>
        <v>4.1231597085764342</v>
      </c>
    </row>
    <row r="147" spans="1:11" x14ac:dyDescent="0.25">
      <c r="A147" t="s">
        <v>47</v>
      </c>
      <c r="B147" t="s">
        <v>46</v>
      </c>
      <c r="C147">
        <v>12</v>
      </c>
      <c r="D147">
        <v>7.3</v>
      </c>
      <c r="E147">
        <v>35</v>
      </c>
      <c r="F147" s="61" t="str">
        <f t="shared" si="11"/>
        <v>35, 7.3</v>
      </c>
      <c r="G147">
        <v>6</v>
      </c>
      <c r="H147">
        <v>2946.2849999999999</v>
      </c>
      <c r="I147">
        <v>3307.9</v>
      </c>
      <c r="J147">
        <f t="shared" ref="J147:J169" si="12">100*(H147-I147)/I147</f>
        <v>-10.931860092505826</v>
      </c>
      <c r="K147">
        <f t="shared" si="10"/>
        <v>10.931860092505826</v>
      </c>
    </row>
    <row r="148" spans="1:11" x14ac:dyDescent="0.25">
      <c r="A148" t="s">
        <v>48</v>
      </c>
      <c r="B148" t="s">
        <v>49</v>
      </c>
      <c r="C148">
        <v>12</v>
      </c>
      <c r="D148">
        <v>7.2</v>
      </c>
      <c r="E148">
        <v>34</v>
      </c>
      <c r="F148" s="61" t="str">
        <f t="shared" si="11"/>
        <v>34, 7.2</v>
      </c>
      <c r="G148">
        <v>6</v>
      </c>
      <c r="H148">
        <v>3281.2950000000001</v>
      </c>
      <c r="I148">
        <v>3307.9</v>
      </c>
      <c r="J148">
        <f t="shared" si="12"/>
        <v>-0.80428670757882692</v>
      </c>
      <c r="K148">
        <f t="shared" si="10"/>
        <v>0.80428670757882692</v>
      </c>
    </row>
    <row r="149" spans="1:11" x14ac:dyDescent="0.25">
      <c r="A149" t="s">
        <v>50</v>
      </c>
      <c r="B149" t="s">
        <v>51</v>
      </c>
      <c r="C149">
        <v>18</v>
      </c>
      <c r="D149">
        <v>7.3</v>
      </c>
      <c r="E149">
        <v>35</v>
      </c>
      <c r="F149" s="61" t="str">
        <f t="shared" si="11"/>
        <v>35, 7.3</v>
      </c>
      <c r="G149">
        <v>6</v>
      </c>
      <c r="H149">
        <v>3849.5250000000001</v>
      </c>
      <c r="I149">
        <v>3307.9</v>
      </c>
      <c r="J149">
        <f t="shared" si="12"/>
        <v>16.373681187460321</v>
      </c>
      <c r="K149">
        <f t="shared" si="10"/>
        <v>16.373681187460321</v>
      </c>
    </row>
    <row r="150" spans="1:11" x14ac:dyDescent="0.25">
      <c r="A150" t="s">
        <v>52</v>
      </c>
      <c r="B150" t="s">
        <v>49</v>
      </c>
      <c r="C150">
        <v>18</v>
      </c>
      <c r="D150">
        <v>7.3</v>
      </c>
      <c r="E150">
        <v>35</v>
      </c>
      <c r="F150" s="61" t="str">
        <f t="shared" si="11"/>
        <v>35, 7.3</v>
      </c>
      <c r="G150">
        <v>6</v>
      </c>
      <c r="H150">
        <v>3520.2750000000001</v>
      </c>
      <c r="I150">
        <v>3307.9</v>
      </c>
      <c r="J150">
        <f t="shared" si="12"/>
        <v>6.4202364037606943</v>
      </c>
      <c r="K150">
        <f t="shared" si="10"/>
        <v>6.4202364037606943</v>
      </c>
    </row>
    <row r="151" spans="1:11" x14ac:dyDescent="0.25">
      <c r="A151" t="s">
        <v>53</v>
      </c>
      <c r="B151" t="s">
        <v>49</v>
      </c>
      <c r="C151">
        <v>12</v>
      </c>
      <c r="D151">
        <v>7.3</v>
      </c>
      <c r="E151">
        <v>35</v>
      </c>
      <c r="F151" s="61" t="str">
        <f t="shared" si="11"/>
        <v>35, 7.3</v>
      </c>
      <c r="G151">
        <v>6</v>
      </c>
      <c r="H151">
        <v>3445.29</v>
      </c>
      <c r="I151">
        <v>3307.9</v>
      </c>
      <c r="J151">
        <f t="shared" si="12"/>
        <v>4.153390368511741</v>
      </c>
      <c r="K151">
        <f t="shared" si="10"/>
        <v>4.153390368511741</v>
      </c>
    </row>
    <row r="152" spans="1:11" x14ac:dyDescent="0.25">
      <c r="A152" t="s">
        <v>54</v>
      </c>
      <c r="B152" t="s">
        <v>46</v>
      </c>
      <c r="C152">
        <v>18</v>
      </c>
      <c r="D152">
        <v>7.3</v>
      </c>
      <c r="E152">
        <v>35</v>
      </c>
      <c r="F152" s="61" t="str">
        <f t="shared" si="11"/>
        <v>35, 7.3</v>
      </c>
      <c r="G152">
        <v>6</v>
      </c>
      <c r="H152">
        <v>3472.41</v>
      </c>
      <c r="I152">
        <v>3307.9</v>
      </c>
      <c r="J152">
        <f t="shared" si="12"/>
        <v>4.9732458659572467</v>
      </c>
      <c r="K152">
        <f t="shared" si="10"/>
        <v>4.9732458659572467</v>
      </c>
    </row>
    <row r="153" spans="1:11" x14ac:dyDescent="0.25">
      <c r="A153" t="s">
        <v>55</v>
      </c>
      <c r="B153" t="s">
        <v>51</v>
      </c>
      <c r="C153">
        <v>15</v>
      </c>
      <c r="D153">
        <v>7.2</v>
      </c>
      <c r="E153">
        <v>34</v>
      </c>
      <c r="F153" s="61" t="str">
        <f t="shared" si="11"/>
        <v>34, 7.2</v>
      </c>
      <c r="G153">
        <v>6</v>
      </c>
      <c r="H153">
        <v>3303.7950000000001</v>
      </c>
      <c r="I153">
        <v>3307.9</v>
      </c>
      <c r="J153">
        <f t="shared" si="12"/>
        <v>-0.12409685903443327</v>
      </c>
      <c r="K153">
        <f t="shared" si="10"/>
        <v>0.12409685903443327</v>
      </c>
    </row>
    <row r="154" spans="1:11" x14ac:dyDescent="0.25">
      <c r="A154" t="s">
        <v>56</v>
      </c>
      <c r="B154" t="s">
        <v>49</v>
      </c>
      <c r="C154">
        <v>18</v>
      </c>
      <c r="D154">
        <v>7.1</v>
      </c>
      <c r="E154">
        <v>32.999999999999993</v>
      </c>
      <c r="F154" s="61" t="str">
        <f t="shared" ref="F154:F169" si="13">_xlfn.CONCAT(E154,", ",D154)</f>
        <v>33, 7.1</v>
      </c>
      <c r="G154">
        <v>6</v>
      </c>
      <c r="H154">
        <v>3601.9949999999999</v>
      </c>
      <c r="I154">
        <v>3307.9</v>
      </c>
      <c r="J154">
        <f t="shared" si="12"/>
        <v>8.8906859336739252</v>
      </c>
      <c r="K154">
        <f t="shared" si="10"/>
        <v>8.8906859336739252</v>
      </c>
    </row>
    <row r="155" spans="1:11" x14ac:dyDescent="0.25">
      <c r="A155" t="s">
        <v>57</v>
      </c>
      <c r="B155" t="s">
        <v>46</v>
      </c>
      <c r="C155">
        <v>18</v>
      </c>
      <c r="D155">
        <v>7.2</v>
      </c>
      <c r="E155">
        <v>34</v>
      </c>
      <c r="F155" s="61" t="str">
        <f t="shared" si="13"/>
        <v>34, 7.2</v>
      </c>
      <c r="G155">
        <v>6</v>
      </c>
      <c r="H155">
        <v>3215.55</v>
      </c>
      <c r="I155">
        <v>3307.9</v>
      </c>
      <c r="J155">
        <f t="shared" si="12"/>
        <v>-2.7918014450255422</v>
      </c>
      <c r="K155">
        <f t="shared" si="10"/>
        <v>2.7918014450255422</v>
      </c>
    </row>
    <row r="156" spans="1:11" x14ac:dyDescent="0.25">
      <c r="A156" t="s">
        <v>58</v>
      </c>
      <c r="B156" t="s">
        <v>51</v>
      </c>
      <c r="C156">
        <v>18</v>
      </c>
      <c r="D156">
        <v>7.1</v>
      </c>
      <c r="E156">
        <v>32.999999999999993</v>
      </c>
      <c r="F156" s="61" t="str">
        <f t="shared" si="13"/>
        <v>33, 7.1</v>
      </c>
      <c r="G156">
        <v>6</v>
      </c>
      <c r="H156">
        <v>3583.44</v>
      </c>
      <c r="I156">
        <v>3307.9</v>
      </c>
      <c r="J156">
        <f t="shared" si="12"/>
        <v>8.3297560385743203</v>
      </c>
      <c r="K156">
        <f t="shared" si="10"/>
        <v>8.3297560385743203</v>
      </c>
    </row>
    <row r="157" spans="1:11" x14ac:dyDescent="0.25">
      <c r="A157" t="s">
        <v>59</v>
      </c>
      <c r="B157" t="s">
        <v>46</v>
      </c>
      <c r="C157">
        <v>15</v>
      </c>
      <c r="D157">
        <v>7.1</v>
      </c>
      <c r="E157">
        <v>32.999999999999993</v>
      </c>
      <c r="F157" s="61" t="str">
        <f t="shared" si="13"/>
        <v>33, 7.1</v>
      </c>
      <c r="G157">
        <v>6</v>
      </c>
      <c r="H157">
        <v>2810.4450000000002</v>
      </c>
      <c r="I157">
        <v>3307.9</v>
      </c>
      <c r="J157">
        <f t="shared" si="12"/>
        <v>-15.038392938117836</v>
      </c>
      <c r="K157">
        <f t="shared" si="10"/>
        <v>15.038392938117836</v>
      </c>
    </row>
    <row r="158" spans="1:11" x14ac:dyDescent="0.25">
      <c r="A158" t="s">
        <v>60</v>
      </c>
      <c r="B158" t="s">
        <v>49</v>
      </c>
      <c r="C158">
        <v>15</v>
      </c>
      <c r="D158">
        <v>7.1</v>
      </c>
      <c r="E158">
        <v>32.999999999999993</v>
      </c>
      <c r="F158" s="61" t="str">
        <f t="shared" si="13"/>
        <v>33, 7.1</v>
      </c>
      <c r="G158">
        <v>6</v>
      </c>
      <c r="H158">
        <v>3449.2049999999999</v>
      </c>
      <c r="I158">
        <v>3307.9</v>
      </c>
      <c r="J158">
        <f t="shared" si="12"/>
        <v>4.2717434021584637</v>
      </c>
      <c r="K158">
        <f t="shared" si="10"/>
        <v>4.2717434021584637</v>
      </c>
    </row>
    <row r="159" spans="1:11" x14ac:dyDescent="0.25">
      <c r="A159" t="s">
        <v>61</v>
      </c>
      <c r="B159" t="s">
        <v>46</v>
      </c>
      <c r="C159">
        <v>15</v>
      </c>
      <c r="D159">
        <v>7.3</v>
      </c>
      <c r="E159">
        <v>35</v>
      </c>
      <c r="F159" s="61" t="str">
        <f t="shared" si="13"/>
        <v>35, 7.3</v>
      </c>
      <c r="G159">
        <v>6</v>
      </c>
      <c r="H159">
        <v>3342.9900000000002</v>
      </c>
      <c r="I159">
        <v>3307.9</v>
      </c>
      <c r="J159">
        <f t="shared" si="12"/>
        <v>1.0607938571299056</v>
      </c>
      <c r="K159">
        <f t="shared" si="10"/>
        <v>1.0607938571299056</v>
      </c>
    </row>
    <row r="160" spans="1:11" x14ac:dyDescent="0.25">
      <c r="A160" t="s">
        <v>62</v>
      </c>
      <c r="B160" t="s">
        <v>49</v>
      </c>
      <c r="C160">
        <v>18</v>
      </c>
      <c r="D160">
        <v>7.2</v>
      </c>
      <c r="E160">
        <v>34</v>
      </c>
      <c r="F160" s="61" t="str">
        <f t="shared" si="13"/>
        <v>34, 7.2</v>
      </c>
      <c r="G160">
        <v>6</v>
      </c>
      <c r="H160">
        <v>3745.4300000000003</v>
      </c>
      <c r="I160">
        <v>3307.9</v>
      </c>
      <c r="J160">
        <f t="shared" si="12"/>
        <v>13.22682064149461</v>
      </c>
      <c r="K160">
        <f t="shared" si="10"/>
        <v>13.22682064149461</v>
      </c>
    </row>
    <row r="161" spans="1:11" x14ac:dyDescent="0.25">
      <c r="A161" t="s">
        <v>63</v>
      </c>
      <c r="B161" t="s">
        <v>51</v>
      </c>
      <c r="C161">
        <v>12</v>
      </c>
      <c r="D161">
        <v>7.1</v>
      </c>
      <c r="E161">
        <v>32.999999999999993</v>
      </c>
      <c r="F161" s="61" t="str">
        <f t="shared" si="13"/>
        <v>33, 7.1</v>
      </c>
      <c r="G161">
        <v>6</v>
      </c>
      <c r="H161">
        <v>2853.66</v>
      </c>
      <c r="I161">
        <v>3307.9</v>
      </c>
      <c r="J161">
        <f t="shared" si="12"/>
        <v>-13.73197496901358</v>
      </c>
      <c r="K161">
        <f t="shared" si="10"/>
        <v>13.73197496901358</v>
      </c>
    </row>
    <row r="162" spans="1:11" x14ac:dyDescent="0.25">
      <c r="A162" t="s">
        <v>64</v>
      </c>
      <c r="B162" t="s">
        <v>46</v>
      </c>
      <c r="C162">
        <v>12</v>
      </c>
      <c r="D162">
        <v>7.1</v>
      </c>
      <c r="E162">
        <v>32.999999999999993</v>
      </c>
      <c r="F162" s="61" t="str">
        <f t="shared" si="13"/>
        <v>33, 7.1</v>
      </c>
      <c r="G162">
        <v>6</v>
      </c>
      <c r="H162">
        <v>2762.5650000000001</v>
      </c>
      <c r="I162">
        <v>3307.9</v>
      </c>
      <c r="J162">
        <f t="shared" si="12"/>
        <v>-16.485836935820309</v>
      </c>
      <c r="K162">
        <f t="shared" si="10"/>
        <v>16.485836935820309</v>
      </c>
    </row>
    <row r="163" spans="1:11" x14ac:dyDescent="0.25">
      <c r="A163" t="s">
        <v>65</v>
      </c>
      <c r="B163" t="s">
        <v>49</v>
      </c>
      <c r="C163">
        <v>15</v>
      </c>
      <c r="D163">
        <v>7.3</v>
      </c>
      <c r="E163">
        <v>35</v>
      </c>
      <c r="F163" s="61" t="str">
        <f t="shared" si="13"/>
        <v>35, 7.3</v>
      </c>
      <c r="G163">
        <v>6</v>
      </c>
      <c r="H163">
        <v>3669.5250000000001</v>
      </c>
      <c r="I163">
        <v>3307.9</v>
      </c>
      <c r="J163">
        <f t="shared" si="12"/>
        <v>10.932162399105172</v>
      </c>
      <c r="K163">
        <f t="shared" si="10"/>
        <v>10.932162399105172</v>
      </c>
    </row>
    <row r="164" spans="1:11" x14ac:dyDescent="0.25">
      <c r="A164" t="s">
        <v>66</v>
      </c>
      <c r="B164" t="s">
        <v>46</v>
      </c>
      <c r="C164">
        <v>12</v>
      </c>
      <c r="D164">
        <v>7.2</v>
      </c>
      <c r="E164">
        <v>34</v>
      </c>
      <c r="F164" s="61" t="str">
        <f t="shared" si="13"/>
        <v>34, 7.2</v>
      </c>
      <c r="G164">
        <v>6</v>
      </c>
      <c r="H164">
        <v>3059.085</v>
      </c>
      <c r="I164">
        <v>3307.9</v>
      </c>
      <c r="J164">
        <f t="shared" si="12"/>
        <v>-7.5218416518032605</v>
      </c>
      <c r="K164">
        <f t="shared" si="10"/>
        <v>7.5218416518032605</v>
      </c>
    </row>
    <row r="165" spans="1:11" x14ac:dyDescent="0.25">
      <c r="A165" t="s">
        <v>67</v>
      </c>
      <c r="B165" t="s">
        <v>49</v>
      </c>
      <c r="C165">
        <v>12</v>
      </c>
      <c r="D165">
        <v>7.1</v>
      </c>
      <c r="E165">
        <v>32.999999999999993</v>
      </c>
      <c r="F165" s="61" t="str">
        <f t="shared" si="13"/>
        <v>33, 7.1</v>
      </c>
      <c r="G165">
        <v>6</v>
      </c>
      <c r="H165">
        <v>3040.2449999999999</v>
      </c>
      <c r="I165">
        <v>3307.9</v>
      </c>
      <c r="J165">
        <f t="shared" si="12"/>
        <v>-8.091387284984437</v>
      </c>
      <c r="K165">
        <f t="shared" si="10"/>
        <v>8.091387284984437</v>
      </c>
    </row>
    <row r="166" spans="1:11" x14ac:dyDescent="0.25">
      <c r="A166" t="s">
        <v>68</v>
      </c>
      <c r="B166" t="s">
        <v>51</v>
      </c>
      <c r="C166">
        <v>12</v>
      </c>
      <c r="D166">
        <v>7.3</v>
      </c>
      <c r="E166">
        <v>35</v>
      </c>
      <c r="F166" s="61" t="str">
        <f t="shared" si="13"/>
        <v>35, 7.3</v>
      </c>
      <c r="G166">
        <v>6</v>
      </c>
      <c r="H166">
        <v>2953.29</v>
      </c>
      <c r="I166">
        <v>3307.9</v>
      </c>
      <c r="J166">
        <f t="shared" si="12"/>
        <v>-10.720094319659003</v>
      </c>
      <c r="K166">
        <f t="shared" si="10"/>
        <v>10.720094319659003</v>
      </c>
    </row>
    <row r="167" spans="1:11" x14ac:dyDescent="0.25">
      <c r="A167" t="s">
        <v>69</v>
      </c>
      <c r="B167" t="s">
        <v>51</v>
      </c>
      <c r="C167">
        <v>15</v>
      </c>
      <c r="D167">
        <v>7.2</v>
      </c>
      <c r="E167">
        <v>34</v>
      </c>
      <c r="F167" s="61" t="str">
        <f t="shared" si="13"/>
        <v>34, 7.2</v>
      </c>
      <c r="G167">
        <v>6</v>
      </c>
      <c r="H167">
        <v>3273.57</v>
      </c>
      <c r="I167">
        <v>3307.9</v>
      </c>
      <c r="J167">
        <f t="shared" si="12"/>
        <v>-1.037818555579066</v>
      </c>
      <c r="K167">
        <f t="shared" si="10"/>
        <v>1.037818555579066</v>
      </c>
    </row>
    <row r="168" spans="1:11" x14ac:dyDescent="0.25">
      <c r="A168" t="s">
        <v>70</v>
      </c>
      <c r="B168" t="s">
        <v>51</v>
      </c>
      <c r="C168">
        <v>15</v>
      </c>
      <c r="D168">
        <v>7.2</v>
      </c>
      <c r="E168">
        <v>34</v>
      </c>
      <c r="F168" s="61" t="str">
        <f t="shared" si="13"/>
        <v>34, 7.2</v>
      </c>
      <c r="G168">
        <v>6</v>
      </c>
      <c r="H168">
        <v>3422.49</v>
      </c>
      <c r="I168">
        <v>3307.9</v>
      </c>
      <c r="J168">
        <f t="shared" si="12"/>
        <v>3.4641313219867493</v>
      </c>
      <c r="K168">
        <f t="shared" si="10"/>
        <v>3.4641313219867493</v>
      </c>
    </row>
    <row r="169" spans="1:11" x14ac:dyDescent="0.25">
      <c r="A169" t="s">
        <v>71</v>
      </c>
      <c r="B169" t="s">
        <v>51</v>
      </c>
      <c r="C169">
        <v>15</v>
      </c>
      <c r="D169">
        <v>7.2</v>
      </c>
      <c r="E169">
        <v>34</v>
      </c>
      <c r="F169" s="61" t="str">
        <f t="shared" si="13"/>
        <v>34, 7.2</v>
      </c>
      <c r="G169">
        <v>6</v>
      </c>
      <c r="H169">
        <v>3145.41</v>
      </c>
      <c r="I169">
        <v>3307.9</v>
      </c>
      <c r="J169">
        <f t="shared" si="12"/>
        <v>-4.9121799328879421</v>
      </c>
      <c r="K169">
        <f t="shared" si="10"/>
        <v>4.9121799328879421</v>
      </c>
    </row>
    <row r="170" spans="1:11" x14ac:dyDescent="0.25">
      <c r="A170" t="s">
        <v>45</v>
      </c>
      <c r="B170" t="s">
        <v>46</v>
      </c>
      <c r="C170">
        <v>18</v>
      </c>
      <c r="D170">
        <v>7.1</v>
      </c>
      <c r="E170">
        <v>32.999999999999993</v>
      </c>
      <c r="F170" s="61" t="str">
        <f t="shared" ref="F170:F217" si="14">_xlfn.CONCAT(E170,", ",D170)</f>
        <v>33, 7.1</v>
      </c>
      <c r="G170">
        <v>7</v>
      </c>
      <c r="H170">
        <f t="shared" ref="H170:H193" si="15">AVERAGE(H146,H194)</f>
        <v>3789.7725</v>
      </c>
      <c r="I170">
        <v>3888.32</v>
      </c>
      <c r="J170">
        <f t="shared" ref="J170:J225" si="16">100*(H170-I170)/I170</f>
        <v>-2.5344493251584264</v>
      </c>
      <c r="K170">
        <f t="shared" si="10"/>
        <v>2.5344493251584264</v>
      </c>
    </row>
    <row r="171" spans="1:11" x14ac:dyDescent="0.25">
      <c r="A171" t="s">
        <v>47</v>
      </c>
      <c r="B171" t="s">
        <v>46</v>
      </c>
      <c r="C171">
        <v>12</v>
      </c>
      <c r="D171">
        <v>7.3</v>
      </c>
      <c r="E171">
        <v>35</v>
      </c>
      <c r="F171" s="61" t="str">
        <f t="shared" si="14"/>
        <v>35, 7.3</v>
      </c>
      <c r="G171">
        <v>7</v>
      </c>
      <c r="H171">
        <f t="shared" si="15"/>
        <v>3554.25</v>
      </c>
      <c r="I171">
        <v>3888.32</v>
      </c>
      <c r="J171">
        <f t="shared" si="16"/>
        <v>-8.5916282610484771</v>
      </c>
      <c r="K171">
        <f t="shared" si="10"/>
        <v>8.5916282610484771</v>
      </c>
    </row>
    <row r="172" spans="1:11" x14ac:dyDescent="0.25">
      <c r="A172" t="s">
        <v>48</v>
      </c>
      <c r="B172" t="s">
        <v>49</v>
      </c>
      <c r="C172">
        <v>12</v>
      </c>
      <c r="D172">
        <v>7.2</v>
      </c>
      <c r="E172">
        <v>34</v>
      </c>
      <c r="F172" s="61" t="str">
        <f t="shared" si="14"/>
        <v>34, 7.2</v>
      </c>
      <c r="G172">
        <v>7</v>
      </c>
      <c r="H172">
        <f t="shared" si="15"/>
        <v>3874.5974999999999</v>
      </c>
      <c r="I172">
        <v>3888.32</v>
      </c>
      <c r="J172">
        <f t="shared" si="16"/>
        <v>-0.35291591227060293</v>
      </c>
      <c r="K172">
        <f t="shared" si="10"/>
        <v>0.35291591227060293</v>
      </c>
    </row>
    <row r="173" spans="1:11" x14ac:dyDescent="0.25">
      <c r="A173" t="s">
        <v>50</v>
      </c>
      <c r="B173" t="s">
        <v>51</v>
      </c>
      <c r="C173">
        <v>18</v>
      </c>
      <c r="D173">
        <v>7.3</v>
      </c>
      <c r="E173">
        <v>35</v>
      </c>
      <c r="F173" s="61" t="str">
        <f t="shared" si="14"/>
        <v>35, 7.3</v>
      </c>
      <c r="G173">
        <v>7</v>
      </c>
      <c r="H173">
        <f t="shared" si="15"/>
        <v>4412.58</v>
      </c>
      <c r="I173">
        <v>3888.32</v>
      </c>
      <c r="J173">
        <f t="shared" si="16"/>
        <v>13.48294379063451</v>
      </c>
      <c r="K173">
        <f t="shared" si="10"/>
        <v>13.48294379063451</v>
      </c>
    </row>
    <row r="174" spans="1:11" x14ac:dyDescent="0.25">
      <c r="A174" t="s">
        <v>52</v>
      </c>
      <c r="B174" t="s">
        <v>49</v>
      </c>
      <c r="C174">
        <v>18</v>
      </c>
      <c r="D174">
        <v>7.3</v>
      </c>
      <c r="E174">
        <v>35</v>
      </c>
      <c r="F174" s="61" t="str">
        <f t="shared" si="14"/>
        <v>35, 7.3</v>
      </c>
      <c r="G174">
        <v>7</v>
      </c>
      <c r="H174">
        <f t="shared" si="15"/>
        <v>3978.2550000000001</v>
      </c>
      <c r="I174">
        <v>3888.32</v>
      </c>
      <c r="J174">
        <f t="shared" si="16"/>
        <v>2.312952637642991</v>
      </c>
      <c r="K174">
        <f t="shared" si="10"/>
        <v>2.312952637642991</v>
      </c>
    </row>
    <row r="175" spans="1:11" x14ac:dyDescent="0.25">
      <c r="A175" t="s">
        <v>53</v>
      </c>
      <c r="B175" t="s">
        <v>49</v>
      </c>
      <c r="C175">
        <v>12</v>
      </c>
      <c r="D175">
        <v>7.3</v>
      </c>
      <c r="E175">
        <v>35</v>
      </c>
      <c r="F175" s="61" t="str">
        <f t="shared" si="14"/>
        <v>35, 7.3</v>
      </c>
      <c r="G175">
        <v>7</v>
      </c>
      <c r="H175">
        <f t="shared" si="15"/>
        <v>4000.6349999999998</v>
      </c>
      <c r="I175">
        <v>3888.32</v>
      </c>
      <c r="J175">
        <f t="shared" si="16"/>
        <v>2.888522549584386</v>
      </c>
      <c r="K175">
        <f t="shared" si="10"/>
        <v>2.888522549584386</v>
      </c>
    </row>
    <row r="176" spans="1:11" x14ac:dyDescent="0.25">
      <c r="A176" t="s">
        <v>54</v>
      </c>
      <c r="B176" t="s">
        <v>46</v>
      </c>
      <c r="C176">
        <v>18</v>
      </c>
      <c r="D176">
        <v>7.3</v>
      </c>
      <c r="E176">
        <v>35</v>
      </c>
      <c r="F176" s="61" t="str">
        <f t="shared" si="14"/>
        <v>35, 7.3</v>
      </c>
      <c r="G176">
        <v>7</v>
      </c>
      <c r="H176">
        <f t="shared" si="15"/>
        <v>4151.4524999999994</v>
      </c>
      <c r="I176">
        <v>3888.32</v>
      </c>
      <c r="J176">
        <f t="shared" si="16"/>
        <v>6.7672542383342744</v>
      </c>
      <c r="K176">
        <f t="shared" si="10"/>
        <v>6.7672542383342744</v>
      </c>
    </row>
    <row r="177" spans="1:11" x14ac:dyDescent="0.25">
      <c r="A177" t="s">
        <v>55</v>
      </c>
      <c r="B177" t="s">
        <v>51</v>
      </c>
      <c r="C177">
        <v>15</v>
      </c>
      <c r="D177">
        <v>7.2</v>
      </c>
      <c r="E177">
        <v>34</v>
      </c>
      <c r="F177" s="61" t="str">
        <f t="shared" si="14"/>
        <v>34, 7.2</v>
      </c>
      <c r="G177">
        <v>7</v>
      </c>
      <c r="H177">
        <f t="shared" si="15"/>
        <v>3732.3975</v>
      </c>
      <c r="I177">
        <v>3888.32</v>
      </c>
      <c r="J177">
        <f t="shared" si="16"/>
        <v>-4.0100223232655781</v>
      </c>
      <c r="K177">
        <f t="shared" si="10"/>
        <v>4.0100223232655781</v>
      </c>
    </row>
    <row r="178" spans="1:11" x14ac:dyDescent="0.25">
      <c r="A178" t="s">
        <v>56</v>
      </c>
      <c r="B178" t="s">
        <v>49</v>
      </c>
      <c r="C178">
        <v>18</v>
      </c>
      <c r="D178">
        <v>7.1</v>
      </c>
      <c r="E178">
        <v>32.999999999999993</v>
      </c>
      <c r="F178" s="61" t="str">
        <f t="shared" si="14"/>
        <v>33, 7.1</v>
      </c>
      <c r="G178">
        <v>7</v>
      </c>
      <c r="H178">
        <f t="shared" si="15"/>
        <v>3982.0425</v>
      </c>
      <c r="I178">
        <v>3888.32</v>
      </c>
      <c r="J178">
        <f t="shared" si="16"/>
        <v>2.4103597440539835</v>
      </c>
      <c r="K178">
        <f t="shared" si="10"/>
        <v>2.4103597440539835</v>
      </c>
    </row>
    <row r="179" spans="1:11" x14ac:dyDescent="0.25">
      <c r="A179" t="s">
        <v>57</v>
      </c>
      <c r="B179" t="s">
        <v>46</v>
      </c>
      <c r="C179">
        <v>18</v>
      </c>
      <c r="D179">
        <v>7.2</v>
      </c>
      <c r="E179">
        <v>34</v>
      </c>
      <c r="F179" s="61" t="str">
        <f t="shared" si="14"/>
        <v>34, 7.2</v>
      </c>
      <c r="G179">
        <v>7</v>
      </c>
      <c r="H179">
        <f t="shared" si="15"/>
        <v>3859.3575000000001</v>
      </c>
      <c r="I179">
        <v>3888.32</v>
      </c>
      <c r="J179">
        <f t="shared" si="16"/>
        <v>-0.74485896222533354</v>
      </c>
      <c r="K179">
        <f t="shared" si="10"/>
        <v>0.74485896222533354</v>
      </c>
    </row>
    <row r="180" spans="1:11" x14ac:dyDescent="0.25">
      <c r="A180" t="s">
        <v>58</v>
      </c>
      <c r="B180" t="s">
        <v>51</v>
      </c>
      <c r="C180">
        <v>18</v>
      </c>
      <c r="D180">
        <v>7.1</v>
      </c>
      <c r="E180">
        <v>32.999999999999993</v>
      </c>
      <c r="F180" s="61" t="str">
        <f t="shared" si="14"/>
        <v>33, 7.1</v>
      </c>
      <c r="G180">
        <v>7</v>
      </c>
      <c r="H180">
        <f t="shared" si="15"/>
        <v>4154.7300000000005</v>
      </c>
      <c r="I180">
        <v>3888.32</v>
      </c>
      <c r="J180">
        <f t="shared" si="16"/>
        <v>6.8515451403176764</v>
      </c>
      <c r="K180">
        <f t="shared" si="10"/>
        <v>6.8515451403176764</v>
      </c>
    </row>
    <row r="181" spans="1:11" x14ac:dyDescent="0.25">
      <c r="A181" t="s">
        <v>59</v>
      </c>
      <c r="B181" t="s">
        <v>46</v>
      </c>
      <c r="C181">
        <v>15</v>
      </c>
      <c r="D181">
        <v>7.1</v>
      </c>
      <c r="E181">
        <v>32.999999999999993</v>
      </c>
      <c r="F181" s="61" t="str">
        <f t="shared" si="14"/>
        <v>33, 7.1</v>
      </c>
      <c r="G181">
        <v>7</v>
      </c>
      <c r="H181">
        <f t="shared" si="15"/>
        <v>3463.9575000000004</v>
      </c>
      <c r="I181">
        <v>3888.32</v>
      </c>
      <c r="J181">
        <f t="shared" si="16"/>
        <v>-10.913775100814739</v>
      </c>
      <c r="K181">
        <f t="shared" si="10"/>
        <v>10.913775100814739</v>
      </c>
    </row>
    <row r="182" spans="1:11" x14ac:dyDescent="0.25">
      <c r="A182" t="s">
        <v>60</v>
      </c>
      <c r="B182" t="s">
        <v>49</v>
      </c>
      <c r="C182">
        <v>15</v>
      </c>
      <c r="D182">
        <v>7.1</v>
      </c>
      <c r="E182">
        <v>32.999999999999993</v>
      </c>
      <c r="F182" s="61" t="str">
        <f t="shared" si="14"/>
        <v>33, 7.1</v>
      </c>
      <c r="G182">
        <v>7</v>
      </c>
      <c r="H182">
        <f t="shared" si="15"/>
        <v>4046.5275000000001</v>
      </c>
      <c r="I182">
        <v>3888.32</v>
      </c>
      <c r="J182">
        <f t="shared" si="16"/>
        <v>4.0687880627108877</v>
      </c>
      <c r="K182">
        <f t="shared" si="10"/>
        <v>4.0687880627108877</v>
      </c>
    </row>
    <row r="183" spans="1:11" x14ac:dyDescent="0.25">
      <c r="A183" t="s">
        <v>61</v>
      </c>
      <c r="B183" t="s">
        <v>46</v>
      </c>
      <c r="C183">
        <v>15</v>
      </c>
      <c r="D183">
        <v>7.3</v>
      </c>
      <c r="E183">
        <v>35</v>
      </c>
      <c r="F183" s="61" t="str">
        <f t="shared" si="14"/>
        <v>35, 7.3</v>
      </c>
      <c r="G183">
        <v>7</v>
      </c>
      <c r="H183">
        <f t="shared" si="15"/>
        <v>4007.5650000000005</v>
      </c>
      <c r="I183">
        <v>3888.32</v>
      </c>
      <c r="J183">
        <f t="shared" si="16"/>
        <v>3.0667486215126414</v>
      </c>
      <c r="K183">
        <f t="shared" si="10"/>
        <v>3.0667486215126414</v>
      </c>
    </row>
    <row r="184" spans="1:11" x14ac:dyDescent="0.25">
      <c r="A184" t="s">
        <v>62</v>
      </c>
      <c r="B184" t="s">
        <v>49</v>
      </c>
      <c r="C184">
        <v>18</v>
      </c>
      <c r="D184">
        <v>7.2</v>
      </c>
      <c r="E184">
        <v>34</v>
      </c>
      <c r="F184" s="61" t="str">
        <f t="shared" si="14"/>
        <v>34, 7.2</v>
      </c>
      <c r="G184">
        <v>7</v>
      </c>
      <c r="H184">
        <f t="shared" si="15"/>
        <v>4212.3924999999999</v>
      </c>
      <c r="I184">
        <v>3888.32</v>
      </c>
      <c r="J184">
        <f t="shared" si="16"/>
        <v>8.3345120771952867</v>
      </c>
      <c r="K184">
        <f t="shared" si="10"/>
        <v>8.3345120771952867</v>
      </c>
    </row>
    <row r="185" spans="1:11" x14ac:dyDescent="0.25">
      <c r="A185" t="s">
        <v>63</v>
      </c>
      <c r="B185" t="s">
        <v>51</v>
      </c>
      <c r="C185">
        <v>12</v>
      </c>
      <c r="D185">
        <v>7.1</v>
      </c>
      <c r="E185">
        <v>32.999999999999993</v>
      </c>
      <c r="F185" s="61" t="str">
        <f t="shared" si="14"/>
        <v>33, 7.1</v>
      </c>
      <c r="G185">
        <v>7</v>
      </c>
      <c r="H185">
        <f t="shared" si="15"/>
        <v>3381.1824999999999</v>
      </c>
      <c r="I185">
        <v>3888.32</v>
      </c>
      <c r="J185">
        <f t="shared" si="16"/>
        <v>-13.042586515513133</v>
      </c>
      <c r="K185">
        <f t="shared" si="10"/>
        <v>13.042586515513133</v>
      </c>
    </row>
    <row r="186" spans="1:11" x14ac:dyDescent="0.25">
      <c r="A186" t="s">
        <v>64</v>
      </c>
      <c r="B186" t="s">
        <v>46</v>
      </c>
      <c r="C186">
        <v>12</v>
      </c>
      <c r="D186">
        <v>7.1</v>
      </c>
      <c r="E186">
        <v>32.999999999999993</v>
      </c>
      <c r="F186" s="61" t="str">
        <f t="shared" si="14"/>
        <v>33, 7.1</v>
      </c>
      <c r="G186">
        <v>7</v>
      </c>
      <c r="H186">
        <f t="shared" si="15"/>
        <v>3423.9375</v>
      </c>
      <c r="I186">
        <v>3888.32</v>
      </c>
      <c r="J186">
        <f t="shared" si="16"/>
        <v>-11.943011377664392</v>
      </c>
      <c r="K186">
        <f t="shared" si="10"/>
        <v>11.943011377664392</v>
      </c>
    </row>
    <row r="187" spans="1:11" x14ac:dyDescent="0.25">
      <c r="A187" t="s">
        <v>65</v>
      </c>
      <c r="B187" t="s">
        <v>49</v>
      </c>
      <c r="C187">
        <v>15</v>
      </c>
      <c r="D187">
        <v>7.3</v>
      </c>
      <c r="E187">
        <v>35</v>
      </c>
      <c r="F187" s="61" t="str">
        <f t="shared" si="14"/>
        <v>35, 7.3</v>
      </c>
      <c r="G187">
        <v>7</v>
      </c>
      <c r="H187">
        <f t="shared" si="15"/>
        <v>4149.415</v>
      </c>
      <c r="I187">
        <v>3888.32</v>
      </c>
      <c r="J187">
        <f t="shared" si="16"/>
        <v>6.7148537157435539</v>
      </c>
      <c r="K187">
        <f t="shared" si="10"/>
        <v>6.7148537157435539</v>
      </c>
    </row>
    <row r="188" spans="1:11" x14ac:dyDescent="0.25">
      <c r="A188" t="s">
        <v>66</v>
      </c>
      <c r="B188" t="s">
        <v>46</v>
      </c>
      <c r="C188">
        <v>12</v>
      </c>
      <c r="D188">
        <v>7.2</v>
      </c>
      <c r="E188">
        <v>34</v>
      </c>
      <c r="F188" s="61" t="str">
        <f t="shared" si="14"/>
        <v>34, 7.2</v>
      </c>
      <c r="G188">
        <v>7</v>
      </c>
      <c r="H188">
        <f t="shared" si="15"/>
        <v>3710.4900000000002</v>
      </c>
      <c r="I188">
        <v>3888.32</v>
      </c>
      <c r="J188">
        <f t="shared" si="16"/>
        <v>-4.5734404575755061</v>
      </c>
      <c r="K188">
        <f t="shared" si="10"/>
        <v>4.5734404575755061</v>
      </c>
    </row>
    <row r="189" spans="1:11" x14ac:dyDescent="0.25">
      <c r="A189" t="s">
        <v>67</v>
      </c>
      <c r="B189" t="s">
        <v>49</v>
      </c>
      <c r="C189">
        <v>12</v>
      </c>
      <c r="D189">
        <v>7.1</v>
      </c>
      <c r="E189">
        <v>32.999999999999993</v>
      </c>
      <c r="F189" s="61" t="str">
        <f t="shared" si="14"/>
        <v>33, 7.1</v>
      </c>
      <c r="G189">
        <v>7</v>
      </c>
      <c r="H189">
        <f t="shared" si="15"/>
        <v>3687.3825000000002</v>
      </c>
      <c r="I189">
        <v>3888.32</v>
      </c>
      <c r="J189">
        <f t="shared" si="16"/>
        <v>-5.1677202493621923</v>
      </c>
      <c r="K189">
        <f t="shared" si="10"/>
        <v>5.1677202493621923</v>
      </c>
    </row>
    <row r="190" spans="1:11" x14ac:dyDescent="0.25">
      <c r="A190" t="s">
        <v>68</v>
      </c>
      <c r="B190" t="s">
        <v>51</v>
      </c>
      <c r="C190">
        <v>12</v>
      </c>
      <c r="D190">
        <v>7.3</v>
      </c>
      <c r="E190">
        <v>35</v>
      </c>
      <c r="F190" s="61" t="str">
        <f t="shared" si="14"/>
        <v>35, 7.3</v>
      </c>
      <c r="G190">
        <v>7</v>
      </c>
      <c r="H190">
        <f t="shared" si="15"/>
        <v>3449.8649999999998</v>
      </c>
      <c r="I190">
        <v>3888.32</v>
      </c>
      <c r="J190">
        <f t="shared" si="16"/>
        <v>-11.276206690807349</v>
      </c>
      <c r="K190">
        <f t="shared" si="10"/>
        <v>11.276206690807349</v>
      </c>
    </row>
    <row r="191" spans="1:11" x14ac:dyDescent="0.25">
      <c r="A191" t="s">
        <v>69</v>
      </c>
      <c r="B191" t="s">
        <v>51</v>
      </c>
      <c r="C191">
        <v>15</v>
      </c>
      <c r="D191">
        <v>7.2</v>
      </c>
      <c r="E191">
        <v>34</v>
      </c>
      <c r="F191" s="61" t="str">
        <f t="shared" si="14"/>
        <v>34, 7.2</v>
      </c>
      <c r="G191">
        <v>7</v>
      </c>
      <c r="H191">
        <f t="shared" si="15"/>
        <v>3819.45</v>
      </c>
      <c r="I191">
        <v>3888.32</v>
      </c>
      <c r="J191">
        <f t="shared" si="16"/>
        <v>-1.7712019586865366</v>
      </c>
      <c r="K191">
        <f t="shared" si="10"/>
        <v>1.7712019586865366</v>
      </c>
    </row>
    <row r="192" spans="1:11" x14ac:dyDescent="0.25">
      <c r="A192" t="s">
        <v>70</v>
      </c>
      <c r="B192" t="s">
        <v>51</v>
      </c>
      <c r="C192">
        <v>15</v>
      </c>
      <c r="D192">
        <v>7.2</v>
      </c>
      <c r="E192">
        <v>34</v>
      </c>
      <c r="F192" s="61" t="str">
        <f t="shared" si="14"/>
        <v>34, 7.2</v>
      </c>
      <c r="G192">
        <v>7</v>
      </c>
      <c r="H192">
        <f t="shared" si="15"/>
        <v>3901.665</v>
      </c>
      <c r="I192">
        <v>3888.32</v>
      </c>
      <c r="J192">
        <f t="shared" si="16"/>
        <v>0.34320734918936197</v>
      </c>
      <c r="K192">
        <f t="shared" si="10"/>
        <v>0.34320734918936197</v>
      </c>
    </row>
    <row r="193" spans="1:11" x14ac:dyDescent="0.25">
      <c r="A193" t="s">
        <v>71</v>
      </c>
      <c r="B193" t="s">
        <v>51</v>
      </c>
      <c r="C193">
        <v>15</v>
      </c>
      <c r="D193">
        <v>7.2</v>
      </c>
      <c r="E193">
        <v>34</v>
      </c>
      <c r="F193" s="61" t="str">
        <f t="shared" si="14"/>
        <v>34, 7.2</v>
      </c>
      <c r="G193">
        <v>7</v>
      </c>
      <c r="H193">
        <f t="shared" si="15"/>
        <v>3586.2674999999999</v>
      </c>
      <c r="I193">
        <v>3888.32</v>
      </c>
      <c r="J193">
        <f t="shared" si="16"/>
        <v>-7.7682006624969189</v>
      </c>
      <c r="K193">
        <f t="shared" si="10"/>
        <v>7.7682006624969189</v>
      </c>
    </row>
    <row r="194" spans="1:11" x14ac:dyDescent="0.25">
      <c r="A194" t="s">
        <v>45</v>
      </c>
      <c r="B194" t="s">
        <v>46</v>
      </c>
      <c r="C194">
        <v>18</v>
      </c>
      <c r="D194">
        <v>7.1</v>
      </c>
      <c r="E194">
        <v>32.999999999999993</v>
      </c>
      <c r="F194" s="61" t="str">
        <f t="shared" si="14"/>
        <v>33, 7.1</v>
      </c>
      <c r="G194">
        <v>8</v>
      </c>
      <c r="H194">
        <v>4408.0349999999999</v>
      </c>
      <c r="I194">
        <v>4309.7</v>
      </c>
      <c r="J194">
        <f t="shared" si="16"/>
        <v>2.2817133443163105</v>
      </c>
      <c r="K194">
        <f t="shared" si="10"/>
        <v>2.2817133443163105</v>
      </c>
    </row>
    <row r="195" spans="1:11" x14ac:dyDescent="0.25">
      <c r="A195" t="s">
        <v>47</v>
      </c>
      <c r="B195" t="s">
        <v>46</v>
      </c>
      <c r="C195">
        <v>12</v>
      </c>
      <c r="D195">
        <v>7.3</v>
      </c>
      <c r="E195">
        <v>35</v>
      </c>
      <c r="F195" s="61" t="str">
        <f t="shared" si="14"/>
        <v>35, 7.3</v>
      </c>
      <c r="G195">
        <v>8</v>
      </c>
      <c r="H195">
        <v>4162.2150000000001</v>
      </c>
      <c r="I195">
        <v>4309.7</v>
      </c>
      <c r="J195">
        <f t="shared" si="16"/>
        <v>-3.4221639557277692</v>
      </c>
      <c r="K195">
        <f t="shared" ref="K195:K258" si="17">IF(ISBLANK(J195),"",ABS(J195))</f>
        <v>3.4221639557277692</v>
      </c>
    </row>
    <row r="196" spans="1:11" x14ac:dyDescent="0.25">
      <c r="A196" t="s">
        <v>48</v>
      </c>
      <c r="B196" t="s">
        <v>49</v>
      </c>
      <c r="C196">
        <v>12</v>
      </c>
      <c r="D196">
        <v>7.2</v>
      </c>
      <c r="E196">
        <v>34</v>
      </c>
      <c r="F196" s="61" t="str">
        <f t="shared" si="14"/>
        <v>34, 7.2</v>
      </c>
      <c r="G196">
        <v>8</v>
      </c>
      <c r="H196">
        <v>4467.8999999999996</v>
      </c>
      <c r="I196">
        <v>4309.7</v>
      </c>
      <c r="J196">
        <f t="shared" si="16"/>
        <v>3.6707891500568444</v>
      </c>
      <c r="K196">
        <f t="shared" si="17"/>
        <v>3.6707891500568444</v>
      </c>
    </row>
    <row r="197" spans="1:11" x14ac:dyDescent="0.25">
      <c r="A197" t="s">
        <v>50</v>
      </c>
      <c r="B197" t="s">
        <v>51</v>
      </c>
      <c r="C197">
        <v>18</v>
      </c>
      <c r="D197">
        <v>7.3</v>
      </c>
      <c r="E197">
        <v>35</v>
      </c>
      <c r="F197" s="61" t="str">
        <f t="shared" si="14"/>
        <v>35, 7.3</v>
      </c>
      <c r="G197">
        <v>8</v>
      </c>
      <c r="H197">
        <v>4975.6350000000002</v>
      </c>
      <c r="I197">
        <v>4309.7</v>
      </c>
      <c r="J197">
        <f t="shared" si="16"/>
        <v>15.452003619741523</v>
      </c>
      <c r="K197">
        <f t="shared" si="17"/>
        <v>15.452003619741523</v>
      </c>
    </row>
    <row r="198" spans="1:11" x14ac:dyDescent="0.25">
      <c r="A198" t="s">
        <v>52</v>
      </c>
      <c r="B198" t="s">
        <v>49</v>
      </c>
      <c r="C198">
        <v>18</v>
      </c>
      <c r="D198">
        <v>7.3</v>
      </c>
      <c r="E198">
        <v>35</v>
      </c>
      <c r="F198" s="61" t="str">
        <f t="shared" si="14"/>
        <v>35, 7.3</v>
      </c>
      <c r="G198">
        <v>8</v>
      </c>
      <c r="H198">
        <v>4436.2349999999997</v>
      </c>
      <c r="I198">
        <v>4309.7</v>
      </c>
      <c r="J198">
        <f t="shared" si="16"/>
        <v>2.936051233264493</v>
      </c>
      <c r="K198">
        <f t="shared" si="17"/>
        <v>2.936051233264493</v>
      </c>
    </row>
    <row r="199" spans="1:11" x14ac:dyDescent="0.25">
      <c r="A199" t="s">
        <v>53</v>
      </c>
      <c r="B199" t="s">
        <v>49</v>
      </c>
      <c r="C199">
        <v>12</v>
      </c>
      <c r="D199">
        <v>7.3</v>
      </c>
      <c r="E199">
        <v>35</v>
      </c>
      <c r="F199" s="61" t="str">
        <f t="shared" si="14"/>
        <v>35, 7.3</v>
      </c>
      <c r="G199">
        <v>8</v>
      </c>
      <c r="H199">
        <v>4555.9799999999996</v>
      </c>
      <c r="I199">
        <v>4309.7</v>
      </c>
      <c r="J199">
        <f t="shared" si="16"/>
        <v>5.7145508968141581</v>
      </c>
      <c r="K199">
        <f t="shared" si="17"/>
        <v>5.7145508968141581</v>
      </c>
    </row>
    <row r="200" spans="1:11" x14ac:dyDescent="0.25">
      <c r="A200" t="s">
        <v>54</v>
      </c>
      <c r="B200" t="s">
        <v>46</v>
      </c>
      <c r="C200">
        <v>18</v>
      </c>
      <c r="D200">
        <v>7.3</v>
      </c>
      <c r="E200">
        <v>35</v>
      </c>
      <c r="F200" s="61" t="str">
        <f t="shared" si="14"/>
        <v>35, 7.3</v>
      </c>
      <c r="G200">
        <v>8</v>
      </c>
      <c r="H200">
        <v>4830.4949999999999</v>
      </c>
      <c r="I200">
        <v>4309.7</v>
      </c>
      <c r="J200">
        <f t="shared" si="16"/>
        <v>12.084251804069892</v>
      </c>
      <c r="K200">
        <f t="shared" si="17"/>
        <v>12.084251804069892</v>
      </c>
    </row>
    <row r="201" spans="1:11" x14ac:dyDescent="0.25">
      <c r="A201" t="s">
        <v>55</v>
      </c>
      <c r="B201" t="s">
        <v>51</v>
      </c>
      <c r="C201">
        <v>15</v>
      </c>
      <c r="D201">
        <v>7.2</v>
      </c>
      <c r="E201">
        <v>34</v>
      </c>
      <c r="F201" s="61" t="str">
        <f t="shared" si="14"/>
        <v>34, 7.2</v>
      </c>
      <c r="G201">
        <v>8</v>
      </c>
      <c r="H201">
        <v>4161</v>
      </c>
      <c r="I201">
        <v>4309.7</v>
      </c>
      <c r="J201">
        <f t="shared" si="16"/>
        <v>-3.4503561732835193</v>
      </c>
      <c r="K201">
        <f t="shared" si="17"/>
        <v>3.4503561732835193</v>
      </c>
    </row>
    <row r="202" spans="1:11" x14ac:dyDescent="0.25">
      <c r="A202" t="s">
        <v>56</v>
      </c>
      <c r="B202" t="s">
        <v>49</v>
      </c>
      <c r="C202">
        <v>18</v>
      </c>
      <c r="D202">
        <v>7.1</v>
      </c>
      <c r="E202">
        <v>32.999999999999993</v>
      </c>
      <c r="F202" s="61" t="str">
        <f t="shared" si="14"/>
        <v>33, 7.1</v>
      </c>
      <c r="G202">
        <v>8</v>
      </c>
      <c r="H202">
        <v>4362.09</v>
      </c>
      <c r="I202">
        <v>4309.7</v>
      </c>
      <c r="J202">
        <f t="shared" si="16"/>
        <v>1.2156298582267984</v>
      </c>
      <c r="K202">
        <f t="shared" si="17"/>
        <v>1.2156298582267984</v>
      </c>
    </row>
    <row r="203" spans="1:11" x14ac:dyDescent="0.25">
      <c r="A203" t="s">
        <v>57</v>
      </c>
      <c r="B203" t="s">
        <v>46</v>
      </c>
      <c r="C203">
        <v>18</v>
      </c>
      <c r="D203">
        <v>7.2</v>
      </c>
      <c r="E203">
        <v>34</v>
      </c>
      <c r="F203" s="61" t="str">
        <f t="shared" si="14"/>
        <v>34, 7.2</v>
      </c>
      <c r="G203">
        <v>8</v>
      </c>
      <c r="H203">
        <v>4503.165</v>
      </c>
      <c r="I203">
        <v>4309.7</v>
      </c>
      <c r="J203">
        <f t="shared" si="16"/>
        <v>4.4890595633106747</v>
      </c>
      <c r="K203">
        <f t="shared" si="17"/>
        <v>4.4890595633106747</v>
      </c>
    </row>
    <row r="204" spans="1:11" x14ac:dyDescent="0.25">
      <c r="A204" t="s">
        <v>58</v>
      </c>
      <c r="B204" t="s">
        <v>51</v>
      </c>
      <c r="C204">
        <v>18</v>
      </c>
      <c r="D204">
        <v>7.1</v>
      </c>
      <c r="E204">
        <v>32.999999999999993</v>
      </c>
      <c r="F204" s="61" t="str">
        <f t="shared" si="14"/>
        <v>33, 7.1</v>
      </c>
      <c r="G204">
        <v>8</v>
      </c>
      <c r="H204">
        <v>4726.0200000000004</v>
      </c>
      <c r="I204">
        <v>4309.7</v>
      </c>
      <c r="J204">
        <f t="shared" si="16"/>
        <v>9.6600691463443074</v>
      </c>
      <c r="K204">
        <f t="shared" si="17"/>
        <v>9.6600691463443074</v>
      </c>
    </row>
    <row r="205" spans="1:11" x14ac:dyDescent="0.25">
      <c r="A205" t="s">
        <v>59</v>
      </c>
      <c r="B205" t="s">
        <v>46</v>
      </c>
      <c r="C205">
        <v>15</v>
      </c>
      <c r="D205">
        <v>7.1</v>
      </c>
      <c r="E205">
        <v>32.999999999999993</v>
      </c>
      <c r="F205" s="61" t="str">
        <f t="shared" si="14"/>
        <v>33, 7.1</v>
      </c>
      <c r="G205">
        <v>8</v>
      </c>
      <c r="H205">
        <v>4117.47</v>
      </c>
      <c r="I205">
        <v>4309.7</v>
      </c>
      <c r="J205">
        <f t="shared" si="16"/>
        <v>-4.4604032763301289</v>
      </c>
      <c r="K205">
        <f t="shared" si="17"/>
        <v>4.4604032763301289</v>
      </c>
    </row>
    <row r="206" spans="1:11" x14ac:dyDescent="0.25">
      <c r="A206" t="s">
        <v>60</v>
      </c>
      <c r="B206" t="s">
        <v>49</v>
      </c>
      <c r="C206">
        <v>15</v>
      </c>
      <c r="D206">
        <v>7.1</v>
      </c>
      <c r="E206">
        <v>32.999999999999993</v>
      </c>
      <c r="F206" s="61" t="str">
        <f t="shared" si="14"/>
        <v>33, 7.1</v>
      </c>
      <c r="G206">
        <v>8</v>
      </c>
      <c r="H206">
        <v>4643.8500000000004</v>
      </c>
      <c r="I206">
        <v>4309.7</v>
      </c>
      <c r="J206">
        <f t="shared" si="16"/>
        <v>7.7534399146112394</v>
      </c>
      <c r="K206">
        <f t="shared" si="17"/>
        <v>7.7534399146112394</v>
      </c>
    </row>
    <row r="207" spans="1:11" x14ac:dyDescent="0.25">
      <c r="A207" t="s">
        <v>61</v>
      </c>
      <c r="B207" t="s">
        <v>46</v>
      </c>
      <c r="C207">
        <v>15</v>
      </c>
      <c r="D207">
        <v>7.3</v>
      </c>
      <c r="E207">
        <v>35</v>
      </c>
      <c r="F207" s="61" t="str">
        <f t="shared" si="14"/>
        <v>35, 7.3</v>
      </c>
      <c r="G207">
        <v>8</v>
      </c>
      <c r="H207">
        <v>4672.1400000000003</v>
      </c>
      <c r="I207">
        <v>4309.7</v>
      </c>
      <c r="J207">
        <f t="shared" si="16"/>
        <v>8.4098661159709618</v>
      </c>
      <c r="K207">
        <f t="shared" si="17"/>
        <v>8.4098661159709618</v>
      </c>
    </row>
    <row r="208" spans="1:11" x14ac:dyDescent="0.25">
      <c r="A208" t="s">
        <v>62</v>
      </c>
      <c r="B208" t="s">
        <v>49</v>
      </c>
      <c r="C208">
        <v>18</v>
      </c>
      <c r="D208">
        <v>7.2</v>
      </c>
      <c r="E208">
        <v>34</v>
      </c>
      <c r="F208" s="61" t="str">
        <f t="shared" si="14"/>
        <v>34, 7.2</v>
      </c>
      <c r="G208">
        <v>8</v>
      </c>
      <c r="H208">
        <v>4679.3549999999996</v>
      </c>
      <c r="I208">
        <v>4309.7</v>
      </c>
      <c r="J208">
        <f t="shared" si="16"/>
        <v>8.5772791609624743</v>
      </c>
      <c r="K208">
        <f t="shared" si="17"/>
        <v>8.5772791609624743</v>
      </c>
    </row>
    <row r="209" spans="1:11" x14ac:dyDescent="0.25">
      <c r="A209" t="s">
        <v>63</v>
      </c>
      <c r="B209" t="s">
        <v>51</v>
      </c>
      <c r="C209">
        <v>12</v>
      </c>
      <c r="D209">
        <v>7.1</v>
      </c>
      <c r="E209">
        <v>32.999999999999993</v>
      </c>
      <c r="F209" s="61" t="str">
        <f t="shared" si="14"/>
        <v>33, 7.1</v>
      </c>
      <c r="G209">
        <v>8</v>
      </c>
      <c r="H209">
        <v>3908.7049999999999</v>
      </c>
      <c r="I209">
        <v>4309.7</v>
      </c>
      <c r="J209">
        <f t="shared" si="16"/>
        <v>-9.3044759496020575</v>
      </c>
      <c r="K209">
        <f t="shared" si="17"/>
        <v>9.3044759496020575</v>
      </c>
    </row>
    <row r="210" spans="1:11" x14ac:dyDescent="0.25">
      <c r="A210" t="s">
        <v>64</v>
      </c>
      <c r="B210" t="s">
        <v>46</v>
      </c>
      <c r="C210">
        <v>12</v>
      </c>
      <c r="D210">
        <v>7.1</v>
      </c>
      <c r="E210">
        <v>32.999999999999993</v>
      </c>
      <c r="F210" s="61" t="str">
        <f t="shared" si="14"/>
        <v>33, 7.1</v>
      </c>
      <c r="G210">
        <v>8</v>
      </c>
      <c r="H210">
        <v>4085.31</v>
      </c>
      <c r="I210">
        <v>4309.7</v>
      </c>
      <c r="J210">
        <f t="shared" si="16"/>
        <v>-5.20662691138594</v>
      </c>
      <c r="K210">
        <f t="shared" si="17"/>
        <v>5.20662691138594</v>
      </c>
    </row>
    <row r="211" spans="1:11" x14ac:dyDescent="0.25">
      <c r="A211" t="s">
        <v>65</v>
      </c>
      <c r="B211" t="s">
        <v>49</v>
      </c>
      <c r="C211">
        <v>15</v>
      </c>
      <c r="D211">
        <v>7.3</v>
      </c>
      <c r="E211">
        <v>35</v>
      </c>
      <c r="F211" s="61" t="str">
        <f t="shared" si="14"/>
        <v>35, 7.3</v>
      </c>
      <c r="G211">
        <v>8</v>
      </c>
      <c r="H211">
        <v>4629.3049999999994</v>
      </c>
      <c r="I211">
        <v>4309.7</v>
      </c>
      <c r="J211">
        <f t="shared" si="16"/>
        <v>7.415945425435635</v>
      </c>
      <c r="K211">
        <f t="shared" si="17"/>
        <v>7.415945425435635</v>
      </c>
    </row>
    <row r="212" spans="1:11" x14ac:dyDescent="0.25">
      <c r="A212" t="s">
        <v>66</v>
      </c>
      <c r="B212" t="s">
        <v>46</v>
      </c>
      <c r="C212">
        <v>12</v>
      </c>
      <c r="D212">
        <v>7.2</v>
      </c>
      <c r="E212">
        <v>34</v>
      </c>
      <c r="F212" s="61" t="str">
        <f t="shared" si="14"/>
        <v>34, 7.2</v>
      </c>
      <c r="G212">
        <v>8</v>
      </c>
      <c r="H212">
        <v>4361.8950000000004</v>
      </c>
      <c r="I212">
        <v>4309.7</v>
      </c>
      <c r="J212">
        <f t="shared" si="16"/>
        <v>1.2111051813351421</v>
      </c>
      <c r="K212">
        <f t="shared" si="17"/>
        <v>1.2111051813351421</v>
      </c>
    </row>
    <row r="213" spans="1:11" x14ac:dyDescent="0.25">
      <c r="A213" t="s">
        <v>67</v>
      </c>
      <c r="B213" t="s">
        <v>49</v>
      </c>
      <c r="C213">
        <v>12</v>
      </c>
      <c r="D213">
        <v>7.1</v>
      </c>
      <c r="E213">
        <v>32.999999999999993</v>
      </c>
      <c r="F213" s="61" t="str">
        <f t="shared" si="14"/>
        <v>33, 7.1</v>
      </c>
      <c r="G213">
        <v>8</v>
      </c>
      <c r="H213">
        <v>4334.5200000000004</v>
      </c>
      <c r="I213">
        <v>4309.7</v>
      </c>
      <c r="J213">
        <f t="shared" si="16"/>
        <v>0.5759101561593758</v>
      </c>
      <c r="K213">
        <f t="shared" si="17"/>
        <v>0.5759101561593758</v>
      </c>
    </row>
    <row r="214" spans="1:11" x14ac:dyDescent="0.25">
      <c r="A214" t="s">
        <v>68</v>
      </c>
      <c r="B214" t="s">
        <v>51</v>
      </c>
      <c r="C214">
        <v>12</v>
      </c>
      <c r="D214">
        <v>7.3</v>
      </c>
      <c r="E214">
        <v>35</v>
      </c>
      <c r="F214" s="61" t="str">
        <f t="shared" si="14"/>
        <v>35, 7.3</v>
      </c>
      <c r="G214">
        <v>8</v>
      </c>
      <c r="H214">
        <v>3946.44</v>
      </c>
      <c r="I214">
        <v>4309.7</v>
      </c>
      <c r="J214">
        <f t="shared" si="16"/>
        <v>-8.4288929623871685</v>
      </c>
      <c r="K214">
        <f t="shared" si="17"/>
        <v>8.4288929623871685</v>
      </c>
    </row>
    <row r="215" spans="1:11" x14ac:dyDescent="0.25">
      <c r="A215" t="s">
        <v>69</v>
      </c>
      <c r="B215" t="s">
        <v>51</v>
      </c>
      <c r="C215">
        <v>15</v>
      </c>
      <c r="D215">
        <v>7.2</v>
      </c>
      <c r="E215">
        <v>34</v>
      </c>
      <c r="F215" s="61" t="str">
        <f t="shared" si="14"/>
        <v>34, 7.2</v>
      </c>
      <c r="G215">
        <v>8</v>
      </c>
      <c r="H215">
        <v>4365.33</v>
      </c>
      <c r="I215">
        <v>4309.7</v>
      </c>
      <c r="J215">
        <f t="shared" si="16"/>
        <v>1.2908091050421169</v>
      </c>
      <c r="K215">
        <f t="shared" si="17"/>
        <v>1.2908091050421169</v>
      </c>
    </row>
    <row r="216" spans="1:11" x14ac:dyDescent="0.25">
      <c r="A216" t="s">
        <v>70</v>
      </c>
      <c r="B216" t="s">
        <v>51</v>
      </c>
      <c r="C216">
        <v>15</v>
      </c>
      <c r="D216">
        <v>7.2</v>
      </c>
      <c r="E216">
        <v>34</v>
      </c>
      <c r="F216" s="61" t="str">
        <f t="shared" si="14"/>
        <v>34, 7.2</v>
      </c>
      <c r="G216">
        <v>8</v>
      </c>
      <c r="H216">
        <v>4380.84</v>
      </c>
      <c r="I216">
        <v>4309.7</v>
      </c>
      <c r="J216">
        <f t="shared" si="16"/>
        <v>1.6506949439636247</v>
      </c>
      <c r="K216">
        <f t="shared" si="17"/>
        <v>1.6506949439636247</v>
      </c>
    </row>
    <row r="217" spans="1:11" x14ac:dyDescent="0.25">
      <c r="A217" t="s">
        <v>71</v>
      </c>
      <c r="B217" t="s">
        <v>51</v>
      </c>
      <c r="C217">
        <v>15</v>
      </c>
      <c r="D217">
        <v>7.2</v>
      </c>
      <c r="E217">
        <v>34</v>
      </c>
      <c r="F217" s="61" t="str">
        <f t="shared" si="14"/>
        <v>34, 7.2</v>
      </c>
      <c r="G217">
        <v>8</v>
      </c>
      <c r="H217">
        <v>4027.125</v>
      </c>
      <c r="I217">
        <v>4309.7</v>
      </c>
      <c r="J217">
        <f t="shared" si="16"/>
        <v>-6.5567208854444585</v>
      </c>
      <c r="K217">
        <f t="shared" si="17"/>
        <v>6.5567208854444585</v>
      </c>
    </row>
    <row r="218" spans="1:11" x14ac:dyDescent="0.25">
      <c r="A218" t="s">
        <v>48</v>
      </c>
      <c r="B218" t="s">
        <v>49</v>
      </c>
      <c r="C218">
        <v>12</v>
      </c>
      <c r="D218">
        <v>7.2</v>
      </c>
      <c r="E218">
        <v>34</v>
      </c>
      <c r="F218" t="s">
        <v>366</v>
      </c>
      <c r="G218">
        <v>9</v>
      </c>
      <c r="H218">
        <v>4742.07</v>
      </c>
      <c r="I218">
        <v>4805.7299999999996</v>
      </c>
      <c r="J218">
        <f t="shared" si="16"/>
        <v>-1.3246686767671063</v>
      </c>
      <c r="K218">
        <f t="shared" si="17"/>
        <v>1.3246686767671063</v>
      </c>
    </row>
    <row r="219" spans="1:11" x14ac:dyDescent="0.25">
      <c r="A219" t="s">
        <v>52</v>
      </c>
      <c r="B219" t="s">
        <v>49</v>
      </c>
      <c r="C219">
        <v>18</v>
      </c>
      <c r="D219">
        <v>7.3</v>
      </c>
      <c r="E219">
        <v>35</v>
      </c>
      <c r="F219" t="s">
        <v>367</v>
      </c>
      <c r="G219">
        <v>9</v>
      </c>
      <c r="H219">
        <v>5114.58</v>
      </c>
      <c r="I219">
        <v>4805.7299999999996</v>
      </c>
      <c r="J219">
        <f t="shared" si="16"/>
        <v>6.4267031231467513</v>
      </c>
      <c r="K219">
        <f t="shared" si="17"/>
        <v>6.4267031231467513</v>
      </c>
    </row>
    <row r="220" spans="1:11" x14ac:dyDescent="0.25">
      <c r="A220" t="s">
        <v>53</v>
      </c>
      <c r="B220" t="s">
        <v>49</v>
      </c>
      <c r="C220">
        <v>12</v>
      </c>
      <c r="D220">
        <v>7.3</v>
      </c>
      <c r="E220">
        <v>35</v>
      </c>
      <c r="F220" t="s">
        <v>367</v>
      </c>
      <c r="G220">
        <v>9</v>
      </c>
      <c r="H220">
        <v>4932.03</v>
      </c>
      <c r="I220">
        <v>4805.7299999999996</v>
      </c>
      <c r="J220">
        <f t="shared" si="16"/>
        <v>2.6281126904757488</v>
      </c>
      <c r="K220">
        <f t="shared" si="17"/>
        <v>2.6281126904757488</v>
      </c>
    </row>
    <row r="221" spans="1:11" x14ac:dyDescent="0.25">
      <c r="A221" t="s">
        <v>56</v>
      </c>
      <c r="B221" t="s">
        <v>49</v>
      </c>
      <c r="C221">
        <v>18</v>
      </c>
      <c r="D221">
        <v>7.1</v>
      </c>
      <c r="E221">
        <v>32.999999999999993</v>
      </c>
      <c r="F221" t="s">
        <v>368</v>
      </c>
      <c r="G221">
        <v>9</v>
      </c>
      <c r="H221">
        <v>4746.5249999999996</v>
      </c>
      <c r="I221">
        <v>4805.7299999999996</v>
      </c>
      <c r="J221">
        <f t="shared" si="16"/>
        <v>-1.2319668395852437</v>
      </c>
      <c r="K221">
        <f t="shared" si="17"/>
        <v>1.2319668395852437</v>
      </c>
    </row>
    <row r="222" spans="1:11" x14ac:dyDescent="0.25">
      <c r="A222" t="s">
        <v>60</v>
      </c>
      <c r="B222" t="s">
        <v>49</v>
      </c>
      <c r="C222">
        <v>15</v>
      </c>
      <c r="D222">
        <v>7.1</v>
      </c>
      <c r="E222">
        <v>32.999999999999993</v>
      </c>
      <c r="F222" t="s">
        <v>368</v>
      </c>
      <c r="G222">
        <v>9</v>
      </c>
      <c r="H222">
        <v>4920.6149999999998</v>
      </c>
      <c r="I222">
        <v>4805.7299999999996</v>
      </c>
      <c r="J222">
        <f t="shared" si="16"/>
        <v>2.3905837406595922</v>
      </c>
      <c r="K222">
        <f t="shared" si="17"/>
        <v>2.3905837406595922</v>
      </c>
    </row>
    <row r="223" spans="1:11" x14ac:dyDescent="0.25">
      <c r="A223" t="s">
        <v>62</v>
      </c>
      <c r="B223" t="s">
        <v>49</v>
      </c>
      <c r="C223">
        <v>18</v>
      </c>
      <c r="D223">
        <v>7.2</v>
      </c>
      <c r="E223">
        <v>34</v>
      </c>
      <c r="F223" t="s">
        <v>366</v>
      </c>
      <c r="G223">
        <v>9</v>
      </c>
      <c r="H223">
        <v>4821.0749999999998</v>
      </c>
      <c r="I223">
        <v>4805.7299999999996</v>
      </c>
      <c r="J223">
        <f t="shared" si="16"/>
        <v>0.31930632807087073</v>
      </c>
      <c r="K223">
        <f t="shared" si="17"/>
        <v>0.31930632807087073</v>
      </c>
    </row>
    <row r="224" spans="1:11" x14ac:dyDescent="0.25">
      <c r="A224" t="s">
        <v>65</v>
      </c>
      <c r="B224" t="s">
        <v>49</v>
      </c>
      <c r="C224">
        <v>15</v>
      </c>
      <c r="D224">
        <v>7.3</v>
      </c>
      <c r="E224">
        <v>35</v>
      </c>
      <c r="F224" t="s">
        <v>367</v>
      </c>
      <c r="G224">
        <v>9</v>
      </c>
      <c r="H224">
        <v>5012.13</v>
      </c>
      <c r="I224">
        <v>4805.7299999999996</v>
      </c>
      <c r="J224">
        <f t="shared" si="16"/>
        <v>4.294872995361799</v>
      </c>
      <c r="K224">
        <f t="shared" si="17"/>
        <v>4.294872995361799</v>
      </c>
    </row>
    <row r="225" spans="1:11" x14ac:dyDescent="0.25">
      <c r="A225" t="s">
        <v>67</v>
      </c>
      <c r="B225" t="s">
        <v>49</v>
      </c>
      <c r="C225">
        <v>12</v>
      </c>
      <c r="D225">
        <v>7.1</v>
      </c>
      <c r="E225">
        <v>32.999999999999993</v>
      </c>
      <c r="F225" t="s">
        <v>368</v>
      </c>
      <c r="G225">
        <v>9</v>
      </c>
      <c r="H225">
        <v>4595.5050000000001</v>
      </c>
      <c r="I225">
        <v>4805.7299999999996</v>
      </c>
      <c r="J225">
        <f t="shared" si="16"/>
        <v>-4.3744654818310531</v>
      </c>
      <c r="K225">
        <f t="shared" si="17"/>
        <v>4.3744654818310531</v>
      </c>
    </row>
    <row r="226" spans="1:11" x14ac:dyDescent="0.25">
      <c r="A226" t="s">
        <v>45</v>
      </c>
      <c r="B226" t="s">
        <v>46</v>
      </c>
      <c r="C226">
        <v>18</v>
      </c>
      <c r="D226">
        <v>7.1</v>
      </c>
      <c r="E226">
        <v>32.999999999999993</v>
      </c>
      <c r="F226" s="61" t="str">
        <f t="shared" ref="F226:F249" si="18">_xlfn.CONCAT(E226,", ",D226)</f>
        <v>33, 7.1</v>
      </c>
      <c r="G226">
        <v>10</v>
      </c>
      <c r="H226">
        <v>5622.96</v>
      </c>
      <c r="I226">
        <v>5302.42</v>
      </c>
      <c r="J226">
        <f t="shared" ref="J226:J249" si="19">100*(H226-I226)/I226</f>
        <v>6.0451642834781092</v>
      </c>
      <c r="K226">
        <f t="shared" si="17"/>
        <v>6.0451642834781092</v>
      </c>
    </row>
    <row r="227" spans="1:11" x14ac:dyDescent="0.25">
      <c r="A227" t="s">
        <v>47</v>
      </c>
      <c r="B227" t="s">
        <v>46</v>
      </c>
      <c r="C227">
        <v>12</v>
      </c>
      <c r="D227">
        <v>7.3</v>
      </c>
      <c r="E227">
        <v>35</v>
      </c>
      <c r="F227" s="61" t="str">
        <f t="shared" si="18"/>
        <v>35, 7.3</v>
      </c>
      <c r="G227">
        <v>10</v>
      </c>
      <c r="H227">
        <v>5341.95</v>
      </c>
      <c r="I227">
        <v>5302.42</v>
      </c>
      <c r="J227">
        <f t="shared" si="19"/>
        <v>0.74550865453886617</v>
      </c>
      <c r="K227">
        <f t="shared" si="17"/>
        <v>0.74550865453886617</v>
      </c>
    </row>
    <row r="228" spans="1:11" x14ac:dyDescent="0.25">
      <c r="A228" t="s">
        <v>48</v>
      </c>
      <c r="B228" t="s">
        <v>49</v>
      </c>
      <c r="C228">
        <v>12</v>
      </c>
      <c r="D228">
        <v>7.2</v>
      </c>
      <c r="E228">
        <v>34</v>
      </c>
      <c r="F228" s="61" t="str">
        <f t="shared" si="18"/>
        <v>34, 7.2</v>
      </c>
      <c r="G228">
        <v>10</v>
      </c>
      <c r="H228">
        <v>4896.03</v>
      </c>
      <c r="I228">
        <v>5302.42</v>
      </c>
      <c r="J228">
        <f t="shared" si="19"/>
        <v>-7.6642363298267639</v>
      </c>
      <c r="K228">
        <f t="shared" si="17"/>
        <v>7.6642363298267639</v>
      </c>
    </row>
    <row r="229" spans="1:11" x14ac:dyDescent="0.25">
      <c r="A229" t="s">
        <v>50</v>
      </c>
      <c r="B229" t="s">
        <v>51</v>
      </c>
      <c r="C229">
        <v>18</v>
      </c>
      <c r="D229">
        <v>7.3</v>
      </c>
      <c r="E229">
        <v>35</v>
      </c>
      <c r="F229" s="61" t="str">
        <f t="shared" si="18"/>
        <v>35, 7.3</v>
      </c>
      <c r="G229">
        <v>10</v>
      </c>
      <c r="H229">
        <v>6169.74</v>
      </c>
      <c r="I229">
        <v>5302.42</v>
      </c>
      <c r="J229">
        <f t="shared" si="19"/>
        <v>16.357059606745594</v>
      </c>
      <c r="K229">
        <f t="shared" si="17"/>
        <v>16.357059606745594</v>
      </c>
    </row>
    <row r="230" spans="1:11" x14ac:dyDescent="0.25">
      <c r="A230" t="s">
        <v>52</v>
      </c>
      <c r="B230" t="s">
        <v>49</v>
      </c>
      <c r="C230">
        <v>18</v>
      </c>
      <c r="D230">
        <v>7.3</v>
      </c>
      <c r="E230">
        <v>35</v>
      </c>
      <c r="F230" s="61" t="str">
        <f t="shared" si="18"/>
        <v>35, 7.3</v>
      </c>
      <c r="G230">
        <v>10</v>
      </c>
      <c r="H230">
        <v>5562.1049999999996</v>
      </c>
      <c r="I230">
        <v>5302.42</v>
      </c>
      <c r="J230">
        <f t="shared" si="19"/>
        <v>4.897480772930086</v>
      </c>
      <c r="K230">
        <f t="shared" si="17"/>
        <v>4.897480772930086</v>
      </c>
    </row>
    <row r="231" spans="1:11" x14ac:dyDescent="0.25">
      <c r="A231" t="s">
        <v>53</v>
      </c>
      <c r="B231" t="s">
        <v>49</v>
      </c>
      <c r="C231">
        <v>12</v>
      </c>
      <c r="D231">
        <v>7.3</v>
      </c>
      <c r="E231">
        <v>35</v>
      </c>
      <c r="F231" s="61" t="str">
        <f t="shared" si="18"/>
        <v>35, 7.3</v>
      </c>
      <c r="G231">
        <v>10</v>
      </c>
      <c r="H231">
        <v>5128.5749999999998</v>
      </c>
      <c r="I231">
        <v>5302.42</v>
      </c>
      <c r="J231">
        <f t="shared" si="19"/>
        <v>-3.2785973197143994</v>
      </c>
      <c r="K231">
        <f t="shared" si="17"/>
        <v>3.2785973197143994</v>
      </c>
    </row>
    <row r="232" spans="1:11" x14ac:dyDescent="0.25">
      <c r="A232" t="s">
        <v>54</v>
      </c>
      <c r="B232" t="s">
        <v>46</v>
      </c>
      <c r="C232">
        <v>18</v>
      </c>
      <c r="D232">
        <v>7.3</v>
      </c>
      <c r="E232">
        <v>35</v>
      </c>
      <c r="F232" s="61" t="str">
        <f t="shared" si="18"/>
        <v>35, 7.3</v>
      </c>
      <c r="G232">
        <v>10</v>
      </c>
      <c r="H232">
        <v>5951.5349999999999</v>
      </c>
      <c r="I232">
        <v>5302.42</v>
      </c>
      <c r="J232">
        <f t="shared" si="19"/>
        <v>12.241863149279004</v>
      </c>
      <c r="K232">
        <f t="shared" si="17"/>
        <v>12.241863149279004</v>
      </c>
    </row>
    <row r="233" spans="1:11" x14ac:dyDescent="0.25">
      <c r="A233" t="s">
        <v>55</v>
      </c>
      <c r="B233" t="s">
        <v>51</v>
      </c>
      <c r="C233">
        <v>15</v>
      </c>
      <c r="D233">
        <v>7.2</v>
      </c>
      <c r="E233">
        <v>34</v>
      </c>
      <c r="F233" s="61" t="str">
        <f t="shared" si="18"/>
        <v>34, 7.2</v>
      </c>
      <c r="G233">
        <v>10</v>
      </c>
      <c r="H233">
        <v>5132.82</v>
      </c>
      <c r="I233">
        <v>5302.42</v>
      </c>
      <c r="J233">
        <f t="shared" si="19"/>
        <v>-3.1985395347784666</v>
      </c>
      <c r="K233">
        <f t="shared" si="17"/>
        <v>3.1985395347784666</v>
      </c>
    </row>
    <row r="234" spans="1:11" x14ac:dyDescent="0.25">
      <c r="A234" t="s">
        <v>56</v>
      </c>
      <c r="B234" t="s">
        <v>49</v>
      </c>
      <c r="C234">
        <v>18</v>
      </c>
      <c r="D234">
        <v>7.1</v>
      </c>
      <c r="E234">
        <v>32.999999999999993</v>
      </c>
      <c r="F234" s="61" t="str">
        <f t="shared" si="18"/>
        <v>33, 7.1</v>
      </c>
      <c r="G234">
        <v>10</v>
      </c>
      <c r="H234">
        <v>4706.1899999999996</v>
      </c>
      <c r="I234">
        <v>5302.42</v>
      </c>
      <c r="J234">
        <f t="shared" si="19"/>
        <v>-11.244488365689637</v>
      </c>
      <c r="K234">
        <f t="shared" si="17"/>
        <v>11.244488365689637</v>
      </c>
    </row>
    <row r="235" spans="1:11" x14ac:dyDescent="0.25">
      <c r="A235" t="s">
        <v>57</v>
      </c>
      <c r="B235" t="s">
        <v>46</v>
      </c>
      <c r="C235">
        <v>18</v>
      </c>
      <c r="D235">
        <v>7.2</v>
      </c>
      <c r="E235">
        <v>34</v>
      </c>
      <c r="F235" s="61" t="str">
        <f t="shared" si="18"/>
        <v>34, 7.2</v>
      </c>
      <c r="G235">
        <v>10</v>
      </c>
      <c r="H235">
        <v>5582.79</v>
      </c>
      <c r="I235">
        <v>5302.42</v>
      </c>
      <c r="J235">
        <f t="shared" si="19"/>
        <v>5.2875856684306388</v>
      </c>
      <c r="K235">
        <f t="shared" si="17"/>
        <v>5.2875856684306388</v>
      </c>
    </row>
    <row r="236" spans="1:11" x14ac:dyDescent="0.25">
      <c r="A236" t="s">
        <v>58</v>
      </c>
      <c r="B236" t="s">
        <v>51</v>
      </c>
      <c r="C236">
        <v>18</v>
      </c>
      <c r="D236">
        <v>7.1</v>
      </c>
      <c r="E236">
        <v>32.999999999999993</v>
      </c>
      <c r="F236" s="61" t="str">
        <f t="shared" si="18"/>
        <v>33, 7.1</v>
      </c>
      <c r="G236">
        <v>10</v>
      </c>
      <c r="H236">
        <v>5718.5249999999996</v>
      </c>
      <c r="I236">
        <v>5302.42</v>
      </c>
      <c r="J236">
        <f t="shared" si="19"/>
        <v>7.8474545584846078</v>
      </c>
      <c r="K236">
        <f t="shared" si="17"/>
        <v>7.8474545584846078</v>
      </c>
    </row>
    <row r="237" spans="1:11" x14ac:dyDescent="0.25">
      <c r="A237" t="s">
        <v>59</v>
      </c>
      <c r="B237" t="s">
        <v>46</v>
      </c>
      <c r="C237">
        <v>15</v>
      </c>
      <c r="D237">
        <v>7.1</v>
      </c>
      <c r="E237">
        <v>32.999999999999993</v>
      </c>
      <c r="F237" s="61" t="str">
        <f t="shared" si="18"/>
        <v>33, 7.1</v>
      </c>
      <c r="G237">
        <v>10</v>
      </c>
      <c r="H237">
        <v>5017.2150000000001</v>
      </c>
      <c r="I237">
        <v>5302.42</v>
      </c>
      <c r="J237">
        <f t="shared" si="19"/>
        <v>-5.3787704482104379</v>
      </c>
      <c r="K237">
        <f t="shared" si="17"/>
        <v>5.3787704482104379</v>
      </c>
    </row>
    <row r="238" spans="1:11" x14ac:dyDescent="0.25">
      <c r="A238" t="s">
        <v>60</v>
      </c>
      <c r="B238" t="s">
        <v>49</v>
      </c>
      <c r="C238">
        <v>15</v>
      </c>
      <c r="D238">
        <v>7.1</v>
      </c>
      <c r="E238">
        <v>32.999999999999993</v>
      </c>
      <c r="F238" s="61" t="str">
        <f t="shared" si="18"/>
        <v>33, 7.1</v>
      </c>
      <c r="G238">
        <v>10</v>
      </c>
      <c r="H238">
        <v>5154.4650000000001</v>
      </c>
      <c r="I238">
        <v>5302.42</v>
      </c>
      <c r="J238">
        <f t="shared" si="19"/>
        <v>-2.7903296985150163</v>
      </c>
      <c r="K238">
        <f t="shared" si="17"/>
        <v>2.7903296985150163</v>
      </c>
    </row>
    <row r="239" spans="1:11" x14ac:dyDescent="0.25">
      <c r="A239" t="s">
        <v>61</v>
      </c>
      <c r="B239" t="s">
        <v>46</v>
      </c>
      <c r="C239">
        <v>15</v>
      </c>
      <c r="D239">
        <v>7.3</v>
      </c>
      <c r="E239">
        <v>35</v>
      </c>
      <c r="F239" s="61" t="str">
        <f t="shared" si="18"/>
        <v>35, 7.3</v>
      </c>
      <c r="G239">
        <v>10</v>
      </c>
      <c r="H239">
        <v>5750.13</v>
      </c>
      <c r="I239">
        <v>5302.42</v>
      </c>
      <c r="J239">
        <f t="shared" si="19"/>
        <v>8.4435031551631141</v>
      </c>
      <c r="K239">
        <f t="shared" si="17"/>
        <v>8.4435031551631141</v>
      </c>
    </row>
    <row r="240" spans="1:11" x14ac:dyDescent="0.25">
      <c r="A240" t="s">
        <v>62</v>
      </c>
      <c r="B240" t="s">
        <v>49</v>
      </c>
      <c r="C240">
        <v>18</v>
      </c>
      <c r="D240">
        <v>7.2</v>
      </c>
      <c r="E240">
        <v>34</v>
      </c>
      <c r="F240" s="61" t="str">
        <f t="shared" si="18"/>
        <v>34, 7.2</v>
      </c>
      <c r="G240">
        <v>10</v>
      </c>
      <c r="H240">
        <v>5295.585</v>
      </c>
      <c r="I240">
        <v>5302.42</v>
      </c>
      <c r="J240">
        <f t="shared" si="19"/>
        <v>-0.12890340636916797</v>
      </c>
      <c r="K240">
        <f t="shared" si="17"/>
        <v>0.12890340636916797</v>
      </c>
    </row>
    <row r="241" spans="1:11" x14ac:dyDescent="0.25">
      <c r="A241" t="s">
        <v>63</v>
      </c>
      <c r="B241" t="s">
        <v>51</v>
      </c>
      <c r="C241">
        <v>12</v>
      </c>
      <c r="D241">
        <v>7.1</v>
      </c>
      <c r="E241">
        <v>32.999999999999993</v>
      </c>
      <c r="F241" s="61" t="str">
        <f t="shared" si="18"/>
        <v>33, 7.1</v>
      </c>
      <c r="G241">
        <v>10</v>
      </c>
      <c r="H241">
        <v>4813.92</v>
      </c>
      <c r="I241">
        <v>5302.42</v>
      </c>
      <c r="J241">
        <f t="shared" si="19"/>
        <v>-9.2127745444532874</v>
      </c>
      <c r="K241">
        <f t="shared" si="17"/>
        <v>9.2127745444532874</v>
      </c>
    </row>
    <row r="242" spans="1:11" x14ac:dyDescent="0.25">
      <c r="A242" t="s">
        <v>64</v>
      </c>
      <c r="B242" t="s">
        <v>46</v>
      </c>
      <c r="C242">
        <v>12</v>
      </c>
      <c r="D242">
        <v>7.1</v>
      </c>
      <c r="E242">
        <v>32.999999999999993</v>
      </c>
      <c r="F242" s="61" t="str">
        <f t="shared" si="18"/>
        <v>33, 7.1</v>
      </c>
      <c r="G242">
        <v>10</v>
      </c>
      <c r="H242">
        <v>4996.2449999999999</v>
      </c>
      <c r="I242">
        <v>5302.42</v>
      </c>
      <c r="J242">
        <f t="shared" si="19"/>
        <v>-5.7742502479999729</v>
      </c>
      <c r="K242">
        <f t="shared" si="17"/>
        <v>5.7742502479999729</v>
      </c>
    </row>
    <row r="243" spans="1:11" x14ac:dyDescent="0.25">
      <c r="A243" t="s">
        <v>65</v>
      </c>
      <c r="B243" t="s">
        <v>49</v>
      </c>
      <c r="C243">
        <v>15</v>
      </c>
      <c r="D243">
        <v>7.3</v>
      </c>
      <c r="E243">
        <v>35</v>
      </c>
      <c r="F243" s="61" t="str">
        <f t="shared" si="18"/>
        <v>35, 7.3</v>
      </c>
      <c r="G243">
        <v>10</v>
      </c>
      <c r="H243">
        <v>5304.1350000000002</v>
      </c>
      <c r="I243">
        <v>5302.42</v>
      </c>
      <c r="J243">
        <f t="shared" si="19"/>
        <v>3.2343722300386339E-2</v>
      </c>
      <c r="K243">
        <f t="shared" si="17"/>
        <v>3.2343722300386339E-2</v>
      </c>
    </row>
    <row r="244" spans="1:11" x14ac:dyDescent="0.25">
      <c r="A244" t="s">
        <v>66</v>
      </c>
      <c r="B244" t="s">
        <v>46</v>
      </c>
      <c r="C244">
        <v>12</v>
      </c>
      <c r="D244">
        <v>7.2</v>
      </c>
      <c r="E244">
        <v>34</v>
      </c>
      <c r="F244" s="61" t="str">
        <f t="shared" si="18"/>
        <v>34, 7.2</v>
      </c>
      <c r="G244">
        <v>10</v>
      </c>
      <c r="H244">
        <v>5254.1449999999995</v>
      </c>
      <c r="I244">
        <v>5302.42</v>
      </c>
      <c r="J244">
        <f t="shared" si="19"/>
        <v>-0.91043334930089559</v>
      </c>
      <c r="K244">
        <f t="shared" si="17"/>
        <v>0.91043334930089559</v>
      </c>
    </row>
    <row r="245" spans="1:11" x14ac:dyDescent="0.25">
      <c r="A245" t="s">
        <v>67</v>
      </c>
      <c r="B245" t="s">
        <v>49</v>
      </c>
      <c r="C245">
        <v>12</v>
      </c>
      <c r="D245">
        <v>7.1</v>
      </c>
      <c r="E245">
        <v>32.999999999999993</v>
      </c>
      <c r="F245" s="61" t="str">
        <f t="shared" si="18"/>
        <v>33, 7.1</v>
      </c>
      <c r="G245">
        <v>10</v>
      </c>
      <c r="H245">
        <v>4807.1400000000003</v>
      </c>
      <c r="I245">
        <v>5302.42</v>
      </c>
      <c r="J245">
        <f t="shared" si="19"/>
        <v>-9.3406406885912414</v>
      </c>
      <c r="K245">
        <f t="shared" si="17"/>
        <v>9.3406406885912414</v>
      </c>
    </row>
    <row r="246" spans="1:11" x14ac:dyDescent="0.25">
      <c r="A246" t="s">
        <v>68</v>
      </c>
      <c r="B246" t="s">
        <v>51</v>
      </c>
      <c r="C246">
        <v>12</v>
      </c>
      <c r="D246">
        <v>7.3</v>
      </c>
      <c r="E246">
        <v>35</v>
      </c>
      <c r="F246" s="61" t="str">
        <f t="shared" si="18"/>
        <v>35, 7.3</v>
      </c>
      <c r="G246">
        <v>10</v>
      </c>
      <c r="H246">
        <v>4900.420000000001</v>
      </c>
      <c r="I246">
        <v>5302.42</v>
      </c>
      <c r="J246">
        <f t="shared" si="19"/>
        <v>-7.5814439444630777</v>
      </c>
      <c r="K246">
        <f t="shared" si="17"/>
        <v>7.5814439444630777</v>
      </c>
    </row>
    <row r="247" spans="1:11" x14ac:dyDescent="0.25">
      <c r="A247" t="s">
        <v>69</v>
      </c>
      <c r="B247" t="s">
        <v>51</v>
      </c>
      <c r="C247">
        <v>15</v>
      </c>
      <c r="D247">
        <v>7.2</v>
      </c>
      <c r="E247">
        <v>34</v>
      </c>
      <c r="F247" s="61" t="str">
        <f t="shared" si="18"/>
        <v>34, 7.2</v>
      </c>
      <c r="G247">
        <v>10</v>
      </c>
      <c r="H247">
        <v>5125.17</v>
      </c>
      <c r="I247">
        <v>5302.42</v>
      </c>
      <c r="J247">
        <f t="shared" si="19"/>
        <v>-3.3428132814827944</v>
      </c>
      <c r="K247">
        <f t="shared" si="17"/>
        <v>3.3428132814827944</v>
      </c>
    </row>
    <row r="248" spans="1:11" x14ac:dyDescent="0.25">
      <c r="A248" t="s">
        <v>70</v>
      </c>
      <c r="B248" t="s">
        <v>51</v>
      </c>
      <c r="C248">
        <v>15</v>
      </c>
      <c r="D248">
        <v>7.2</v>
      </c>
      <c r="E248">
        <v>34</v>
      </c>
      <c r="F248" s="61" t="str">
        <f t="shared" si="18"/>
        <v>34, 7.2</v>
      </c>
      <c r="G248">
        <v>10</v>
      </c>
      <c r="H248">
        <v>5431.89</v>
      </c>
      <c r="I248">
        <v>5302.42</v>
      </c>
      <c r="J248">
        <f t="shared" si="19"/>
        <v>2.4417152922627827</v>
      </c>
      <c r="K248">
        <f t="shared" si="17"/>
        <v>2.4417152922627827</v>
      </c>
    </row>
    <row r="249" spans="1:11" x14ac:dyDescent="0.25">
      <c r="A249" t="s">
        <v>71</v>
      </c>
      <c r="B249" t="s">
        <v>51</v>
      </c>
      <c r="C249">
        <v>15</v>
      </c>
      <c r="D249">
        <v>7.2</v>
      </c>
      <c r="E249">
        <v>34</v>
      </c>
      <c r="F249" s="61" t="str">
        <f t="shared" si="18"/>
        <v>34, 7.2</v>
      </c>
      <c r="G249">
        <v>10</v>
      </c>
      <c r="H249">
        <v>5166.96</v>
      </c>
      <c r="I249">
        <v>5302.42</v>
      </c>
      <c r="J249">
        <f t="shared" si="19"/>
        <v>-2.5546825788979377</v>
      </c>
      <c r="K249">
        <f t="shared" si="17"/>
        <v>2.5546825788979377</v>
      </c>
    </row>
    <row r="250" spans="1:11" x14ac:dyDescent="0.25">
      <c r="A250" t="s">
        <v>45</v>
      </c>
      <c r="B250" t="s">
        <v>46</v>
      </c>
      <c r="C250">
        <v>18</v>
      </c>
      <c r="D250">
        <v>7.1</v>
      </c>
      <c r="E250">
        <v>32.999999999999993</v>
      </c>
      <c r="F250" s="61" t="str">
        <f t="shared" ref="F250:F273" si="20">_xlfn.CONCAT(E250,", ",D250)</f>
        <v>33, 7.1</v>
      </c>
      <c r="G250">
        <v>11</v>
      </c>
      <c r="H250">
        <v>5868.5149999999994</v>
      </c>
      <c r="I250">
        <v>5791.69</v>
      </c>
      <c r="J250">
        <f t="shared" ref="J250:J297" si="21">100*(H250-I250)/I250</f>
        <v>1.326469476094194</v>
      </c>
      <c r="K250">
        <f t="shared" si="17"/>
        <v>1.326469476094194</v>
      </c>
    </row>
    <row r="251" spans="1:11" x14ac:dyDescent="0.25">
      <c r="A251" t="s">
        <v>47</v>
      </c>
      <c r="B251" t="s">
        <v>46</v>
      </c>
      <c r="C251">
        <v>12</v>
      </c>
      <c r="D251">
        <v>7.3</v>
      </c>
      <c r="E251">
        <v>35</v>
      </c>
      <c r="F251" s="61" t="str">
        <f t="shared" si="20"/>
        <v>35, 7.3</v>
      </c>
      <c r="G251">
        <v>11</v>
      </c>
      <c r="H251">
        <v>5586.4449999999997</v>
      </c>
      <c r="I251">
        <v>5791.69</v>
      </c>
      <c r="J251">
        <f t="shared" si="21"/>
        <v>-3.5437842840345377</v>
      </c>
      <c r="K251">
        <f t="shared" si="17"/>
        <v>3.5437842840345377</v>
      </c>
    </row>
    <row r="252" spans="1:11" x14ac:dyDescent="0.25">
      <c r="A252" t="s">
        <v>48</v>
      </c>
      <c r="B252" t="s">
        <v>49</v>
      </c>
      <c r="C252">
        <v>12</v>
      </c>
      <c r="D252">
        <v>7.2</v>
      </c>
      <c r="E252">
        <v>34</v>
      </c>
      <c r="F252" s="61" t="str">
        <f t="shared" si="20"/>
        <v>34, 7.2</v>
      </c>
      <c r="G252">
        <v>11</v>
      </c>
      <c r="H252">
        <v>5142.7399999999989</v>
      </c>
      <c r="I252">
        <v>5791.69</v>
      </c>
      <c r="J252">
        <f t="shared" si="21"/>
        <v>-11.204846944501531</v>
      </c>
      <c r="K252">
        <f t="shared" si="17"/>
        <v>11.204846944501531</v>
      </c>
    </row>
    <row r="253" spans="1:11" x14ac:dyDescent="0.25">
      <c r="A253" t="s">
        <v>50</v>
      </c>
      <c r="B253" t="s">
        <v>51</v>
      </c>
      <c r="C253">
        <v>18</v>
      </c>
      <c r="D253">
        <v>7.3</v>
      </c>
      <c r="E253">
        <v>35</v>
      </c>
      <c r="F253" s="61" t="str">
        <f t="shared" si="20"/>
        <v>35, 7.3</v>
      </c>
      <c r="G253">
        <v>11</v>
      </c>
      <c r="H253">
        <v>6625.665</v>
      </c>
      <c r="I253">
        <v>5791.69</v>
      </c>
      <c r="J253">
        <f t="shared" si="21"/>
        <v>14.399510332908017</v>
      </c>
      <c r="K253">
        <f t="shared" si="17"/>
        <v>14.399510332908017</v>
      </c>
    </row>
    <row r="254" spans="1:11" x14ac:dyDescent="0.25">
      <c r="A254" t="s">
        <v>52</v>
      </c>
      <c r="B254" t="s">
        <v>49</v>
      </c>
      <c r="C254">
        <v>18</v>
      </c>
      <c r="D254">
        <v>7.3</v>
      </c>
      <c r="E254">
        <v>35</v>
      </c>
      <c r="F254" s="61" t="str">
        <f t="shared" si="20"/>
        <v>35, 7.3</v>
      </c>
      <c r="G254">
        <v>11</v>
      </c>
      <c r="H254">
        <v>5769.87</v>
      </c>
      <c r="I254">
        <v>5791.69</v>
      </c>
      <c r="J254">
        <f t="shared" si="21"/>
        <v>-0.37674668361047831</v>
      </c>
      <c r="K254">
        <f t="shared" si="17"/>
        <v>0.37674668361047831</v>
      </c>
    </row>
    <row r="255" spans="1:11" x14ac:dyDescent="0.25">
      <c r="A255" t="s">
        <v>53</v>
      </c>
      <c r="B255" t="s">
        <v>49</v>
      </c>
      <c r="C255">
        <v>12</v>
      </c>
      <c r="D255">
        <v>7.3</v>
      </c>
      <c r="E255">
        <v>35</v>
      </c>
      <c r="F255" s="61" t="str">
        <f t="shared" si="20"/>
        <v>35, 7.3</v>
      </c>
      <c r="G255">
        <v>11</v>
      </c>
      <c r="H255">
        <v>5432.3249999999998</v>
      </c>
      <c r="I255">
        <v>5791.69</v>
      </c>
      <c r="J255">
        <f t="shared" si="21"/>
        <v>-6.2048383114427708</v>
      </c>
      <c r="K255">
        <f t="shared" si="17"/>
        <v>6.2048383114427708</v>
      </c>
    </row>
    <row r="256" spans="1:11" x14ac:dyDescent="0.25">
      <c r="A256" t="s">
        <v>54</v>
      </c>
      <c r="B256" t="s">
        <v>46</v>
      </c>
      <c r="C256">
        <v>18</v>
      </c>
      <c r="D256">
        <v>7.3</v>
      </c>
      <c r="E256">
        <v>35</v>
      </c>
      <c r="F256" s="61" t="str">
        <f t="shared" si="20"/>
        <v>35, 7.3</v>
      </c>
      <c r="G256">
        <v>11</v>
      </c>
      <c r="H256">
        <v>6253.95</v>
      </c>
      <c r="I256">
        <v>5791.69</v>
      </c>
      <c r="J256">
        <f t="shared" si="21"/>
        <v>7.981435470475807</v>
      </c>
      <c r="K256">
        <f t="shared" si="17"/>
        <v>7.981435470475807</v>
      </c>
    </row>
    <row r="257" spans="1:11" x14ac:dyDescent="0.25">
      <c r="A257" t="s">
        <v>55</v>
      </c>
      <c r="B257" t="s">
        <v>51</v>
      </c>
      <c r="C257">
        <v>15</v>
      </c>
      <c r="D257">
        <v>7.2</v>
      </c>
      <c r="E257">
        <v>34</v>
      </c>
      <c r="F257" s="61" t="str">
        <f t="shared" si="20"/>
        <v>34, 7.2</v>
      </c>
      <c r="G257">
        <v>11</v>
      </c>
      <c r="H257">
        <v>5587.875</v>
      </c>
      <c r="I257">
        <v>5791.69</v>
      </c>
      <c r="J257">
        <f t="shared" si="21"/>
        <v>-3.5190937360252295</v>
      </c>
      <c r="K257">
        <f t="shared" si="17"/>
        <v>3.5190937360252295</v>
      </c>
    </row>
    <row r="258" spans="1:11" x14ac:dyDescent="0.25">
      <c r="A258" t="s">
        <v>56</v>
      </c>
      <c r="B258" t="s">
        <v>49</v>
      </c>
      <c r="C258">
        <v>18</v>
      </c>
      <c r="D258">
        <v>7.1</v>
      </c>
      <c r="E258">
        <v>32.999999999999993</v>
      </c>
      <c r="F258" s="61" t="str">
        <f t="shared" si="20"/>
        <v>33, 7.1</v>
      </c>
      <c r="G258">
        <v>11</v>
      </c>
      <c r="H258">
        <v>5139.3149999999996</v>
      </c>
      <c r="I258">
        <v>5791.69</v>
      </c>
      <c r="J258">
        <f t="shared" si="21"/>
        <v>-11.263983396901423</v>
      </c>
      <c r="K258">
        <f t="shared" si="17"/>
        <v>11.263983396901423</v>
      </c>
    </row>
    <row r="259" spans="1:11" x14ac:dyDescent="0.25">
      <c r="A259" t="s">
        <v>57</v>
      </c>
      <c r="B259" t="s">
        <v>46</v>
      </c>
      <c r="C259">
        <v>18</v>
      </c>
      <c r="D259">
        <v>7.2</v>
      </c>
      <c r="E259">
        <v>34</v>
      </c>
      <c r="F259" s="61" t="str">
        <f t="shared" si="20"/>
        <v>34, 7.2</v>
      </c>
      <c r="G259">
        <v>11</v>
      </c>
      <c r="H259">
        <v>6099.96</v>
      </c>
      <c r="I259">
        <v>5791.69</v>
      </c>
      <c r="J259">
        <f t="shared" si="21"/>
        <v>5.3226260383411486</v>
      </c>
      <c r="K259">
        <f t="shared" ref="K259:K297" si="22">IF(ISBLANK(J259),"",ABS(J259))</f>
        <v>5.3226260383411486</v>
      </c>
    </row>
    <row r="260" spans="1:11" x14ac:dyDescent="0.25">
      <c r="A260" t="s">
        <v>58</v>
      </c>
      <c r="B260" t="s">
        <v>51</v>
      </c>
      <c r="C260">
        <v>18</v>
      </c>
      <c r="D260">
        <v>7.1</v>
      </c>
      <c r="E260">
        <v>32.999999999999993</v>
      </c>
      <c r="F260" s="61" t="str">
        <f t="shared" si="20"/>
        <v>33, 7.1</v>
      </c>
      <c r="G260">
        <v>11</v>
      </c>
      <c r="H260">
        <v>6220.125</v>
      </c>
      <c r="I260">
        <v>5791.69</v>
      </c>
      <c r="J260">
        <f t="shared" si="21"/>
        <v>7.3974090464096056</v>
      </c>
      <c r="K260">
        <f t="shared" si="22"/>
        <v>7.3974090464096056</v>
      </c>
    </row>
    <row r="261" spans="1:11" x14ac:dyDescent="0.25">
      <c r="A261" t="s">
        <v>59</v>
      </c>
      <c r="B261" t="s">
        <v>46</v>
      </c>
      <c r="C261">
        <v>15</v>
      </c>
      <c r="D261">
        <v>7.1</v>
      </c>
      <c r="E261">
        <v>32.999999999999993</v>
      </c>
      <c r="F261" s="61" t="str">
        <f t="shared" si="20"/>
        <v>33, 7.1</v>
      </c>
      <c r="G261">
        <v>11</v>
      </c>
      <c r="H261">
        <v>5463.48</v>
      </c>
      <c r="I261">
        <v>5791.69</v>
      </c>
      <c r="J261">
        <f t="shared" si="21"/>
        <v>-5.6669124210722606</v>
      </c>
      <c r="K261">
        <f t="shared" si="22"/>
        <v>5.6669124210722606</v>
      </c>
    </row>
    <row r="262" spans="1:11" x14ac:dyDescent="0.25">
      <c r="A262" t="s">
        <v>60</v>
      </c>
      <c r="B262" t="s">
        <v>49</v>
      </c>
      <c r="C262">
        <v>15</v>
      </c>
      <c r="D262">
        <v>7.1</v>
      </c>
      <c r="E262">
        <v>32.999999999999993</v>
      </c>
      <c r="F262" s="61" t="str">
        <f t="shared" si="20"/>
        <v>33, 7.1</v>
      </c>
      <c r="G262">
        <v>11</v>
      </c>
      <c r="H262">
        <v>5304</v>
      </c>
      <c r="I262">
        <v>5791.69</v>
      </c>
      <c r="J262">
        <f t="shared" si="21"/>
        <v>-8.4205128382216525</v>
      </c>
      <c r="K262">
        <f t="shared" si="22"/>
        <v>8.4205128382216525</v>
      </c>
    </row>
    <row r="263" spans="1:11" x14ac:dyDescent="0.25">
      <c r="A263" t="s">
        <v>61</v>
      </c>
      <c r="B263" t="s">
        <v>46</v>
      </c>
      <c r="C263">
        <v>15</v>
      </c>
      <c r="D263">
        <v>7.3</v>
      </c>
      <c r="E263">
        <v>35</v>
      </c>
      <c r="F263" s="61" t="str">
        <f t="shared" si="20"/>
        <v>35, 7.3</v>
      </c>
      <c r="G263">
        <v>11</v>
      </c>
      <c r="H263">
        <v>6166.71</v>
      </c>
      <c r="I263">
        <v>5791.69</v>
      </c>
      <c r="J263">
        <f t="shared" si="21"/>
        <v>6.4751393807334381</v>
      </c>
      <c r="K263">
        <f t="shared" si="22"/>
        <v>6.4751393807334381</v>
      </c>
    </row>
    <row r="264" spans="1:11" x14ac:dyDescent="0.25">
      <c r="A264" t="s">
        <v>62</v>
      </c>
      <c r="B264" t="s">
        <v>49</v>
      </c>
      <c r="C264">
        <v>18</v>
      </c>
      <c r="D264">
        <v>7.2</v>
      </c>
      <c r="E264">
        <v>34</v>
      </c>
      <c r="F264" s="61" t="str">
        <f t="shared" si="20"/>
        <v>34, 7.2</v>
      </c>
      <c r="G264">
        <v>11</v>
      </c>
      <c r="H264">
        <v>5412.2849999999999</v>
      </c>
      <c r="I264">
        <v>5791.69</v>
      </c>
      <c r="J264">
        <f t="shared" si="21"/>
        <v>-6.5508513059227917</v>
      </c>
      <c r="K264">
        <f t="shared" si="22"/>
        <v>6.5508513059227917</v>
      </c>
    </row>
    <row r="265" spans="1:11" x14ac:dyDescent="0.25">
      <c r="A265" t="s">
        <v>63</v>
      </c>
      <c r="B265" t="s">
        <v>51</v>
      </c>
      <c r="C265">
        <v>12</v>
      </c>
      <c r="D265">
        <v>7.1</v>
      </c>
      <c r="E265">
        <v>32.999999999999993</v>
      </c>
      <c r="F265" s="61" t="str">
        <f t="shared" si="20"/>
        <v>33, 7.1</v>
      </c>
      <c r="G265">
        <v>11</v>
      </c>
      <c r="H265">
        <v>5049.3</v>
      </c>
      <c r="I265">
        <v>5791.69</v>
      </c>
      <c r="J265">
        <f t="shared" si="21"/>
        <v>-12.818192962675825</v>
      </c>
      <c r="K265">
        <f t="shared" si="22"/>
        <v>12.818192962675825</v>
      </c>
    </row>
    <row r="266" spans="1:11" x14ac:dyDescent="0.25">
      <c r="A266" t="s">
        <v>64</v>
      </c>
      <c r="B266" t="s">
        <v>46</v>
      </c>
      <c r="C266">
        <v>12</v>
      </c>
      <c r="D266">
        <v>7.1</v>
      </c>
      <c r="E266">
        <v>32.999999999999993</v>
      </c>
      <c r="F266" s="61" t="str">
        <f t="shared" si="20"/>
        <v>33, 7.1</v>
      </c>
      <c r="G266">
        <v>11</v>
      </c>
      <c r="H266">
        <v>5408.34</v>
      </c>
      <c r="I266">
        <v>5791.69</v>
      </c>
      <c r="J266">
        <f t="shared" si="21"/>
        <v>-6.6189661394169823</v>
      </c>
      <c r="K266">
        <f t="shared" si="22"/>
        <v>6.6189661394169823</v>
      </c>
    </row>
    <row r="267" spans="1:11" x14ac:dyDescent="0.25">
      <c r="A267" t="s">
        <v>65</v>
      </c>
      <c r="B267" t="s">
        <v>49</v>
      </c>
      <c r="C267">
        <v>15</v>
      </c>
      <c r="D267">
        <v>7.3</v>
      </c>
      <c r="E267">
        <v>35</v>
      </c>
      <c r="F267" s="61" t="str">
        <f t="shared" si="20"/>
        <v>35, 7.3</v>
      </c>
      <c r="G267">
        <v>11</v>
      </c>
      <c r="H267">
        <v>5488.6350000000002</v>
      </c>
      <c r="I267">
        <v>5791.69</v>
      </c>
      <c r="J267">
        <f t="shared" si="21"/>
        <v>-5.2325832356358752</v>
      </c>
      <c r="K267">
        <f t="shared" si="22"/>
        <v>5.2325832356358752</v>
      </c>
    </row>
    <row r="268" spans="1:11" x14ac:dyDescent="0.25">
      <c r="A268" t="s">
        <v>66</v>
      </c>
      <c r="B268" t="s">
        <v>46</v>
      </c>
      <c r="C268">
        <v>12</v>
      </c>
      <c r="D268">
        <v>7.2</v>
      </c>
      <c r="E268">
        <v>34</v>
      </c>
      <c r="F268" s="61" t="str">
        <f t="shared" si="20"/>
        <v>34, 7.2</v>
      </c>
      <c r="G268">
        <v>11</v>
      </c>
      <c r="H268">
        <v>5789.5349999999999</v>
      </c>
      <c r="I268">
        <v>5791.69</v>
      </c>
      <c r="J268">
        <f t="shared" si="21"/>
        <v>-3.7208483188840312E-2</v>
      </c>
      <c r="K268">
        <f t="shared" si="22"/>
        <v>3.7208483188840312E-2</v>
      </c>
    </row>
    <row r="269" spans="1:11" x14ac:dyDescent="0.25">
      <c r="A269" t="s">
        <v>67</v>
      </c>
      <c r="B269" t="s">
        <v>49</v>
      </c>
      <c r="C269">
        <v>12</v>
      </c>
      <c r="D269">
        <v>7.1</v>
      </c>
      <c r="E269">
        <v>32.999999999999993</v>
      </c>
      <c r="F269" s="61" t="str">
        <f t="shared" si="20"/>
        <v>33, 7.1</v>
      </c>
      <c r="G269">
        <v>11</v>
      </c>
      <c r="H269">
        <v>5017.08</v>
      </c>
      <c r="I269">
        <v>5791.69</v>
      </c>
      <c r="J269">
        <f t="shared" si="21"/>
        <v>-13.374507268172152</v>
      </c>
      <c r="K269">
        <f t="shared" si="22"/>
        <v>13.374507268172152</v>
      </c>
    </row>
    <row r="270" spans="1:11" x14ac:dyDescent="0.25">
      <c r="A270" t="s">
        <v>68</v>
      </c>
      <c r="B270" t="s">
        <v>51</v>
      </c>
      <c r="C270">
        <v>12</v>
      </c>
      <c r="D270">
        <v>7.3</v>
      </c>
      <c r="E270">
        <v>35</v>
      </c>
      <c r="F270" s="61" t="str">
        <f t="shared" si="20"/>
        <v>35, 7.3</v>
      </c>
      <c r="G270">
        <v>11</v>
      </c>
      <c r="H270">
        <v>5327.82</v>
      </c>
      <c r="I270">
        <v>5791.69</v>
      </c>
      <c r="J270">
        <f t="shared" si="21"/>
        <v>-8.009233919633127</v>
      </c>
      <c r="K270">
        <f t="shared" si="22"/>
        <v>8.009233919633127</v>
      </c>
    </row>
    <row r="271" spans="1:11" x14ac:dyDescent="0.25">
      <c r="A271" t="s">
        <v>69</v>
      </c>
      <c r="B271" t="s">
        <v>51</v>
      </c>
      <c r="C271">
        <v>15</v>
      </c>
      <c r="D271">
        <v>7.2</v>
      </c>
      <c r="E271">
        <v>34</v>
      </c>
      <c r="F271" s="61" t="str">
        <f t="shared" si="20"/>
        <v>34, 7.2</v>
      </c>
      <c r="G271">
        <v>11</v>
      </c>
      <c r="H271">
        <v>5730.09</v>
      </c>
      <c r="I271">
        <v>5791.69</v>
      </c>
      <c r="J271">
        <f t="shared" si="21"/>
        <v>-1.0635928373238115</v>
      </c>
      <c r="K271">
        <f t="shared" si="22"/>
        <v>1.0635928373238115</v>
      </c>
    </row>
    <row r="272" spans="1:11" x14ac:dyDescent="0.25">
      <c r="A272" t="s">
        <v>70</v>
      </c>
      <c r="B272" t="s">
        <v>51</v>
      </c>
      <c r="C272">
        <v>15</v>
      </c>
      <c r="D272">
        <v>7.2</v>
      </c>
      <c r="E272">
        <v>34</v>
      </c>
      <c r="F272" s="61" t="str">
        <f t="shared" si="20"/>
        <v>34, 7.2</v>
      </c>
      <c r="G272">
        <v>11</v>
      </c>
      <c r="H272">
        <v>5927.2950000000001</v>
      </c>
      <c r="I272">
        <v>5791.69</v>
      </c>
      <c r="J272">
        <f t="shared" si="21"/>
        <v>2.3413718620989812</v>
      </c>
      <c r="K272">
        <f t="shared" si="22"/>
        <v>2.3413718620989812</v>
      </c>
    </row>
    <row r="273" spans="1:11" x14ac:dyDescent="0.25">
      <c r="A273" t="s">
        <v>71</v>
      </c>
      <c r="B273" t="s">
        <v>51</v>
      </c>
      <c r="C273">
        <v>15</v>
      </c>
      <c r="D273">
        <v>7.2</v>
      </c>
      <c r="E273">
        <v>34</v>
      </c>
      <c r="F273" s="61" t="str">
        <f t="shared" si="20"/>
        <v>34, 7.2</v>
      </c>
      <c r="G273">
        <v>11</v>
      </c>
      <c r="H273">
        <v>5436.5550000000003</v>
      </c>
      <c r="I273">
        <v>5791.69</v>
      </c>
      <c r="J273">
        <f t="shared" si="21"/>
        <v>-6.1318026344641945</v>
      </c>
      <c r="K273">
        <f t="shared" si="22"/>
        <v>6.1318026344641945</v>
      </c>
    </row>
    <row r="274" spans="1:11" x14ac:dyDescent="0.25">
      <c r="A274" t="s">
        <v>45</v>
      </c>
      <c r="B274" t="s">
        <v>46</v>
      </c>
      <c r="C274">
        <v>18</v>
      </c>
      <c r="D274">
        <v>7.1</v>
      </c>
      <c r="E274">
        <v>32.999999999999993</v>
      </c>
      <c r="F274" s="61" t="str">
        <f t="shared" ref="F274:F297" si="23">_xlfn.CONCAT(E274,", ",D274)</f>
        <v>33, 7.1</v>
      </c>
      <c r="G274">
        <v>12</v>
      </c>
      <c r="H274">
        <v>6341.88</v>
      </c>
      <c r="I274">
        <v>6120</v>
      </c>
      <c r="J274">
        <f t="shared" si="21"/>
        <v>3.6254901960784331</v>
      </c>
      <c r="K274">
        <f t="shared" si="22"/>
        <v>3.6254901960784331</v>
      </c>
    </row>
    <row r="275" spans="1:11" x14ac:dyDescent="0.25">
      <c r="A275" t="s">
        <v>47</v>
      </c>
      <c r="B275" t="s">
        <v>46</v>
      </c>
      <c r="C275">
        <v>12</v>
      </c>
      <c r="D275">
        <v>7.3</v>
      </c>
      <c r="E275">
        <v>35</v>
      </c>
      <c r="F275" s="61" t="str">
        <f t="shared" si="23"/>
        <v>35, 7.3</v>
      </c>
      <c r="G275">
        <v>12</v>
      </c>
      <c r="H275">
        <v>6153.24</v>
      </c>
      <c r="I275">
        <v>6120</v>
      </c>
      <c r="J275">
        <f t="shared" si="21"/>
        <v>0.54313725490195719</v>
      </c>
      <c r="K275">
        <f t="shared" si="22"/>
        <v>0.54313725490195719</v>
      </c>
    </row>
    <row r="276" spans="1:11" x14ac:dyDescent="0.25">
      <c r="A276" t="s">
        <v>48</v>
      </c>
      <c r="B276" t="s">
        <v>49</v>
      </c>
      <c r="C276">
        <v>12</v>
      </c>
      <c r="D276">
        <v>7.2</v>
      </c>
      <c r="E276">
        <v>34</v>
      </c>
      <c r="F276" s="61" t="str">
        <f t="shared" si="23"/>
        <v>34, 7.2</v>
      </c>
      <c r="G276">
        <v>12</v>
      </c>
      <c r="H276">
        <v>5439.2550000000001</v>
      </c>
      <c r="I276">
        <v>6120</v>
      </c>
      <c r="J276">
        <f t="shared" si="21"/>
        <v>-11.123284313725488</v>
      </c>
      <c r="K276">
        <f t="shared" si="22"/>
        <v>11.123284313725488</v>
      </c>
    </row>
    <row r="277" spans="1:11" x14ac:dyDescent="0.25">
      <c r="A277" t="s">
        <v>50</v>
      </c>
      <c r="B277" t="s">
        <v>51</v>
      </c>
      <c r="C277">
        <v>18</v>
      </c>
      <c r="D277">
        <v>7.3</v>
      </c>
      <c r="E277">
        <v>35</v>
      </c>
      <c r="F277" s="61" t="str">
        <f t="shared" si="23"/>
        <v>35, 7.3</v>
      </c>
      <c r="G277">
        <v>12</v>
      </c>
      <c r="H277">
        <v>7113.93</v>
      </c>
      <c r="I277">
        <v>6120</v>
      </c>
      <c r="J277">
        <f t="shared" si="21"/>
        <v>16.240686274509809</v>
      </c>
      <c r="K277">
        <f t="shared" si="22"/>
        <v>16.240686274509809</v>
      </c>
    </row>
    <row r="278" spans="1:11" x14ac:dyDescent="0.25">
      <c r="A278" t="s">
        <v>52</v>
      </c>
      <c r="B278" t="s">
        <v>49</v>
      </c>
      <c r="C278">
        <v>18</v>
      </c>
      <c r="D278">
        <v>7.3</v>
      </c>
      <c r="E278">
        <v>35</v>
      </c>
      <c r="F278" s="61" t="str">
        <f t="shared" si="23"/>
        <v>35, 7.3</v>
      </c>
      <c r="G278">
        <v>12</v>
      </c>
      <c r="H278">
        <v>5989.05</v>
      </c>
      <c r="I278">
        <v>6120</v>
      </c>
      <c r="J278">
        <f t="shared" si="21"/>
        <v>-2.139705882352938</v>
      </c>
      <c r="K278">
        <f t="shared" si="22"/>
        <v>2.139705882352938</v>
      </c>
    </row>
    <row r="279" spans="1:11" x14ac:dyDescent="0.25">
      <c r="A279" t="s">
        <v>53</v>
      </c>
      <c r="B279" t="s">
        <v>49</v>
      </c>
      <c r="C279">
        <v>12</v>
      </c>
      <c r="D279">
        <v>7.3</v>
      </c>
      <c r="E279">
        <v>35</v>
      </c>
      <c r="F279" s="61" t="str">
        <f t="shared" si="23"/>
        <v>35, 7.3</v>
      </c>
      <c r="G279">
        <v>12</v>
      </c>
      <c r="H279">
        <v>6056.7449999999999</v>
      </c>
      <c r="I279">
        <v>6120</v>
      </c>
      <c r="J279">
        <f t="shared" si="21"/>
        <v>-1.0335784313725509</v>
      </c>
      <c r="K279">
        <f t="shared" si="22"/>
        <v>1.0335784313725509</v>
      </c>
    </row>
    <row r="280" spans="1:11" x14ac:dyDescent="0.25">
      <c r="A280" t="s">
        <v>54</v>
      </c>
      <c r="B280" t="s">
        <v>46</v>
      </c>
      <c r="C280">
        <v>18</v>
      </c>
      <c r="D280">
        <v>7.3</v>
      </c>
      <c r="E280">
        <v>35</v>
      </c>
      <c r="F280" s="61" t="str">
        <f t="shared" si="23"/>
        <v>35, 7.3</v>
      </c>
      <c r="G280">
        <v>12</v>
      </c>
      <c r="H280">
        <v>6573.6450000000004</v>
      </c>
      <c r="I280">
        <v>6120</v>
      </c>
      <c r="J280">
        <f t="shared" si="21"/>
        <v>7.4125000000000068</v>
      </c>
      <c r="K280">
        <f t="shared" si="22"/>
        <v>7.4125000000000068</v>
      </c>
    </row>
    <row r="281" spans="1:11" x14ac:dyDescent="0.25">
      <c r="A281" t="s">
        <v>55</v>
      </c>
      <c r="B281" t="s">
        <v>51</v>
      </c>
      <c r="C281">
        <v>15</v>
      </c>
      <c r="D281">
        <v>7.2</v>
      </c>
      <c r="E281">
        <v>34</v>
      </c>
      <c r="F281" s="61" t="str">
        <f t="shared" si="23"/>
        <v>34, 7.2</v>
      </c>
      <c r="G281">
        <v>12</v>
      </c>
      <c r="H281">
        <v>5604.9750000000004</v>
      </c>
      <c r="I281">
        <v>6120</v>
      </c>
      <c r="J281">
        <f t="shared" si="21"/>
        <v>-8.4154411764705817</v>
      </c>
      <c r="K281">
        <f t="shared" si="22"/>
        <v>8.4154411764705817</v>
      </c>
    </row>
    <row r="282" spans="1:11" x14ac:dyDescent="0.25">
      <c r="A282" t="s">
        <v>56</v>
      </c>
      <c r="B282" t="s">
        <v>49</v>
      </c>
      <c r="C282">
        <v>18</v>
      </c>
      <c r="D282">
        <v>7.1</v>
      </c>
      <c r="E282">
        <v>32.999999999999993</v>
      </c>
      <c r="F282" s="61" t="str">
        <f t="shared" si="23"/>
        <v>33, 7.1</v>
      </c>
      <c r="G282">
        <v>12</v>
      </c>
      <c r="H282">
        <v>5804.3549999999996</v>
      </c>
      <c r="I282">
        <v>6120</v>
      </c>
      <c r="J282">
        <f t="shared" si="21"/>
        <v>-5.157598039215693</v>
      </c>
      <c r="K282">
        <f t="shared" si="22"/>
        <v>5.157598039215693</v>
      </c>
    </row>
    <row r="283" spans="1:11" x14ac:dyDescent="0.25">
      <c r="A283" t="s">
        <v>57</v>
      </c>
      <c r="B283" t="s">
        <v>46</v>
      </c>
      <c r="C283">
        <v>18</v>
      </c>
      <c r="D283">
        <v>7.2</v>
      </c>
      <c r="E283">
        <v>34</v>
      </c>
      <c r="F283" s="61" t="str">
        <f t="shared" si="23"/>
        <v>34, 7.2</v>
      </c>
      <c r="G283">
        <v>12</v>
      </c>
      <c r="H283">
        <v>6366.1949999999997</v>
      </c>
      <c r="I283">
        <v>6120</v>
      </c>
      <c r="J283">
        <f t="shared" si="21"/>
        <v>4.0227941176470541</v>
      </c>
      <c r="K283">
        <f t="shared" si="22"/>
        <v>4.0227941176470541</v>
      </c>
    </row>
    <row r="284" spans="1:11" x14ac:dyDescent="0.25">
      <c r="A284" t="s">
        <v>58</v>
      </c>
      <c r="B284" t="s">
        <v>51</v>
      </c>
      <c r="C284">
        <v>18</v>
      </c>
      <c r="D284">
        <v>7.1</v>
      </c>
      <c r="E284">
        <v>32.999999999999993</v>
      </c>
      <c r="F284" s="61" t="str">
        <f t="shared" si="23"/>
        <v>33, 7.1</v>
      </c>
      <c r="G284">
        <v>12</v>
      </c>
      <c r="H284">
        <v>6578.1149999999998</v>
      </c>
      <c r="I284">
        <v>6120</v>
      </c>
      <c r="J284">
        <f t="shared" si="21"/>
        <v>7.4855392156862708</v>
      </c>
      <c r="K284">
        <f t="shared" si="22"/>
        <v>7.4855392156862708</v>
      </c>
    </row>
    <row r="285" spans="1:11" x14ac:dyDescent="0.25">
      <c r="A285" t="s">
        <v>59</v>
      </c>
      <c r="B285" t="s">
        <v>46</v>
      </c>
      <c r="C285">
        <v>15</v>
      </c>
      <c r="D285">
        <v>7.1</v>
      </c>
      <c r="E285">
        <v>32.999999999999993</v>
      </c>
      <c r="F285" s="61" t="str">
        <f t="shared" si="23"/>
        <v>33, 7.1</v>
      </c>
      <c r="G285">
        <v>12</v>
      </c>
      <c r="H285">
        <v>6067.92</v>
      </c>
      <c r="I285">
        <v>6120</v>
      </c>
      <c r="J285">
        <f t="shared" si="21"/>
        <v>-0.85098039215686161</v>
      </c>
      <c r="K285">
        <f t="shared" si="22"/>
        <v>0.85098039215686161</v>
      </c>
    </row>
    <row r="286" spans="1:11" x14ac:dyDescent="0.25">
      <c r="A286" t="s">
        <v>60</v>
      </c>
      <c r="B286" t="s">
        <v>49</v>
      </c>
      <c r="C286">
        <v>15</v>
      </c>
      <c r="D286">
        <v>7.1</v>
      </c>
      <c r="E286">
        <v>32.999999999999993</v>
      </c>
      <c r="F286" s="61" t="str">
        <f t="shared" si="23"/>
        <v>33, 7.1</v>
      </c>
      <c r="G286">
        <v>12</v>
      </c>
      <c r="H286">
        <v>5831.76</v>
      </c>
      <c r="I286">
        <v>6120</v>
      </c>
      <c r="J286">
        <f t="shared" si="21"/>
        <v>-4.709803921568624</v>
      </c>
      <c r="K286">
        <f t="shared" si="22"/>
        <v>4.709803921568624</v>
      </c>
    </row>
    <row r="287" spans="1:11" x14ac:dyDescent="0.25">
      <c r="A287" t="s">
        <v>61</v>
      </c>
      <c r="B287" t="s">
        <v>46</v>
      </c>
      <c r="C287">
        <v>15</v>
      </c>
      <c r="D287">
        <v>7.3</v>
      </c>
      <c r="E287">
        <v>35</v>
      </c>
      <c r="F287" s="61" t="str">
        <f t="shared" si="23"/>
        <v>35, 7.3</v>
      </c>
      <c r="G287">
        <v>12</v>
      </c>
      <c r="H287">
        <v>6554.5649999999996</v>
      </c>
      <c r="I287">
        <v>6120</v>
      </c>
      <c r="J287">
        <f t="shared" si="21"/>
        <v>7.1007352941176398</v>
      </c>
      <c r="K287">
        <f t="shared" si="22"/>
        <v>7.1007352941176398</v>
      </c>
    </row>
    <row r="288" spans="1:11" x14ac:dyDescent="0.25">
      <c r="A288" t="s">
        <v>62</v>
      </c>
      <c r="B288" t="s">
        <v>49</v>
      </c>
      <c r="C288">
        <v>18</v>
      </c>
      <c r="D288">
        <v>7.2</v>
      </c>
      <c r="E288">
        <v>34</v>
      </c>
      <c r="F288" s="61" t="str">
        <f t="shared" si="23"/>
        <v>34, 7.2</v>
      </c>
      <c r="G288">
        <v>12</v>
      </c>
      <c r="H288">
        <v>5775.24</v>
      </c>
      <c r="I288">
        <v>6120</v>
      </c>
      <c r="J288">
        <f t="shared" si="21"/>
        <v>-5.6333333333333373</v>
      </c>
      <c r="K288">
        <f t="shared" si="22"/>
        <v>5.6333333333333373</v>
      </c>
    </row>
    <row r="289" spans="1:11" x14ac:dyDescent="0.25">
      <c r="A289" t="s">
        <v>63</v>
      </c>
      <c r="B289" t="s">
        <v>51</v>
      </c>
      <c r="C289">
        <v>12</v>
      </c>
      <c r="D289">
        <v>7.1</v>
      </c>
      <c r="E289">
        <v>32.999999999999993</v>
      </c>
      <c r="F289" s="61" t="str">
        <f t="shared" si="23"/>
        <v>33, 7.1</v>
      </c>
      <c r="G289">
        <v>12</v>
      </c>
      <c r="H289">
        <v>5679.03</v>
      </c>
      <c r="I289">
        <v>6120</v>
      </c>
      <c r="J289">
        <f t="shared" si="21"/>
        <v>-7.2053921568627501</v>
      </c>
      <c r="K289">
        <f t="shared" si="22"/>
        <v>7.2053921568627501</v>
      </c>
    </row>
    <row r="290" spans="1:11" x14ac:dyDescent="0.25">
      <c r="A290" t="s">
        <v>64</v>
      </c>
      <c r="B290" t="s">
        <v>46</v>
      </c>
      <c r="C290">
        <v>12</v>
      </c>
      <c r="D290">
        <v>7.1</v>
      </c>
      <c r="E290">
        <v>32.999999999999993</v>
      </c>
      <c r="F290" s="61" t="str">
        <f t="shared" si="23"/>
        <v>33, 7.1</v>
      </c>
      <c r="G290">
        <v>12</v>
      </c>
      <c r="H290">
        <v>5975.7749999999996</v>
      </c>
      <c r="I290">
        <v>6120</v>
      </c>
      <c r="J290">
        <f t="shared" si="21"/>
        <v>-2.3566176470588296</v>
      </c>
      <c r="K290">
        <f t="shared" si="22"/>
        <v>2.3566176470588296</v>
      </c>
    </row>
    <row r="291" spans="1:11" x14ac:dyDescent="0.25">
      <c r="A291" t="s">
        <v>65</v>
      </c>
      <c r="B291" t="s">
        <v>49</v>
      </c>
      <c r="C291">
        <v>15</v>
      </c>
      <c r="D291">
        <v>7.3</v>
      </c>
      <c r="E291">
        <v>35</v>
      </c>
      <c r="F291" s="61" t="str">
        <f t="shared" si="23"/>
        <v>35, 7.3</v>
      </c>
      <c r="G291">
        <v>12</v>
      </c>
      <c r="H291">
        <v>5841.4049999999997</v>
      </c>
      <c r="I291">
        <v>6120</v>
      </c>
      <c r="J291">
        <f t="shared" si="21"/>
        <v>-4.5522058823529452</v>
      </c>
      <c r="K291">
        <f t="shared" si="22"/>
        <v>4.5522058823529452</v>
      </c>
    </row>
    <row r="292" spans="1:11" x14ac:dyDescent="0.25">
      <c r="A292" t="s">
        <v>66</v>
      </c>
      <c r="B292" t="s">
        <v>46</v>
      </c>
      <c r="C292">
        <v>12</v>
      </c>
      <c r="D292">
        <v>7.2</v>
      </c>
      <c r="E292">
        <v>34</v>
      </c>
      <c r="F292" s="61" t="str">
        <f t="shared" si="23"/>
        <v>34, 7.2</v>
      </c>
      <c r="G292">
        <v>12</v>
      </c>
      <c r="H292">
        <v>6066.15</v>
      </c>
      <c r="I292">
        <v>6120</v>
      </c>
      <c r="J292">
        <f t="shared" si="21"/>
        <v>-0.8799019607843197</v>
      </c>
      <c r="K292">
        <f t="shared" si="22"/>
        <v>0.8799019607843197</v>
      </c>
    </row>
    <row r="293" spans="1:11" x14ac:dyDescent="0.25">
      <c r="A293" t="s">
        <v>67</v>
      </c>
      <c r="B293" t="s">
        <v>49</v>
      </c>
      <c r="C293">
        <v>12</v>
      </c>
      <c r="D293">
        <v>7.1</v>
      </c>
      <c r="E293">
        <v>32.999999999999993</v>
      </c>
      <c r="F293" s="61" t="str">
        <f t="shared" si="23"/>
        <v>33, 7.1</v>
      </c>
      <c r="G293">
        <v>12</v>
      </c>
      <c r="H293">
        <v>5475.4049999999997</v>
      </c>
      <c r="I293">
        <v>6120</v>
      </c>
      <c r="J293">
        <f t="shared" si="21"/>
        <v>-10.53259803921569</v>
      </c>
      <c r="K293">
        <f t="shared" si="22"/>
        <v>10.53259803921569</v>
      </c>
    </row>
    <row r="294" spans="1:11" x14ac:dyDescent="0.25">
      <c r="A294" t="s">
        <v>68</v>
      </c>
      <c r="B294" t="s">
        <v>51</v>
      </c>
      <c r="C294">
        <v>12</v>
      </c>
      <c r="D294">
        <v>7.3</v>
      </c>
      <c r="E294">
        <v>35</v>
      </c>
      <c r="F294" s="61" t="str">
        <f t="shared" si="23"/>
        <v>35, 7.3</v>
      </c>
      <c r="G294">
        <v>12</v>
      </c>
      <c r="H294">
        <v>5705.1149999999998</v>
      </c>
      <c r="I294">
        <v>6120</v>
      </c>
      <c r="J294">
        <f t="shared" si="21"/>
        <v>-6.7791666666666703</v>
      </c>
      <c r="K294">
        <f t="shared" si="22"/>
        <v>6.7791666666666703</v>
      </c>
    </row>
    <row r="295" spans="1:11" x14ac:dyDescent="0.25">
      <c r="A295" t="s">
        <v>69</v>
      </c>
      <c r="B295" t="s">
        <v>51</v>
      </c>
      <c r="C295">
        <v>15</v>
      </c>
      <c r="D295">
        <v>7.2</v>
      </c>
      <c r="E295">
        <v>34</v>
      </c>
      <c r="F295" s="61" t="str">
        <f t="shared" si="23"/>
        <v>34, 7.2</v>
      </c>
      <c r="G295">
        <v>12</v>
      </c>
      <c r="H295">
        <v>6154.8349999999991</v>
      </c>
      <c r="I295">
        <v>6120</v>
      </c>
      <c r="J295">
        <f t="shared" si="21"/>
        <v>0.56919934640521452</v>
      </c>
      <c r="K295">
        <f t="shared" si="22"/>
        <v>0.56919934640521452</v>
      </c>
    </row>
    <row r="296" spans="1:11" x14ac:dyDescent="0.25">
      <c r="A296" t="s">
        <v>70</v>
      </c>
      <c r="B296" t="s">
        <v>51</v>
      </c>
      <c r="C296">
        <v>15</v>
      </c>
      <c r="D296">
        <v>7.2</v>
      </c>
      <c r="E296">
        <v>34</v>
      </c>
      <c r="F296" s="61" t="str">
        <f t="shared" si="23"/>
        <v>34, 7.2</v>
      </c>
      <c r="G296">
        <v>12</v>
      </c>
      <c r="H296">
        <v>6407.1349999999993</v>
      </c>
      <c r="I296">
        <v>6120</v>
      </c>
      <c r="J296">
        <f t="shared" si="21"/>
        <v>4.6917483660130603</v>
      </c>
      <c r="K296">
        <f t="shared" si="22"/>
        <v>4.6917483660130603</v>
      </c>
    </row>
    <row r="297" spans="1:11" x14ac:dyDescent="0.25">
      <c r="A297" t="s">
        <v>71</v>
      </c>
      <c r="B297" t="s">
        <v>51</v>
      </c>
      <c r="C297">
        <v>15</v>
      </c>
      <c r="D297">
        <v>7.2</v>
      </c>
      <c r="E297">
        <v>34</v>
      </c>
      <c r="F297" s="61" t="str">
        <f t="shared" si="23"/>
        <v>34, 7.2</v>
      </c>
      <c r="G297">
        <v>12</v>
      </c>
      <c r="H297">
        <v>6033.1850000000004</v>
      </c>
      <c r="I297">
        <v>6120</v>
      </c>
      <c r="J297">
        <f t="shared" si="21"/>
        <v>-1.4185457516339803</v>
      </c>
      <c r="K297">
        <f t="shared" si="22"/>
        <v>1.4185457516339803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1F84-99C2-4032-8E58-EAF6D5FAF145}">
  <dimension ref="A3:C54"/>
  <sheetViews>
    <sheetView workbookViewId="0">
      <selection activeCell="F28" sqref="F28"/>
    </sheetView>
  </sheetViews>
  <sheetFormatPr defaultRowHeight="15" x14ac:dyDescent="0.25"/>
  <cols>
    <col min="1" max="1" width="13.140625" bestFit="1" customWidth="1"/>
    <col min="2" max="2" width="36" style="20" bestFit="1" customWidth="1"/>
    <col min="3" max="3" width="14.5703125" style="20" bestFit="1" customWidth="1"/>
    <col min="4" max="4" width="36" bestFit="1" customWidth="1"/>
    <col min="5" max="5" width="14.5703125" bestFit="1" customWidth="1"/>
    <col min="6" max="6" width="36" bestFit="1" customWidth="1"/>
    <col min="7" max="7" width="14.5703125" bestFit="1" customWidth="1"/>
    <col min="8" max="8" width="36" bestFit="1" customWidth="1"/>
    <col min="9" max="9" width="14.5703125" bestFit="1" customWidth="1"/>
    <col min="10" max="10" width="41" bestFit="1" customWidth="1"/>
    <col min="11" max="11" width="19.5703125" bestFit="1" customWidth="1"/>
  </cols>
  <sheetData>
    <row r="3" spans="1:3" x14ac:dyDescent="0.25">
      <c r="A3" s="85" t="s">
        <v>369</v>
      </c>
      <c r="B3" s="20" t="s">
        <v>370</v>
      </c>
      <c r="C3" s="20" t="s">
        <v>371</v>
      </c>
    </row>
    <row r="4" spans="1:3" x14ac:dyDescent="0.25">
      <c r="A4" s="86" t="s">
        <v>45</v>
      </c>
      <c r="B4" s="20">
        <v>0.44193179671490596</v>
      </c>
      <c r="C4" s="20">
        <v>6.2154272140746976</v>
      </c>
    </row>
    <row r="5" spans="1:3" x14ac:dyDescent="0.25">
      <c r="A5" s="86" t="s">
        <v>47</v>
      </c>
      <c r="B5" s="20">
        <v>-10.790017266080531</v>
      </c>
      <c r="C5" s="20">
        <v>11.024316522342501</v>
      </c>
    </row>
    <row r="6" spans="1:3" x14ac:dyDescent="0.25">
      <c r="A6" s="86" t="s">
        <v>48</v>
      </c>
      <c r="B6" s="20">
        <v>-8.1453929618960697</v>
      </c>
      <c r="C6" s="20">
        <v>8.7571911535722098</v>
      </c>
    </row>
    <row r="7" spans="1:3" x14ac:dyDescent="0.25">
      <c r="A7" s="86" t="s">
        <v>50</v>
      </c>
      <c r="B7" s="20">
        <v>15.004179236136549</v>
      </c>
      <c r="C7" s="20">
        <v>15.004179236136549</v>
      </c>
    </row>
    <row r="8" spans="1:3" x14ac:dyDescent="0.25">
      <c r="A8" s="86" t="s">
        <v>52</v>
      </c>
      <c r="B8" s="20">
        <v>6.1421119658711332</v>
      </c>
      <c r="C8" s="20">
        <v>6.5615207268650364</v>
      </c>
    </row>
    <row r="9" spans="1:3" x14ac:dyDescent="0.25">
      <c r="A9" s="86" t="s">
        <v>53</v>
      </c>
      <c r="B9" s="20">
        <v>-5.3661509758817987</v>
      </c>
      <c r="C9" s="20">
        <v>7.9302470601128023</v>
      </c>
    </row>
    <row r="10" spans="1:3" x14ac:dyDescent="0.25">
      <c r="A10" s="86" t="s">
        <v>54</v>
      </c>
      <c r="B10" s="20">
        <v>5.7409880866477767</v>
      </c>
      <c r="C10" s="20">
        <v>8.3027217836914602</v>
      </c>
    </row>
    <row r="11" spans="1:3" x14ac:dyDescent="0.25">
      <c r="A11" s="86" t="s">
        <v>55</v>
      </c>
      <c r="B11" s="20">
        <v>-2.6475260849890798</v>
      </c>
      <c r="C11" s="20">
        <v>3.0115583025018684</v>
      </c>
    </row>
    <row r="12" spans="1:3" x14ac:dyDescent="0.25">
      <c r="A12" s="86" t="s">
        <v>56</v>
      </c>
      <c r="B12" s="20">
        <v>1.5098248163393315</v>
      </c>
      <c r="C12" s="20">
        <v>6.412422263154304</v>
      </c>
    </row>
    <row r="13" spans="1:3" x14ac:dyDescent="0.25">
      <c r="A13" s="86" t="s">
        <v>57</v>
      </c>
      <c r="B13" s="20">
        <v>-2.0873007958077134</v>
      </c>
      <c r="C13" s="20">
        <v>8.9038412813621264</v>
      </c>
    </row>
    <row r="14" spans="1:3" x14ac:dyDescent="0.25">
      <c r="A14" s="86" t="s">
        <v>58</v>
      </c>
      <c r="B14" s="20">
        <v>9.2318222011575468</v>
      </c>
      <c r="C14" s="20">
        <v>9.2318222011575468</v>
      </c>
    </row>
    <row r="15" spans="1:3" x14ac:dyDescent="0.25">
      <c r="A15" s="86" t="s">
        <v>59</v>
      </c>
      <c r="B15" s="20">
        <v>-11.021273933616747</v>
      </c>
      <c r="C15" s="20">
        <v>11.038413336590645</v>
      </c>
    </row>
    <row r="16" spans="1:3" x14ac:dyDescent="0.25">
      <c r="A16" s="86" t="s">
        <v>60</v>
      </c>
      <c r="B16" s="20">
        <v>-0.16461536106637001</v>
      </c>
      <c r="C16" s="20">
        <v>3.8117377441974925</v>
      </c>
    </row>
    <row r="17" spans="1:3" x14ac:dyDescent="0.25">
      <c r="A17" s="86" t="s">
        <v>61</v>
      </c>
      <c r="B17" s="20">
        <v>-2.4597485073768839</v>
      </c>
      <c r="C17" s="20">
        <v>9.4361475647696107</v>
      </c>
    </row>
    <row r="18" spans="1:3" x14ac:dyDescent="0.25">
      <c r="A18" s="86" t="s">
        <v>62</v>
      </c>
      <c r="B18" s="20">
        <v>6.86630432583922</v>
      </c>
      <c r="C18" s="20">
        <v>8.9184856667767693</v>
      </c>
    </row>
    <row r="19" spans="1:3" x14ac:dyDescent="0.25">
      <c r="A19" s="86" t="s">
        <v>63</v>
      </c>
      <c r="B19" s="20">
        <v>-14.55891296867923</v>
      </c>
      <c r="C19" s="20">
        <v>14.55891296867923</v>
      </c>
    </row>
    <row r="20" spans="1:3" x14ac:dyDescent="0.25">
      <c r="A20" s="86" t="s">
        <v>64</v>
      </c>
      <c r="B20" s="20">
        <v>-15.097750280655079</v>
      </c>
      <c r="C20" s="20">
        <v>15.097750280655079</v>
      </c>
    </row>
    <row r="21" spans="1:3" x14ac:dyDescent="0.25">
      <c r="A21" s="86" t="s">
        <v>65</v>
      </c>
      <c r="B21" s="20">
        <v>2.1549605367411684</v>
      </c>
      <c r="C21" s="20">
        <v>4.9547482231066962</v>
      </c>
    </row>
    <row r="22" spans="1:3" x14ac:dyDescent="0.25">
      <c r="A22" s="86" t="s">
        <v>66</v>
      </c>
      <c r="B22" s="20">
        <v>-10.746447063916902</v>
      </c>
      <c r="C22" s="20">
        <v>10.966648005977836</v>
      </c>
    </row>
    <row r="23" spans="1:3" x14ac:dyDescent="0.25">
      <c r="A23" s="86" t="s">
        <v>67</v>
      </c>
      <c r="B23" s="20">
        <v>-11.058373683355361</v>
      </c>
      <c r="C23" s="20">
        <v>11.154358709381924</v>
      </c>
    </row>
    <row r="24" spans="1:3" x14ac:dyDescent="0.25">
      <c r="A24" s="86" t="s">
        <v>68</v>
      </c>
      <c r="B24" s="20">
        <v>-11.541671475685416</v>
      </c>
      <c r="C24" s="20">
        <v>11.541671475685416</v>
      </c>
    </row>
    <row r="25" spans="1:3" x14ac:dyDescent="0.25">
      <c r="A25" s="86" t="s">
        <v>69</v>
      </c>
      <c r="B25" s="20">
        <v>-0.82833493836471517</v>
      </c>
      <c r="C25" s="20">
        <v>1.876889925141761</v>
      </c>
    </row>
    <row r="26" spans="1:3" x14ac:dyDescent="0.25">
      <c r="A26" s="86" t="s">
        <v>70</v>
      </c>
      <c r="B26" s="20">
        <v>1.1844029802275269</v>
      </c>
      <c r="C26" s="20">
        <v>2.1717325269587566</v>
      </c>
    </row>
    <row r="27" spans="1:3" x14ac:dyDescent="0.25">
      <c r="A27" s="86" t="s">
        <v>71</v>
      </c>
      <c r="B27" s="20">
        <v>-5.1437523312285069</v>
      </c>
      <c r="C27" s="20">
        <v>5.2899151341592523</v>
      </c>
    </row>
    <row r="28" spans="1:3" x14ac:dyDescent="0.25">
      <c r="A28" s="86" t="s">
        <v>372</v>
      </c>
    </row>
    <row r="29" spans="1:3" x14ac:dyDescent="0.25">
      <c r="A29" s="86" t="s">
        <v>373</v>
      </c>
      <c r="B29" s="20">
        <v>-2.5928290472411284</v>
      </c>
      <c r="C29" s="20">
        <v>8.3911763379585853</v>
      </c>
    </row>
    <row r="30" spans="1:3" x14ac:dyDescent="0.25">
      <c r="B30"/>
      <c r="C30"/>
    </row>
    <row r="31" spans="1:3" x14ac:dyDescent="0.25">
      <c r="B31"/>
      <c r="C31"/>
    </row>
    <row r="32" spans="1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C678-FC9B-4436-B4E3-9FF091364036}">
  <dimension ref="A1:AV265"/>
  <sheetViews>
    <sheetView topLeftCell="O1" workbookViewId="0">
      <selection activeCell="AW45" sqref="AW45"/>
    </sheetView>
  </sheetViews>
  <sheetFormatPr defaultRowHeight="15" x14ac:dyDescent="0.25"/>
  <cols>
    <col min="15" max="15" width="12.140625" bestFit="1" customWidth="1"/>
    <col min="16" max="16" width="8" bestFit="1" customWidth="1"/>
    <col min="17" max="17" width="12.42578125" bestFit="1" customWidth="1"/>
    <col min="18" max="18" width="13.7109375" bestFit="1" customWidth="1"/>
    <col min="19" max="19" width="11.5703125" style="20" bestFit="1" customWidth="1"/>
  </cols>
  <sheetData>
    <row r="1" spans="1:47" x14ac:dyDescent="0.25">
      <c r="N1" t="s">
        <v>374</v>
      </c>
      <c r="O1" t="s">
        <v>374</v>
      </c>
      <c r="P1" t="s">
        <v>375</v>
      </c>
      <c r="Q1" t="s">
        <v>376</v>
      </c>
      <c r="R1" t="s">
        <v>377</v>
      </c>
      <c r="S1" s="20" t="s">
        <v>378</v>
      </c>
      <c r="T1" t="s">
        <v>379</v>
      </c>
      <c r="W1" t="s">
        <v>380</v>
      </c>
      <c r="X1" t="s">
        <v>381</v>
      </c>
      <c r="Y1" t="s">
        <v>382</v>
      </c>
      <c r="Z1" t="s">
        <v>383</v>
      </c>
      <c r="AG1" t="s">
        <v>384</v>
      </c>
      <c r="AH1" t="s">
        <v>385</v>
      </c>
      <c r="AI1" t="s">
        <v>386</v>
      </c>
      <c r="AJ1" t="s">
        <v>379</v>
      </c>
      <c r="AK1" t="s">
        <v>387</v>
      </c>
    </row>
    <row r="2" spans="1:47" x14ac:dyDescent="0.25">
      <c r="A2">
        <v>0.06</v>
      </c>
      <c r="B2">
        <f t="shared" ref="B2:B25" si="0">A2*12</f>
        <v>0.72</v>
      </c>
      <c r="C2">
        <f t="shared" ref="C2:C25" si="1">B2/200</f>
        <v>3.5999999999999999E-3</v>
      </c>
      <c r="D2">
        <v>3.5999999999999999E-3</v>
      </c>
      <c r="E2" t="b">
        <f t="shared" ref="E2:E25" si="2">C2=D2</f>
        <v>1</v>
      </c>
      <c r="G2">
        <v>4.3192622934591996E-3</v>
      </c>
      <c r="H2">
        <v>4.3192622865694001E-3</v>
      </c>
      <c r="I2">
        <f t="shared" ref="I2:I25" si="3">G2/H2</f>
        <v>1.0000000015951334</v>
      </c>
      <c r="M2" t="s">
        <v>46</v>
      </c>
      <c r="O2">
        <v>2.8192619999999999E-3</v>
      </c>
      <c r="P2">
        <v>5.1000000000000004E-3</v>
      </c>
      <c r="Q2">
        <f>P2+O2</f>
        <v>7.9192619999999998E-3</v>
      </c>
      <c r="R2">
        <v>5.1000000000000004E-3</v>
      </c>
      <c r="S2" s="20" t="str">
        <f>IF(M2="Python",Q2/R2*100,"")</f>
        <v/>
      </c>
      <c r="T2">
        <f>Q2-R2</f>
        <v>2.8192619999999995E-3</v>
      </c>
      <c r="V2">
        <v>3</v>
      </c>
      <c r="W2">
        <v>1.7444197000000002E-2</v>
      </c>
      <c r="X2">
        <f>W2+T2</f>
        <v>2.0263459000000001E-2</v>
      </c>
      <c r="Y2">
        <f>X2-R2</f>
        <v>1.5163459000000001E-2</v>
      </c>
      <c r="Z2">
        <v>9.5249345973893E-3</v>
      </c>
      <c r="AF2">
        <v>2</v>
      </c>
      <c r="AG2">
        <v>9.5249345973893E-3</v>
      </c>
      <c r="AH2">
        <v>5.1000000000000004E-3</v>
      </c>
      <c r="AN2">
        <v>5.1000000000000004E-3</v>
      </c>
      <c r="AR2">
        <v>2</v>
      </c>
      <c r="AS2">
        <v>5.1000000000000004E-3</v>
      </c>
      <c r="AT2">
        <f>AS26-AS2</f>
        <v>9.524935E-3</v>
      </c>
      <c r="AU2">
        <v>9.5249345973893E-3</v>
      </c>
    </row>
    <row r="3" spans="1:47" x14ac:dyDescent="0.25">
      <c r="A3">
        <v>0.04</v>
      </c>
      <c r="B3">
        <f t="shared" si="0"/>
        <v>0.48</v>
      </c>
      <c r="C3">
        <f t="shared" si="1"/>
        <v>2.3999999999999998E-3</v>
      </c>
      <c r="D3">
        <v>2.3999999999999998E-3</v>
      </c>
      <c r="E3" t="b">
        <f t="shared" si="2"/>
        <v>1</v>
      </c>
      <c r="G3">
        <v>2.1494601329139001E-3</v>
      </c>
      <c r="H3">
        <v>2.1494601333233998E-3</v>
      </c>
      <c r="I3">
        <f t="shared" si="3"/>
        <v>0.99999999980948717</v>
      </c>
      <c r="M3" t="s">
        <v>46</v>
      </c>
      <c r="O3">
        <v>1.4946E-4</v>
      </c>
      <c r="P3">
        <v>4.4000000000000003E-3</v>
      </c>
      <c r="Q3">
        <f t="shared" ref="Q3:Q25" si="4">P3+O3</f>
        <v>4.54946E-3</v>
      </c>
      <c r="R3">
        <v>2.4199999999999999E-2</v>
      </c>
      <c r="S3" s="20" t="str">
        <f t="shared" ref="S3:S25" si="5">IF(M3="Python",Q3/R3*100,"")</f>
        <v/>
      </c>
      <c r="T3">
        <f t="shared" ref="T3:T25" si="6">Q3-R3</f>
        <v>-1.9650540000000001E-2</v>
      </c>
      <c r="V3">
        <v>3</v>
      </c>
      <c r="W3">
        <v>1.6059172E-2</v>
      </c>
      <c r="X3">
        <f t="shared" ref="X3:X66" si="7">W3+T3</f>
        <v>-3.591368000000001E-3</v>
      </c>
      <c r="Y3">
        <f t="shared" ref="Y3:Y25" si="8">X3-R3</f>
        <v>-2.7791368E-2</v>
      </c>
      <c r="Z3">
        <v>1.1509712324845199E-2</v>
      </c>
      <c r="AF3">
        <v>2</v>
      </c>
      <c r="AG3">
        <v>1.1509712324845199E-2</v>
      </c>
      <c r="AH3">
        <v>2.4199999999999999E-2</v>
      </c>
      <c r="AN3">
        <v>2.4199999999999999E-2</v>
      </c>
      <c r="AR3">
        <v>2</v>
      </c>
      <c r="AS3">
        <v>2.4199999999999999E-2</v>
      </c>
      <c r="AT3">
        <f t="shared" ref="AT3:AT49" si="9">AS27-AS3</f>
        <v>1.1509711999999998E-2</v>
      </c>
      <c r="AU3">
        <v>1.1509712324845199E-2</v>
      </c>
    </row>
    <row r="4" spans="1:47" x14ac:dyDescent="0.25">
      <c r="A4">
        <v>0.04</v>
      </c>
      <c r="B4">
        <f t="shared" si="0"/>
        <v>0.48</v>
      </c>
      <c r="C4">
        <f t="shared" si="1"/>
        <v>2.3999999999999998E-3</v>
      </c>
      <c r="D4">
        <v>2.3999999999999998E-3</v>
      </c>
      <c r="E4" t="b">
        <f t="shared" si="2"/>
        <v>1</v>
      </c>
      <c r="G4">
        <v>2.3167468980121002E-3</v>
      </c>
      <c r="H4">
        <v>2.3167468960426998E-3</v>
      </c>
      <c r="I4">
        <f t="shared" si="3"/>
        <v>1.0000000008500713</v>
      </c>
      <c r="M4" t="s">
        <v>49</v>
      </c>
      <c r="O4">
        <v>1.5667470000000001E-3</v>
      </c>
      <c r="P4">
        <v>3.15E-3</v>
      </c>
      <c r="Q4">
        <f t="shared" si="4"/>
        <v>4.7167470000000003E-3</v>
      </c>
      <c r="R4">
        <v>6.45E-3</v>
      </c>
      <c r="S4" s="20">
        <f t="shared" si="5"/>
        <v>73.127860465116285</v>
      </c>
      <c r="T4">
        <f t="shared" si="6"/>
        <v>-1.7332529999999997E-3</v>
      </c>
      <c r="V4">
        <v>3</v>
      </c>
      <c r="W4">
        <v>1.6173447000000001E-2</v>
      </c>
      <c r="X4">
        <f t="shared" si="7"/>
        <v>1.4440194E-2</v>
      </c>
      <c r="Y4">
        <f t="shared" si="8"/>
        <v>7.9901939999999991E-3</v>
      </c>
      <c r="Z4">
        <v>1.14567000896637E-2</v>
      </c>
      <c r="AF4">
        <v>2</v>
      </c>
      <c r="AG4">
        <v>1.14567000896637E-2</v>
      </c>
      <c r="AH4">
        <v>6.45E-3</v>
      </c>
      <c r="AN4">
        <v>6.45E-3</v>
      </c>
      <c r="AR4">
        <v>2</v>
      </c>
      <c r="AS4">
        <v>6.45E-3</v>
      </c>
      <c r="AT4">
        <f t="shared" si="9"/>
        <v>1.14567E-2</v>
      </c>
      <c r="AU4">
        <v>1.14567000896637E-2</v>
      </c>
    </row>
    <row r="5" spans="1:47" x14ac:dyDescent="0.25">
      <c r="A5">
        <v>0.06</v>
      </c>
      <c r="B5">
        <f t="shared" si="0"/>
        <v>0.72</v>
      </c>
      <c r="C5">
        <f t="shared" si="1"/>
        <v>3.5999999999999999E-3</v>
      </c>
      <c r="D5">
        <v>3.5999999999999999E-3</v>
      </c>
      <c r="E5" t="b">
        <f t="shared" si="2"/>
        <v>1</v>
      </c>
      <c r="G5">
        <v>4.5571495036696996E-3</v>
      </c>
      <c r="H5">
        <v>4.5571495051728002E-3</v>
      </c>
      <c r="I5">
        <f t="shared" si="3"/>
        <v>0.99999999967016651</v>
      </c>
      <c r="M5" t="s">
        <v>388</v>
      </c>
      <c r="O5">
        <v>3.0571499999999998E-3</v>
      </c>
      <c r="P5">
        <v>5.1000000000000004E-3</v>
      </c>
      <c r="Q5">
        <f t="shared" si="4"/>
        <v>8.1571500000000002E-3</v>
      </c>
      <c r="R5">
        <v>1.295E-2</v>
      </c>
      <c r="S5" s="20" t="str">
        <f t="shared" si="5"/>
        <v/>
      </c>
      <c r="T5">
        <f t="shared" si="6"/>
        <v>-4.7928499999999995E-3</v>
      </c>
      <c r="V5">
        <v>3</v>
      </c>
      <c r="W5">
        <v>1.7986551E-2</v>
      </c>
      <c r="X5">
        <f t="shared" si="7"/>
        <v>1.3193701E-2</v>
      </c>
      <c r="Y5">
        <f t="shared" si="8"/>
        <v>2.4370100000000068E-4</v>
      </c>
      <c r="Z5">
        <v>9.8294010988234995E-3</v>
      </c>
      <c r="AF5">
        <v>2</v>
      </c>
      <c r="AG5">
        <v>9.8294010988234995E-3</v>
      </c>
      <c r="AH5">
        <v>1.295E-2</v>
      </c>
      <c r="AN5">
        <v>1.295E-2</v>
      </c>
      <c r="AR5">
        <v>2</v>
      </c>
      <c r="AS5">
        <v>1.295E-2</v>
      </c>
      <c r="AT5">
        <f t="shared" si="9"/>
        <v>9.8294010000000015E-3</v>
      </c>
      <c r="AU5">
        <v>9.8294010988234995E-3</v>
      </c>
    </row>
    <row r="6" spans="1:47" x14ac:dyDescent="0.25">
      <c r="A6">
        <v>0.06</v>
      </c>
      <c r="B6">
        <f t="shared" si="0"/>
        <v>0.72</v>
      </c>
      <c r="C6">
        <f t="shared" si="1"/>
        <v>3.5999999999999999E-3</v>
      </c>
      <c r="D6">
        <v>3.5999999999999999E-3</v>
      </c>
      <c r="E6" t="b">
        <f t="shared" si="2"/>
        <v>1</v>
      </c>
      <c r="G6">
        <v>4.6320973997467001E-3</v>
      </c>
      <c r="H6">
        <v>4.6320974029382001E-3</v>
      </c>
      <c r="I6">
        <f t="shared" si="3"/>
        <v>0.99999999931100325</v>
      </c>
      <c r="M6" t="s">
        <v>49</v>
      </c>
      <c r="O6">
        <v>3.1820970000000001E-3</v>
      </c>
      <c r="P6">
        <v>5.0499999999999998E-3</v>
      </c>
      <c r="Q6">
        <f t="shared" si="4"/>
        <v>8.2320970000000007E-3</v>
      </c>
      <c r="R6">
        <v>0.01</v>
      </c>
      <c r="S6" s="20">
        <f t="shared" si="5"/>
        <v>82.320970000000003</v>
      </c>
      <c r="T6">
        <f t="shared" si="6"/>
        <v>-1.7679029999999995E-3</v>
      </c>
      <c r="V6">
        <v>3</v>
      </c>
      <c r="W6">
        <v>1.6984460999999999E-2</v>
      </c>
      <c r="X6">
        <f t="shared" si="7"/>
        <v>1.5216558E-2</v>
      </c>
      <c r="Y6">
        <f t="shared" si="8"/>
        <v>5.2165579999999996E-3</v>
      </c>
      <c r="Z6">
        <v>8.7523644889133997E-3</v>
      </c>
      <c r="AF6">
        <v>2</v>
      </c>
      <c r="AG6">
        <v>8.7523644889133997E-3</v>
      </c>
      <c r="AH6">
        <v>0.01</v>
      </c>
      <c r="AN6">
        <v>0.01</v>
      </c>
      <c r="AR6">
        <v>2</v>
      </c>
      <c r="AS6">
        <v>0.01</v>
      </c>
      <c r="AT6">
        <f t="shared" si="9"/>
        <v>8.7523640000000003E-3</v>
      </c>
      <c r="AU6">
        <v>8.7523644889133997E-3</v>
      </c>
    </row>
    <row r="7" spans="1:47" x14ac:dyDescent="0.25">
      <c r="A7">
        <v>0.04</v>
      </c>
      <c r="B7">
        <f t="shared" si="0"/>
        <v>0.48</v>
      </c>
      <c r="C7">
        <f t="shared" si="1"/>
        <v>2.3999999999999998E-3</v>
      </c>
      <c r="D7">
        <v>2.3999999999999998E-3</v>
      </c>
      <c r="E7" t="b">
        <f t="shared" si="2"/>
        <v>1</v>
      </c>
      <c r="G7">
        <v>2.7068542113845E-3</v>
      </c>
      <c r="H7">
        <v>2.7068542011603998E-3</v>
      </c>
      <c r="I7">
        <f t="shared" si="3"/>
        <v>1.0000000037771153</v>
      </c>
      <c r="M7" t="s">
        <v>49</v>
      </c>
      <c r="O7">
        <v>2.0568539999999999E-3</v>
      </c>
      <c r="P7">
        <v>3.0499999999999998E-3</v>
      </c>
      <c r="Q7">
        <f t="shared" si="4"/>
        <v>5.1068539999999992E-3</v>
      </c>
      <c r="R7">
        <v>6.6E-3</v>
      </c>
      <c r="S7" s="20">
        <f t="shared" si="5"/>
        <v>77.37657575757575</v>
      </c>
      <c r="T7">
        <f t="shared" si="6"/>
        <v>-1.4931460000000008E-3</v>
      </c>
      <c r="V7">
        <v>3</v>
      </c>
      <c r="W7">
        <v>1.6193784999999999E-2</v>
      </c>
      <c r="X7">
        <f t="shared" si="7"/>
        <v>1.4700638999999998E-2</v>
      </c>
      <c r="Y7">
        <f t="shared" si="8"/>
        <v>8.100638999999998E-3</v>
      </c>
      <c r="Z7">
        <v>1.10869313908408E-2</v>
      </c>
      <c r="AF7">
        <v>2</v>
      </c>
      <c r="AG7">
        <v>1.10869313908408E-2</v>
      </c>
      <c r="AH7">
        <v>6.6E-3</v>
      </c>
      <c r="AN7">
        <v>6.6E-3</v>
      </c>
      <c r="AR7">
        <v>2</v>
      </c>
      <c r="AS7">
        <v>6.6E-3</v>
      </c>
      <c r="AT7">
        <f t="shared" si="9"/>
        <v>1.1086931E-2</v>
      </c>
      <c r="AU7">
        <v>1.10869313908408E-2</v>
      </c>
    </row>
    <row r="8" spans="1:47" x14ac:dyDescent="0.25">
      <c r="A8">
        <v>0.06</v>
      </c>
      <c r="B8">
        <f t="shared" si="0"/>
        <v>0.72</v>
      </c>
      <c r="C8">
        <f t="shared" si="1"/>
        <v>3.5999999999999999E-3</v>
      </c>
      <c r="D8">
        <v>3.5999999999999999E-3</v>
      </c>
      <c r="E8" t="b">
        <f t="shared" si="2"/>
        <v>1</v>
      </c>
      <c r="G8">
        <v>5.0078741380993001E-3</v>
      </c>
      <c r="H8">
        <v>5.0078741385093002E-3</v>
      </c>
      <c r="I8">
        <f t="shared" si="3"/>
        <v>0.99999999991812893</v>
      </c>
      <c r="M8" t="s">
        <v>46</v>
      </c>
      <c r="O8">
        <v>3.8578739999999999E-3</v>
      </c>
      <c r="P8">
        <v>4.7499999999999999E-3</v>
      </c>
      <c r="Q8">
        <f t="shared" si="4"/>
        <v>8.6078739999999997E-3</v>
      </c>
      <c r="R8">
        <v>4.7499999999999999E-3</v>
      </c>
      <c r="S8" s="20" t="str">
        <f t="shared" si="5"/>
        <v/>
      </c>
      <c r="T8">
        <f t="shared" si="6"/>
        <v>3.8578739999999999E-3</v>
      </c>
      <c r="V8">
        <v>3</v>
      </c>
      <c r="W8">
        <v>1.7259071000000001E-2</v>
      </c>
      <c r="X8">
        <f t="shared" si="7"/>
        <v>2.1116945000000002E-2</v>
      </c>
      <c r="Y8">
        <f t="shared" si="8"/>
        <v>1.6366945000000001E-2</v>
      </c>
      <c r="Z8">
        <v>8.6511974469279992E-3</v>
      </c>
      <c r="AF8">
        <v>2</v>
      </c>
      <c r="AG8">
        <v>8.6511974469279992E-3</v>
      </c>
      <c r="AH8">
        <v>4.7499999999999999E-3</v>
      </c>
      <c r="AN8">
        <v>4.7499999999999999E-3</v>
      </c>
      <c r="AR8">
        <v>2</v>
      </c>
      <c r="AS8">
        <v>4.7499999999999999E-3</v>
      </c>
      <c r="AT8">
        <f t="shared" si="9"/>
        <v>8.6511969999999994E-3</v>
      </c>
      <c r="AU8">
        <v>8.6511974469279992E-3</v>
      </c>
    </row>
    <row r="9" spans="1:47" x14ac:dyDescent="0.25">
      <c r="A9">
        <v>0.05</v>
      </c>
      <c r="B9">
        <f t="shared" si="0"/>
        <v>0.60000000000000009</v>
      </c>
      <c r="C9">
        <f t="shared" si="1"/>
        <v>3.0000000000000005E-3</v>
      </c>
      <c r="D9">
        <v>3.0000000000000001E-3</v>
      </c>
      <c r="E9" t="b">
        <f t="shared" si="2"/>
        <v>1</v>
      </c>
      <c r="G9">
        <v>4.1324567222609998E-3</v>
      </c>
      <c r="H9">
        <v>4.1324567131337002E-3</v>
      </c>
      <c r="I9">
        <f t="shared" si="3"/>
        <v>1.0000000022086861</v>
      </c>
      <c r="M9" t="s">
        <v>388</v>
      </c>
      <c r="O9">
        <v>2.8824570000000002E-3</v>
      </c>
      <c r="P9">
        <v>4.2500000000000003E-3</v>
      </c>
      <c r="Q9">
        <f t="shared" si="4"/>
        <v>7.132457E-3</v>
      </c>
      <c r="R9">
        <v>1.1000000000000001E-2</v>
      </c>
      <c r="S9" s="20" t="str">
        <f t="shared" si="5"/>
        <v/>
      </c>
      <c r="T9">
        <f t="shared" si="6"/>
        <v>-3.8675430000000011E-3</v>
      </c>
      <c r="V9">
        <v>3</v>
      </c>
      <c r="W9">
        <v>1.7754695000000001E-2</v>
      </c>
      <c r="X9">
        <f t="shared" si="7"/>
        <v>1.3887152E-2</v>
      </c>
      <c r="Y9">
        <f t="shared" si="8"/>
        <v>2.8871519999999987E-3</v>
      </c>
      <c r="Z9">
        <v>1.0622238469192601E-2</v>
      </c>
      <c r="AF9">
        <v>2</v>
      </c>
      <c r="AG9">
        <v>1.0622238469192601E-2</v>
      </c>
      <c r="AH9">
        <v>1.1000000000000001E-2</v>
      </c>
      <c r="AN9">
        <v>1.0999999999999999E-2</v>
      </c>
      <c r="AR9">
        <v>2</v>
      </c>
      <c r="AS9">
        <v>1.0999999999999999E-2</v>
      </c>
      <c r="AT9">
        <f t="shared" si="9"/>
        <v>1.0622237999999999E-2</v>
      </c>
      <c r="AU9">
        <v>1.0622238469192601E-2</v>
      </c>
    </row>
    <row r="10" spans="1:47" x14ac:dyDescent="0.25">
      <c r="A10">
        <v>0.06</v>
      </c>
      <c r="B10">
        <f t="shared" si="0"/>
        <v>0.72</v>
      </c>
      <c r="C10">
        <f t="shared" si="1"/>
        <v>3.5999999999999999E-3</v>
      </c>
      <c r="D10">
        <v>3.5999999999999999E-3</v>
      </c>
      <c r="E10" t="b">
        <f t="shared" si="2"/>
        <v>1</v>
      </c>
      <c r="G10">
        <v>4.4978755922213997E-3</v>
      </c>
      <c r="H10">
        <v>4.4978755926661004E-3</v>
      </c>
      <c r="I10">
        <f t="shared" si="3"/>
        <v>0.99999999990113098</v>
      </c>
      <c r="M10" t="s">
        <v>49</v>
      </c>
      <c r="O10">
        <v>3.2478759999999998E-3</v>
      </c>
      <c r="P10">
        <v>4.8500000000000001E-3</v>
      </c>
      <c r="Q10">
        <f t="shared" si="4"/>
        <v>8.0978760000000004E-3</v>
      </c>
      <c r="R10">
        <v>9.5499999999999995E-3</v>
      </c>
      <c r="S10" s="20">
        <f t="shared" si="5"/>
        <v>84.794513089005235</v>
      </c>
      <c r="T10">
        <f t="shared" si="6"/>
        <v>-1.4521239999999991E-3</v>
      </c>
      <c r="V10">
        <v>3</v>
      </c>
      <c r="W10">
        <v>1.6517036999999998E-2</v>
      </c>
      <c r="X10">
        <f t="shared" si="7"/>
        <v>1.5064912999999999E-2</v>
      </c>
      <c r="Y10">
        <f t="shared" si="8"/>
        <v>5.5149129999999998E-3</v>
      </c>
      <c r="Z10">
        <v>8.4191606790610992E-3</v>
      </c>
      <c r="AF10">
        <v>2</v>
      </c>
      <c r="AG10">
        <v>8.4191606790610992E-3</v>
      </c>
      <c r="AH10">
        <v>9.5499999999999995E-3</v>
      </c>
      <c r="AN10">
        <v>9.5499999999999995E-3</v>
      </c>
      <c r="AR10">
        <v>2</v>
      </c>
      <c r="AS10">
        <v>9.5499999999999995E-3</v>
      </c>
      <c r="AT10">
        <f t="shared" si="9"/>
        <v>8.4191610000000014E-3</v>
      </c>
      <c r="AU10">
        <v>8.4191606790610992E-3</v>
      </c>
    </row>
    <row r="11" spans="1:47" x14ac:dyDescent="0.25">
      <c r="A11">
        <v>0.06</v>
      </c>
      <c r="B11">
        <f t="shared" si="0"/>
        <v>0.72</v>
      </c>
      <c r="C11">
        <f t="shared" si="1"/>
        <v>3.5999999999999999E-3</v>
      </c>
      <c r="D11">
        <v>3.5999999999999999E-3</v>
      </c>
      <c r="E11" t="b">
        <f t="shared" si="2"/>
        <v>1</v>
      </c>
      <c r="G11">
        <v>4.8980335412377998E-3</v>
      </c>
      <c r="H11">
        <v>4.8980335392258996E-3</v>
      </c>
      <c r="I11">
        <f t="shared" si="3"/>
        <v>1.0000000004107568</v>
      </c>
      <c r="M11" t="s">
        <v>46</v>
      </c>
      <c r="O11">
        <v>3.6980340000000002E-3</v>
      </c>
      <c r="P11">
        <v>4.7999999999999996E-3</v>
      </c>
      <c r="Q11">
        <f t="shared" si="4"/>
        <v>8.4980339999999998E-3</v>
      </c>
      <c r="R11">
        <v>4.8500000000000001E-3</v>
      </c>
      <c r="S11" s="20" t="str">
        <f t="shared" si="5"/>
        <v/>
      </c>
      <c r="T11">
        <f t="shared" si="6"/>
        <v>3.6480339999999997E-3</v>
      </c>
      <c r="V11">
        <v>3</v>
      </c>
      <c r="W11">
        <v>1.7632803999999998E-2</v>
      </c>
      <c r="X11">
        <f t="shared" si="7"/>
        <v>2.1280837999999996E-2</v>
      </c>
      <c r="Y11">
        <f t="shared" si="8"/>
        <v>1.6430837999999996E-2</v>
      </c>
      <c r="Z11">
        <v>9.1347702144707991E-3</v>
      </c>
      <c r="AF11">
        <v>2</v>
      </c>
      <c r="AG11">
        <v>9.1347702144707991E-3</v>
      </c>
      <c r="AH11">
        <v>4.8500000000000001E-3</v>
      </c>
      <c r="AN11">
        <v>4.8500000000000001E-3</v>
      </c>
      <c r="AR11">
        <v>2</v>
      </c>
      <c r="AS11">
        <v>4.8500000000000001E-3</v>
      </c>
      <c r="AT11">
        <f t="shared" si="9"/>
        <v>9.1347700000000004E-3</v>
      </c>
      <c r="AU11">
        <v>9.1347702144707991E-3</v>
      </c>
    </row>
    <row r="12" spans="1:47" x14ac:dyDescent="0.25">
      <c r="A12">
        <v>0.05</v>
      </c>
      <c r="B12">
        <f t="shared" si="0"/>
        <v>0.60000000000000009</v>
      </c>
      <c r="C12">
        <f t="shared" si="1"/>
        <v>3.0000000000000005E-3</v>
      </c>
      <c r="D12">
        <v>3.0000000000000001E-3</v>
      </c>
      <c r="E12" t="b">
        <f t="shared" si="2"/>
        <v>1</v>
      </c>
      <c r="G12">
        <v>5.1847870673230999E-3</v>
      </c>
      <c r="H12">
        <v>5.1847870485125999E-3</v>
      </c>
      <c r="I12">
        <f t="shared" si="3"/>
        <v>1.0000000036280179</v>
      </c>
      <c r="M12" t="s">
        <v>388</v>
      </c>
      <c r="O12">
        <v>3.1847870000000001E-3</v>
      </c>
      <c r="P12">
        <v>5.0000000000000001E-3</v>
      </c>
      <c r="Q12">
        <f t="shared" si="4"/>
        <v>8.1847870000000007E-3</v>
      </c>
      <c r="R12">
        <v>1.345E-2</v>
      </c>
      <c r="S12" s="20" t="str">
        <f t="shared" si="5"/>
        <v/>
      </c>
      <c r="T12">
        <f t="shared" si="6"/>
        <v>-5.2652129999999995E-3</v>
      </c>
      <c r="V12">
        <v>3</v>
      </c>
      <c r="W12">
        <v>1.7200109000000002E-2</v>
      </c>
      <c r="X12">
        <f t="shared" si="7"/>
        <v>1.1934896000000002E-2</v>
      </c>
      <c r="Y12">
        <f t="shared" si="8"/>
        <v>-1.515103999999998E-3</v>
      </c>
      <c r="Z12">
        <v>9.0153224721133997E-3</v>
      </c>
      <c r="AF12">
        <v>2</v>
      </c>
      <c r="AG12">
        <v>9.0153224721133997E-3</v>
      </c>
      <c r="AH12">
        <v>1.345E-2</v>
      </c>
      <c r="AN12">
        <v>1.345E-2</v>
      </c>
      <c r="AR12">
        <v>2</v>
      </c>
      <c r="AS12">
        <v>1.345E-2</v>
      </c>
      <c r="AT12">
        <f t="shared" si="9"/>
        <v>9.0153219999999992E-3</v>
      </c>
      <c r="AU12">
        <v>9.0153224721133997E-3</v>
      </c>
    </row>
    <row r="13" spans="1:47" x14ac:dyDescent="0.25">
      <c r="A13">
        <v>0.05</v>
      </c>
      <c r="B13">
        <f t="shared" si="0"/>
        <v>0.60000000000000009</v>
      </c>
      <c r="C13">
        <f t="shared" si="1"/>
        <v>3.0000000000000005E-3</v>
      </c>
      <c r="D13">
        <v>3.0000000000000001E-3</v>
      </c>
      <c r="E13" t="b">
        <f t="shared" si="2"/>
        <v>1</v>
      </c>
      <c r="G13">
        <v>4.3581694877125E-3</v>
      </c>
      <c r="H13">
        <v>4.3581695276008001E-3</v>
      </c>
      <c r="I13">
        <f t="shared" si="3"/>
        <v>0.99999999084746483</v>
      </c>
      <c r="M13" t="s">
        <v>46</v>
      </c>
      <c r="O13">
        <v>3.45817E-3</v>
      </c>
      <c r="P13">
        <v>3.9000000000000003E-3</v>
      </c>
      <c r="Q13">
        <f t="shared" si="4"/>
        <v>7.3581700000000007E-3</v>
      </c>
      <c r="R13">
        <v>3.9000000000000003E-3</v>
      </c>
      <c r="S13" s="20" t="str">
        <f t="shared" si="5"/>
        <v/>
      </c>
      <c r="T13">
        <f t="shared" si="6"/>
        <v>3.4581700000000004E-3</v>
      </c>
      <c r="V13">
        <v>3</v>
      </c>
      <c r="W13">
        <v>1.6983564E-2</v>
      </c>
      <c r="X13">
        <f t="shared" si="7"/>
        <v>2.0441734E-2</v>
      </c>
      <c r="Y13">
        <f t="shared" si="8"/>
        <v>1.6541733999999999E-2</v>
      </c>
      <c r="Z13">
        <v>9.6253938650755991E-3</v>
      </c>
      <c r="AF13">
        <v>2</v>
      </c>
      <c r="AG13">
        <v>9.6253938650755991E-3</v>
      </c>
      <c r="AH13">
        <v>3.9000000000000003E-3</v>
      </c>
      <c r="AN13">
        <v>3.8999999999999998E-3</v>
      </c>
      <c r="AR13">
        <v>2</v>
      </c>
      <c r="AS13">
        <v>3.8999999999999998E-3</v>
      </c>
      <c r="AT13">
        <f t="shared" si="9"/>
        <v>9.6253939999999989E-3</v>
      </c>
      <c r="AU13">
        <v>9.6253938650755991E-3</v>
      </c>
    </row>
    <row r="14" spans="1:47" x14ac:dyDescent="0.25">
      <c r="A14">
        <v>0.05</v>
      </c>
      <c r="B14">
        <f t="shared" si="0"/>
        <v>0.60000000000000009</v>
      </c>
      <c r="C14">
        <f t="shared" si="1"/>
        <v>3.0000000000000005E-3</v>
      </c>
      <c r="D14">
        <v>3.0000000000000001E-3</v>
      </c>
      <c r="E14" t="b">
        <f t="shared" si="2"/>
        <v>1</v>
      </c>
      <c r="G14">
        <v>5.3027539903110999E-3</v>
      </c>
      <c r="H14">
        <v>5.3027539840961001E-3</v>
      </c>
      <c r="I14">
        <f t="shared" si="3"/>
        <v>1.0000000011720325</v>
      </c>
      <c r="M14" t="s">
        <v>49</v>
      </c>
      <c r="O14">
        <v>4.0527540000000004E-3</v>
      </c>
      <c r="P14">
        <v>4.2500000000000003E-3</v>
      </c>
      <c r="Q14">
        <f t="shared" si="4"/>
        <v>8.3027540000000007E-3</v>
      </c>
      <c r="R14">
        <v>9.7000000000000003E-3</v>
      </c>
      <c r="S14" s="20">
        <f t="shared" si="5"/>
        <v>85.59540206185568</v>
      </c>
      <c r="T14">
        <f t="shared" si="6"/>
        <v>-1.3972459999999996E-3</v>
      </c>
      <c r="V14">
        <v>3</v>
      </c>
      <c r="W14">
        <v>1.8305996000000001E-2</v>
      </c>
      <c r="X14">
        <f t="shared" si="7"/>
        <v>1.690875E-2</v>
      </c>
      <c r="Y14">
        <f t="shared" si="8"/>
        <v>7.2087499999999999E-3</v>
      </c>
      <c r="Z14">
        <v>1.00032422815105E-2</v>
      </c>
      <c r="AF14">
        <v>2</v>
      </c>
      <c r="AG14">
        <v>1.00032422815105E-2</v>
      </c>
      <c r="AH14">
        <v>9.7000000000000003E-3</v>
      </c>
      <c r="AN14">
        <v>9.7000000000000003E-3</v>
      </c>
      <c r="AR14">
        <v>2</v>
      </c>
      <c r="AS14">
        <v>9.7000000000000003E-3</v>
      </c>
      <c r="AT14">
        <f t="shared" si="9"/>
        <v>1.0003241999999999E-2</v>
      </c>
      <c r="AU14">
        <v>1.00032422815105E-2</v>
      </c>
    </row>
    <row r="15" spans="1:47" x14ac:dyDescent="0.25">
      <c r="A15">
        <v>0.04</v>
      </c>
      <c r="B15">
        <f t="shared" si="0"/>
        <v>0.48</v>
      </c>
      <c r="C15">
        <f t="shared" si="1"/>
        <v>2.3999999999999998E-3</v>
      </c>
      <c r="D15">
        <v>2.3999999999999998E-3</v>
      </c>
      <c r="E15" t="b">
        <f t="shared" si="2"/>
        <v>1</v>
      </c>
      <c r="G15">
        <v>5.8980635151682998E-3</v>
      </c>
      <c r="H15">
        <v>5.8980635181307998E-3</v>
      </c>
      <c r="I15">
        <f t="shared" si="3"/>
        <v>0.99999999949771645</v>
      </c>
      <c r="M15" t="s">
        <v>46</v>
      </c>
      <c r="O15">
        <v>4.5980639999999998E-3</v>
      </c>
      <c r="P15">
        <v>3.7000000000000002E-3</v>
      </c>
      <c r="Q15">
        <f t="shared" si="4"/>
        <v>8.2980640000000008E-3</v>
      </c>
      <c r="R15">
        <v>3.8E-3</v>
      </c>
      <c r="S15" s="20" t="str">
        <f t="shared" si="5"/>
        <v/>
      </c>
      <c r="T15">
        <f t="shared" si="6"/>
        <v>4.4980640000000013E-3</v>
      </c>
      <c r="V15">
        <v>3</v>
      </c>
      <c r="W15">
        <v>1.8170003000000001E-2</v>
      </c>
      <c r="X15">
        <f t="shared" si="7"/>
        <v>2.2668067E-2</v>
      </c>
      <c r="Y15">
        <f t="shared" si="8"/>
        <v>1.8868066999999999E-2</v>
      </c>
      <c r="Z15">
        <v>9.8719387327341999E-3</v>
      </c>
      <c r="AF15">
        <v>2</v>
      </c>
      <c r="AG15">
        <v>9.8719387327341999E-3</v>
      </c>
      <c r="AH15">
        <v>3.8E-3</v>
      </c>
      <c r="AN15">
        <v>3.8E-3</v>
      </c>
      <c r="AR15">
        <v>2</v>
      </c>
      <c r="AS15">
        <v>3.8E-3</v>
      </c>
      <c r="AT15">
        <f t="shared" si="9"/>
        <v>9.8719389999999997E-3</v>
      </c>
      <c r="AU15">
        <v>9.8719387327341999E-3</v>
      </c>
    </row>
    <row r="16" spans="1:47" x14ac:dyDescent="0.25">
      <c r="A16">
        <v>0.06</v>
      </c>
      <c r="B16">
        <f t="shared" si="0"/>
        <v>0.72</v>
      </c>
      <c r="C16">
        <f t="shared" si="1"/>
        <v>3.5999999999999999E-3</v>
      </c>
      <c r="D16">
        <v>3.5999999999999999E-3</v>
      </c>
      <c r="E16" t="b">
        <f t="shared" si="2"/>
        <v>1</v>
      </c>
      <c r="G16">
        <v>5.8250680884825001E-3</v>
      </c>
      <c r="H16">
        <v>5.8250680845270001E-3</v>
      </c>
      <c r="I16">
        <f t="shared" si="3"/>
        <v>1.0000000006790479</v>
      </c>
      <c r="M16" t="s">
        <v>49</v>
      </c>
      <c r="O16">
        <v>4.3250679999999996E-3</v>
      </c>
      <c r="P16">
        <v>5.1000000000000004E-3</v>
      </c>
      <c r="Q16">
        <f t="shared" si="4"/>
        <v>9.425068E-3</v>
      </c>
      <c r="R16">
        <v>1.09E-2</v>
      </c>
      <c r="S16" s="20">
        <f t="shared" si="5"/>
        <v>86.468513761467889</v>
      </c>
      <c r="T16">
        <f t="shared" si="6"/>
        <v>-1.474932E-3</v>
      </c>
      <c r="V16">
        <v>3</v>
      </c>
      <c r="W16">
        <v>1.8793315000000001E-2</v>
      </c>
      <c r="X16">
        <f t="shared" si="7"/>
        <v>1.7318383E-2</v>
      </c>
      <c r="Y16">
        <f t="shared" si="8"/>
        <v>6.4183829999999997E-3</v>
      </c>
      <c r="Z16">
        <v>9.3682472152877005E-3</v>
      </c>
      <c r="AF16">
        <v>2</v>
      </c>
      <c r="AG16">
        <v>9.3682472152877005E-3</v>
      </c>
      <c r="AH16">
        <v>1.09E-2</v>
      </c>
      <c r="AN16">
        <v>1.09E-2</v>
      </c>
      <c r="AR16">
        <v>2</v>
      </c>
      <c r="AS16">
        <v>1.09E-2</v>
      </c>
      <c r="AT16">
        <f t="shared" si="9"/>
        <v>9.3682469999999997E-3</v>
      </c>
      <c r="AU16">
        <v>9.3682472152877005E-3</v>
      </c>
    </row>
    <row r="17" spans="1:48" x14ac:dyDescent="0.25">
      <c r="A17">
        <v>0.04</v>
      </c>
      <c r="B17">
        <f t="shared" si="0"/>
        <v>0.48</v>
      </c>
      <c r="C17">
        <f t="shared" si="1"/>
        <v>2.3999999999999998E-3</v>
      </c>
      <c r="D17">
        <v>2.3999999999999998E-3</v>
      </c>
      <c r="E17" t="b">
        <f t="shared" si="2"/>
        <v>1</v>
      </c>
      <c r="G17">
        <v>5.0785567248770999E-3</v>
      </c>
      <c r="H17">
        <v>5.0785567236085998E-3</v>
      </c>
      <c r="I17">
        <f t="shared" si="3"/>
        <v>1.0000000002497758</v>
      </c>
      <c r="M17" t="s">
        <v>388</v>
      </c>
      <c r="O17">
        <v>3.728557E-3</v>
      </c>
      <c r="P17">
        <v>3.7499999999999999E-3</v>
      </c>
      <c r="Q17">
        <f t="shared" si="4"/>
        <v>7.4785570000000003E-3</v>
      </c>
      <c r="R17">
        <v>1.0049999999999998E-2</v>
      </c>
      <c r="S17" s="20" t="str">
        <f t="shared" si="5"/>
        <v/>
      </c>
      <c r="T17">
        <f t="shared" si="6"/>
        <v>-2.5714429999999979E-3</v>
      </c>
      <c r="V17">
        <v>3</v>
      </c>
      <c r="W17">
        <v>1.7904041999999998E-2</v>
      </c>
      <c r="X17">
        <f t="shared" si="7"/>
        <v>1.5332599000000001E-2</v>
      </c>
      <c r="Y17">
        <f t="shared" si="8"/>
        <v>5.2825990000000024E-3</v>
      </c>
      <c r="Z17">
        <v>1.0425484860195299E-2</v>
      </c>
      <c r="AF17">
        <v>2</v>
      </c>
      <c r="AG17">
        <v>1.0425484860195299E-2</v>
      </c>
      <c r="AH17">
        <v>1.0049999999999998E-2</v>
      </c>
      <c r="AN17">
        <v>1.005E-2</v>
      </c>
      <c r="AR17">
        <v>2</v>
      </c>
      <c r="AS17">
        <v>1.005E-2</v>
      </c>
      <c r="AT17">
        <f t="shared" si="9"/>
        <v>1.0425485000000002E-2</v>
      </c>
      <c r="AU17">
        <v>1.0425484860195299E-2</v>
      </c>
    </row>
    <row r="18" spans="1:48" x14ac:dyDescent="0.25">
      <c r="A18">
        <v>0.04</v>
      </c>
      <c r="B18">
        <f t="shared" si="0"/>
        <v>0.48</v>
      </c>
      <c r="C18">
        <f t="shared" si="1"/>
        <v>2.3999999999999998E-3</v>
      </c>
      <c r="D18">
        <v>2.3999999999999998E-3</v>
      </c>
      <c r="E18" t="b">
        <f t="shared" si="2"/>
        <v>1</v>
      </c>
      <c r="G18">
        <v>4.9041757562187996E-3</v>
      </c>
      <c r="H18">
        <v>4.9041757574458996E-3</v>
      </c>
      <c r="I18">
        <f t="shared" si="3"/>
        <v>0.99999999974978471</v>
      </c>
      <c r="M18" t="s">
        <v>46</v>
      </c>
      <c r="O18">
        <v>4.1541759999999999E-3</v>
      </c>
      <c r="P18">
        <v>3.15E-3</v>
      </c>
      <c r="Q18">
        <f t="shared" si="4"/>
        <v>7.3041759999999999E-3</v>
      </c>
      <c r="R18">
        <v>3.2500000000000003E-3</v>
      </c>
      <c r="S18" s="20" t="str">
        <f t="shared" si="5"/>
        <v/>
      </c>
      <c r="T18">
        <f t="shared" si="6"/>
        <v>4.0541759999999996E-3</v>
      </c>
      <c r="V18">
        <v>3</v>
      </c>
      <c r="W18">
        <v>1.8497686999999999E-2</v>
      </c>
      <c r="X18">
        <f t="shared" si="7"/>
        <v>2.2551862999999998E-2</v>
      </c>
      <c r="Y18">
        <f t="shared" si="8"/>
        <v>1.9301862999999999E-2</v>
      </c>
      <c r="Z18">
        <v>1.11935106158015E-2</v>
      </c>
      <c r="AF18">
        <v>2</v>
      </c>
      <c r="AG18">
        <v>1.11935106158015E-2</v>
      </c>
      <c r="AH18">
        <v>3.2500000000000003E-3</v>
      </c>
      <c r="AN18">
        <v>3.2499999999999999E-3</v>
      </c>
      <c r="AR18">
        <v>2</v>
      </c>
      <c r="AS18">
        <v>3.2499999999999999E-3</v>
      </c>
      <c r="AT18">
        <f t="shared" si="9"/>
        <v>1.1193511E-2</v>
      </c>
      <c r="AU18">
        <v>1.11935106158015E-2</v>
      </c>
    </row>
    <row r="19" spans="1:48" x14ac:dyDescent="0.25">
      <c r="A19">
        <v>0.05</v>
      </c>
      <c r="B19">
        <f t="shared" si="0"/>
        <v>0.60000000000000009</v>
      </c>
      <c r="C19">
        <f t="shared" si="1"/>
        <v>3.0000000000000005E-3</v>
      </c>
      <c r="D19">
        <v>3.0000000000000001E-3</v>
      </c>
      <c r="E19" t="b">
        <f t="shared" si="2"/>
        <v>1</v>
      </c>
      <c r="G19">
        <v>5.7776026962747E-3</v>
      </c>
      <c r="H19">
        <v>5.7776026981556997E-3</v>
      </c>
      <c r="I19">
        <f t="shared" si="3"/>
        <v>0.99999999967443254</v>
      </c>
      <c r="M19" t="s">
        <v>49</v>
      </c>
      <c r="O19">
        <v>4.3776029999999999E-3</v>
      </c>
      <c r="P19">
        <v>4.4000000000000003E-3</v>
      </c>
      <c r="Q19">
        <f t="shared" si="4"/>
        <v>8.7776030000000001E-3</v>
      </c>
      <c r="R19">
        <v>1.0200000000000001E-2</v>
      </c>
      <c r="S19" s="20">
        <f t="shared" si="5"/>
        <v>86.054931372549021</v>
      </c>
      <c r="T19">
        <f t="shared" si="6"/>
        <v>-1.4223970000000006E-3</v>
      </c>
      <c r="V19">
        <v>3</v>
      </c>
      <c r="W19">
        <v>1.9060727E-2</v>
      </c>
      <c r="X19">
        <f t="shared" si="7"/>
        <v>1.7638330000000001E-2</v>
      </c>
      <c r="Y19">
        <f t="shared" si="8"/>
        <v>7.4383299999999999E-3</v>
      </c>
      <c r="Z19">
        <v>1.02831235314468E-2</v>
      </c>
      <c r="AF19">
        <v>2</v>
      </c>
      <c r="AG19">
        <v>1.02831235314468E-2</v>
      </c>
      <c r="AH19">
        <v>1.0200000000000001E-2</v>
      </c>
      <c r="AN19">
        <v>1.0200000000000001E-2</v>
      </c>
      <c r="AR19">
        <v>2</v>
      </c>
      <c r="AS19">
        <v>1.0200000000000001E-2</v>
      </c>
      <c r="AT19">
        <f t="shared" si="9"/>
        <v>1.0283123999999998E-2</v>
      </c>
      <c r="AU19">
        <v>1.02831235314468E-2</v>
      </c>
    </row>
    <row r="20" spans="1:48" x14ac:dyDescent="0.25">
      <c r="A20">
        <v>0.04</v>
      </c>
      <c r="B20">
        <f t="shared" si="0"/>
        <v>0.48</v>
      </c>
      <c r="C20">
        <f t="shared" si="1"/>
        <v>2.3999999999999998E-3</v>
      </c>
      <c r="D20">
        <v>2.3999999999999998E-3</v>
      </c>
      <c r="E20" t="b">
        <f t="shared" si="2"/>
        <v>1</v>
      </c>
      <c r="G20">
        <v>5.5540865631498E-3</v>
      </c>
      <c r="H20">
        <v>5.5540865734821998E-3</v>
      </c>
      <c r="I20">
        <f t="shared" si="3"/>
        <v>0.99999999813967611</v>
      </c>
      <c r="M20" t="s">
        <v>46</v>
      </c>
      <c r="O20">
        <v>4.8040870000000003E-3</v>
      </c>
      <c r="P20">
        <v>3.15E-3</v>
      </c>
      <c r="Q20">
        <f t="shared" si="4"/>
        <v>7.9540870000000003E-3</v>
      </c>
      <c r="R20">
        <v>3.3500000000000001E-3</v>
      </c>
      <c r="S20" s="20" t="str">
        <f t="shared" si="5"/>
        <v/>
      </c>
      <c r="T20">
        <f t="shared" si="6"/>
        <v>4.6040869999999998E-3</v>
      </c>
      <c r="V20">
        <v>3</v>
      </c>
      <c r="W20">
        <v>1.8211778000000001E-2</v>
      </c>
      <c r="X20">
        <f t="shared" si="7"/>
        <v>2.2815865000000001E-2</v>
      </c>
      <c r="Y20">
        <f t="shared" si="8"/>
        <v>1.9465865000000002E-2</v>
      </c>
      <c r="Z20">
        <v>1.02576914817915E-2</v>
      </c>
      <c r="AF20">
        <v>2</v>
      </c>
      <c r="AG20">
        <v>1.02576914817915E-2</v>
      </c>
      <c r="AH20">
        <v>3.3500000000000001E-3</v>
      </c>
      <c r="AN20">
        <v>3.3500000000000001E-3</v>
      </c>
      <c r="AR20">
        <v>2</v>
      </c>
      <c r="AS20">
        <v>3.3500000000000001E-3</v>
      </c>
      <c r="AT20">
        <f t="shared" si="9"/>
        <v>1.0257690999999999E-2</v>
      </c>
      <c r="AU20">
        <v>1.02576914817915E-2</v>
      </c>
    </row>
    <row r="21" spans="1:48" x14ac:dyDescent="0.25">
      <c r="A21">
        <v>0.04</v>
      </c>
      <c r="B21">
        <f t="shared" si="0"/>
        <v>0.48</v>
      </c>
      <c r="C21">
        <f t="shared" si="1"/>
        <v>2.3999999999999998E-3</v>
      </c>
      <c r="D21">
        <v>2.3999999999999998E-3</v>
      </c>
      <c r="E21" t="b">
        <f t="shared" si="2"/>
        <v>1</v>
      </c>
      <c r="G21">
        <v>5.0861492049608997E-3</v>
      </c>
      <c r="H21">
        <v>5.0861491532531002E-3</v>
      </c>
      <c r="I21">
        <f t="shared" si="3"/>
        <v>1.0000000101663946</v>
      </c>
      <c r="M21" t="s">
        <v>49</v>
      </c>
      <c r="O21">
        <v>3.7861489999999999E-3</v>
      </c>
      <c r="P21">
        <v>3.7000000000000002E-3</v>
      </c>
      <c r="Q21">
        <f t="shared" si="4"/>
        <v>7.4861490000000001E-3</v>
      </c>
      <c r="R21">
        <v>8.8500000000000002E-3</v>
      </c>
      <c r="S21" s="20">
        <f t="shared" si="5"/>
        <v>84.589254237288131</v>
      </c>
      <c r="T21">
        <f t="shared" si="6"/>
        <v>-1.3638510000000001E-3</v>
      </c>
      <c r="V21">
        <v>3</v>
      </c>
      <c r="W21">
        <v>1.8435243E-2</v>
      </c>
      <c r="X21">
        <f t="shared" si="7"/>
        <v>1.7071392000000001E-2</v>
      </c>
      <c r="Y21">
        <f t="shared" si="8"/>
        <v>8.221392000000001E-3</v>
      </c>
      <c r="Z21">
        <v>1.09490942681209E-2</v>
      </c>
      <c r="AF21">
        <v>2</v>
      </c>
      <c r="AG21">
        <v>1.09490942681209E-2</v>
      </c>
      <c r="AH21">
        <v>8.8500000000000002E-3</v>
      </c>
      <c r="AN21">
        <v>8.8500000000000002E-3</v>
      </c>
      <c r="AR21">
        <v>2</v>
      </c>
      <c r="AS21">
        <v>8.8500000000000002E-3</v>
      </c>
      <c r="AT21">
        <f t="shared" si="9"/>
        <v>1.0949093999999999E-2</v>
      </c>
      <c r="AU21">
        <v>1.09490942681209E-2</v>
      </c>
    </row>
    <row r="22" spans="1:48" x14ac:dyDescent="0.25">
      <c r="A22">
        <v>0.04</v>
      </c>
      <c r="B22">
        <f t="shared" si="0"/>
        <v>0.48</v>
      </c>
      <c r="C22">
        <f t="shared" si="1"/>
        <v>2.3999999999999998E-3</v>
      </c>
      <c r="D22">
        <v>2.3999999999999998E-3</v>
      </c>
      <c r="E22" t="b">
        <f t="shared" si="2"/>
        <v>1</v>
      </c>
      <c r="G22">
        <v>5.6517979921942999E-3</v>
      </c>
      <c r="H22">
        <v>5.6517980020823998E-3</v>
      </c>
      <c r="I22">
        <f t="shared" si="3"/>
        <v>0.99999999825045061</v>
      </c>
      <c r="M22" t="s">
        <v>388</v>
      </c>
      <c r="O22">
        <v>4.9017979999999997E-3</v>
      </c>
      <c r="P22">
        <v>3.15E-3</v>
      </c>
      <c r="Q22">
        <f t="shared" si="4"/>
        <v>8.0517979999999989E-3</v>
      </c>
      <c r="R22">
        <v>8.5500000000000003E-3</v>
      </c>
      <c r="S22" s="20" t="str">
        <f t="shared" si="5"/>
        <v/>
      </c>
      <c r="T22">
        <f t="shared" si="6"/>
        <v>-4.9820200000000141E-4</v>
      </c>
      <c r="V22">
        <v>3</v>
      </c>
      <c r="W22">
        <v>1.9293827E-2</v>
      </c>
      <c r="X22">
        <f t="shared" si="7"/>
        <v>1.8795624999999996E-2</v>
      </c>
      <c r="Y22">
        <f t="shared" si="8"/>
        <v>1.0245624999999996E-2</v>
      </c>
      <c r="Z22">
        <v>1.12420291890568E-2</v>
      </c>
      <c r="AF22">
        <v>2</v>
      </c>
      <c r="AG22">
        <v>1.12420291890568E-2</v>
      </c>
      <c r="AH22">
        <v>8.5500000000000003E-3</v>
      </c>
      <c r="AN22">
        <v>8.5500000000000003E-3</v>
      </c>
      <c r="AR22">
        <v>2</v>
      </c>
      <c r="AS22">
        <v>8.5500000000000003E-3</v>
      </c>
      <c r="AT22">
        <f t="shared" si="9"/>
        <v>1.1242028999999999E-2</v>
      </c>
      <c r="AU22">
        <v>1.12420291890568E-2</v>
      </c>
    </row>
    <row r="23" spans="1:48" x14ac:dyDescent="0.25">
      <c r="A23">
        <v>0.05</v>
      </c>
      <c r="B23">
        <f t="shared" si="0"/>
        <v>0.60000000000000009</v>
      </c>
      <c r="C23">
        <f t="shared" si="1"/>
        <v>3.0000000000000005E-3</v>
      </c>
      <c r="D23">
        <v>3.0000000000000001E-3</v>
      </c>
      <c r="E23" t="b">
        <f t="shared" si="2"/>
        <v>1</v>
      </c>
      <c r="G23">
        <v>5.2436999271545E-3</v>
      </c>
      <c r="H23">
        <v>5.2436999272897E-3</v>
      </c>
      <c r="I23">
        <f t="shared" si="3"/>
        <v>0.99999999997421662</v>
      </c>
      <c r="M23" t="s">
        <v>388</v>
      </c>
      <c r="O23">
        <v>3.9937000000000002E-3</v>
      </c>
      <c r="P23">
        <v>4.2500000000000003E-3</v>
      </c>
      <c r="Q23">
        <f t="shared" si="4"/>
        <v>8.2436999999999996E-3</v>
      </c>
      <c r="R23">
        <v>1.1850000000000001E-2</v>
      </c>
      <c r="S23" s="20" t="str">
        <f t="shared" si="5"/>
        <v/>
      </c>
      <c r="T23">
        <f t="shared" si="6"/>
        <v>-3.6063000000000015E-3</v>
      </c>
      <c r="V23">
        <v>3</v>
      </c>
      <c r="W23">
        <v>1.7585776000000001E-2</v>
      </c>
      <c r="X23">
        <f t="shared" si="7"/>
        <v>1.3979475999999999E-2</v>
      </c>
      <c r="Y23">
        <f t="shared" si="8"/>
        <v>2.1294759999999982E-3</v>
      </c>
      <c r="Z23">
        <v>9.3420763129475996E-3</v>
      </c>
      <c r="AF23">
        <v>2</v>
      </c>
      <c r="AG23">
        <v>9.3420763129475996E-3</v>
      </c>
      <c r="AH23">
        <v>1.1850000000000001E-2</v>
      </c>
      <c r="AN23">
        <v>1.1849999999999999E-2</v>
      </c>
      <c r="AR23">
        <v>2</v>
      </c>
      <c r="AS23">
        <v>1.1849999999999999E-2</v>
      </c>
      <c r="AT23">
        <f t="shared" si="9"/>
        <v>9.3420760000000012E-3</v>
      </c>
      <c r="AU23">
        <v>9.3420763129475996E-3</v>
      </c>
    </row>
    <row r="24" spans="1:48" x14ac:dyDescent="0.25">
      <c r="A24">
        <v>0.05</v>
      </c>
      <c r="B24">
        <f t="shared" si="0"/>
        <v>0.60000000000000009</v>
      </c>
      <c r="C24">
        <f t="shared" si="1"/>
        <v>3.0000000000000005E-3</v>
      </c>
      <c r="D24">
        <v>3.0000000000000001E-3</v>
      </c>
      <c r="E24" t="b">
        <f t="shared" si="2"/>
        <v>1</v>
      </c>
      <c r="G24">
        <v>5.7999995012502003E-3</v>
      </c>
      <c r="H24">
        <v>5.7999995099434001E-3</v>
      </c>
      <c r="I24">
        <f t="shared" si="3"/>
        <v>0.99999999850117227</v>
      </c>
      <c r="M24" t="s">
        <v>388</v>
      </c>
      <c r="O24">
        <v>4.2500000000000003E-3</v>
      </c>
      <c r="P24">
        <v>4.5500000000000002E-3</v>
      </c>
      <c r="Q24">
        <f t="shared" si="4"/>
        <v>8.8000000000000005E-3</v>
      </c>
      <c r="R24">
        <v>1.175E-2</v>
      </c>
      <c r="S24" s="20" t="str">
        <f t="shared" si="5"/>
        <v/>
      </c>
      <c r="T24">
        <f t="shared" si="6"/>
        <v>-2.9499999999999995E-3</v>
      </c>
      <c r="V24">
        <v>3</v>
      </c>
      <c r="W24">
        <v>1.8305032999999998E-2</v>
      </c>
      <c r="X24">
        <f t="shared" si="7"/>
        <v>1.5355032999999999E-2</v>
      </c>
      <c r="Y24">
        <f t="shared" si="8"/>
        <v>3.6050329999999988E-3</v>
      </c>
      <c r="Z24">
        <v>9.5050327063128E-3</v>
      </c>
      <c r="AF24">
        <v>2</v>
      </c>
      <c r="AG24">
        <v>9.5050327063128E-3</v>
      </c>
      <c r="AH24">
        <v>1.175E-2</v>
      </c>
      <c r="AN24">
        <v>1.175E-2</v>
      </c>
      <c r="AR24">
        <v>2</v>
      </c>
      <c r="AS24">
        <v>1.175E-2</v>
      </c>
      <c r="AT24">
        <f t="shared" si="9"/>
        <v>9.5050329999999995E-3</v>
      </c>
      <c r="AU24">
        <v>9.5050327063128E-3</v>
      </c>
    </row>
    <row r="25" spans="1:48" x14ac:dyDescent="0.25">
      <c r="A25">
        <v>0.05</v>
      </c>
      <c r="B25">
        <f t="shared" si="0"/>
        <v>0.60000000000000009</v>
      </c>
      <c r="C25">
        <f t="shared" si="1"/>
        <v>3.0000000000000005E-3</v>
      </c>
      <c r="D25">
        <v>3.0000000000000001E-3</v>
      </c>
      <c r="E25" t="b">
        <f t="shared" si="2"/>
        <v>1</v>
      </c>
      <c r="G25">
        <v>5.8561237651311698E-3</v>
      </c>
      <c r="H25">
        <v>5.85612377062483E-3</v>
      </c>
      <c r="I25">
        <f t="shared" si="3"/>
        <v>0.99999999906189474</v>
      </c>
      <c r="M25" t="s">
        <v>388</v>
      </c>
      <c r="O25">
        <v>4.5061240000000002E-3</v>
      </c>
      <c r="P25">
        <v>4.3499999999999997E-3</v>
      </c>
      <c r="Q25">
        <f t="shared" si="4"/>
        <v>8.8561239999999999E-3</v>
      </c>
      <c r="R25">
        <v>1.1200000000000002E-2</v>
      </c>
      <c r="S25" s="20" t="str">
        <f t="shared" si="5"/>
        <v/>
      </c>
      <c r="T25">
        <f t="shared" si="6"/>
        <v>-2.3438760000000017E-3</v>
      </c>
      <c r="V25">
        <v>3</v>
      </c>
      <c r="W25">
        <v>1.8871939000000001E-2</v>
      </c>
      <c r="X25">
        <f t="shared" si="7"/>
        <v>1.6528062999999999E-2</v>
      </c>
      <c r="Y25">
        <f t="shared" si="8"/>
        <v>5.3280629999999975E-3</v>
      </c>
      <c r="Z25">
        <v>1.0015814503821999E-2</v>
      </c>
      <c r="AF25">
        <v>2</v>
      </c>
      <c r="AG25">
        <v>1.0015814503821999E-2</v>
      </c>
      <c r="AH25">
        <v>1.1200000000000002E-2</v>
      </c>
      <c r="AN25">
        <v>1.12E-2</v>
      </c>
      <c r="AR25">
        <v>2</v>
      </c>
      <c r="AS25">
        <v>1.12E-2</v>
      </c>
      <c r="AT25">
        <f t="shared" si="9"/>
        <v>1.0015814999999999E-2</v>
      </c>
      <c r="AU25">
        <v>1.0015814503821999E-2</v>
      </c>
    </row>
    <row r="26" spans="1:48" x14ac:dyDescent="0.25">
      <c r="A26" t="s">
        <v>389</v>
      </c>
      <c r="B26" t="s">
        <v>10</v>
      </c>
      <c r="C26" t="s">
        <v>390</v>
      </c>
      <c r="D26" t="s">
        <v>27</v>
      </c>
      <c r="E26" t="s">
        <v>38</v>
      </c>
      <c r="T26">
        <v>2.8192619999999995E-3</v>
      </c>
      <c r="V26">
        <v>4</v>
      </c>
      <c r="W26">
        <v>2.7165330000000001E-2</v>
      </c>
      <c r="X26">
        <f t="shared" si="7"/>
        <v>2.9984592000000001E-2</v>
      </c>
      <c r="AF26">
        <v>3</v>
      </c>
      <c r="AH26">
        <f>AH2+AG2</f>
        <v>1.46249345973893E-2</v>
      </c>
      <c r="AI26">
        <v>1.7444197000000002E-2</v>
      </c>
      <c r="AJ26">
        <f>AH26-AI26</f>
        <v>-2.8192624026107012E-3</v>
      </c>
      <c r="AK26">
        <f>AI26+AJ26</f>
        <v>1.46249345973893E-2</v>
      </c>
      <c r="AN26">
        <v>1.4624935E-2</v>
      </c>
      <c r="AO26">
        <f>AN26-AN2</f>
        <v>9.524935E-3</v>
      </c>
      <c r="AR26">
        <v>3</v>
      </c>
      <c r="AS26">
        <v>1.4624935E-2</v>
      </c>
      <c r="AT26">
        <f t="shared" si="9"/>
        <v>1.3000898870881098E-2</v>
      </c>
      <c r="AU26">
        <v>1.30008988708811E-2</v>
      </c>
      <c r="AV26">
        <f>AT26/AU26</f>
        <v>0.99999999999999989</v>
      </c>
    </row>
    <row r="27" spans="1:48" x14ac:dyDescent="0.25">
      <c r="A27">
        <v>1</v>
      </c>
      <c r="B27">
        <v>0</v>
      </c>
      <c r="C27">
        <v>0</v>
      </c>
      <c r="D27">
        <v>0</v>
      </c>
      <c r="T27">
        <v>-1.9650540000000001E-2</v>
      </c>
      <c r="V27">
        <v>4</v>
      </c>
      <c r="W27">
        <v>2.7881520999999999E-2</v>
      </c>
      <c r="X27">
        <f t="shared" si="7"/>
        <v>8.2309809999999983E-3</v>
      </c>
      <c r="AF27">
        <v>3</v>
      </c>
      <c r="AH27">
        <f t="shared" ref="AH27:AH49" si="10">AH3+AG3</f>
        <v>3.5709712324845197E-2</v>
      </c>
      <c r="AI27">
        <v>1.6059172E-2</v>
      </c>
      <c r="AJ27">
        <f t="shared" ref="AJ27:AJ49" si="11">AH27-AI27</f>
        <v>1.9650540324845197E-2</v>
      </c>
      <c r="AK27">
        <f t="shared" ref="AK27:AK90" si="12">AI27+AJ27</f>
        <v>3.5709712324845197E-2</v>
      </c>
      <c r="AN27">
        <v>3.5709711999999998E-2</v>
      </c>
      <c r="AO27">
        <f t="shared" ref="AO27:AO49" si="13">AN27-AN3</f>
        <v>1.1509711999999998E-2</v>
      </c>
      <c r="AR27">
        <v>3</v>
      </c>
      <c r="AS27">
        <v>3.5709711999999998E-2</v>
      </c>
      <c r="AT27">
        <f t="shared" si="9"/>
        <v>7.7636178309199028E-3</v>
      </c>
      <c r="AU27">
        <v>7.7636178309199002E-3</v>
      </c>
      <c r="AV27">
        <f t="shared" ref="AV27:AV49" si="14">AT27/AU27</f>
        <v>1.0000000000000004</v>
      </c>
    </row>
    <row r="28" spans="1:48" x14ac:dyDescent="0.25">
      <c r="A28">
        <v>2</v>
      </c>
      <c r="B28">
        <v>0</v>
      </c>
      <c r="C28">
        <v>0</v>
      </c>
      <c r="D28">
        <v>0</v>
      </c>
      <c r="T28">
        <v>-1.7332529999999997E-3</v>
      </c>
      <c r="V28">
        <v>4</v>
      </c>
      <c r="W28">
        <v>2.7899218999999999E-2</v>
      </c>
      <c r="X28">
        <f t="shared" si="7"/>
        <v>2.6165965999999999E-2</v>
      </c>
      <c r="AF28">
        <v>3</v>
      </c>
      <c r="AH28">
        <f t="shared" si="10"/>
        <v>1.7906700089663701E-2</v>
      </c>
      <c r="AI28">
        <v>1.6173447000000001E-2</v>
      </c>
      <c r="AJ28">
        <f t="shared" si="11"/>
        <v>1.7332530896637006E-3</v>
      </c>
      <c r="AK28">
        <f t="shared" si="12"/>
        <v>1.7906700089663701E-2</v>
      </c>
      <c r="AN28">
        <v>1.7906700000000001E-2</v>
      </c>
      <c r="AO28">
        <f t="shared" si="13"/>
        <v>1.14567E-2</v>
      </c>
      <c r="AR28">
        <v>3</v>
      </c>
      <c r="AS28">
        <v>1.7906700000000001E-2</v>
      </c>
      <c r="AT28">
        <f t="shared" si="9"/>
        <v>1.4969457229352699E-2</v>
      </c>
      <c r="AU28">
        <v>1.49694572293527E-2</v>
      </c>
      <c r="AV28">
        <f t="shared" si="14"/>
        <v>0.99999999999999989</v>
      </c>
    </row>
    <row r="29" spans="1:48" x14ac:dyDescent="0.25">
      <c r="A29">
        <v>3</v>
      </c>
      <c r="B29">
        <v>0</v>
      </c>
      <c r="C29">
        <v>0</v>
      </c>
      <c r="D29">
        <v>0</v>
      </c>
      <c r="T29">
        <v>-4.7928499999999995E-3</v>
      </c>
      <c r="V29">
        <v>4</v>
      </c>
      <c r="W29">
        <v>2.8019545E-2</v>
      </c>
      <c r="X29">
        <f t="shared" si="7"/>
        <v>2.3226694999999999E-2</v>
      </c>
      <c r="AF29">
        <v>3</v>
      </c>
      <c r="AH29">
        <f t="shared" si="10"/>
        <v>2.2779401098823499E-2</v>
      </c>
      <c r="AI29">
        <v>1.7986551E-2</v>
      </c>
      <c r="AJ29">
        <f t="shared" si="11"/>
        <v>4.7928500988234993E-3</v>
      </c>
      <c r="AK29">
        <f t="shared" si="12"/>
        <v>2.2779401098823499E-2</v>
      </c>
      <c r="AN29">
        <v>2.2779401000000001E-2</v>
      </c>
      <c r="AO29">
        <f t="shared" si="13"/>
        <v>9.8294010000000015E-3</v>
      </c>
      <c r="AR29">
        <v>3</v>
      </c>
      <c r="AS29">
        <v>2.2779401000000001E-2</v>
      </c>
      <c r="AT29">
        <f t="shared" si="9"/>
        <v>9.978403933201898E-3</v>
      </c>
      <c r="AU29">
        <v>9.9784039332018008E-3</v>
      </c>
      <c r="AV29">
        <f t="shared" si="14"/>
        <v>1.0000000000000098</v>
      </c>
    </row>
    <row r="30" spans="1:48" x14ac:dyDescent="0.25">
      <c r="A30">
        <v>4</v>
      </c>
      <c r="B30">
        <v>0</v>
      </c>
      <c r="C30">
        <v>0</v>
      </c>
      <c r="D30">
        <v>0</v>
      </c>
      <c r="T30">
        <v>-1.7679029999999995E-3</v>
      </c>
      <c r="V30">
        <v>4</v>
      </c>
      <c r="W30">
        <v>2.5998559000000001E-2</v>
      </c>
      <c r="X30">
        <f t="shared" si="7"/>
        <v>2.4230656000000003E-2</v>
      </c>
      <c r="AF30">
        <v>3</v>
      </c>
      <c r="AH30">
        <f t="shared" si="10"/>
        <v>1.87523644889134E-2</v>
      </c>
      <c r="AI30">
        <v>1.6984460999999999E-2</v>
      </c>
      <c r="AJ30">
        <f t="shared" si="11"/>
        <v>1.7679034889134006E-3</v>
      </c>
      <c r="AK30">
        <f t="shared" si="12"/>
        <v>1.87523644889134E-2</v>
      </c>
      <c r="AN30">
        <v>1.8752364000000001E-2</v>
      </c>
      <c r="AO30">
        <f t="shared" si="13"/>
        <v>8.7523640000000003E-3</v>
      </c>
      <c r="AR30">
        <v>3</v>
      </c>
      <c r="AS30">
        <v>1.8752364000000001E-2</v>
      </c>
      <c r="AT30">
        <f t="shared" si="9"/>
        <v>1.1362697343344198E-2</v>
      </c>
      <c r="AU30">
        <v>1.13626973433442E-2</v>
      </c>
      <c r="AV30">
        <f t="shared" si="14"/>
        <v>0.99999999999999989</v>
      </c>
    </row>
    <row r="31" spans="1:48" x14ac:dyDescent="0.25">
      <c r="A31">
        <v>5</v>
      </c>
      <c r="B31">
        <v>0</v>
      </c>
      <c r="C31">
        <v>0</v>
      </c>
      <c r="D31">
        <v>0</v>
      </c>
      <c r="T31">
        <v>-1.4931460000000008E-3</v>
      </c>
      <c r="V31">
        <v>4</v>
      </c>
      <c r="W31">
        <v>2.7562300000000001E-2</v>
      </c>
      <c r="X31">
        <f t="shared" si="7"/>
        <v>2.6069154000000001E-2</v>
      </c>
      <c r="AF31">
        <v>3</v>
      </c>
      <c r="AH31">
        <f t="shared" si="10"/>
        <v>1.76869313908408E-2</v>
      </c>
      <c r="AI31">
        <v>1.6193784999999999E-2</v>
      </c>
      <c r="AJ31">
        <f t="shared" si="11"/>
        <v>1.4931463908408014E-3</v>
      </c>
      <c r="AK31">
        <f t="shared" si="12"/>
        <v>1.76869313908408E-2</v>
      </c>
      <c r="AN31">
        <v>1.7686930999999999E-2</v>
      </c>
      <c r="AO31">
        <f t="shared" si="13"/>
        <v>1.1086931E-2</v>
      </c>
      <c r="AR31">
        <v>3</v>
      </c>
      <c r="AS31">
        <v>1.7686930999999999E-2</v>
      </c>
      <c r="AT31">
        <f t="shared" si="9"/>
        <v>1.4869825137455699E-2</v>
      </c>
      <c r="AU31">
        <v>1.4869825137455699E-2</v>
      </c>
      <c r="AV31">
        <f t="shared" si="14"/>
        <v>1</v>
      </c>
    </row>
    <row r="32" spans="1:48" x14ac:dyDescent="0.25">
      <c r="A32">
        <v>6</v>
      </c>
      <c r="B32">
        <v>0</v>
      </c>
      <c r="C32">
        <v>0</v>
      </c>
      <c r="D32">
        <v>0</v>
      </c>
      <c r="T32">
        <v>3.8578739999999999E-3</v>
      </c>
      <c r="V32">
        <v>4</v>
      </c>
      <c r="W32">
        <v>2.6159391000000001E-2</v>
      </c>
      <c r="X32">
        <f t="shared" si="7"/>
        <v>3.0017265000000001E-2</v>
      </c>
      <c r="AF32">
        <v>3</v>
      </c>
      <c r="AH32">
        <f t="shared" si="10"/>
        <v>1.3401197446927998E-2</v>
      </c>
      <c r="AI32">
        <v>1.7259071000000001E-2</v>
      </c>
      <c r="AJ32">
        <f t="shared" si="11"/>
        <v>-3.8578735530720026E-3</v>
      </c>
      <c r="AK32">
        <f t="shared" si="12"/>
        <v>1.3401197446927998E-2</v>
      </c>
      <c r="AN32">
        <v>1.3401197E-2</v>
      </c>
      <c r="AO32">
        <f t="shared" si="13"/>
        <v>8.6511969999999994E-3</v>
      </c>
      <c r="AR32">
        <v>3</v>
      </c>
      <c r="AS32">
        <v>1.3401197E-2</v>
      </c>
      <c r="AT32">
        <f t="shared" si="9"/>
        <v>1.3491698602284202E-2</v>
      </c>
      <c r="AU32">
        <v>1.34916986022842E-2</v>
      </c>
      <c r="AV32">
        <f t="shared" si="14"/>
        <v>1.0000000000000002</v>
      </c>
    </row>
    <row r="33" spans="1:48" x14ac:dyDescent="0.25">
      <c r="A33">
        <v>7</v>
      </c>
      <c r="B33">
        <v>0</v>
      </c>
      <c r="C33">
        <v>0</v>
      </c>
      <c r="D33">
        <v>0</v>
      </c>
      <c r="T33">
        <v>-3.8675430000000011E-3</v>
      </c>
      <c r="V33">
        <v>4</v>
      </c>
      <c r="W33">
        <v>2.8599705999999999E-2</v>
      </c>
      <c r="X33">
        <f t="shared" si="7"/>
        <v>2.4732162999999998E-2</v>
      </c>
      <c r="AF33">
        <v>3</v>
      </c>
      <c r="AH33">
        <f t="shared" si="10"/>
        <v>2.1622238469192603E-2</v>
      </c>
      <c r="AI33">
        <v>1.7754695000000001E-2</v>
      </c>
      <c r="AJ33">
        <f t="shared" si="11"/>
        <v>3.8675434691926025E-3</v>
      </c>
      <c r="AK33">
        <f t="shared" si="12"/>
        <v>2.1622238469192603E-2</v>
      </c>
      <c r="AN33">
        <v>2.1622237999999998E-2</v>
      </c>
      <c r="AO33">
        <f t="shared" si="13"/>
        <v>1.0622237999999999E-2</v>
      </c>
      <c r="AR33">
        <v>3</v>
      </c>
      <c r="AS33">
        <v>2.1622237999999998E-2</v>
      </c>
      <c r="AT33">
        <f t="shared" si="9"/>
        <v>1.1833726834556298E-2</v>
      </c>
      <c r="AU33">
        <v>1.18337268345563E-2</v>
      </c>
      <c r="AV33">
        <f t="shared" si="14"/>
        <v>0.99999999999999989</v>
      </c>
    </row>
    <row r="34" spans="1:48" x14ac:dyDescent="0.25">
      <c r="A34">
        <v>8</v>
      </c>
      <c r="B34">
        <v>0</v>
      </c>
      <c r="C34">
        <v>0</v>
      </c>
      <c r="D34">
        <v>0</v>
      </c>
      <c r="T34">
        <v>-1.4521239999999991E-3</v>
      </c>
      <c r="V34">
        <v>4</v>
      </c>
      <c r="W34">
        <v>2.5215121E-2</v>
      </c>
      <c r="X34">
        <f t="shared" si="7"/>
        <v>2.3762997000000001E-2</v>
      </c>
      <c r="AF34">
        <v>3</v>
      </c>
      <c r="AH34">
        <f t="shared" si="10"/>
        <v>1.7969160679061097E-2</v>
      </c>
      <c r="AI34">
        <v>1.6517036999999998E-2</v>
      </c>
      <c r="AJ34">
        <f t="shared" si="11"/>
        <v>1.4521236790610986E-3</v>
      </c>
      <c r="AK34">
        <f t="shared" si="12"/>
        <v>1.7969160679061097E-2</v>
      </c>
      <c r="AN34">
        <v>1.7969161000000001E-2</v>
      </c>
      <c r="AO34">
        <f t="shared" si="13"/>
        <v>8.4191610000000014E-3</v>
      </c>
      <c r="AR34">
        <v>3</v>
      </c>
      <c r="AS34">
        <v>1.7969161000000001E-2</v>
      </c>
      <c r="AT34">
        <f t="shared" si="9"/>
        <v>1.1369892107464301E-2</v>
      </c>
      <c r="AU34">
        <v>1.1369892107464301E-2</v>
      </c>
      <c r="AV34">
        <f t="shared" si="14"/>
        <v>1</v>
      </c>
    </row>
    <row r="35" spans="1:48" x14ac:dyDescent="0.25">
      <c r="A35">
        <v>9</v>
      </c>
      <c r="B35">
        <v>0</v>
      </c>
      <c r="C35">
        <v>0</v>
      </c>
      <c r="D35">
        <v>0</v>
      </c>
      <c r="T35">
        <v>3.6480339999999997E-3</v>
      </c>
      <c r="V35">
        <v>4</v>
      </c>
      <c r="W35">
        <v>2.6985711999999999E-2</v>
      </c>
      <c r="X35">
        <f t="shared" si="7"/>
        <v>3.0633745999999996E-2</v>
      </c>
      <c r="AF35">
        <v>3</v>
      </c>
      <c r="AH35">
        <f t="shared" si="10"/>
        <v>1.3984770214470799E-2</v>
      </c>
      <c r="AI35">
        <v>1.7632803999999998E-2</v>
      </c>
      <c r="AJ35">
        <f t="shared" si="11"/>
        <v>-3.6480337855291992E-3</v>
      </c>
      <c r="AK35">
        <f t="shared" si="12"/>
        <v>1.3984770214470799E-2</v>
      </c>
      <c r="AN35">
        <v>1.3984770000000001E-2</v>
      </c>
      <c r="AO35">
        <f t="shared" si="13"/>
        <v>9.1347700000000004E-3</v>
      </c>
      <c r="AR35">
        <v>3</v>
      </c>
      <c r="AS35">
        <v>1.3984770000000001E-2</v>
      </c>
      <c r="AT35">
        <f t="shared" si="9"/>
        <v>1.4199924517557298E-2</v>
      </c>
      <c r="AU35">
        <v>1.41999245175573E-2</v>
      </c>
      <c r="AV35">
        <f t="shared" si="14"/>
        <v>0.99999999999999989</v>
      </c>
    </row>
    <row r="36" spans="1:48" x14ac:dyDescent="0.25">
      <c r="A36">
        <v>10</v>
      </c>
      <c r="B36">
        <v>0</v>
      </c>
      <c r="C36">
        <v>0</v>
      </c>
      <c r="D36">
        <v>0</v>
      </c>
      <c r="T36">
        <v>-5.2652129999999995E-3</v>
      </c>
      <c r="V36">
        <v>4</v>
      </c>
      <c r="W36">
        <v>2.6491351999999999E-2</v>
      </c>
      <c r="X36">
        <f t="shared" si="7"/>
        <v>2.1226138999999998E-2</v>
      </c>
      <c r="AF36">
        <v>3</v>
      </c>
      <c r="AH36">
        <f t="shared" si="10"/>
        <v>2.24653224721134E-2</v>
      </c>
      <c r="AI36">
        <v>1.7200109000000002E-2</v>
      </c>
      <c r="AJ36">
        <f t="shared" si="11"/>
        <v>5.2652134721133982E-3</v>
      </c>
      <c r="AK36">
        <f t="shared" si="12"/>
        <v>2.24653224721134E-2</v>
      </c>
      <c r="AN36">
        <v>2.2465321999999999E-2</v>
      </c>
      <c r="AO36">
        <f t="shared" si="13"/>
        <v>9.0153219999999992E-3</v>
      </c>
      <c r="AR36">
        <v>3</v>
      </c>
      <c r="AS36">
        <v>2.2465321999999999E-2</v>
      </c>
      <c r="AT36">
        <f t="shared" si="9"/>
        <v>1.0040137011331798E-2</v>
      </c>
      <c r="AU36">
        <v>1.0040137011331799E-2</v>
      </c>
      <c r="AV36">
        <f t="shared" si="14"/>
        <v>0.99999999999999978</v>
      </c>
    </row>
    <row r="37" spans="1:48" x14ac:dyDescent="0.25">
      <c r="A37">
        <v>11</v>
      </c>
      <c r="B37">
        <v>0</v>
      </c>
      <c r="C37">
        <v>0</v>
      </c>
      <c r="D37">
        <v>0</v>
      </c>
      <c r="T37">
        <v>3.4581700000000004E-3</v>
      </c>
      <c r="V37">
        <v>4</v>
      </c>
      <c r="W37">
        <v>2.6867412E-2</v>
      </c>
      <c r="X37">
        <f t="shared" si="7"/>
        <v>3.0325582E-2</v>
      </c>
      <c r="AF37">
        <v>3</v>
      </c>
      <c r="AH37">
        <f t="shared" si="10"/>
        <v>1.35253938650756E-2</v>
      </c>
      <c r="AI37">
        <v>1.6983564E-2</v>
      </c>
      <c r="AJ37">
        <f t="shared" si="11"/>
        <v>-3.4581701349243998E-3</v>
      </c>
      <c r="AK37">
        <f t="shared" si="12"/>
        <v>1.35253938650756E-2</v>
      </c>
      <c r="AN37">
        <v>1.3525394E-2</v>
      </c>
      <c r="AO37">
        <f t="shared" si="13"/>
        <v>9.6253939999999989E-3</v>
      </c>
      <c r="AR37">
        <v>3</v>
      </c>
      <c r="AS37">
        <v>1.3525394E-2</v>
      </c>
      <c r="AT37">
        <f t="shared" si="9"/>
        <v>1.4195918254083801E-2</v>
      </c>
      <c r="AU37">
        <v>1.4195918254083799E-2</v>
      </c>
      <c r="AV37">
        <f t="shared" si="14"/>
        <v>1.0000000000000002</v>
      </c>
    </row>
    <row r="38" spans="1:48" x14ac:dyDescent="0.25">
      <c r="A38">
        <v>12</v>
      </c>
      <c r="B38">
        <v>0</v>
      </c>
      <c r="C38">
        <v>0</v>
      </c>
      <c r="D38">
        <v>0</v>
      </c>
      <c r="T38">
        <v>-1.3972459999999996E-3</v>
      </c>
      <c r="V38">
        <v>4</v>
      </c>
      <c r="W38">
        <v>2.8544047999999999E-2</v>
      </c>
      <c r="X38">
        <f t="shared" si="7"/>
        <v>2.7146801999999998E-2</v>
      </c>
      <c r="AF38">
        <v>3</v>
      </c>
      <c r="AH38">
        <f t="shared" si="10"/>
        <v>1.9703242281510498E-2</v>
      </c>
      <c r="AI38">
        <v>1.8305996000000001E-2</v>
      </c>
      <c r="AJ38">
        <f t="shared" si="11"/>
        <v>1.3972462815104968E-3</v>
      </c>
      <c r="AK38">
        <f t="shared" si="12"/>
        <v>1.9703242281510498E-2</v>
      </c>
      <c r="AN38">
        <v>1.9703241999999999E-2</v>
      </c>
      <c r="AO38">
        <f t="shared" si="13"/>
        <v>1.0003241999999999E-2</v>
      </c>
      <c r="AR38">
        <v>3</v>
      </c>
      <c r="AS38">
        <v>1.9703241999999999E-2</v>
      </c>
      <c r="AT38">
        <f t="shared" si="9"/>
        <v>1.2642379799712698E-2</v>
      </c>
      <c r="AU38">
        <v>1.2642379799712699E-2</v>
      </c>
      <c r="AV38">
        <f t="shared" si="14"/>
        <v>0.99999999999999989</v>
      </c>
    </row>
    <row r="39" spans="1:48" x14ac:dyDescent="0.25">
      <c r="A39">
        <v>13</v>
      </c>
      <c r="B39">
        <v>0</v>
      </c>
      <c r="C39">
        <v>0</v>
      </c>
      <c r="D39">
        <v>0</v>
      </c>
      <c r="T39">
        <v>4.4980640000000013E-3</v>
      </c>
      <c r="V39">
        <v>4</v>
      </c>
      <c r="W39">
        <v>2.8294743000000001E-2</v>
      </c>
      <c r="X39">
        <f t="shared" si="7"/>
        <v>3.2792807E-2</v>
      </c>
      <c r="AF39">
        <v>3</v>
      </c>
      <c r="AH39">
        <f t="shared" si="10"/>
        <v>1.36719387327342E-2</v>
      </c>
      <c r="AI39">
        <v>1.8170003000000001E-2</v>
      </c>
      <c r="AJ39">
        <f t="shared" si="11"/>
        <v>-4.498064267265801E-3</v>
      </c>
      <c r="AK39">
        <f t="shared" si="12"/>
        <v>1.36719387327342E-2</v>
      </c>
      <c r="AN39">
        <v>1.3671938999999999E-2</v>
      </c>
      <c r="AO39">
        <f t="shared" si="13"/>
        <v>9.8719389999999997E-3</v>
      </c>
      <c r="AR39">
        <v>3</v>
      </c>
      <c r="AS39">
        <v>1.3671938999999999E-2</v>
      </c>
      <c r="AT39">
        <f t="shared" si="9"/>
        <v>1.5752474004341099E-2</v>
      </c>
      <c r="AU39">
        <v>1.5752474004341099E-2</v>
      </c>
      <c r="AV39">
        <f t="shared" si="14"/>
        <v>1</v>
      </c>
    </row>
    <row r="40" spans="1:48" x14ac:dyDescent="0.25">
      <c r="A40">
        <v>14</v>
      </c>
      <c r="B40">
        <v>0</v>
      </c>
      <c r="C40">
        <v>0</v>
      </c>
      <c r="D40">
        <v>0</v>
      </c>
      <c r="T40">
        <v>-1.474932E-3</v>
      </c>
      <c r="V40">
        <v>4</v>
      </c>
      <c r="W40">
        <v>2.8358814E-2</v>
      </c>
      <c r="X40">
        <f t="shared" si="7"/>
        <v>2.6883881999999998E-2</v>
      </c>
      <c r="AF40">
        <v>3</v>
      </c>
      <c r="AH40">
        <f t="shared" si="10"/>
        <v>2.0268247215287701E-2</v>
      </c>
      <c r="AI40">
        <v>1.8793315000000001E-2</v>
      </c>
      <c r="AJ40">
        <f t="shared" si="11"/>
        <v>1.4749322152876991E-3</v>
      </c>
      <c r="AK40">
        <f t="shared" si="12"/>
        <v>2.0268247215287701E-2</v>
      </c>
      <c r="AN40">
        <v>2.0268247E-2</v>
      </c>
      <c r="AO40">
        <f t="shared" si="13"/>
        <v>9.3682469999999997E-3</v>
      </c>
      <c r="AR40">
        <v>3</v>
      </c>
      <c r="AS40">
        <v>2.0268247E-2</v>
      </c>
      <c r="AT40">
        <f t="shared" si="9"/>
        <v>1.0936983741416099E-2</v>
      </c>
      <c r="AU40">
        <v>1.0936983741416099E-2</v>
      </c>
      <c r="AV40">
        <f t="shared" si="14"/>
        <v>1</v>
      </c>
    </row>
    <row r="41" spans="1:48" x14ac:dyDescent="0.25">
      <c r="A41">
        <v>15</v>
      </c>
      <c r="B41">
        <v>0</v>
      </c>
      <c r="C41">
        <v>0</v>
      </c>
      <c r="D41">
        <v>0</v>
      </c>
      <c r="T41">
        <v>-2.5714429999999979E-3</v>
      </c>
      <c r="V41">
        <v>4</v>
      </c>
      <c r="W41">
        <v>2.8548500000000001E-2</v>
      </c>
      <c r="X41">
        <f t="shared" si="7"/>
        <v>2.5977057000000005E-2</v>
      </c>
      <c r="AF41">
        <v>3</v>
      </c>
      <c r="AH41">
        <f t="shared" si="10"/>
        <v>2.0475484860195299E-2</v>
      </c>
      <c r="AI41">
        <v>1.7904041999999998E-2</v>
      </c>
      <c r="AJ41">
        <f t="shared" si="11"/>
        <v>2.5714428601953006E-3</v>
      </c>
      <c r="AK41">
        <f t="shared" si="12"/>
        <v>2.0475484860195299E-2</v>
      </c>
      <c r="AN41">
        <v>2.0475485000000002E-2</v>
      </c>
      <c r="AO41">
        <f t="shared" si="13"/>
        <v>1.0425485000000002E-2</v>
      </c>
      <c r="AR41">
        <v>3</v>
      </c>
      <c r="AS41">
        <v>2.0475485000000002E-2</v>
      </c>
      <c r="AT41">
        <f t="shared" si="9"/>
        <v>1.2824712078535E-2</v>
      </c>
      <c r="AU41">
        <v>1.2824712078535E-2</v>
      </c>
      <c r="AV41">
        <f t="shared" si="14"/>
        <v>1</v>
      </c>
    </row>
    <row r="42" spans="1:48" x14ac:dyDescent="0.25">
      <c r="A42">
        <v>16</v>
      </c>
      <c r="B42">
        <v>0</v>
      </c>
      <c r="C42">
        <v>0</v>
      </c>
      <c r="D42">
        <v>0</v>
      </c>
      <c r="T42">
        <v>4.0541759999999996E-3</v>
      </c>
      <c r="V42">
        <v>4</v>
      </c>
      <c r="W42">
        <v>2.9906230999999998E-2</v>
      </c>
      <c r="X42">
        <f t="shared" si="7"/>
        <v>3.3960406999999998E-2</v>
      </c>
      <c r="AF42">
        <v>3</v>
      </c>
      <c r="AH42">
        <f t="shared" si="10"/>
        <v>1.44435106158015E-2</v>
      </c>
      <c r="AI42">
        <v>1.8497686999999999E-2</v>
      </c>
      <c r="AJ42">
        <f t="shared" si="11"/>
        <v>-4.054176384198499E-3</v>
      </c>
      <c r="AK42">
        <f t="shared" si="12"/>
        <v>1.44435106158015E-2</v>
      </c>
      <c r="AN42">
        <v>1.4443510999999999E-2</v>
      </c>
      <c r="AO42">
        <f t="shared" si="13"/>
        <v>1.1193511E-2</v>
      </c>
      <c r="AR42">
        <v>3</v>
      </c>
      <c r="AS42">
        <v>1.4443510999999999E-2</v>
      </c>
      <c r="AT42">
        <f t="shared" si="9"/>
        <v>1.5546829267798001E-2</v>
      </c>
      <c r="AU42">
        <v>1.5546829267798001E-2</v>
      </c>
      <c r="AV42">
        <f t="shared" si="14"/>
        <v>1</v>
      </c>
    </row>
    <row r="43" spans="1:48" x14ac:dyDescent="0.25">
      <c r="A43">
        <v>17</v>
      </c>
      <c r="B43">
        <v>0</v>
      </c>
      <c r="C43">
        <v>0</v>
      </c>
      <c r="D43">
        <v>0</v>
      </c>
      <c r="T43">
        <v>-1.4223970000000006E-3</v>
      </c>
      <c r="V43">
        <v>4</v>
      </c>
      <c r="W43">
        <v>2.9515412000000001E-2</v>
      </c>
      <c r="X43">
        <f t="shared" si="7"/>
        <v>2.8093014999999999E-2</v>
      </c>
      <c r="AF43">
        <v>3</v>
      </c>
      <c r="AH43">
        <f t="shared" si="10"/>
        <v>2.0483123531446802E-2</v>
      </c>
      <c r="AI43">
        <v>1.9060727E-2</v>
      </c>
      <c r="AJ43">
        <f t="shared" si="11"/>
        <v>1.4223965314468026E-3</v>
      </c>
      <c r="AK43">
        <f t="shared" si="12"/>
        <v>2.0483123531446802E-2</v>
      </c>
      <c r="AN43">
        <v>2.0483123999999998E-2</v>
      </c>
      <c r="AO43">
        <f t="shared" si="13"/>
        <v>1.0283123999999998E-2</v>
      </c>
      <c r="AR43">
        <v>3</v>
      </c>
      <c r="AS43">
        <v>2.0483123999999998E-2</v>
      </c>
      <c r="AT43">
        <f t="shared" si="9"/>
        <v>1.1863178739881498E-2</v>
      </c>
      <c r="AU43">
        <v>1.18631787398815E-2</v>
      </c>
      <c r="AV43">
        <f t="shared" si="14"/>
        <v>0.99999999999999989</v>
      </c>
    </row>
    <row r="44" spans="1:48" x14ac:dyDescent="0.25">
      <c r="A44">
        <v>18</v>
      </c>
      <c r="B44">
        <v>0</v>
      </c>
      <c r="C44">
        <v>0</v>
      </c>
      <c r="D44">
        <v>0</v>
      </c>
      <c r="T44">
        <v>4.6040869999999998E-3</v>
      </c>
      <c r="V44">
        <v>4</v>
      </c>
      <c r="W44">
        <v>2.8717257999999999E-2</v>
      </c>
      <c r="X44">
        <f t="shared" si="7"/>
        <v>3.3321345000000002E-2</v>
      </c>
      <c r="AF44">
        <v>3</v>
      </c>
      <c r="AH44">
        <f t="shared" si="10"/>
        <v>1.3607691481791501E-2</v>
      </c>
      <c r="AI44">
        <v>1.8211778000000001E-2</v>
      </c>
      <c r="AJ44">
        <f t="shared" si="11"/>
        <v>-4.6040865182085007E-3</v>
      </c>
      <c r="AK44">
        <f t="shared" si="12"/>
        <v>1.3607691481791501E-2</v>
      </c>
      <c r="AN44">
        <v>1.3607691E-2</v>
      </c>
      <c r="AO44">
        <f t="shared" si="13"/>
        <v>1.0257690999999999E-2</v>
      </c>
      <c r="AR44">
        <v>3</v>
      </c>
      <c r="AS44">
        <v>1.3607691E-2</v>
      </c>
      <c r="AT44">
        <f t="shared" si="9"/>
        <v>1.6254195183151202E-2</v>
      </c>
      <c r="AU44">
        <v>1.6254195183151299E-2</v>
      </c>
      <c r="AV44">
        <f t="shared" si="14"/>
        <v>0.999999999999994</v>
      </c>
    </row>
    <row r="45" spans="1:48" x14ac:dyDescent="0.25">
      <c r="A45">
        <v>19</v>
      </c>
      <c r="B45">
        <v>0</v>
      </c>
      <c r="C45">
        <v>0</v>
      </c>
      <c r="D45">
        <v>0</v>
      </c>
      <c r="T45">
        <v>-1.3638510000000001E-3</v>
      </c>
      <c r="V45">
        <v>4</v>
      </c>
      <c r="W45">
        <v>2.9570814000000001E-2</v>
      </c>
      <c r="X45">
        <f t="shared" si="7"/>
        <v>2.8206963000000002E-2</v>
      </c>
      <c r="AF45">
        <v>3</v>
      </c>
      <c r="AH45">
        <f t="shared" si="10"/>
        <v>1.97990942681209E-2</v>
      </c>
      <c r="AI45">
        <v>1.8435243E-2</v>
      </c>
      <c r="AJ45">
        <f t="shared" si="11"/>
        <v>1.3638512681208997E-3</v>
      </c>
      <c r="AK45">
        <f t="shared" si="12"/>
        <v>1.97990942681209E-2</v>
      </c>
      <c r="AN45">
        <v>1.9799094E-2</v>
      </c>
      <c r="AO45">
        <f t="shared" si="13"/>
        <v>1.0949093999999999E-2</v>
      </c>
      <c r="AR45">
        <v>3</v>
      </c>
      <c r="AS45">
        <v>1.9799094E-2</v>
      </c>
      <c r="AT45">
        <f t="shared" si="9"/>
        <v>1.3451750774867603E-2</v>
      </c>
      <c r="AU45">
        <v>1.3451750774867601E-2</v>
      </c>
      <c r="AV45">
        <f t="shared" si="14"/>
        <v>1.0000000000000002</v>
      </c>
    </row>
    <row r="46" spans="1:48" x14ac:dyDescent="0.25">
      <c r="A46">
        <v>20</v>
      </c>
      <c r="B46">
        <v>0</v>
      </c>
      <c r="C46">
        <v>0</v>
      </c>
      <c r="D46">
        <v>0</v>
      </c>
      <c r="T46">
        <v>-4.9820200000000141E-4</v>
      </c>
      <c r="V46">
        <v>4</v>
      </c>
      <c r="W46">
        <v>3.0748072000000001E-2</v>
      </c>
      <c r="X46">
        <f t="shared" si="7"/>
        <v>3.0249869999999998E-2</v>
      </c>
      <c r="AF46">
        <v>3</v>
      </c>
      <c r="AH46">
        <f t="shared" si="10"/>
        <v>1.9792029189056801E-2</v>
      </c>
      <c r="AI46">
        <v>1.9293827E-2</v>
      </c>
      <c r="AJ46">
        <f t="shared" si="11"/>
        <v>4.9820218905680114E-4</v>
      </c>
      <c r="AK46">
        <f t="shared" si="12"/>
        <v>1.9792029189056801E-2</v>
      </c>
      <c r="AN46">
        <v>1.9792028999999999E-2</v>
      </c>
      <c r="AO46">
        <f t="shared" si="13"/>
        <v>1.1242028999999999E-2</v>
      </c>
      <c r="AR46">
        <v>3</v>
      </c>
      <c r="AS46">
        <v>1.9792028999999999E-2</v>
      </c>
      <c r="AT46">
        <f t="shared" si="9"/>
        <v>1.4328187421450703E-2</v>
      </c>
      <c r="AU46">
        <v>1.43281874214507E-2</v>
      </c>
      <c r="AV46">
        <f t="shared" si="14"/>
        <v>1.0000000000000002</v>
      </c>
    </row>
    <row r="47" spans="1:48" x14ac:dyDescent="0.25">
      <c r="A47">
        <v>21</v>
      </c>
      <c r="B47">
        <v>0</v>
      </c>
      <c r="C47">
        <v>0</v>
      </c>
      <c r="D47">
        <v>0</v>
      </c>
      <c r="T47">
        <v>-3.6063000000000015E-3</v>
      </c>
      <c r="V47">
        <v>4</v>
      </c>
      <c r="W47">
        <v>2.7196292E-2</v>
      </c>
      <c r="X47">
        <f t="shared" si="7"/>
        <v>2.3589991999999997E-2</v>
      </c>
      <c r="AF47">
        <v>3</v>
      </c>
      <c r="AH47">
        <f t="shared" si="10"/>
        <v>2.1192076312947603E-2</v>
      </c>
      <c r="AI47">
        <v>1.7585776000000001E-2</v>
      </c>
      <c r="AJ47">
        <f t="shared" si="11"/>
        <v>3.6063003129476016E-3</v>
      </c>
      <c r="AK47">
        <f t="shared" si="12"/>
        <v>2.1192076312947603E-2</v>
      </c>
      <c r="AN47">
        <v>2.1192076000000001E-2</v>
      </c>
      <c r="AO47">
        <f t="shared" si="13"/>
        <v>9.3420760000000012E-3</v>
      </c>
      <c r="AR47">
        <v>3</v>
      </c>
      <c r="AS47">
        <v>2.1192076000000001E-2</v>
      </c>
      <c r="AT47">
        <f t="shared" si="9"/>
        <v>1.1978715413335301E-2</v>
      </c>
      <c r="AU47">
        <v>1.1978715413335299E-2</v>
      </c>
      <c r="AV47">
        <f t="shared" si="14"/>
        <v>1.0000000000000002</v>
      </c>
    </row>
    <row r="48" spans="1:48" x14ac:dyDescent="0.25">
      <c r="A48">
        <v>22</v>
      </c>
      <c r="B48">
        <v>0</v>
      </c>
      <c r="C48">
        <v>0</v>
      </c>
      <c r="D48">
        <v>0</v>
      </c>
      <c r="T48">
        <v>-2.9499999999999995E-3</v>
      </c>
      <c r="V48">
        <v>4</v>
      </c>
      <c r="W48">
        <v>2.8047150999999999E-2</v>
      </c>
      <c r="X48">
        <f t="shared" si="7"/>
        <v>2.5097150999999998E-2</v>
      </c>
      <c r="AF48">
        <v>3</v>
      </c>
      <c r="AH48">
        <f t="shared" si="10"/>
        <v>2.12550327063128E-2</v>
      </c>
      <c r="AI48">
        <v>1.8305032999999998E-2</v>
      </c>
      <c r="AJ48">
        <f t="shared" si="11"/>
        <v>2.9499997063128017E-3</v>
      </c>
      <c r="AK48">
        <f t="shared" si="12"/>
        <v>2.12550327063128E-2</v>
      </c>
      <c r="AN48">
        <v>2.1255033E-2</v>
      </c>
      <c r="AO48">
        <f t="shared" si="13"/>
        <v>9.5050329999999995E-3</v>
      </c>
      <c r="AR48">
        <v>3</v>
      </c>
      <c r="AS48">
        <v>2.1255033E-2</v>
      </c>
      <c r="AT48">
        <f t="shared" si="9"/>
        <v>1.1664902293496503E-2</v>
      </c>
      <c r="AU48">
        <v>1.1664902293496499E-2</v>
      </c>
      <c r="AV48">
        <f t="shared" si="14"/>
        <v>1.0000000000000002</v>
      </c>
    </row>
    <row r="49" spans="1:48" x14ac:dyDescent="0.25">
      <c r="A49">
        <v>23</v>
      </c>
      <c r="B49">
        <v>0</v>
      </c>
      <c r="C49">
        <v>0</v>
      </c>
      <c r="D49">
        <v>0</v>
      </c>
      <c r="T49">
        <v>-2.3438760000000017E-3</v>
      </c>
      <c r="V49">
        <v>4</v>
      </c>
      <c r="W49">
        <v>2.9101485E-2</v>
      </c>
      <c r="X49">
        <f t="shared" si="7"/>
        <v>2.6757608999999998E-2</v>
      </c>
      <c r="AF49">
        <v>3</v>
      </c>
      <c r="AH49">
        <f t="shared" si="10"/>
        <v>2.1215814503822001E-2</v>
      </c>
      <c r="AI49">
        <v>1.8871939000000001E-2</v>
      </c>
      <c r="AJ49">
        <f t="shared" si="11"/>
        <v>2.3438755038220002E-3</v>
      </c>
      <c r="AK49">
        <f t="shared" si="12"/>
        <v>2.1215814503822001E-2</v>
      </c>
      <c r="AN49">
        <v>2.1215814999999999E-2</v>
      </c>
      <c r="AO49">
        <f t="shared" si="13"/>
        <v>1.0015814999999999E-2</v>
      </c>
      <c r="AR49">
        <v>3</v>
      </c>
      <c r="AS49">
        <v>2.1215814999999999E-2</v>
      </c>
      <c r="AT49">
        <f t="shared" si="9"/>
        <v>1.2439713410901103E-2</v>
      </c>
      <c r="AU49">
        <v>1.2439713410901099E-2</v>
      </c>
      <c r="AV49">
        <f t="shared" si="14"/>
        <v>1.0000000000000002</v>
      </c>
    </row>
    <row r="50" spans="1:48" x14ac:dyDescent="0.25">
      <c r="A50">
        <v>24</v>
      </c>
      <c r="B50">
        <v>0</v>
      </c>
      <c r="C50">
        <v>0</v>
      </c>
      <c r="D50">
        <v>0</v>
      </c>
      <c r="T50">
        <v>2.8192619999999995E-3</v>
      </c>
      <c r="V50">
        <v>5</v>
      </c>
      <c r="W50">
        <v>3.7114434000000002E-2</v>
      </c>
      <c r="X50">
        <f t="shared" si="7"/>
        <v>3.9933696000000005E-2</v>
      </c>
      <c r="AF50">
        <v>4</v>
      </c>
      <c r="AI50">
        <v>2.7165330000000001E-2</v>
      </c>
      <c r="AJ50">
        <v>-2.8192624026107012E-3</v>
      </c>
      <c r="AK50">
        <f t="shared" si="12"/>
        <v>2.43460675973893E-2</v>
      </c>
      <c r="AR50">
        <v>4</v>
      </c>
      <c r="AS50">
        <v>2.7625833870881099E-2</v>
      </c>
    </row>
    <row r="51" spans="1:48" x14ac:dyDescent="0.25">
      <c r="A51">
        <v>1</v>
      </c>
      <c r="B51">
        <v>1</v>
      </c>
      <c r="C51">
        <v>5.1000000000000004E-3</v>
      </c>
      <c r="D51">
        <v>5.1000000000000004E-3</v>
      </c>
      <c r="T51">
        <v>-1.9650540000000001E-2</v>
      </c>
      <c r="V51">
        <v>5</v>
      </c>
      <c r="W51">
        <v>4.0066901000000002E-2</v>
      </c>
      <c r="X51">
        <f t="shared" si="7"/>
        <v>2.0416361000000001E-2</v>
      </c>
      <c r="AF51">
        <v>4</v>
      </c>
      <c r="AI51">
        <v>2.7881520999999999E-2</v>
      </c>
      <c r="AJ51">
        <v>1.9650540324845197E-2</v>
      </c>
      <c r="AK51">
        <f t="shared" si="12"/>
        <v>4.7532061324845193E-2</v>
      </c>
      <c r="AR51">
        <v>4</v>
      </c>
      <c r="AS51">
        <v>4.34733298309199E-2</v>
      </c>
    </row>
    <row r="52" spans="1:48" x14ac:dyDescent="0.25">
      <c r="A52">
        <v>2</v>
      </c>
      <c r="B52">
        <v>1</v>
      </c>
      <c r="C52">
        <v>4.4000000000000003E-3</v>
      </c>
      <c r="D52">
        <v>4.4000000000000003E-3</v>
      </c>
      <c r="T52">
        <v>-1.7332529999999997E-3</v>
      </c>
      <c r="V52">
        <v>5</v>
      </c>
      <c r="W52">
        <v>3.9938151999999998E-2</v>
      </c>
      <c r="X52">
        <f t="shared" si="7"/>
        <v>3.8204899E-2</v>
      </c>
      <c r="AF52">
        <v>4</v>
      </c>
      <c r="AI52">
        <v>2.7899218999999999E-2</v>
      </c>
      <c r="AJ52">
        <v>1.7332530896637006E-3</v>
      </c>
      <c r="AK52">
        <f t="shared" si="12"/>
        <v>2.96324720896637E-2</v>
      </c>
      <c r="AR52">
        <v>4</v>
      </c>
      <c r="AS52">
        <v>3.28761572293527E-2</v>
      </c>
    </row>
    <row r="53" spans="1:48" x14ac:dyDescent="0.25">
      <c r="A53">
        <v>3</v>
      </c>
      <c r="B53">
        <v>1</v>
      </c>
      <c r="C53">
        <v>3.15E-3</v>
      </c>
      <c r="D53">
        <v>3.15E-3</v>
      </c>
      <c r="T53">
        <v>-4.7928499999999995E-3</v>
      </c>
      <c r="V53">
        <v>5</v>
      </c>
      <c r="W53">
        <v>3.8288331000000002E-2</v>
      </c>
      <c r="X53">
        <f t="shared" si="7"/>
        <v>3.3495481000000001E-2</v>
      </c>
      <c r="AF53">
        <v>4</v>
      </c>
      <c r="AI53">
        <v>2.8019545E-2</v>
      </c>
      <c r="AJ53">
        <v>4.7928500988234993E-3</v>
      </c>
      <c r="AK53">
        <f t="shared" si="12"/>
        <v>3.2812395098823499E-2</v>
      </c>
      <c r="AR53">
        <v>4</v>
      </c>
      <c r="AS53">
        <v>3.2757804933201899E-2</v>
      </c>
    </row>
    <row r="54" spans="1:48" x14ac:dyDescent="0.25">
      <c r="A54">
        <v>4</v>
      </c>
      <c r="B54">
        <v>1</v>
      </c>
      <c r="C54">
        <v>5.1000000000000004E-3</v>
      </c>
      <c r="D54">
        <v>5.1000000000000004E-3</v>
      </c>
      <c r="T54">
        <v>-1.7679029999999995E-3</v>
      </c>
      <c r="V54">
        <v>5</v>
      </c>
      <c r="W54">
        <v>3.5315230000000003E-2</v>
      </c>
      <c r="X54">
        <f t="shared" si="7"/>
        <v>3.3547327000000002E-2</v>
      </c>
      <c r="AF54">
        <v>4</v>
      </c>
      <c r="AI54">
        <v>2.5998559000000001E-2</v>
      </c>
      <c r="AJ54">
        <v>1.7679034889134006E-3</v>
      </c>
      <c r="AK54">
        <f t="shared" si="12"/>
        <v>2.7766462488913402E-2</v>
      </c>
      <c r="AR54">
        <v>4</v>
      </c>
      <c r="AS54">
        <v>3.0115061343344199E-2</v>
      </c>
    </row>
    <row r="55" spans="1:48" x14ac:dyDescent="0.25">
      <c r="A55">
        <v>5</v>
      </c>
      <c r="B55">
        <v>1</v>
      </c>
      <c r="C55">
        <v>5.0499999999999998E-3</v>
      </c>
      <c r="D55">
        <v>5.0499999999999998E-3</v>
      </c>
      <c r="T55">
        <v>-1.4931460000000008E-3</v>
      </c>
      <c r="V55">
        <v>5</v>
      </c>
      <c r="W55">
        <v>3.9258791000000001E-2</v>
      </c>
      <c r="X55">
        <f t="shared" si="7"/>
        <v>3.7765645E-2</v>
      </c>
      <c r="AF55">
        <v>4</v>
      </c>
      <c r="AI55">
        <v>2.7562300000000001E-2</v>
      </c>
      <c r="AJ55">
        <v>1.4931463908408014E-3</v>
      </c>
      <c r="AK55">
        <f t="shared" si="12"/>
        <v>2.9055446390840803E-2</v>
      </c>
      <c r="AR55">
        <v>4</v>
      </c>
      <c r="AS55">
        <v>3.2556756137455699E-2</v>
      </c>
    </row>
    <row r="56" spans="1:48" x14ac:dyDescent="0.25">
      <c r="A56">
        <v>6</v>
      </c>
      <c r="B56">
        <v>1</v>
      </c>
      <c r="C56">
        <v>3.0500000000000002E-3</v>
      </c>
      <c r="D56">
        <v>3.0499999999999998E-3</v>
      </c>
      <c r="T56">
        <v>3.8578739999999999E-3</v>
      </c>
      <c r="V56">
        <v>5</v>
      </c>
      <c r="W56">
        <v>3.5346892999999997E-2</v>
      </c>
      <c r="X56">
        <f t="shared" si="7"/>
        <v>3.9204766999999995E-2</v>
      </c>
      <c r="AF56">
        <v>4</v>
      </c>
      <c r="AI56">
        <v>2.6159391000000001E-2</v>
      </c>
      <c r="AJ56">
        <v>-3.8578735530720026E-3</v>
      </c>
      <c r="AK56">
        <f t="shared" si="12"/>
        <v>2.2301517446927998E-2</v>
      </c>
      <c r="AR56">
        <v>4</v>
      </c>
      <c r="AS56">
        <v>2.6892895602284202E-2</v>
      </c>
    </row>
    <row r="57" spans="1:48" x14ac:dyDescent="0.25">
      <c r="A57">
        <v>7</v>
      </c>
      <c r="B57">
        <v>1</v>
      </c>
      <c r="C57">
        <v>4.7499999999999999E-3</v>
      </c>
      <c r="D57">
        <v>4.7499999999999999E-3</v>
      </c>
      <c r="T57">
        <v>-3.8675430000000011E-3</v>
      </c>
      <c r="V57">
        <v>5</v>
      </c>
      <c r="W57">
        <v>3.9702561999999997E-2</v>
      </c>
      <c r="X57">
        <f t="shared" si="7"/>
        <v>3.5835018999999996E-2</v>
      </c>
      <c r="AF57">
        <v>4</v>
      </c>
      <c r="AI57">
        <v>2.8599705999999999E-2</v>
      </c>
      <c r="AJ57">
        <v>3.8675434691926025E-3</v>
      </c>
      <c r="AK57">
        <f t="shared" si="12"/>
        <v>3.2467249469192605E-2</v>
      </c>
      <c r="AR57">
        <v>4</v>
      </c>
      <c r="AS57">
        <v>3.3455964834556297E-2</v>
      </c>
    </row>
    <row r="58" spans="1:48" x14ac:dyDescent="0.25">
      <c r="A58">
        <v>8</v>
      </c>
      <c r="B58">
        <v>1</v>
      </c>
      <c r="C58">
        <v>4.2500000000000003E-3</v>
      </c>
      <c r="D58">
        <v>4.2500000000000003E-3</v>
      </c>
      <c r="T58">
        <v>-1.4521239999999991E-3</v>
      </c>
      <c r="V58">
        <v>5</v>
      </c>
      <c r="W58">
        <v>3.4236945999999997E-2</v>
      </c>
      <c r="X58">
        <f t="shared" si="7"/>
        <v>3.2784821999999998E-2</v>
      </c>
      <c r="AF58">
        <v>4</v>
      </c>
      <c r="AI58">
        <v>2.5215121E-2</v>
      </c>
      <c r="AJ58">
        <v>1.4521236790610986E-3</v>
      </c>
      <c r="AK58">
        <f t="shared" si="12"/>
        <v>2.6667244679061099E-2</v>
      </c>
      <c r="AR58">
        <v>4</v>
      </c>
      <c r="AS58">
        <v>2.9339053107464302E-2</v>
      </c>
    </row>
    <row r="59" spans="1:48" x14ac:dyDescent="0.25">
      <c r="A59">
        <v>9</v>
      </c>
      <c r="B59">
        <v>1</v>
      </c>
      <c r="C59">
        <v>4.8500000000000001E-3</v>
      </c>
      <c r="D59">
        <v>4.8500000000000001E-3</v>
      </c>
      <c r="T59">
        <v>3.6480339999999997E-3</v>
      </c>
      <c r="V59">
        <v>5</v>
      </c>
      <c r="W59">
        <v>3.6590945999999999E-2</v>
      </c>
      <c r="X59">
        <f t="shared" si="7"/>
        <v>4.0238980000000001E-2</v>
      </c>
      <c r="AF59">
        <v>4</v>
      </c>
      <c r="AI59">
        <v>2.6985711999999999E-2</v>
      </c>
      <c r="AJ59">
        <v>-3.6480337855291992E-3</v>
      </c>
      <c r="AK59">
        <f t="shared" si="12"/>
        <v>2.3337678214470799E-2</v>
      </c>
      <c r="AR59">
        <v>4</v>
      </c>
      <c r="AS59">
        <v>2.8184694517557299E-2</v>
      </c>
    </row>
    <row r="60" spans="1:48" x14ac:dyDescent="0.25">
      <c r="A60">
        <v>10</v>
      </c>
      <c r="B60">
        <v>1</v>
      </c>
      <c r="C60">
        <v>4.7999999999999996E-3</v>
      </c>
      <c r="D60">
        <v>4.7999999999999996E-3</v>
      </c>
      <c r="T60">
        <v>-5.2652129999999995E-3</v>
      </c>
      <c r="V60">
        <v>5</v>
      </c>
      <c r="W60">
        <v>3.6102289000000003E-2</v>
      </c>
      <c r="X60">
        <f t="shared" si="7"/>
        <v>3.0837076000000005E-2</v>
      </c>
      <c r="AF60">
        <v>4</v>
      </c>
      <c r="AI60">
        <v>2.6491351999999999E-2</v>
      </c>
      <c r="AJ60">
        <v>5.2652134721133982E-3</v>
      </c>
      <c r="AK60">
        <f t="shared" si="12"/>
        <v>3.1756565472113397E-2</v>
      </c>
      <c r="AR60">
        <v>4</v>
      </c>
      <c r="AS60">
        <v>3.2505459011331797E-2</v>
      </c>
    </row>
    <row r="61" spans="1:48" x14ac:dyDescent="0.25">
      <c r="A61">
        <v>11</v>
      </c>
      <c r="B61">
        <v>1</v>
      </c>
      <c r="C61">
        <v>5.0000000000000001E-3</v>
      </c>
      <c r="D61">
        <v>5.0000000000000001E-3</v>
      </c>
      <c r="T61">
        <v>3.4581700000000004E-3</v>
      </c>
      <c r="V61">
        <v>5</v>
      </c>
      <c r="W61">
        <v>3.7051647E-2</v>
      </c>
      <c r="X61">
        <f t="shared" si="7"/>
        <v>4.0509817000000004E-2</v>
      </c>
      <c r="AF61">
        <v>4</v>
      </c>
      <c r="AI61">
        <v>2.6867412E-2</v>
      </c>
      <c r="AJ61">
        <v>-3.4581701349243998E-3</v>
      </c>
      <c r="AK61">
        <f t="shared" si="12"/>
        <v>2.3409241865075599E-2</v>
      </c>
      <c r="AR61">
        <v>4</v>
      </c>
      <c r="AS61">
        <v>2.7721312254083801E-2</v>
      </c>
    </row>
    <row r="62" spans="1:48" x14ac:dyDescent="0.25">
      <c r="A62">
        <v>12</v>
      </c>
      <c r="B62">
        <v>1</v>
      </c>
      <c r="C62">
        <v>3.8999999999999998E-3</v>
      </c>
      <c r="D62">
        <v>3.9000000000000003E-3</v>
      </c>
      <c r="T62">
        <v>-1.3972459999999996E-3</v>
      </c>
      <c r="V62">
        <v>5</v>
      </c>
      <c r="W62">
        <v>3.9054231000000002E-2</v>
      </c>
      <c r="X62">
        <f t="shared" si="7"/>
        <v>3.7656985000000004E-2</v>
      </c>
      <c r="AF62">
        <v>4</v>
      </c>
      <c r="AI62">
        <v>2.8544047999999999E-2</v>
      </c>
      <c r="AJ62">
        <v>1.3972462815104968E-3</v>
      </c>
      <c r="AK62">
        <f t="shared" si="12"/>
        <v>2.9941294281510496E-2</v>
      </c>
      <c r="AR62">
        <v>4</v>
      </c>
      <c r="AS62">
        <v>3.2345621799712697E-2</v>
      </c>
    </row>
    <row r="63" spans="1:48" x14ac:dyDescent="0.25">
      <c r="A63">
        <v>13</v>
      </c>
      <c r="B63">
        <v>1</v>
      </c>
      <c r="C63">
        <v>4.2500000000000003E-3</v>
      </c>
      <c r="D63">
        <v>4.2500000000000003E-3</v>
      </c>
      <c r="T63">
        <v>4.4980640000000013E-3</v>
      </c>
      <c r="V63">
        <v>5</v>
      </c>
      <c r="W63">
        <v>3.8716328000000001E-2</v>
      </c>
      <c r="X63">
        <f t="shared" si="7"/>
        <v>4.3214392000000004E-2</v>
      </c>
      <c r="AF63">
        <v>4</v>
      </c>
      <c r="AI63">
        <v>2.8294743000000001E-2</v>
      </c>
      <c r="AJ63">
        <v>-4.498064267265801E-3</v>
      </c>
      <c r="AK63">
        <f t="shared" si="12"/>
        <v>2.3796678732734201E-2</v>
      </c>
      <c r="AR63">
        <v>4</v>
      </c>
      <c r="AS63">
        <v>2.94244130043411E-2</v>
      </c>
    </row>
    <row r="64" spans="1:48" x14ac:dyDescent="0.25">
      <c r="A64">
        <v>14</v>
      </c>
      <c r="B64">
        <v>1</v>
      </c>
      <c r="C64">
        <v>3.7000000000000002E-3</v>
      </c>
      <c r="D64">
        <v>3.7000000000000002E-3</v>
      </c>
      <c r="T64">
        <v>-1.474932E-3</v>
      </c>
      <c r="V64">
        <v>5</v>
      </c>
      <c r="W64">
        <v>3.8148939999999999E-2</v>
      </c>
      <c r="X64">
        <f t="shared" si="7"/>
        <v>3.6674008000000001E-2</v>
      </c>
      <c r="AF64">
        <v>4</v>
      </c>
      <c r="AI64">
        <v>2.8358814E-2</v>
      </c>
      <c r="AJ64">
        <v>1.4749322152876991E-3</v>
      </c>
      <c r="AK64">
        <f t="shared" si="12"/>
        <v>2.9833746215287699E-2</v>
      </c>
      <c r="AR64">
        <v>4</v>
      </c>
      <c r="AS64">
        <v>3.1205230741416099E-2</v>
      </c>
    </row>
    <row r="65" spans="1:45" x14ac:dyDescent="0.25">
      <c r="A65">
        <v>15</v>
      </c>
      <c r="B65">
        <v>1</v>
      </c>
      <c r="C65">
        <v>5.1000000000000004E-3</v>
      </c>
      <c r="D65">
        <v>5.1000000000000004E-3</v>
      </c>
      <c r="T65">
        <v>-2.5714429999999979E-3</v>
      </c>
      <c r="V65">
        <v>5</v>
      </c>
      <c r="W65">
        <v>3.9447850999999999E-2</v>
      </c>
      <c r="X65">
        <f t="shared" si="7"/>
        <v>3.6876407999999999E-2</v>
      </c>
      <c r="AF65">
        <v>4</v>
      </c>
      <c r="AI65">
        <v>2.8548500000000001E-2</v>
      </c>
      <c r="AJ65">
        <v>2.5714428601953006E-3</v>
      </c>
      <c r="AK65">
        <f t="shared" si="12"/>
        <v>3.1119942860195302E-2</v>
      </c>
      <c r="AR65">
        <v>4</v>
      </c>
      <c r="AS65">
        <v>3.3300197078535002E-2</v>
      </c>
    </row>
    <row r="66" spans="1:45" x14ac:dyDescent="0.25">
      <c r="A66">
        <v>16</v>
      </c>
      <c r="B66">
        <v>1</v>
      </c>
      <c r="C66">
        <v>3.7499999999999999E-3</v>
      </c>
      <c r="D66">
        <v>3.7499999999999999E-3</v>
      </c>
      <c r="T66">
        <v>4.0541759999999996E-3</v>
      </c>
      <c r="V66">
        <v>5</v>
      </c>
      <c r="W66">
        <v>4.1565080999999997E-2</v>
      </c>
      <c r="X66">
        <f t="shared" si="7"/>
        <v>4.5619256999999996E-2</v>
      </c>
      <c r="AF66">
        <v>4</v>
      </c>
      <c r="AI66">
        <v>2.9906230999999998E-2</v>
      </c>
      <c r="AJ66">
        <v>-4.054176384198499E-3</v>
      </c>
      <c r="AK66">
        <f t="shared" si="12"/>
        <v>2.5852054615801499E-2</v>
      </c>
      <c r="AR66">
        <v>4</v>
      </c>
      <c r="AS66">
        <v>2.9990340267798E-2</v>
      </c>
    </row>
    <row r="67" spans="1:45" x14ac:dyDescent="0.25">
      <c r="A67">
        <v>17</v>
      </c>
      <c r="B67">
        <v>1</v>
      </c>
      <c r="C67">
        <v>3.15E-3</v>
      </c>
      <c r="D67">
        <v>3.15E-3</v>
      </c>
      <c r="T67">
        <v>-1.4223970000000006E-3</v>
      </c>
      <c r="V67">
        <v>5</v>
      </c>
      <c r="W67">
        <v>4.0168023999999997E-2</v>
      </c>
      <c r="X67">
        <f t="shared" ref="X67:X130" si="15">W67+T67</f>
        <v>3.8745626999999998E-2</v>
      </c>
      <c r="AF67">
        <v>4</v>
      </c>
      <c r="AI67">
        <v>2.9515412000000001E-2</v>
      </c>
      <c r="AJ67">
        <v>1.4223965314468026E-3</v>
      </c>
      <c r="AK67">
        <f t="shared" si="12"/>
        <v>3.0937808531446804E-2</v>
      </c>
      <c r="AR67">
        <v>4</v>
      </c>
      <c r="AS67">
        <v>3.2346302739881497E-2</v>
      </c>
    </row>
    <row r="68" spans="1:45" x14ac:dyDescent="0.25">
      <c r="A68">
        <v>18</v>
      </c>
      <c r="B68">
        <v>1</v>
      </c>
      <c r="C68">
        <v>4.4000000000000003E-3</v>
      </c>
      <c r="D68">
        <v>4.4000000000000003E-3</v>
      </c>
      <c r="T68">
        <v>4.6040869999999998E-3</v>
      </c>
      <c r="V68">
        <v>5</v>
      </c>
      <c r="W68">
        <v>3.9516418999999997E-2</v>
      </c>
      <c r="X68">
        <f t="shared" si="15"/>
        <v>4.4120505999999997E-2</v>
      </c>
      <c r="AF68">
        <v>4</v>
      </c>
      <c r="AI68">
        <v>2.8717257999999999E-2</v>
      </c>
      <c r="AJ68">
        <v>-4.6040865182085007E-3</v>
      </c>
      <c r="AK68">
        <f t="shared" si="12"/>
        <v>2.4113171481791498E-2</v>
      </c>
      <c r="AR68">
        <v>4</v>
      </c>
      <c r="AS68">
        <v>2.98618861831512E-2</v>
      </c>
    </row>
    <row r="69" spans="1:45" x14ac:dyDescent="0.25">
      <c r="A69">
        <v>19</v>
      </c>
      <c r="B69">
        <v>1</v>
      </c>
      <c r="C69">
        <v>3.15E-3</v>
      </c>
      <c r="D69">
        <v>3.15E-3</v>
      </c>
      <c r="T69">
        <v>-1.3638510000000001E-3</v>
      </c>
      <c r="V69">
        <v>5</v>
      </c>
      <c r="W69">
        <v>4.0923294999999998E-2</v>
      </c>
      <c r="X69">
        <f t="shared" si="15"/>
        <v>3.9559443999999999E-2</v>
      </c>
      <c r="AF69">
        <v>4</v>
      </c>
      <c r="AI69">
        <v>2.9570814000000001E-2</v>
      </c>
      <c r="AJ69">
        <v>1.3638512681208997E-3</v>
      </c>
      <c r="AK69">
        <f t="shared" si="12"/>
        <v>3.0934665268120901E-2</v>
      </c>
      <c r="AR69">
        <v>4</v>
      </c>
      <c r="AS69">
        <v>3.3250844774867602E-2</v>
      </c>
    </row>
    <row r="70" spans="1:45" x14ac:dyDescent="0.25">
      <c r="A70">
        <v>20</v>
      </c>
      <c r="B70">
        <v>1</v>
      </c>
      <c r="C70">
        <v>3.7000000000000002E-3</v>
      </c>
      <c r="D70">
        <v>3.7000000000000002E-3</v>
      </c>
      <c r="T70">
        <v>-4.9820200000000141E-4</v>
      </c>
      <c r="V70">
        <v>5</v>
      </c>
      <c r="W70">
        <v>4.2448172999999999E-2</v>
      </c>
      <c r="X70">
        <f t="shared" si="15"/>
        <v>4.1949970999999996E-2</v>
      </c>
      <c r="AF70">
        <v>4</v>
      </c>
      <c r="AI70">
        <v>3.0748072000000001E-2</v>
      </c>
      <c r="AJ70">
        <v>4.9820218905680114E-4</v>
      </c>
      <c r="AK70">
        <f t="shared" si="12"/>
        <v>3.1246274189056802E-2</v>
      </c>
      <c r="AR70">
        <v>4</v>
      </c>
      <c r="AS70">
        <v>3.4120216421450703E-2</v>
      </c>
    </row>
    <row r="71" spans="1:45" x14ac:dyDescent="0.25">
      <c r="A71">
        <v>21</v>
      </c>
      <c r="B71">
        <v>1</v>
      </c>
      <c r="C71">
        <v>3.15E-3</v>
      </c>
      <c r="D71">
        <v>3.15E-3</v>
      </c>
      <c r="T71">
        <v>-3.6063000000000015E-3</v>
      </c>
      <c r="V71">
        <v>5</v>
      </c>
      <c r="W71">
        <v>3.7118711999999998E-2</v>
      </c>
      <c r="X71">
        <f t="shared" si="15"/>
        <v>3.3512411999999998E-2</v>
      </c>
      <c r="AF71">
        <v>4</v>
      </c>
      <c r="AI71">
        <v>2.7196292E-2</v>
      </c>
      <c r="AJ71">
        <v>3.6063003129476016E-3</v>
      </c>
      <c r="AK71">
        <f t="shared" si="12"/>
        <v>3.0802592312947602E-2</v>
      </c>
      <c r="AR71">
        <v>4</v>
      </c>
      <c r="AS71">
        <v>3.3170791413335302E-2</v>
      </c>
    </row>
    <row r="72" spans="1:45" x14ac:dyDescent="0.25">
      <c r="A72">
        <v>22</v>
      </c>
      <c r="B72">
        <v>1</v>
      </c>
      <c r="C72">
        <v>4.2500000000000003E-3</v>
      </c>
      <c r="D72">
        <v>4.2500000000000003E-3</v>
      </c>
      <c r="T72">
        <v>-2.9499999999999995E-3</v>
      </c>
      <c r="V72">
        <v>5</v>
      </c>
      <c r="W72">
        <v>3.8064439999999998E-2</v>
      </c>
      <c r="X72">
        <f t="shared" si="15"/>
        <v>3.5114439999999997E-2</v>
      </c>
      <c r="AF72">
        <v>4</v>
      </c>
      <c r="AI72">
        <v>2.8047150999999999E-2</v>
      </c>
      <c r="AJ72">
        <v>2.9499997063128017E-3</v>
      </c>
      <c r="AK72">
        <f t="shared" si="12"/>
        <v>3.0997150706312801E-2</v>
      </c>
      <c r="AR72">
        <v>4</v>
      </c>
      <c r="AS72">
        <v>3.2919935293496502E-2</v>
      </c>
    </row>
    <row r="73" spans="1:45" x14ac:dyDescent="0.25">
      <c r="A73">
        <v>23</v>
      </c>
      <c r="B73">
        <v>1</v>
      </c>
      <c r="C73">
        <v>4.5500000000000002E-3</v>
      </c>
      <c r="D73">
        <v>4.5500000000000002E-3</v>
      </c>
      <c r="T73">
        <v>-2.3438760000000017E-3</v>
      </c>
      <c r="V73">
        <v>5</v>
      </c>
      <c r="W73">
        <v>3.9576991999999998E-2</v>
      </c>
      <c r="X73">
        <f t="shared" si="15"/>
        <v>3.7233115999999997E-2</v>
      </c>
      <c r="AF73">
        <v>4</v>
      </c>
      <c r="AI73">
        <v>2.9101485E-2</v>
      </c>
      <c r="AJ73">
        <v>2.3438755038220002E-3</v>
      </c>
      <c r="AK73">
        <f t="shared" si="12"/>
        <v>3.1445360503822004E-2</v>
      </c>
      <c r="AR73">
        <v>4</v>
      </c>
      <c r="AS73">
        <v>3.3655528410901102E-2</v>
      </c>
    </row>
    <row r="74" spans="1:45" x14ac:dyDescent="0.25">
      <c r="A74">
        <v>24</v>
      </c>
      <c r="B74">
        <v>1</v>
      </c>
      <c r="C74">
        <v>4.3499999999999997E-3</v>
      </c>
      <c r="D74">
        <v>4.3499999999999997E-3</v>
      </c>
      <c r="T74">
        <v>2.8192619999999995E-3</v>
      </c>
      <c r="V74">
        <v>6</v>
      </c>
      <c r="W74">
        <v>5.0614434E-2</v>
      </c>
      <c r="X74">
        <f t="shared" si="15"/>
        <v>5.3433696000000003E-2</v>
      </c>
      <c r="AF74">
        <v>5</v>
      </c>
      <c r="AI74">
        <v>3.7114434000000002E-2</v>
      </c>
      <c r="AJ74">
        <v>-2.8192624026107012E-3</v>
      </c>
      <c r="AK74">
        <f t="shared" si="12"/>
        <v>3.4295171597389304E-2</v>
      </c>
    </row>
    <row r="75" spans="1:45" x14ac:dyDescent="0.25">
      <c r="A75">
        <v>1</v>
      </c>
      <c r="B75">
        <v>2</v>
      </c>
      <c r="C75">
        <v>5.1000000000000004E-3</v>
      </c>
      <c r="D75">
        <v>5.1000000000000004E-3</v>
      </c>
      <c r="E75">
        <v>4.3192622934591996E-3</v>
      </c>
      <c r="T75">
        <v>-1.9650540000000001E-2</v>
      </c>
      <c r="V75">
        <v>6</v>
      </c>
      <c r="W75">
        <v>5.3566901E-2</v>
      </c>
      <c r="X75">
        <f t="shared" si="15"/>
        <v>3.3916360999999999E-2</v>
      </c>
      <c r="AF75">
        <v>5</v>
      </c>
      <c r="AI75">
        <v>4.0066901000000002E-2</v>
      </c>
      <c r="AJ75">
        <v>1.9650540324845197E-2</v>
      </c>
      <c r="AK75">
        <f t="shared" si="12"/>
        <v>5.9717441324845202E-2</v>
      </c>
    </row>
    <row r="76" spans="1:45" x14ac:dyDescent="0.25">
      <c r="A76">
        <v>2</v>
      </c>
      <c r="B76">
        <v>2</v>
      </c>
      <c r="C76">
        <v>2.4199999999999999E-2</v>
      </c>
      <c r="D76">
        <v>2.4199999999999999E-2</v>
      </c>
      <c r="E76">
        <v>2.1494601329139001E-3</v>
      </c>
      <c r="T76">
        <v>-1.7332529999999997E-3</v>
      </c>
      <c r="V76">
        <v>6</v>
      </c>
      <c r="W76">
        <v>5.3438152000000003E-2</v>
      </c>
      <c r="X76">
        <f t="shared" si="15"/>
        <v>5.1704899000000006E-2</v>
      </c>
      <c r="AF76">
        <v>5</v>
      </c>
      <c r="AI76">
        <v>3.9938151999999998E-2</v>
      </c>
      <c r="AJ76">
        <v>1.7332530896637006E-3</v>
      </c>
      <c r="AK76">
        <f t="shared" si="12"/>
        <v>4.1671405089663702E-2</v>
      </c>
    </row>
    <row r="77" spans="1:45" x14ac:dyDescent="0.25">
      <c r="A77">
        <v>3</v>
      </c>
      <c r="B77">
        <v>2</v>
      </c>
      <c r="C77">
        <v>6.45E-3</v>
      </c>
      <c r="D77">
        <v>6.45E-3</v>
      </c>
      <c r="E77">
        <v>2.3167468980121002E-3</v>
      </c>
      <c r="T77">
        <v>-4.7928499999999995E-3</v>
      </c>
      <c r="V77">
        <v>6</v>
      </c>
      <c r="W77">
        <v>5.1788331E-2</v>
      </c>
      <c r="X77">
        <f t="shared" si="15"/>
        <v>4.6995480999999999E-2</v>
      </c>
      <c r="AF77">
        <v>5</v>
      </c>
      <c r="AI77">
        <v>3.8288331000000002E-2</v>
      </c>
      <c r="AJ77">
        <v>4.7928500988234993E-3</v>
      </c>
      <c r="AK77">
        <f t="shared" si="12"/>
        <v>4.3081181098823501E-2</v>
      </c>
    </row>
    <row r="78" spans="1:45" x14ac:dyDescent="0.25">
      <c r="A78">
        <v>4</v>
      </c>
      <c r="B78">
        <v>2</v>
      </c>
      <c r="C78">
        <v>1.295E-2</v>
      </c>
      <c r="D78">
        <v>1.295E-2</v>
      </c>
      <c r="E78">
        <v>4.5571495036696996E-3</v>
      </c>
      <c r="T78">
        <v>-1.7679029999999995E-3</v>
      </c>
      <c r="V78">
        <v>6</v>
      </c>
      <c r="W78">
        <v>4.8815230000000001E-2</v>
      </c>
      <c r="X78">
        <f t="shared" si="15"/>
        <v>4.7047327E-2</v>
      </c>
      <c r="AF78">
        <v>5</v>
      </c>
      <c r="AI78">
        <v>3.5315230000000003E-2</v>
      </c>
      <c r="AJ78">
        <v>1.7679034889134006E-3</v>
      </c>
      <c r="AK78">
        <f t="shared" si="12"/>
        <v>3.70831334889134E-2</v>
      </c>
    </row>
    <row r="79" spans="1:45" x14ac:dyDescent="0.25">
      <c r="A79">
        <v>5</v>
      </c>
      <c r="B79">
        <v>2</v>
      </c>
      <c r="C79">
        <v>0.01</v>
      </c>
      <c r="D79">
        <v>0.01</v>
      </c>
      <c r="E79">
        <v>4.6320973997467001E-3</v>
      </c>
      <c r="T79">
        <v>-1.4931460000000008E-3</v>
      </c>
      <c r="V79">
        <v>6</v>
      </c>
      <c r="W79">
        <v>5.2758790999999999E-2</v>
      </c>
      <c r="X79">
        <f t="shared" si="15"/>
        <v>5.1265644999999999E-2</v>
      </c>
      <c r="AF79">
        <v>5</v>
      </c>
      <c r="AI79">
        <v>3.9258791000000001E-2</v>
      </c>
      <c r="AJ79">
        <v>1.4931463908408014E-3</v>
      </c>
      <c r="AK79">
        <f t="shared" si="12"/>
        <v>4.0751937390840806E-2</v>
      </c>
    </row>
    <row r="80" spans="1:45" x14ac:dyDescent="0.25">
      <c r="A80">
        <v>6</v>
      </c>
      <c r="B80">
        <v>2</v>
      </c>
      <c r="C80">
        <v>6.6E-3</v>
      </c>
      <c r="D80">
        <v>6.6E-3</v>
      </c>
      <c r="E80">
        <v>2.7068542113845E-3</v>
      </c>
      <c r="T80">
        <v>3.8578739999999999E-3</v>
      </c>
      <c r="V80">
        <v>6</v>
      </c>
      <c r="W80">
        <v>4.8846893000000002E-2</v>
      </c>
      <c r="X80">
        <f t="shared" si="15"/>
        <v>5.2704767E-2</v>
      </c>
      <c r="AF80">
        <v>5</v>
      </c>
      <c r="AI80">
        <v>3.5346892999999997E-2</v>
      </c>
      <c r="AJ80">
        <v>-3.8578735530720026E-3</v>
      </c>
      <c r="AK80">
        <f t="shared" si="12"/>
        <v>3.1489019446927995E-2</v>
      </c>
    </row>
    <row r="81" spans="1:37" x14ac:dyDescent="0.25">
      <c r="A81">
        <v>7</v>
      </c>
      <c r="B81">
        <v>2</v>
      </c>
      <c r="C81">
        <v>4.7499999999999999E-3</v>
      </c>
      <c r="D81">
        <v>4.7499999999999999E-3</v>
      </c>
      <c r="E81">
        <v>5.0078741380993001E-3</v>
      </c>
      <c r="T81">
        <v>-3.8675430000000011E-3</v>
      </c>
      <c r="V81">
        <v>6</v>
      </c>
      <c r="W81">
        <v>5.3202562000000002E-2</v>
      </c>
      <c r="X81">
        <f t="shared" si="15"/>
        <v>4.9335019000000001E-2</v>
      </c>
      <c r="AF81">
        <v>5</v>
      </c>
      <c r="AI81">
        <v>3.9702561999999997E-2</v>
      </c>
      <c r="AJ81">
        <v>3.8675434691926025E-3</v>
      </c>
      <c r="AK81">
        <f t="shared" si="12"/>
        <v>4.3570105469192599E-2</v>
      </c>
    </row>
    <row r="82" spans="1:37" x14ac:dyDescent="0.25">
      <c r="A82">
        <v>8</v>
      </c>
      <c r="B82">
        <v>2</v>
      </c>
      <c r="C82">
        <v>1.0999999999999999E-2</v>
      </c>
      <c r="D82">
        <v>1.1000000000000001E-2</v>
      </c>
      <c r="E82">
        <v>4.1324567222609998E-3</v>
      </c>
      <c r="T82">
        <v>-1.4521239999999991E-3</v>
      </c>
      <c r="V82">
        <v>6</v>
      </c>
      <c r="W82">
        <v>4.7736946000000002E-2</v>
      </c>
      <c r="X82">
        <f t="shared" si="15"/>
        <v>4.6284822000000003E-2</v>
      </c>
      <c r="AF82">
        <v>5</v>
      </c>
      <c r="AI82">
        <v>3.4236945999999997E-2</v>
      </c>
      <c r="AJ82">
        <v>1.4521236790610986E-3</v>
      </c>
      <c r="AK82">
        <f t="shared" si="12"/>
        <v>3.5689069679061096E-2</v>
      </c>
    </row>
    <row r="83" spans="1:37" x14ac:dyDescent="0.25">
      <c r="A83">
        <v>9</v>
      </c>
      <c r="B83">
        <v>2</v>
      </c>
      <c r="C83">
        <v>9.5499999999999995E-3</v>
      </c>
      <c r="D83">
        <v>9.5499999999999995E-3</v>
      </c>
      <c r="E83">
        <v>4.4978755922213997E-3</v>
      </c>
      <c r="T83">
        <v>3.6480339999999997E-3</v>
      </c>
      <c r="V83">
        <v>6</v>
      </c>
      <c r="W83">
        <v>5.0090945999999997E-2</v>
      </c>
      <c r="X83">
        <f t="shared" si="15"/>
        <v>5.3738979999999999E-2</v>
      </c>
      <c r="AF83">
        <v>5</v>
      </c>
      <c r="AI83">
        <v>3.6590945999999999E-2</v>
      </c>
      <c r="AJ83">
        <v>-3.6480337855291992E-3</v>
      </c>
      <c r="AK83">
        <f t="shared" si="12"/>
        <v>3.29429122144708E-2</v>
      </c>
    </row>
    <row r="84" spans="1:37" x14ac:dyDescent="0.25">
      <c r="A84">
        <v>10</v>
      </c>
      <c r="B84">
        <v>2</v>
      </c>
      <c r="C84">
        <v>4.8500000000000001E-3</v>
      </c>
      <c r="D84">
        <v>4.8500000000000001E-3</v>
      </c>
      <c r="E84">
        <v>4.8980335412377998E-3</v>
      </c>
      <c r="T84">
        <v>-5.2652129999999995E-3</v>
      </c>
      <c r="V84">
        <v>6</v>
      </c>
      <c r="W84">
        <v>4.9602289000000001E-2</v>
      </c>
      <c r="X84">
        <f t="shared" si="15"/>
        <v>4.4337076000000003E-2</v>
      </c>
      <c r="AF84">
        <v>5</v>
      </c>
      <c r="AI84">
        <v>3.6102289000000003E-2</v>
      </c>
      <c r="AJ84">
        <v>5.2652134721133982E-3</v>
      </c>
      <c r="AK84">
        <f t="shared" si="12"/>
        <v>4.1367502472113404E-2</v>
      </c>
    </row>
    <row r="85" spans="1:37" x14ac:dyDescent="0.25">
      <c r="A85">
        <v>11</v>
      </c>
      <c r="B85">
        <v>2</v>
      </c>
      <c r="C85">
        <v>1.345E-2</v>
      </c>
      <c r="D85">
        <v>1.345E-2</v>
      </c>
      <c r="E85">
        <v>5.1847870673230999E-3</v>
      </c>
      <c r="T85">
        <v>3.4581700000000004E-3</v>
      </c>
      <c r="V85">
        <v>6</v>
      </c>
      <c r="W85">
        <v>5.0551646999999998E-2</v>
      </c>
      <c r="X85">
        <f t="shared" si="15"/>
        <v>5.4009817000000002E-2</v>
      </c>
      <c r="AF85">
        <v>5</v>
      </c>
      <c r="AI85">
        <v>3.7051647E-2</v>
      </c>
      <c r="AJ85">
        <v>-3.4581701349243998E-3</v>
      </c>
      <c r="AK85">
        <f t="shared" si="12"/>
        <v>3.3593476865075599E-2</v>
      </c>
    </row>
    <row r="86" spans="1:37" x14ac:dyDescent="0.25">
      <c r="A86">
        <v>12</v>
      </c>
      <c r="B86">
        <v>2</v>
      </c>
      <c r="C86">
        <v>3.8999999999999998E-3</v>
      </c>
      <c r="D86">
        <v>3.9000000000000003E-3</v>
      </c>
      <c r="E86">
        <v>4.3581694877125E-3</v>
      </c>
      <c r="T86">
        <v>-1.3972459999999996E-3</v>
      </c>
      <c r="V86">
        <v>6</v>
      </c>
      <c r="W86">
        <v>5.2554231E-2</v>
      </c>
      <c r="X86">
        <f t="shared" si="15"/>
        <v>5.1156985000000002E-2</v>
      </c>
      <c r="AF86">
        <v>5</v>
      </c>
      <c r="AI86">
        <v>3.9054231000000002E-2</v>
      </c>
      <c r="AJ86">
        <v>1.3972462815104968E-3</v>
      </c>
      <c r="AK86">
        <f t="shared" si="12"/>
        <v>4.0451477281510495E-2</v>
      </c>
    </row>
    <row r="87" spans="1:37" x14ac:dyDescent="0.25">
      <c r="A87">
        <v>13</v>
      </c>
      <c r="B87">
        <v>2</v>
      </c>
      <c r="C87">
        <v>9.7000000000000003E-3</v>
      </c>
      <c r="D87">
        <v>9.7000000000000003E-3</v>
      </c>
      <c r="E87">
        <v>5.3027539903110999E-3</v>
      </c>
      <c r="T87">
        <v>4.4980640000000013E-3</v>
      </c>
      <c r="V87">
        <v>6</v>
      </c>
      <c r="W87">
        <v>5.2216327999999999E-2</v>
      </c>
      <c r="X87">
        <f t="shared" si="15"/>
        <v>5.6714392000000002E-2</v>
      </c>
      <c r="AF87">
        <v>5</v>
      </c>
      <c r="AI87">
        <v>3.8716328000000001E-2</v>
      </c>
      <c r="AJ87">
        <v>-4.498064267265801E-3</v>
      </c>
      <c r="AK87">
        <f t="shared" si="12"/>
        <v>3.4218263732734198E-2</v>
      </c>
    </row>
    <row r="88" spans="1:37" x14ac:dyDescent="0.25">
      <c r="A88">
        <v>14</v>
      </c>
      <c r="B88">
        <v>2</v>
      </c>
      <c r="C88">
        <v>3.8E-3</v>
      </c>
      <c r="D88">
        <v>3.8E-3</v>
      </c>
      <c r="E88">
        <v>5.8980635151682998E-3</v>
      </c>
      <c r="T88">
        <v>-1.474932E-3</v>
      </c>
      <c r="V88">
        <v>6</v>
      </c>
      <c r="W88">
        <v>5.1648939999999997E-2</v>
      </c>
      <c r="X88">
        <f t="shared" si="15"/>
        <v>5.0174007999999999E-2</v>
      </c>
      <c r="AF88">
        <v>5</v>
      </c>
      <c r="AI88">
        <v>3.8148939999999999E-2</v>
      </c>
      <c r="AJ88">
        <v>1.4749322152876991E-3</v>
      </c>
      <c r="AK88">
        <f t="shared" si="12"/>
        <v>3.9623872215287695E-2</v>
      </c>
    </row>
    <row r="89" spans="1:37" x14ac:dyDescent="0.25">
      <c r="A89">
        <v>15</v>
      </c>
      <c r="B89">
        <v>2</v>
      </c>
      <c r="C89">
        <v>1.09E-2</v>
      </c>
      <c r="D89">
        <v>1.09E-2</v>
      </c>
      <c r="E89">
        <v>5.8250680884825001E-3</v>
      </c>
      <c r="T89">
        <v>-2.5714429999999979E-3</v>
      </c>
      <c r="V89">
        <v>6</v>
      </c>
      <c r="W89">
        <v>5.2947850999999997E-2</v>
      </c>
      <c r="X89">
        <f t="shared" si="15"/>
        <v>5.0376407999999998E-2</v>
      </c>
      <c r="AF89">
        <v>5</v>
      </c>
      <c r="AI89">
        <v>3.9447850999999999E-2</v>
      </c>
      <c r="AJ89">
        <v>2.5714428601953006E-3</v>
      </c>
      <c r="AK89">
        <f t="shared" si="12"/>
        <v>4.2019293860195303E-2</v>
      </c>
    </row>
    <row r="90" spans="1:37" x14ac:dyDescent="0.25">
      <c r="A90">
        <v>16</v>
      </c>
      <c r="B90">
        <v>2</v>
      </c>
      <c r="C90">
        <v>1.005E-2</v>
      </c>
      <c r="D90">
        <v>1.0049999999999998E-2</v>
      </c>
      <c r="E90">
        <v>5.0785567248770999E-3</v>
      </c>
      <c r="T90">
        <v>4.0541759999999996E-3</v>
      </c>
      <c r="V90">
        <v>6</v>
      </c>
      <c r="W90">
        <v>5.5065081000000002E-2</v>
      </c>
      <c r="X90">
        <f t="shared" si="15"/>
        <v>5.9119257000000001E-2</v>
      </c>
      <c r="AF90">
        <v>5</v>
      </c>
      <c r="AI90">
        <v>4.1565080999999997E-2</v>
      </c>
      <c r="AJ90">
        <v>-4.054176384198499E-3</v>
      </c>
      <c r="AK90">
        <f t="shared" si="12"/>
        <v>3.7510904615801498E-2</v>
      </c>
    </row>
    <row r="91" spans="1:37" x14ac:dyDescent="0.25">
      <c r="A91">
        <v>17</v>
      </c>
      <c r="B91">
        <v>2</v>
      </c>
      <c r="C91">
        <v>3.2499999999999999E-3</v>
      </c>
      <c r="D91">
        <v>3.2500000000000003E-3</v>
      </c>
      <c r="E91">
        <v>4.9041757562187996E-3</v>
      </c>
      <c r="T91">
        <v>-1.4223970000000006E-3</v>
      </c>
      <c r="V91">
        <v>6</v>
      </c>
      <c r="W91">
        <v>5.3668024000000002E-2</v>
      </c>
      <c r="X91">
        <f t="shared" si="15"/>
        <v>5.2245627000000003E-2</v>
      </c>
      <c r="AF91">
        <v>5</v>
      </c>
      <c r="AI91">
        <v>4.0168023999999997E-2</v>
      </c>
      <c r="AJ91">
        <v>1.4223965314468026E-3</v>
      </c>
      <c r="AK91">
        <f t="shared" ref="AK91:AK154" si="16">AI91+AJ91</f>
        <v>4.1590420531446799E-2</v>
      </c>
    </row>
    <row r="92" spans="1:37" x14ac:dyDescent="0.25">
      <c r="A92">
        <v>18</v>
      </c>
      <c r="B92">
        <v>2</v>
      </c>
      <c r="C92">
        <v>1.0200000000000001E-2</v>
      </c>
      <c r="D92">
        <v>1.0200000000000001E-2</v>
      </c>
      <c r="E92">
        <v>5.7776026962747E-3</v>
      </c>
      <c r="T92">
        <v>4.6040869999999998E-3</v>
      </c>
      <c r="V92">
        <v>6</v>
      </c>
      <c r="W92">
        <v>5.3016419000000002E-2</v>
      </c>
      <c r="X92">
        <f t="shared" si="15"/>
        <v>5.7620506000000002E-2</v>
      </c>
      <c r="AF92">
        <v>5</v>
      </c>
      <c r="AI92">
        <v>3.9516418999999997E-2</v>
      </c>
      <c r="AJ92">
        <v>-4.6040865182085007E-3</v>
      </c>
      <c r="AK92">
        <f t="shared" si="16"/>
        <v>3.49123324817915E-2</v>
      </c>
    </row>
    <row r="93" spans="1:37" x14ac:dyDescent="0.25">
      <c r="A93">
        <v>19</v>
      </c>
      <c r="B93">
        <v>2</v>
      </c>
      <c r="C93">
        <v>3.3500000000000001E-3</v>
      </c>
      <c r="D93">
        <v>3.3500000000000001E-3</v>
      </c>
      <c r="E93">
        <v>5.5540865631498E-3</v>
      </c>
      <c r="T93">
        <v>-1.3638510000000001E-3</v>
      </c>
      <c r="V93">
        <v>6</v>
      </c>
      <c r="W93">
        <v>5.4423294999999997E-2</v>
      </c>
      <c r="X93">
        <f t="shared" si="15"/>
        <v>5.3059443999999997E-2</v>
      </c>
      <c r="AF93">
        <v>5</v>
      </c>
      <c r="AI93">
        <v>4.0923294999999998E-2</v>
      </c>
      <c r="AJ93">
        <v>1.3638512681208997E-3</v>
      </c>
      <c r="AK93">
        <f t="shared" si="16"/>
        <v>4.2287146268120898E-2</v>
      </c>
    </row>
    <row r="94" spans="1:37" x14ac:dyDescent="0.25">
      <c r="A94">
        <v>20</v>
      </c>
      <c r="B94">
        <v>2</v>
      </c>
      <c r="C94">
        <v>8.8500000000000002E-3</v>
      </c>
      <c r="D94">
        <v>8.8500000000000002E-3</v>
      </c>
      <c r="E94">
        <v>5.0861492049608997E-3</v>
      </c>
      <c r="T94">
        <v>-4.9820200000000141E-4</v>
      </c>
      <c r="V94">
        <v>6</v>
      </c>
      <c r="W94">
        <v>5.5948172999999997E-2</v>
      </c>
      <c r="X94">
        <f t="shared" si="15"/>
        <v>5.5449970999999994E-2</v>
      </c>
      <c r="AF94">
        <v>5</v>
      </c>
      <c r="AI94">
        <v>4.2448172999999999E-2</v>
      </c>
      <c r="AJ94">
        <v>4.9820218905680114E-4</v>
      </c>
      <c r="AK94">
        <f t="shared" si="16"/>
        <v>4.29463751890568E-2</v>
      </c>
    </row>
    <row r="95" spans="1:37" x14ac:dyDescent="0.25">
      <c r="A95">
        <v>21</v>
      </c>
      <c r="B95">
        <v>2</v>
      </c>
      <c r="C95">
        <v>8.5500000000000003E-3</v>
      </c>
      <c r="D95">
        <v>8.5500000000000003E-3</v>
      </c>
      <c r="E95">
        <v>5.6517979921942999E-3</v>
      </c>
      <c r="T95">
        <v>-3.6063000000000015E-3</v>
      </c>
      <c r="V95">
        <v>6</v>
      </c>
      <c r="W95">
        <v>5.0618712000000003E-2</v>
      </c>
      <c r="X95">
        <f t="shared" si="15"/>
        <v>4.7012412000000003E-2</v>
      </c>
      <c r="AF95">
        <v>5</v>
      </c>
      <c r="AI95">
        <v>3.7118711999999998E-2</v>
      </c>
      <c r="AJ95">
        <v>3.6063003129476016E-3</v>
      </c>
      <c r="AK95">
        <f t="shared" si="16"/>
        <v>4.0725012312947603E-2</v>
      </c>
    </row>
    <row r="96" spans="1:37" x14ac:dyDescent="0.25">
      <c r="A96">
        <v>22</v>
      </c>
      <c r="B96">
        <v>2</v>
      </c>
      <c r="C96">
        <v>1.1849999999999999E-2</v>
      </c>
      <c r="D96">
        <v>1.1850000000000001E-2</v>
      </c>
      <c r="E96">
        <v>5.2436999271545E-3</v>
      </c>
      <c r="T96">
        <v>-2.9499999999999995E-3</v>
      </c>
      <c r="V96">
        <v>6</v>
      </c>
      <c r="W96">
        <v>5.1564440000000003E-2</v>
      </c>
      <c r="X96">
        <f t="shared" si="15"/>
        <v>4.8614440000000002E-2</v>
      </c>
      <c r="AF96">
        <v>5</v>
      </c>
      <c r="AI96">
        <v>3.8064439999999998E-2</v>
      </c>
      <c r="AJ96">
        <v>2.9499997063128017E-3</v>
      </c>
      <c r="AK96">
        <f t="shared" si="16"/>
        <v>4.10144397063128E-2</v>
      </c>
    </row>
    <row r="97" spans="1:37" x14ac:dyDescent="0.25">
      <c r="A97">
        <v>23</v>
      </c>
      <c r="B97">
        <v>2</v>
      </c>
      <c r="C97">
        <v>1.175E-2</v>
      </c>
      <c r="D97">
        <v>1.175E-2</v>
      </c>
      <c r="E97">
        <v>5.7999995012502003E-3</v>
      </c>
      <c r="T97">
        <v>-2.3438760000000017E-3</v>
      </c>
      <c r="V97">
        <v>6</v>
      </c>
      <c r="W97">
        <v>5.3076992000000003E-2</v>
      </c>
      <c r="X97">
        <f t="shared" si="15"/>
        <v>5.0733116000000002E-2</v>
      </c>
      <c r="AF97">
        <v>5</v>
      </c>
      <c r="AI97">
        <v>3.9576991999999998E-2</v>
      </c>
      <c r="AJ97">
        <v>2.3438755038220002E-3</v>
      </c>
      <c r="AK97">
        <f t="shared" si="16"/>
        <v>4.1920867503821999E-2</v>
      </c>
    </row>
    <row r="98" spans="1:37" x14ac:dyDescent="0.25">
      <c r="A98">
        <v>24</v>
      </c>
      <c r="B98">
        <v>2</v>
      </c>
      <c r="C98">
        <v>1.12E-2</v>
      </c>
      <c r="D98">
        <v>1.1200000000000002E-2</v>
      </c>
      <c r="E98">
        <v>5.8561237651311698E-3</v>
      </c>
      <c r="T98">
        <v>2.8192619999999995E-3</v>
      </c>
      <c r="V98">
        <v>7</v>
      </c>
      <c r="W98">
        <v>6.0614434000000002E-2</v>
      </c>
      <c r="X98">
        <f t="shared" si="15"/>
        <v>6.3433695999999998E-2</v>
      </c>
      <c r="AF98">
        <v>6</v>
      </c>
      <c r="AI98">
        <v>5.0614434E-2</v>
      </c>
      <c r="AJ98">
        <v>-2.8192624026107012E-3</v>
      </c>
      <c r="AK98">
        <f t="shared" si="16"/>
        <v>4.7795171597389302E-2</v>
      </c>
    </row>
    <row r="99" spans="1:37" x14ac:dyDescent="0.25">
      <c r="A99">
        <v>1</v>
      </c>
      <c r="B99">
        <v>3</v>
      </c>
      <c r="C99">
        <v>1.7444197000000002E-2</v>
      </c>
      <c r="E99">
        <v>9.5249345973893E-3</v>
      </c>
      <c r="T99">
        <v>-1.9650540000000001E-2</v>
      </c>
      <c r="V99">
        <v>7</v>
      </c>
      <c r="W99">
        <v>6.3566900999999995E-2</v>
      </c>
      <c r="X99">
        <f t="shared" si="15"/>
        <v>4.3916360999999994E-2</v>
      </c>
      <c r="AF99">
        <v>6</v>
      </c>
      <c r="AI99">
        <v>5.3566901E-2</v>
      </c>
      <c r="AJ99">
        <v>1.9650540324845197E-2</v>
      </c>
      <c r="AK99">
        <f t="shared" si="16"/>
        <v>7.3217441324845201E-2</v>
      </c>
    </row>
    <row r="100" spans="1:37" x14ac:dyDescent="0.25">
      <c r="A100">
        <v>2</v>
      </c>
      <c r="B100">
        <v>3</v>
      </c>
      <c r="C100">
        <v>1.6059172E-2</v>
      </c>
      <c r="E100">
        <v>1.1509712324845199E-2</v>
      </c>
      <c r="T100">
        <v>-1.7332529999999997E-3</v>
      </c>
      <c r="V100">
        <v>7</v>
      </c>
      <c r="W100">
        <v>6.3438151999999998E-2</v>
      </c>
      <c r="X100">
        <f t="shared" si="15"/>
        <v>6.1704899000000001E-2</v>
      </c>
      <c r="AF100">
        <v>6</v>
      </c>
      <c r="AI100">
        <v>5.3438152000000003E-2</v>
      </c>
      <c r="AJ100">
        <v>1.7332530896637006E-3</v>
      </c>
      <c r="AK100">
        <f t="shared" si="16"/>
        <v>5.51714050896637E-2</v>
      </c>
    </row>
    <row r="101" spans="1:37" x14ac:dyDescent="0.25">
      <c r="A101">
        <v>3</v>
      </c>
      <c r="B101">
        <v>3</v>
      </c>
      <c r="C101">
        <v>1.6173447000000001E-2</v>
      </c>
      <c r="E101">
        <v>1.14567000896637E-2</v>
      </c>
      <c r="T101">
        <v>-4.7928499999999995E-3</v>
      </c>
      <c r="V101">
        <v>7</v>
      </c>
      <c r="W101">
        <v>6.1788331000000002E-2</v>
      </c>
      <c r="X101">
        <f t="shared" si="15"/>
        <v>5.6995481000000001E-2</v>
      </c>
      <c r="AF101">
        <v>6</v>
      </c>
      <c r="AI101">
        <v>5.1788331E-2</v>
      </c>
      <c r="AJ101">
        <v>4.7928500988234993E-3</v>
      </c>
      <c r="AK101">
        <f t="shared" si="16"/>
        <v>5.6581181098823499E-2</v>
      </c>
    </row>
    <row r="102" spans="1:37" x14ac:dyDescent="0.25">
      <c r="A102">
        <v>4</v>
      </c>
      <c r="B102">
        <v>3</v>
      </c>
      <c r="C102">
        <v>1.7986551E-2</v>
      </c>
      <c r="E102">
        <v>9.8294010988234995E-3</v>
      </c>
      <c r="T102">
        <v>-1.7679029999999995E-3</v>
      </c>
      <c r="V102">
        <v>7</v>
      </c>
      <c r="W102">
        <v>5.8815230000000003E-2</v>
      </c>
      <c r="X102">
        <f t="shared" si="15"/>
        <v>5.7047327000000002E-2</v>
      </c>
      <c r="AF102">
        <v>6</v>
      </c>
      <c r="AI102">
        <v>4.8815230000000001E-2</v>
      </c>
      <c r="AJ102">
        <v>1.7679034889134006E-3</v>
      </c>
      <c r="AK102">
        <f t="shared" si="16"/>
        <v>5.0583133488913398E-2</v>
      </c>
    </row>
    <row r="103" spans="1:37" x14ac:dyDescent="0.25">
      <c r="A103">
        <v>5</v>
      </c>
      <c r="B103">
        <v>3</v>
      </c>
      <c r="C103">
        <v>1.6984460999999999E-2</v>
      </c>
      <c r="E103">
        <v>8.7523644889133997E-3</v>
      </c>
      <c r="T103">
        <v>-1.4931460000000008E-3</v>
      </c>
      <c r="V103">
        <v>7</v>
      </c>
      <c r="W103">
        <v>6.2758790999999994E-2</v>
      </c>
      <c r="X103">
        <f t="shared" si="15"/>
        <v>6.1265644999999994E-2</v>
      </c>
      <c r="AF103">
        <v>6</v>
      </c>
      <c r="AI103">
        <v>5.2758790999999999E-2</v>
      </c>
      <c r="AJ103">
        <v>1.4931463908408014E-3</v>
      </c>
      <c r="AK103">
        <f t="shared" si="16"/>
        <v>5.4251937390840804E-2</v>
      </c>
    </row>
    <row r="104" spans="1:37" x14ac:dyDescent="0.25">
      <c r="A104">
        <v>6</v>
      </c>
      <c r="B104">
        <v>3</v>
      </c>
      <c r="C104">
        <v>1.6193784999999999E-2</v>
      </c>
      <c r="E104">
        <v>1.10869313908408E-2</v>
      </c>
      <c r="T104">
        <v>3.8578739999999999E-3</v>
      </c>
      <c r="V104">
        <v>7</v>
      </c>
      <c r="W104">
        <v>5.8846892999999997E-2</v>
      </c>
      <c r="X104">
        <f t="shared" si="15"/>
        <v>6.2704766999999995E-2</v>
      </c>
      <c r="AF104">
        <v>6</v>
      </c>
      <c r="AI104">
        <v>4.8846893000000002E-2</v>
      </c>
      <c r="AJ104">
        <v>-3.8578735530720026E-3</v>
      </c>
      <c r="AK104">
        <f t="shared" si="16"/>
        <v>4.4989019446928E-2</v>
      </c>
    </row>
    <row r="105" spans="1:37" x14ac:dyDescent="0.25">
      <c r="A105">
        <v>7</v>
      </c>
      <c r="B105">
        <v>3</v>
      </c>
      <c r="C105">
        <v>1.7259071000000001E-2</v>
      </c>
      <c r="E105">
        <v>8.6511974469279992E-3</v>
      </c>
      <c r="T105">
        <v>-3.8675430000000011E-3</v>
      </c>
      <c r="V105">
        <v>7</v>
      </c>
      <c r="W105">
        <v>6.3202562000000004E-2</v>
      </c>
      <c r="X105">
        <f t="shared" si="15"/>
        <v>5.9335019000000003E-2</v>
      </c>
      <c r="AF105">
        <v>6</v>
      </c>
      <c r="AI105">
        <v>5.3202562000000002E-2</v>
      </c>
      <c r="AJ105">
        <v>3.8675434691926025E-3</v>
      </c>
      <c r="AK105">
        <f t="shared" si="16"/>
        <v>5.7070105469192604E-2</v>
      </c>
    </row>
    <row r="106" spans="1:37" x14ac:dyDescent="0.25">
      <c r="A106">
        <v>8</v>
      </c>
      <c r="B106">
        <v>3</v>
      </c>
      <c r="C106">
        <v>1.7754695000000001E-2</v>
      </c>
      <c r="E106">
        <v>1.0622238469192601E-2</v>
      </c>
      <c r="T106">
        <v>-1.4521239999999991E-3</v>
      </c>
      <c r="V106">
        <v>7</v>
      </c>
      <c r="W106">
        <v>5.7736945999999997E-2</v>
      </c>
      <c r="X106">
        <f t="shared" si="15"/>
        <v>5.6284821999999998E-2</v>
      </c>
      <c r="AF106">
        <v>6</v>
      </c>
      <c r="AI106">
        <v>4.7736946000000002E-2</v>
      </c>
      <c r="AJ106">
        <v>1.4521236790610986E-3</v>
      </c>
      <c r="AK106">
        <f t="shared" si="16"/>
        <v>4.9189069679061101E-2</v>
      </c>
    </row>
    <row r="107" spans="1:37" x14ac:dyDescent="0.25">
      <c r="A107">
        <v>9</v>
      </c>
      <c r="B107">
        <v>3</v>
      </c>
      <c r="C107">
        <v>1.6517036999999998E-2</v>
      </c>
      <c r="E107">
        <v>8.4191606790610992E-3</v>
      </c>
      <c r="T107">
        <v>3.6480339999999997E-3</v>
      </c>
      <c r="V107">
        <v>7</v>
      </c>
      <c r="W107">
        <v>6.0090945999999999E-2</v>
      </c>
      <c r="X107">
        <f t="shared" si="15"/>
        <v>6.3738980000000001E-2</v>
      </c>
      <c r="AF107">
        <v>6</v>
      </c>
      <c r="AI107">
        <v>5.0090945999999997E-2</v>
      </c>
      <c r="AJ107">
        <v>-3.6480337855291992E-3</v>
      </c>
      <c r="AK107">
        <f t="shared" si="16"/>
        <v>4.6442912214470798E-2</v>
      </c>
    </row>
    <row r="108" spans="1:37" x14ac:dyDescent="0.25">
      <c r="A108">
        <v>10</v>
      </c>
      <c r="B108">
        <v>3</v>
      </c>
      <c r="C108">
        <v>1.7632803999999998E-2</v>
      </c>
      <c r="E108">
        <v>9.1347702144707991E-3</v>
      </c>
      <c r="T108">
        <v>-5.2652129999999995E-3</v>
      </c>
      <c r="V108">
        <v>7</v>
      </c>
      <c r="W108">
        <v>5.9602289000000003E-2</v>
      </c>
      <c r="X108">
        <f t="shared" si="15"/>
        <v>5.4337076000000005E-2</v>
      </c>
      <c r="AF108">
        <v>6</v>
      </c>
      <c r="AI108">
        <v>4.9602289000000001E-2</v>
      </c>
      <c r="AJ108">
        <v>5.2652134721133982E-3</v>
      </c>
      <c r="AK108">
        <f t="shared" si="16"/>
        <v>5.4867502472113402E-2</v>
      </c>
    </row>
    <row r="109" spans="1:37" x14ac:dyDescent="0.25">
      <c r="A109">
        <v>11</v>
      </c>
      <c r="B109">
        <v>3</v>
      </c>
      <c r="C109">
        <v>1.7200109000000002E-2</v>
      </c>
      <c r="E109">
        <v>9.0153224721133997E-3</v>
      </c>
      <c r="T109">
        <v>3.4581700000000004E-3</v>
      </c>
      <c r="V109">
        <v>7</v>
      </c>
      <c r="W109">
        <v>6.0551647E-2</v>
      </c>
      <c r="X109">
        <f t="shared" si="15"/>
        <v>6.4009816999999997E-2</v>
      </c>
      <c r="AF109">
        <v>6</v>
      </c>
      <c r="AI109">
        <v>5.0551646999999998E-2</v>
      </c>
      <c r="AJ109">
        <v>-3.4581701349243998E-3</v>
      </c>
      <c r="AK109">
        <f t="shared" si="16"/>
        <v>4.7093476865075597E-2</v>
      </c>
    </row>
    <row r="110" spans="1:37" x14ac:dyDescent="0.25">
      <c r="A110">
        <v>12</v>
      </c>
      <c r="B110">
        <v>3</v>
      </c>
      <c r="C110">
        <v>1.6983564E-2</v>
      </c>
      <c r="E110">
        <v>9.6253938650755991E-3</v>
      </c>
      <c r="T110">
        <v>-1.3972459999999996E-3</v>
      </c>
      <c r="V110">
        <v>7</v>
      </c>
      <c r="W110">
        <v>6.2554231000000002E-2</v>
      </c>
      <c r="X110">
        <f t="shared" si="15"/>
        <v>6.1156985000000004E-2</v>
      </c>
      <c r="AF110">
        <v>6</v>
      </c>
      <c r="AI110">
        <v>5.2554231E-2</v>
      </c>
      <c r="AJ110">
        <v>1.3972462815104968E-3</v>
      </c>
      <c r="AK110">
        <f t="shared" si="16"/>
        <v>5.3951477281510493E-2</v>
      </c>
    </row>
    <row r="111" spans="1:37" x14ac:dyDescent="0.25">
      <c r="A111">
        <v>13</v>
      </c>
      <c r="B111">
        <v>3</v>
      </c>
      <c r="C111">
        <v>1.8305996000000001E-2</v>
      </c>
      <c r="E111">
        <v>1.00032422815105E-2</v>
      </c>
      <c r="T111">
        <v>4.4980640000000013E-3</v>
      </c>
      <c r="V111">
        <v>7</v>
      </c>
      <c r="W111">
        <v>6.2216328000000001E-2</v>
      </c>
      <c r="X111">
        <f t="shared" si="15"/>
        <v>6.6714391999999997E-2</v>
      </c>
      <c r="AF111">
        <v>6</v>
      </c>
      <c r="AI111">
        <v>5.2216327999999999E-2</v>
      </c>
      <c r="AJ111">
        <v>-4.498064267265801E-3</v>
      </c>
      <c r="AK111">
        <f t="shared" si="16"/>
        <v>4.7718263732734197E-2</v>
      </c>
    </row>
    <row r="112" spans="1:37" x14ac:dyDescent="0.25">
      <c r="A112">
        <v>14</v>
      </c>
      <c r="B112">
        <v>3</v>
      </c>
      <c r="C112">
        <v>1.8170003000000001E-2</v>
      </c>
      <c r="E112">
        <v>9.8719387327341999E-3</v>
      </c>
      <c r="T112">
        <v>-1.474932E-3</v>
      </c>
      <c r="V112">
        <v>7</v>
      </c>
      <c r="W112">
        <v>6.1648939999999999E-2</v>
      </c>
      <c r="X112">
        <f t="shared" si="15"/>
        <v>6.0174008000000001E-2</v>
      </c>
      <c r="AF112">
        <v>6</v>
      </c>
      <c r="AI112">
        <v>5.1648939999999997E-2</v>
      </c>
      <c r="AJ112">
        <v>1.4749322152876991E-3</v>
      </c>
      <c r="AK112">
        <f t="shared" si="16"/>
        <v>5.3123872215287693E-2</v>
      </c>
    </row>
    <row r="113" spans="1:37" x14ac:dyDescent="0.25">
      <c r="A113">
        <v>15</v>
      </c>
      <c r="B113">
        <v>3</v>
      </c>
      <c r="C113">
        <v>1.8793315000000001E-2</v>
      </c>
      <c r="E113">
        <v>9.3682472152877005E-3</v>
      </c>
      <c r="T113">
        <v>-2.5714429999999979E-3</v>
      </c>
      <c r="V113">
        <v>7</v>
      </c>
      <c r="W113">
        <v>6.2947850999999999E-2</v>
      </c>
      <c r="X113">
        <f t="shared" si="15"/>
        <v>6.0376407999999999E-2</v>
      </c>
      <c r="AF113">
        <v>6</v>
      </c>
      <c r="AI113">
        <v>5.2947850999999997E-2</v>
      </c>
      <c r="AJ113">
        <v>2.5714428601953006E-3</v>
      </c>
      <c r="AK113">
        <f t="shared" si="16"/>
        <v>5.5519293860195301E-2</v>
      </c>
    </row>
    <row r="114" spans="1:37" x14ac:dyDescent="0.25">
      <c r="A114">
        <v>16</v>
      </c>
      <c r="B114">
        <v>3</v>
      </c>
      <c r="C114">
        <v>1.7904041999999998E-2</v>
      </c>
      <c r="E114">
        <v>1.0425484860195299E-2</v>
      </c>
      <c r="T114">
        <v>4.0541759999999996E-3</v>
      </c>
      <c r="V114">
        <v>7</v>
      </c>
      <c r="W114">
        <v>6.5065080999999997E-2</v>
      </c>
      <c r="X114">
        <f t="shared" si="15"/>
        <v>6.911925699999999E-2</v>
      </c>
      <c r="AF114">
        <v>6</v>
      </c>
      <c r="AI114">
        <v>5.5065081000000002E-2</v>
      </c>
      <c r="AJ114">
        <v>-4.054176384198499E-3</v>
      </c>
      <c r="AK114">
        <f t="shared" si="16"/>
        <v>5.1010904615801503E-2</v>
      </c>
    </row>
    <row r="115" spans="1:37" x14ac:dyDescent="0.25">
      <c r="A115">
        <v>17</v>
      </c>
      <c r="B115">
        <v>3</v>
      </c>
      <c r="C115">
        <v>1.8497686999999999E-2</v>
      </c>
      <c r="E115">
        <v>1.11935106158015E-2</v>
      </c>
      <c r="T115">
        <v>-1.4223970000000006E-3</v>
      </c>
      <c r="V115">
        <v>7</v>
      </c>
      <c r="W115">
        <v>6.3668024000000004E-2</v>
      </c>
      <c r="X115">
        <f t="shared" si="15"/>
        <v>6.2245627000000005E-2</v>
      </c>
      <c r="AF115">
        <v>6</v>
      </c>
      <c r="AI115">
        <v>5.3668024000000002E-2</v>
      </c>
      <c r="AJ115">
        <v>1.4223965314468026E-3</v>
      </c>
      <c r="AK115">
        <f t="shared" si="16"/>
        <v>5.5090420531446804E-2</v>
      </c>
    </row>
    <row r="116" spans="1:37" x14ac:dyDescent="0.25">
      <c r="A116">
        <v>18</v>
      </c>
      <c r="B116">
        <v>3</v>
      </c>
      <c r="C116">
        <v>1.9060727E-2</v>
      </c>
      <c r="E116">
        <v>1.02831235314468E-2</v>
      </c>
      <c r="T116">
        <v>4.6040869999999998E-3</v>
      </c>
      <c r="V116">
        <v>7</v>
      </c>
      <c r="W116">
        <v>6.3016419000000004E-2</v>
      </c>
      <c r="X116">
        <f t="shared" si="15"/>
        <v>6.7620505999999997E-2</v>
      </c>
      <c r="AF116">
        <v>6</v>
      </c>
      <c r="AI116">
        <v>5.3016419000000002E-2</v>
      </c>
      <c r="AJ116">
        <v>-4.6040865182085007E-3</v>
      </c>
      <c r="AK116">
        <f t="shared" si="16"/>
        <v>4.8412332481791498E-2</v>
      </c>
    </row>
    <row r="117" spans="1:37" x14ac:dyDescent="0.25">
      <c r="A117">
        <v>19</v>
      </c>
      <c r="B117">
        <v>3</v>
      </c>
      <c r="C117">
        <v>1.8211778000000001E-2</v>
      </c>
      <c r="E117">
        <v>1.02576914817915E-2</v>
      </c>
      <c r="T117">
        <v>-1.3638510000000001E-3</v>
      </c>
      <c r="V117">
        <v>7</v>
      </c>
      <c r="W117">
        <v>6.4423295000000005E-2</v>
      </c>
      <c r="X117">
        <f t="shared" si="15"/>
        <v>6.3059444000000006E-2</v>
      </c>
      <c r="AF117">
        <v>6</v>
      </c>
      <c r="AI117">
        <v>5.4423294999999997E-2</v>
      </c>
      <c r="AJ117">
        <v>1.3638512681208997E-3</v>
      </c>
      <c r="AK117">
        <f t="shared" si="16"/>
        <v>5.5787146268120896E-2</v>
      </c>
    </row>
    <row r="118" spans="1:37" x14ac:dyDescent="0.25">
      <c r="A118">
        <v>20</v>
      </c>
      <c r="B118">
        <v>3</v>
      </c>
      <c r="C118">
        <v>1.8435243E-2</v>
      </c>
      <c r="E118">
        <v>1.09490942681209E-2</v>
      </c>
      <c r="T118">
        <v>-4.9820200000000141E-4</v>
      </c>
      <c r="V118">
        <v>7</v>
      </c>
      <c r="W118">
        <v>6.5948172999999999E-2</v>
      </c>
      <c r="X118">
        <f t="shared" si="15"/>
        <v>6.5449970999999996E-2</v>
      </c>
      <c r="AF118">
        <v>6</v>
      </c>
      <c r="AI118">
        <v>5.5948172999999997E-2</v>
      </c>
      <c r="AJ118">
        <v>4.9820218905680114E-4</v>
      </c>
      <c r="AK118">
        <f t="shared" si="16"/>
        <v>5.6446375189056798E-2</v>
      </c>
    </row>
    <row r="119" spans="1:37" x14ac:dyDescent="0.25">
      <c r="A119">
        <v>21</v>
      </c>
      <c r="B119">
        <v>3</v>
      </c>
      <c r="C119">
        <v>1.9293827E-2</v>
      </c>
      <c r="E119">
        <v>1.12420291890568E-2</v>
      </c>
      <c r="T119">
        <v>-3.6063000000000015E-3</v>
      </c>
      <c r="V119">
        <v>7</v>
      </c>
      <c r="W119">
        <v>6.0618711999999998E-2</v>
      </c>
      <c r="X119">
        <f t="shared" si="15"/>
        <v>5.7012411999999998E-2</v>
      </c>
      <c r="AF119">
        <v>6</v>
      </c>
      <c r="AI119">
        <v>5.0618712000000003E-2</v>
      </c>
      <c r="AJ119">
        <v>3.6063003129476016E-3</v>
      </c>
      <c r="AK119">
        <f t="shared" si="16"/>
        <v>5.4225012312947601E-2</v>
      </c>
    </row>
    <row r="120" spans="1:37" x14ac:dyDescent="0.25">
      <c r="A120">
        <v>22</v>
      </c>
      <c r="B120">
        <v>3</v>
      </c>
      <c r="C120">
        <v>1.7585776000000001E-2</v>
      </c>
      <c r="E120">
        <v>9.3420763129475996E-3</v>
      </c>
      <c r="T120">
        <v>-2.9499999999999995E-3</v>
      </c>
      <c r="V120">
        <v>7</v>
      </c>
      <c r="W120">
        <v>6.1564439999999998E-2</v>
      </c>
      <c r="X120">
        <f t="shared" si="15"/>
        <v>5.8614439999999997E-2</v>
      </c>
      <c r="AF120">
        <v>6</v>
      </c>
      <c r="AI120">
        <v>5.1564440000000003E-2</v>
      </c>
      <c r="AJ120">
        <v>2.9499997063128017E-3</v>
      </c>
      <c r="AK120">
        <f t="shared" si="16"/>
        <v>5.4514439706312805E-2</v>
      </c>
    </row>
    <row r="121" spans="1:37" x14ac:dyDescent="0.25">
      <c r="A121">
        <v>23</v>
      </c>
      <c r="B121">
        <v>3</v>
      </c>
      <c r="C121">
        <v>1.8305032999999998E-2</v>
      </c>
      <c r="E121">
        <v>9.5050327063128E-3</v>
      </c>
      <c r="T121">
        <v>-2.3438760000000017E-3</v>
      </c>
      <c r="V121">
        <v>7</v>
      </c>
      <c r="W121">
        <v>6.3076991999999998E-2</v>
      </c>
      <c r="X121">
        <f t="shared" si="15"/>
        <v>6.0733115999999997E-2</v>
      </c>
      <c r="AF121">
        <v>6</v>
      </c>
      <c r="AI121">
        <v>5.3076992000000003E-2</v>
      </c>
      <c r="AJ121">
        <v>2.3438755038220002E-3</v>
      </c>
      <c r="AK121">
        <f t="shared" si="16"/>
        <v>5.5420867503822004E-2</v>
      </c>
    </row>
    <row r="122" spans="1:37" x14ac:dyDescent="0.25">
      <c r="A122">
        <v>24</v>
      </c>
      <c r="B122">
        <v>3</v>
      </c>
      <c r="C122">
        <v>1.8871939000000001E-2</v>
      </c>
      <c r="E122">
        <v>1.0015814503821999E-2</v>
      </c>
      <c r="T122">
        <v>2.8192619999999995E-3</v>
      </c>
      <c r="V122">
        <v>8</v>
      </c>
      <c r="W122">
        <v>7.0114434000000003E-2</v>
      </c>
      <c r="X122">
        <f t="shared" si="15"/>
        <v>7.2933696000000006E-2</v>
      </c>
      <c r="AF122">
        <v>7</v>
      </c>
      <c r="AI122">
        <v>6.0614434000000002E-2</v>
      </c>
      <c r="AJ122">
        <v>-2.8192624026107012E-3</v>
      </c>
      <c r="AK122">
        <f t="shared" si="16"/>
        <v>5.7795171597389297E-2</v>
      </c>
    </row>
    <row r="123" spans="1:37" x14ac:dyDescent="0.25">
      <c r="A123">
        <v>1</v>
      </c>
      <c r="B123">
        <v>4</v>
      </c>
      <c r="F123">
        <f>C99+E99</f>
        <v>2.6969131597389302E-2</v>
      </c>
      <c r="T123">
        <v>-1.9650540000000001E-2</v>
      </c>
      <c r="V123">
        <v>8</v>
      </c>
      <c r="W123">
        <v>7.3066901000000004E-2</v>
      </c>
      <c r="X123">
        <f t="shared" si="15"/>
        <v>5.3416361000000002E-2</v>
      </c>
      <c r="AF123">
        <v>7</v>
      </c>
      <c r="AI123">
        <v>6.3566900999999995E-2</v>
      </c>
      <c r="AJ123">
        <v>1.9650540324845197E-2</v>
      </c>
      <c r="AK123">
        <f t="shared" si="16"/>
        <v>8.3217441324845196E-2</v>
      </c>
    </row>
    <row r="124" spans="1:37" x14ac:dyDescent="0.25">
      <c r="A124">
        <v>2</v>
      </c>
      <c r="B124">
        <v>4</v>
      </c>
      <c r="F124">
        <f t="shared" ref="F124:F146" si="17">C100+E100</f>
        <v>2.7568884324845201E-2</v>
      </c>
      <c r="T124">
        <v>-1.7332529999999997E-3</v>
      </c>
      <c r="V124">
        <v>8</v>
      </c>
      <c r="W124">
        <v>7.2938152000000006E-2</v>
      </c>
      <c r="X124">
        <f t="shared" si="15"/>
        <v>7.1204899000000002E-2</v>
      </c>
      <c r="AF124">
        <v>7</v>
      </c>
      <c r="AI124">
        <v>6.3438151999999998E-2</v>
      </c>
      <c r="AJ124">
        <v>1.7332530896637006E-3</v>
      </c>
      <c r="AK124">
        <f t="shared" si="16"/>
        <v>6.5171405089663695E-2</v>
      </c>
    </row>
    <row r="125" spans="1:37" x14ac:dyDescent="0.25">
      <c r="A125">
        <v>3</v>
      </c>
      <c r="B125">
        <v>4</v>
      </c>
      <c r="F125">
        <f t="shared" si="17"/>
        <v>2.7630147089663701E-2</v>
      </c>
      <c r="T125">
        <v>-4.7928499999999995E-3</v>
      </c>
      <c r="V125">
        <v>8</v>
      </c>
      <c r="W125">
        <v>7.1288330999999996E-2</v>
      </c>
      <c r="X125">
        <f t="shared" si="15"/>
        <v>6.6495480999999995E-2</v>
      </c>
      <c r="AF125">
        <v>7</v>
      </c>
      <c r="AI125">
        <v>6.1788331000000002E-2</v>
      </c>
      <c r="AJ125">
        <v>4.7928500988234993E-3</v>
      </c>
      <c r="AK125">
        <f t="shared" si="16"/>
        <v>6.6581181098823494E-2</v>
      </c>
    </row>
    <row r="126" spans="1:37" x14ac:dyDescent="0.25">
      <c r="A126">
        <v>4</v>
      </c>
      <c r="B126">
        <v>4</v>
      </c>
      <c r="F126">
        <f t="shared" si="17"/>
        <v>2.7815952098823499E-2</v>
      </c>
      <c r="T126">
        <v>-1.7679029999999995E-3</v>
      </c>
      <c r="V126">
        <v>8</v>
      </c>
      <c r="W126">
        <v>6.8315230000000005E-2</v>
      </c>
      <c r="X126">
        <f t="shared" si="15"/>
        <v>6.6547327000000003E-2</v>
      </c>
      <c r="AF126">
        <v>7</v>
      </c>
      <c r="AI126">
        <v>5.8815230000000003E-2</v>
      </c>
      <c r="AJ126">
        <v>1.7679034889134006E-3</v>
      </c>
      <c r="AK126">
        <f t="shared" si="16"/>
        <v>6.0583133488913407E-2</v>
      </c>
    </row>
    <row r="127" spans="1:37" x14ac:dyDescent="0.25">
      <c r="A127">
        <v>5</v>
      </c>
      <c r="B127">
        <v>4</v>
      </c>
      <c r="F127">
        <f t="shared" si="17"/>
        <v>2.5736825488913401E-2</v>
      </c>
      <c r="T127">
        <v>-1.4931460000000008E-3</v>
      </c>
      <c r="V127">
        <v>8</v>
      </c>
      <c r="W127">
        <v>7.2258791000000003E-2</v>
      </c>
      <c r="X127">
        <f t="shared" si="15"/>
        <v>7.0765645000000002E-2</v>
      </c>
      <c r="AF127">
        <v>7</v>
      </c>
      <c r="AI127">
        <v>6.2758790999999994E-2</v>
      </c>
      <c r="AJ127">
        <v>1.4931463908408014E-3</v>
      </c>
      <c r="AK127">
        <f t="shared" si="16"/>
        <v>6.4251937390840799E-2</v>
      </c>
    </row>
    <row r="128" spans="1:37" x14ac:dyDescent="0.25">
      <c r="A128">
        <v>6</v>
      </c>
      <c r="B128">
        <v>4</v>
      </c>
      <c r="F128">
        <f t="shared" si="17"/>
        <v>2.7280716390840801E-2</v>
      </c>
      <c r="T128">
        <v>3.8578739999999999E-3</v>
      </c>
      <c r="V128">
        <v>8</v>
      </c>
      <c r="W128">
        <v>6.8346893000000006E-2</v>
      </c>
      <c r="X128">
        <f t="shared" si="15"/>
        <v>7.2204767000000003E-2</v>
      </c>
      <c r="AF128">
        <v>7</v>
      </c>
      <c r="AI128">
        <v>5.8846892999999997E-2</v>
      </c>
      <c r="AJ128">
        <v>-3.8578735530720026E-3</v>
      </c>
      <c r="AK128">
        <f t="shared" si="16"/>
        <v>5.4989019446927995E-2</v>
      </c>
    </row>
    <row r="129" spans="1:37" x14ac:dyDescent="0.25">
      <c r="A129">
        <v>7</v>
      </c>
      <c r="B129">
        <v>4</v>
      </c>
      <c r="F129">
        <f t="shared" si="17"/>
        <v>2.5910268446928002E-2</v>
      </c>
      <c r="T129">
        <v>-3.8675430000000011E-3</v>
      </c>
      <c r="V129">
        <v>8</v>
      </c>
      <c r="W129">
        <v>7.2702561999999998E-2</v>
      </c>
      <c r="X129">
        <f t="shared" si="15"/>
        <v>6.8835018999999997E-2</v>
      </c>
      <c r="AF129">
        <v>7</v>
      </c>
      <c r="AI129">
        <v>6.3202562000000004E-2</v>
      </c>
      <c r="AJ129">
        <v>3.8675434691926025E-3</v>
      </c>
      <c r="AK129">
        <f t="shared" si="16"/>
        <v>6.7070105469192606E-2</v>
      </c>
    </row>
    <row r="130" spans="1:37" x14ac:dyDescent="0.25">
      <c r="A130">
        <v>8</v>
      </c>
      <c r="B130">
        <v>4</v>
      </c>
      <c r="F130">
        <f t="shared" si="17"/>
        <v>2.8376933469192601E-2</v>
      </c>
      <c r="T130">
        <v>-1.4521239999999991E-3</v>
      </c>
      <c r="V130">
        <v>8</v>
      </c>
      <c r="W130">
        <v>6.7236946000000006E-2</v>
      </c>
      <c r="X130">
        <f t="shared" si="15"/>
        <v>6.5784822000000007E-2</v>
      </c>
      <c r="AF130">
        <v>7</v>
      </c>
      <c r="AI130">
        <v>5.7736945999999997E-2</v>
      </c>
      <c r="AJ130">
        <v>1.4521236790610986E-3</v>
      </c>
      <c r="AK130">
        <f t="shared" si="16"/>
        <v>5.9189069679061096E-2</v>
      </c>
    </row>
    <row r="131" spans="1:37" x14ac:dyDescent="0.25">
      <c r="A131">
        <v>9</v>
      </c>
      <c r="B131">
        <v>4</v>
      </c>
      <c r="F131">
        <f t="shared" si="17"/>
        <v>2.4936197679061099E-2</v>
      </c>
      <c r="T131">
        <v>3.6480339999999997E-3</v>
      </c>
      <c r="V131">
        <v>8</v>
      </c>
      <c r="W131">
        <v>6.9590946000000001E-2</v>
      </c>
      <c r="X131">
        <f t="shared" ref="X131:X194" si="18">W131+T131</f>
        <v>7.3238979999999995E-2</v>
      </c>
      <c r="AF131">
        <v>7</v>
      </c>
      <c r="AI131">
        <v>6.0090945999999999E-2</v>
      </c>
      <c r="AJ131">
        <v>-3.6480337855291992E-3</v>
      </c>
      <c r="AK131">
        <f t="shared" si="16"/>
        <v>5.64429122144708E-2</v>
      </c>
    </row>
    <row r="132" spans="1:37" x14ac:dyDescent="0.25">
      <c r="A132">
        <v>10</v>
      </c>
      <c r="B132">
        <v>4</v>
      </c>
      <c r="F132">
        <f t="shared" si="17"/>
        <v>2.6767574214470798E-2</v>
      </c>
      <c r="T132">
        <v>-5.2652129999999995E-3</v>
      </c>
      <c r="V132">
        <v>8</v>
      </c>
      <c r="W132">
        <v>6.9102288999999997E-2</v>
      </c>
      <c r="X132">
        <f t="shared" si="18"/>
        <v>6.3837075999999993E-2</v>
      </c>
      <c r="AF132">
        <v>7</v>
      </c>
      <c r="AI132">
        <v>5.9602289000000003E-2</v>
      </c>
      <c r="AJ132">
        <v>5.2652134721133982E-3</v>
      </c>
      <c r="AK132">
        <f t="shared" si="16"/>
        <v>6.4867502472113397E-2</v>
      </c>
    </row>
    <row r="133" spans="1:37" x14ac:dyDescent="0.25">
      <c r="A133">
        <v>11</v>
      </c>
      <c r="B133">
        <v>4</v>
      </c>
      <c r="F133">
        <f t="shared" si="17"/>
        <v>2.6215431472113401E-2</v>
      </c>
      <c r="T133">
        <v>3.4581700000000004E-3</v>
      </c>
      <c r="V133">
        <v>8</v>
      </c>
      <c r="W133">
        <v>7.0051646999999995E-2</v>
      </c>
      <c r="X133">
        <f t="shared" si="18"/>
        <v>7.3509816999999991E-2</v>
      </c>
      <c r="AF133">
        <v>7</v>
      </c>
      <c r="AI133">
        <v>6.0551647E-2</v>
      </c>
      <c r="AJ133">
        <v>-3.4581701349243998E-3</v>
      </c>
      <c r="AK133">
        <f t="shared" si="16"/>
        <v>5.7093476865075599E-2</v>
      </c>
    </row>
    <row r="134" spans="1:37" x14ac:dyDescent="0.25">
      <c r="A134">
        <v>12</v>
      </c>
      <c r="B134">
        <v>4</v>
      </c>
      <c r="F134">
        <f t="shared" si="17"/>
        <v>2.6608957865075597E-2</v>
      </c>
      <c r="T134">
        <v>-1.3972459999999996E-3</v>
      </c>
      <c r="V134">
        <v>8</v>
      </c>
      <c r="W134">
        <v>7.2054230999999996E-2</v>
      </c>
      <c r="X134">
        <f t="shared" si="18"/>
        <v>7.0656984999999992E-2</v>
      </c>
      <c r="AF134">
        <v>7</v>
      </c>
      <c r="AI134">
        <v>6.2554231000000002E-2</v>
      </c>
      <c r="AJ134">
        <v>1.3972462815104968E-3</v>
      </c>
      <c r="AK134">
        <f t="shared" si="16"/>
        <v>6.3951477281510502E-2</v>
      </c>
    </row>
    <row r="135" spans="1:37" x14ac:dyDescent="0.25">
      <c r="A135">
        <v>13</v>
      </c>
      <c r="B135">
        <v>4</v>
      </c>
      <c r="F135">
        <f t="shared" si="17"/>
        <v>2.8309238281510503E-2</v>
      </c>
      <c r="T135">
        <v>4.4980640000000013E-3</v>
      </c>
      <c r="V135">
        <v>8</v>
      </c>
      <c r="W135">
        <v>7.1716327999999996E-2</v>
      </c>
      <c r="X135">
        <f t="shared" si="18"/>
        <v>7.6214391999999992E-2</v>
      </c>
      <c r="AF135">
        <v>7</v>
      </c>
      <c r="AI135">
        <v>6.2216328000000001E-2</v>
      </c>
      <c r="AJ135">
        <v>-4.498064267265801E-3</v>
      </c>
      <c r="AK135">
        <f t="shared" si="16"/>
        <v>5.7718263732734199E-2</v>
      </c>
    </row>
    <row r="136" spans="1:37" x14ac:dyDescent="0.25">
      <c r="A136">
        <v>14</v>
      </c>
      <c r="B136">
        <v>4</v>
      </c>
      <c r="F136">
        <f t="shared" si="17"/>
        <v>2.80419417327342E-2</v>
      </c>
      <c r="T136">
        <v>-1.474932E-3</v>
      </c>
      <c r="V136">
        <v>8</v>
      </c>
      <c r="W136">
        <v>7.1148939999999994E-2</v>
      </c>
      <c r="X136">
        <f t="shared" si="18"/>
        <v>6.9674007999999996E-2</v>
      </c>
      <c r="AF136">
        <v>7</v>
      </c>
      <c r="AI136">
        <v>6.1648939999999999E-2</v>
      </c>
      <c r="AJ136">
        <v>1.4749322152876991E-3</v>
      </c>
      <c r="AK136">
        <f t="shared" si="16"/>
        <v>6.3123872215287702E-2</v>
      </c>
    </row>
    <row r="137" spans="1:37" x14ac:dyDescent="0.25">
      <c r="A137">
        <v>15</v>
      </c>
      <c r="B137">
        <v>4</v>
      </c>
      <c r="F137">
        <f t="shared" si="17"/>
        <v>2.8161562215287702E-2</v>
      </c>
      <c r="T137">
        <v>-2.5714429999999979E-3</v>
      </c>
      <c r="V137">
        <v>8</v>
      </c>
      <c r="W137">
        <v>7.2447850999999994E-2</v>
      </c>
      <c r="X137">
        <f t="shared" si="18"/>
        <v>6.9876408000000001E-2</v>
      </c>
      <c r="AF137">
        <v>7</v>
      </c>
      <c r="AI137">
        <v>6.2947850999999999E-2</v>
      </c>
      <c r="AJ137">
        <v>2.5714428601953006E-3</v>
      </c>
      <c r="AK137">
        <f t="shared" si="16"/>
        <v>6.5519293860195296E-2</v>
      </c>
    </row>
    <row r="138" spans="1:37" x14ac:dyDescent="0.25">
      <c r="A138">
        <v>16</v>
      </c>
      <c r="B138">
        <v>4</v>
      </c>
      <c r="F138">
        <f t="shared" si="17"/>
        <v>2.8329526860195298E-2</v>
      </c>
      <c r="T138">
        <v>4.0541759999999996E-3</v>
      </c>
      <c r="V138">
        <v>8</v>
      </c>
      <c r="W138">
        <v>7.4565081000000005E-2</v>
      </c>
      <c r="X138">
        <f t="shared" si="18"/>
        <v>7.8619256999999998E-2</v>
      </c>
      <c r="AF138">
        <v>7</v>
      </c>
      <c r="AI138">
        <v>6.5065080999999997E-2</v>
      </c>
      <c r="AJ138">
        <v>-4.054176384198499E-3</v>
      </c>
      <c r="AK138">
        <f t="shared" si="16"/>
        <v>6.1010904615801498E-2</v>
      </c>
    </row>
    <row r="139" spans="1:37" x14ac:dyDescent="0.25">
      <c r="A139">
        <v>17</v>
      </c>
      <c r="B139">
        <v>4</v>
      </c>
      <c r="F139">
        <f t="shared" si="17"/>
        <v>2.9691197615801499E-2</v>
      </c>
      <c r="T139">
        <v>-1.4223970000000006E-3</v>
      </c>
      <c r="V139">
        <v>8</v>
      </c>
      <c r="W139">
        <v>7.3168023999999998E-2</v>
      </c>
      <c r="X139">
        <f t="shared" si="18"/>
        <v>7.1745626999999992E-2</v>
      </c>
      <c r="AF139">
        <v>7</v>
      </c>
      <c r="AI139">
        <v>6.3668024000000004E-2</v>
      </c>
      <c r="AJ139">
        <v>1.4223965314468026E-3</v>
      </c>
      <c r="AK139">
        <f t="shared" si="16"/>
        <v>6.5090420531446813E-2</v>
      </c>
    </row>
    <row r="140" spans="1:37" x14ac:dyDescent="0.25">
      <c r="A140">
        <v>18</v>
      </c>
      <c r="B140">
        <v>4</v>
      </c>
      <c r="F140">
        <f t="shared" si="17"/>
        <v>2.9343850531446801E-2</v>
      </c>
      <c r="T140">
        <v>4.6040869999999998E-3</v>
      </c>
      <c r="V140">
        <v>8</v>
      </c>
      <c r="W140">
        <v>7.2516418999999999E-2</v>
      </c>
      <c r="X140">
        <f t="shared" si="18"/>
        <v>7.7120506000000005E-2</v>
      </c>
      <c r="AF140">
        <v>7</v>
      </c>
      <c r="AI140">
        <v>6.3016419000000004E-2</v>
      </c>
      <c r="AJ140">
        <v>-4.6040865182085007E-3</v>
      </c>
      <c r="AK140">
        <f t="shared" si="16"/>
        <v>5.8412332481791507E-2</v>
      </c>
    </row>
    <row r="141" spans="1:37" x14ac:dyDescent="0.25">
      <c r="A141">
        <v>19</v>
      </c>
      <c r="B141">
        <v>4</v>
      </c>
      <c r="F141">
        <f t="shared" si="17"/>
        <v>2.84694694817915E-2</v>
      </c>
      <c r="T141">
        <v>-1.3638510000000001E-3</v>
      </c>
      <c r="V141">
        <v>8</v>
      </c>
      <c r="W141">
        <v>7.3923295E-2</v>
      </c>
      <c r="X141">
        <f t="shared" si="18"/>
        <v>7.2559444000000001E-2</v>
      </c>
      <c r="AF141">
        <v>7</v>
      </c>
      <c r="AI141">
        <v>6.4423295000000005E-2</v>
      </c>
      <c r="AJ141">
        <v>1.3638512681208997E-3</v>
      </c>
      <c r="AK141">
        <f t="shared" si="16"/>
        <v>6.5787146268120905E-2</v>
      </c>
    </row>
    <row r="142" spans="1:37" x14ac:dyDescent="0.25">
      <c r="A142">
        <v>20</v>
      </c>
      <c r="B142">
        <v>4</v>
      </c>
      <c r="F142">
        <f t="shared" si="17"/>
        <v>2.93843372681209E-2</v>
      </c>
      <c r="T142">
        <v>-4.9820200000000141E-4</v>
      </c>
      <c r="V142">
        <v>8</v>
      </c>
      <c r="W142">
        <v>7.5448172999999993E-2</v>
      </c>
      <c r="X142">
        <f t="shared" si="18"/>
        <v>7.494997099999999E-2</v>
      </c>
      <c r="AF142">
        <v>7</v>
      </c>
      <c r="AI142">
        <v>6.5948172999999999E-2</v>
      </c>
      <c r="AJ142">
        <v>4.9820218905680114E-4</v>
      </c>
      <c r="AK142">
        <f t="shared" si="16"/>
        <v>6.64463751890568E-2</v>
      </c>
    </row>
    <row r="143" spans="1:37" x14ac:dyDescent="0.25">
      <c r="A143">
        <v>21</v>
      </c>
      <c r="B143">
        <v>4</v>
      </c>
      <c r="F143">
        <f t="shared" si="17"/>
        <v>3.0535856189056798E-2</v>
      </c>
      <c r="T143">
        <v>-3.6063000000000015E-3</v>
      </c>
      <c r="V143">
        <v>8</v>
      </c>
      <c r="W143">
        <v>7.0118712E-2</v>
      </c>
      <c r="X143">
        <f t="shared" si="18"/>
        <v>6.6512411999999993E-2</v>
      </c>
      <c r="AF143">
        <v>7</v>
      </c>
      <c r="AI143">
        <v>6.0618711999999998E-2</v>
      </c>
      <c r="AJ143">
        <v>3.6063003129476016E-3</v>
      </c>
      <c r="AK143">
        <f t="shared" si="16"/>
        <v>6.4225012312947596E-2</v>
      </c>
    </row>
    <row r="144" spans="1:37" x14ac:dyDescent="0.25">
      <c r="A144">
        <v>22</v>
      </c>
      <c r="B144">
        <v>4</v>
      </c>
      <c r="F144">
        <f t="shared" si="17"/>
        <v>2.6927852312947601E-2</v>
      </c>
      <c r="T144">
        <v>-2.9499999999999995E-3</v>
      </c>
      <c r="V144">
        <v>8</v>
      </c>
      <c r="W144">
        <v>7.1064440000000006E-2</v>
      </c>
      <c r="X144">
        <f t="shared" si="18"/>
        <v>6.8114440000000012E-2</v>
      </c>
      <c r="AF144">
        <v>7</v>
      </c>
      <c r="AI144">
        <v>6.1564439999999998E-2</v>
      </c>
      <c r="AJ144">
        <v>2.9499997063128017E-3</v>
      </c>
      <c r="AK144">
        <f t="shared" si="16"/>
        <v>6.4514439706312793E-2</v>
      </c>
    </row>
    <row r="145" spans="1:37" x14ac:dyDescent="0.25">
      <c r="A145">
        <v>23</v>
      </c>
      <c r="B145">
        <v>4</v>
      </c>
      <c r="F145">
        <f t="shared" si="17"/>
        <v>2.7810065706312798E-2</v>
      </c>
      <c r="T145">
        <v>-2.3438760000000017E-3</v>
      </c>
      <c r="V145">
        <v>8</v>
      </c>
      <c r="W145">
        <v>7.2576992000000007E-2</v>
      </c>
      <c r="X145">
        <f t="shared" si="18"/>
        <v>7.0233116000000012E-2</v>
      </c>
      <c r="AF145">
        <v>7</v>
      </c>
      <c r="AI145">
        <v>6.3076991999999998E-2</v>
      </c>
      <c r="AJ145">
        <v>2.3438755038220002E-3</v>
      </c>
      <c r="AK145">
        <f t="shared" si="16"/>
        <v>6.5420867503822006E-2</v>
      </c>
    </row>
    <row r="146" spans="1:37" x14ac:dyDescent="0.25">
      <c r="A146">
        <v>24</v>
      </c>
      <c r="B146">
        <v>4</v>
      </c>
      <c r="F146">
        <f t="shared" si="17"/>
        <v>2.8887753503822E-2</v>
      </c>
      <c r="T146">
        <v>2.8192619999999995E-3</v>
      </c>
      <c r="V146">
        <v>9</v>
      </c>
      <c r="W146">
        <v>7.9114433999999997E-2</v>
      </c>
      <c r="X146">
        <f t="shared" si="18"/>
        <v>8.1933696E-2</v>
      </c>
      <c r="AF146">
        <v>8</v>
      </c>
      <c r="AI146">
        <v>7.0114434000000003E-2</v>
      </c>
      <c r="AJ146">
        <v>-2.8192624026107012E-3</v>
      </c>
      <c r="AK146">
        <f t="shared" si="16"/>
        <v>6.7295171597389306E-2</v>
      </c>
    </row>
    <row r="147" spans="1:37" x14ac:dyDescent="0.25">
      <c r="T147">
        <v>-1.9650540000000001E-2</v>
      </c>
      <c r="V147">
        <v>9</v>
      </c>
      <c r="W147">
        <v>8.2066900999999998E-2</v>
      </c>
      <c r="X147">
        <f t="shared" si="18"/>
        <v>6.2416360999999997E-2</v>
      </c>
      <c r="AF147">
        <v>8</v>
      </c>
      <c r="AI147">
        <v>7.3066901000000004E-2</v>
      </c>
      <c r="AJ147">
        <v>1.9650540324845197E-2</v>
      </c>
      <c r="AK147">
        <f t="shared" si="16"/>
        <v>9.2717441324845204E-2</v>
      </c>
    </row>
    <row r="148" spans="1:37" x14ac:dyDescent="0.25">
      <c r="T148">
        <v>-1.7332529999999997E-3</v>
      </c>
      <c r="V148">
        <v>9</v>
      </c>
      <c r="W148">
        <v>8.1938152E-2</v>
      </c>
      <c r="X148">
        <f t="shared" si="18"/>
        <v>8.0204898999999996E-2</v>
      </c>
      <c r="AF148">
        <v>8</v>
      </c>
      <c r="AI148">
        <v>7.2938152000000006E-2</v>
      </c>
      <c r="AJ148">
        <v>1.7332530896637006E-3</v>
      </c>
      <c r="AK148">
        <f t="shared" si="16"/>
        <v>7.4671405089663703E-2</v>
      </c>
    </row>
    <row r="149" spans="1:37" x14ac:dyDescent="0.25">
      <c r="T149">
        <v>-4.7928499999999995E-3</v>
      </c>
      <c r="V149">
        <v>9</v>
      </c>
      <c r="W149">
        <v>8.0288331000000004E-2</v>
      </c>
      <c r="X149">
        <f t="shared" si="18"/>
        <v>7.5495481000000003E-2</v>
      </c>
      <c r="AF149">
        <v>8</v>
      </c>
      <c r="AI149">
        <v>7.1288330999999996E-2</v>
      </c>
      <c r="AJ149">
        <v>4.7928500988234993E-3</v>
      </c>
      <c r="AK149">
        <f t="shared" si="16"/>
        <v>7.6081181098823503E-2</v>
      </c>
    </row>
    <row r="150" spans="1:37" x14ac:dyDescent="0.25">
      <c r="T150">
        <v>-1.7679029999999995E-3</v>
      </c>
      <c r="V150">
        <v>9</v>
      </c>
      <c r="W150">
        <v>7.7315229999999999E-2</v>
      </c>
      <c r="X150">
        <f t="shared" si="18"/>
        <v>7.5547326999999997E-2</v>
      </c>
      <c r="AF150">
        <v>8</v>
      </c>
      <c r="AI150">
        <v>6.8315230000000005E-2</v>
      </c>
      <c r="AJ150">
        <v>1.7679034889134006E-3</v>
      </c>
      <c r="AK150">
        <f t="shared" si="16"/>
        <v>7.0083133488913402E-2</v>
      </c>
    </row>
    <row r="151" spans="1:37" x14ac:dyDescent="0.25">
      <c r="T151">
        <v>-1.4931460000000008E-3</v>
      </c>
      <c r="V151">
        <v>9</v>
      </c>
      <c r="W151">
        <v>8.1258790999999997E-2</v>
      </c>
      <c r="X151">
        <f t="shared" si="18"/>
        <v>7.9765644999999996E-2</v>
      </c>
      <c r="AF151">
        <v>8</v>
      </c>
      <c r="AI151">
        <v>7.2258791000000003E-2</v>
      </c>
      <c r="AJ151">
        <v>1.4931463908408014E-3</v>
      </c>
      <c r="AK151">
        <f t="shared" si="16"/>
        <v>7.3751937390840808E-2</v>
      </c>
    </row>
    <row r="152" spans="1:37" x14ac:dyDescent="0.25">
      <c r="T152">
        <v>3.8578739999999999E-3</v>
      </c>
      <c r="V152">
        <v>9</v>
      </c>
      <c r="W152">
        <v>7.7346893E-2</v>
      </c>
      <c r="X152">
        <f t="shared" si="18"/>
        <v>8.1204766999999997E-2</v>
      </c>
      <c r="AF152">
        <v>8</v>
      </c>
      <c r="AI152">
        <v>6.8346893000000006E-2</v>
      </c>
      <c r="AJ152">
        <v>-3.8578735530720026E-3</v>
      </c>
      <c r="AK152">
        <f t="shared" si="16"/>
        <v>6.4489019446928003E-2</v>
      </c>
    </row>
    <row r="153" spans="1:37" x14ac:dyDescent="0.25">
      <c r="T153">
        <v>-3.8675430000000011E-3</v>
      </c>
      <c r="V153">
        <v>9</v>
      </c>
      <c r="W153">
        <v>8.1702562000000006E-2</v>
      </c>
      <c r="X153">
        <f t="shared" si="18"/>
        <v>7.7835019000000005E-2</v>
      </c>
      <c r="AF153">
        <v>8</v>
      </c>
      <c r="AI153">
        <v>7.2702561999999998E-2</v>
      </c>
      <c r="AJ153">
        <v>3.8675434691926025E-3</v>
      </c>
      <c r="AK153">
        <f t="shared" si="16"/>
        <v>7.6570105469192601E-2</v>
      </c>
    </row>
    <row r="154" spans="1:37" x14ac:dyDescent="0.25">
      <c r="T154">
        <v>-1.4521239999999991E-3</v>
      </c>
      <c r="V154">
        <v>9</v>
      </c>
      <c r="W154">
        <v>7.6236946E-2</v>
      </c>
      <c r="X154">
        <f t="shared" si="18"/>
        <v>7.4784822000000001E-2</v>
      </c>
      <c r="AF154">
        <v>8</v>
      </c>
      <c r="AI154">
        <v>6.7236946000000006E-2</v>
      </c>
      <c r="AJ154">
        <v>1.4521236790610986E-3</v>
      </c>
      <c r="AK154">
        <f t="shared" si="16"/>
        <v>6.8689069679061104E-2</v>
      </c>
    </row>
    <row r="155" spans="1:37" x14ac:dyDescent="0.25">
      <c r="T155">
        <v>3.6480339999999997E-3</v>
      </c>
      <c r="V155">
        <v>9</v>
      </c>
      <c r="W155">
        <v>7.8590945999999995E-2</v>
      </c>
      <c r="X155">
        <f t="shared" si="18"/>
        <v>8.2238979999999989E-2</v>
      </c>
      <c r="AF155">
        <v>8</v>
      </c>
      <c r="AI155">
        <v>6.9590946000000001E-2</v>
      </c>
      <c r="AJ155">
        <v>-3.6480337855291992E-3</v>
      </c>
      <c r="AK155">
        <f t="shared" ref="AK155:AK218" si="19">AI155+AJ155</f>
        <v>6.5942912214470795E-2</v>
      </c>
    </row>
    <row r="156" spans="1:37" x14ac:dyDescent="0.25">
      <c r="T156">
        <v>-5.2652129999999995E-3</v>
      </c>
      <c r="V156">
        <v>9</v>
      </c>
      <c r="W156">
        <v>7.8102289000000005E-2</v>
      </c>
      <c r="X156">
        <f t="shared" si="18"/>
        <v>7.2837076000000001E-2</v>
      </c>
      <c r="AF156">
        <v>8</v>
      </c>
      <c r="AI156">
        <v>6.9102288999999997E-2</v>
      </c>
      <c r="AJ156">
        <v>5.2652134721133982E-3</v>
      </c>
      <c r="AK156">
        <f t="shared" si="19"/>
        <v>7.4367502472113392E-2</v>
      </c>
    </row>
    <row r="157" spans="1:37" x14ac:dyDescent="0.25">
      <c r="T157">
        <v>3.4581700000000004E-3</v>
      </c>
      <c r="V157">
        <v>9</v>
      </c>
      <c r="W157">
        <v>7.9051647000000003E-2</v>
      </c>
      <c r="X157">
        <f t="shared" si="18"/>
        <v>8.2509816999999999E-2</v>
      </c>
      <c r="AF157">
        <v>8</v>
      </c>
      <c r="AI157">
        <v>7.0051646999999995E-2</v>
      </c>
      <c r="AJ157">
        <v>-3.4581701349243998E-3</v>
      </c>
      <c r="AK157">
        <f t="shared" si="19"/>
        <v>6.6593476865075593E-2</v>
      </c>
    </row>
    <row r="158" spans="1:37" x14ac:dyDescent="0.25">
      <c r="T158">
        <v>-1.3972459999999996E-3</v>
      </c>
      <c r="V158">
        <v>9</v>
      </c>
      <c r="W158">
        <v>8.1054231000000004E-2</v>
      </c>
      <c r="X158">
        <f t="shared" si="18"/>
        <v>7.9656985E-2</v>
      </c>
      <c r="AF158">
        <v>8</v>
      </c>
      <c r="AI158">
        <v>7.2054230999999996E-2</v>
      </c>
      <c r="AJ158">
        <v>1.3972462815104968E-3</v>
      </c>
      <c r="AK158">
        <f t="shared" si="19"/>
        <v>7.3451477281510497E-2</v>
      </c>
    </row>
    <row r="159" spans="1:37" x14ac:dyDescent="0.25">
      <c r="T159">
        <v>4.4980640000000013E-3</v>
      </c>
      <c r="V159">
        <v>9</v>
      </c>
      <c r="W159">
        <v>8.0716328000000004E-2</v>
      </c>
      <c r="X159">
        <f t="shared" si="18"/>
        <v>8.5214392E-2</v>
      </c>
      <c r="AF159">
        <v>8</v>
      </c>
      <c r="AI159">
        <v>7.1716327999999996E-2</v>
      </c>
      <c r="AJ159">
        <v>-4.498064267265801E-3</v>
      </c>
      <c r="AK159">
        <f t="shared" si="19"/>
        <v>6.7218263732734193E-2</v>
      </c>
    </row>
    <row r="160" spans="1:37" x14ac:dyDescent="0.25">
      <c r="T160">
        <v>-1.474932E-3</v>
      </c>
      <c r="V160">
        <v>9</v>
      </c>
      <c r="W160">
        <v>8.0148940000000002E-2</v>
      </c>
      <c r="X160">
        <f t="shared" si="18"/>
        <v>7.8674008000000004E-2</v>
      </c>
      <c r="AF160">
        <v>8</v>
      </c>
      <c r="AI160">
        <v>7.1148939999999994E-2</v>
      </c>
      <c r="AJ160">
        <v>1.4749322152876991E-3</v>
      </c>
      <c r="AK160">
        <f t="shared" si="19"/>
        <v>7.2623872215287696E-2</v>
      </c>
    </row>
    <row r="161" spans="20:37" x14ac:dyDescent="0.25">
      <c r="T161">
        <v>-2.5714429999999979E-3</v>
      </c>
      <c r="V161">
        <v>9</v>
      </c>
      <c r="W161">
        <v>8.1447851000000002E-2</v>
      </c>
      <c r="X161">
        <f t="shared" si="18"/>
        <v>7.8876408000000009E-2</v>
      </c>
      <c r="AF161">
        <v>8</v>
      </c>
      <c r="AI161">
        <v>7.2447850999999994E-2</v>
      </c>
      <c r="AJ161">
        <v>2.5714428601953006E-3</v>
      </c>
      <c r="AK161">
        <f t="shared" si="19"/>
        <v>7.5019293860195291E-2</v>
      </c>
    </row>
    <row r="162" spans="20:37" x14ac:dyDescent="0.25">
      <c r="T162">
        <v>4.0541759999999996E-3</v>
      </c>
      <c r="V162">
        <v>9</v>
      </c>
      <c r="W162">
        <v>8.3565080999999999E-2</v>
      </c>
      <c r="X162">
        <f t="shared" si="18"/>
        <v>8.7619257000000006E-2</v>
      </c>
      <c r="AF162">
        <v>8</v>
      </c>
      <c r="AI162">
        <v>7.4565081000000005E-2</v>
      </c>
      <c r="AJ162">
        <v>-4.054176384198499E-3</v>
      </c>
      <c r="AK162">
        <f t="shared" si="19"/>
        <v>7.0510904615801506E-2</v>
      </c>
    </row>
    <row r="163" spans="20:37" x14ac:dyDescent="0.25">
      <c r="T163">
        <v>-1.4223970000000006E-3</v>
      </c>
      <c r="V163">
        <v>9</v>
      </c>
      <c r="W163">
        <v>8.2168024000000006E-2</v>
      </c>
      <c r="X163">
        <f t="shared" si="18"/>
        <v>8.0745627E-2</v>
      </c>
      <c r="AF163">
        <v>8</v>
      </c>
      <c r="AI163">
        <v>7.3168023999999998E-2</v>
      </c>
      <c r="AJ163">
        <v>1.4223965314468026E-3</v>
      </c>
      <c r="AK163">
        <f t="shared" si="19"/>
        <v>7.4590420531446794E-2</v>
      </c>
    </row>
    <row r="164" spans="20:37" x14ac:dyDescent="0.25">
      <c r="T164">
        <v>4.6040869999999998E-3</v>
      </c>
      <c r="V164">
        <v>9</v>
      </c>
      <c r="W164">
        <v>8.1516419000000007E-2</v>
      </c>
      <c r="X164">
        <f t="shared" si="18"/>
        <v>8.6120506000000013E-2</v>
      </c>
      <c r="AF164">
        <v>8</v>
      </c>
      <c r="AI164">
        <v>7.2516418999999999E-2</v>
      </c>
      <c r="AJ164">
        <v>-4.6040865182085007E-3</v>
      </c>
      <c r="AK164">
        <f t="shared" si="19"/>
        <v>6.7912332481791501E-2</v>
      </c>
    </row>
    <row r="165" spans="20:37" x14ac:dyDescent="0.25">
      <c r="T165">
        <v>-1.3638510000000001E-3</v>
      </c>
      <c r="V165">
        <v>9</v>
      </c>
      <c r="W165">
        <v>8.2923294999999994E-2</v>
      </c>
      <c r="X165">
        <f t="shared" si="18"/>
        <v>8.1559443999999995E-2</v>
      </c>
      <c r="AF165">
        <v>8</v>
      </c>
      <c r="AI165">
        <v>7.3923295E-2</v>
      </c>
      <c r="AJ165">
        <v>1.3638512681208997E-3</v>
      </c>
      <c r="AK165">
        <f t="shared" si="19"/>
        <v>7.52871462681209E-2</v>
      </c>
    </row>
    <row r="166" spans="20:37" x14ac:dyDescent="0.25">
      <c r="T166">
        <v>-4.9820200000000141E-4</v>
      </c>
      <c r="V166">
        <v>9</v>
      </c>
      <c r="W166">
        <v>8.4448173000000001E-2</v>
      </c>
      <c r="X166">
        <f t="shared" si="18"/>
        <v>8.3949970999999998E-2</v>
      </c>
      <c r="AF166">
        <v>8</v>
      </c>
      <c r="AI166">
        <v>7.5448172999999993E-2</v>
      </c>
      <c r="AJ166">
        <v>4.9820218905680114E-4</v>
      </c>
      <c r="AK166">
        <f t="shared" si="19"/>
        <v>7.5946375189056795E-2</v>
      </c>
    </row>
    <row r="167" spans="20:37" x14ac:dyDescent="0.25">
      <c r="T167">
        <v>-3.6063000000000015E-3</v>
      </c>
      <c r="V167">
        <v>9</v>
      </c>
      <c r="W167">
        <v>7.9118711999999994E-2</v>
      </c>
      <c r="X167">
        <f t="shared" si="18"/>
        <v>7.5512411999999987E-2</v>
      </c>
      <c r="AF167">
        <v>8</v>
      </c>
      <c r="AI167">
        <v>7.0118712E-2</v>
      </c>
      <c r="AJ167">
        <v>3.6063003129476016E-3</v>
      </c>
      <c r="AK167">
        <f t="shared" si="19"/>
        <v>7.3725012312947605E-2</v>
      </c>
    </row>
    <row r="168" spans="20:37" x14ac:dyDescent="0.25">
      <c r="T168">
        <v>-2.9499999999999995E-3</v>
      </c>
      <c r="V168">
        <v>9</v>
      </c>
      <c r="W168">
        <v>8.0064440000000001E-2</v>
      </c>
      <c r="X168">
        <f t="shared" si="18"/>
        <v>7.7114440000000006E-2</v>
      </c>
      <c r="AF168">
        <v>8</v>
      </c>
      <c r="AI168">
        <v>7.1064440000000006E-2</v>
      </c>
      <c r="AJ168">
        <v>2.9499997063128017E-3</v>
      </c>
      <c r="AK168">
        <f t="shared" si="19"/>
        <v>7.4014439706312801E-2</v>
      </c>
    </row>
    <row r="169" spans="20:37" x14ac:dyDescent="0.25">
      <c r="T169">
        <v>-2.3438760000000017E-3</v>
      </c>
      <c r="V169">
        <v>9</v>
      </c>
      <c r="W169">
        <v>8.1576992000000001E-2</v>
      </c>
      <c r="X169">
        <f t="shared" si="18"/>
        <v>7.9233115999999992E-2</v>
      </c>
      <c r="AF169">
        <v>8</v>
      </c>
      <c r="AI169">
        <v>7.2576992000000007E-2</v>
      </c>
      <c r="AJ169">
        <v>2.3438755038220002E-3</v>
      </c>
      <c r="AK169">
        <f t="shared" si="19"/>
        <v>7.4920867503822014E-2</v>
      </c>
    </row>
    <row r="170" spans="20:37" x14ac:dyDescent="0.25">
      <c r="T170">
        <v>2.8192619999999995E-3</v>
      </c>
      <c r="V170">
        <v>10</v>
      </c>
      <c r="W170">
        <v>8.8114434000000005E-2</v>
      </c>
      <c r="X170">
        <f t="shared" si="18"/>
        <v>9.0933696000000008E-2</v>
      </c>
      <c r="AF170">
        <v>9</v>
      </c>
      <c r="AI170">
        <v>7.9114433999999997E-2</v>
      </c>
      <c r="AJ170">
        <v>-2.8192624026107012E-3</v>
      </c>
      <c r="AK170">
        <f t="shared" si="19"/>
        <v>7.62951715973893E-2</v>
      </c>
    </row>
    <row r="171" spans="20:37" x14ac:dyDescent="0.25">
      <c r="T171">
        <v>-1.9650540000000001E-2</v>
      </c>
      <c r="V171">
        <v>10</v>
      </c>
      <c r="W171">
        <v>9.1066901000000006E-2</v>
      </c>
      <c r="X171">
        <f t="shared" si="18"/>
        <v>7.1416361000000012E-2</v>
      </c>
      <c r="AF171">
        <v>9</v>
      </c>
      <c r="AI171">
        <v>8.2066900999999998E-2</v>
      </c>
      <c r="AJ171">
        <v>1.9650540324845197E-2</v>
      </c>
      <c r="AK171">
        <f t="shared" si="19"/>
        <v>0.1017174413248452</v>
      </c>
    </row>
    <row r="172" spans="20:37" x14ac:dyDescent="0.25">
      <c r="T172">
        <v>-1.7332529999999997E-3</v>
      </c>
      <c r="V172">
        <v>10</v>
      </c>
      <c r="W172">
        <v>9.0938151999999994E-2</v>
      </c>
      <c r="X172">
        <f t="shared" si="18"/>
        <v>8.920489899999999E-2</v>
      </c>
      <c r="AF172">
        <v>9</v>
      </c>
      <c r="AI172">
        <v>8.1938152E-2</v>
      </c>
      <c r="AJ172">
        <v>1.7332530896637006E-3</v>
      </c>
      <c r="AK172">
        <f t="shared" si="19"/>
        <v>8.3671405089663697E-2</v>
      </c>
    </row>
    <row r="173" spans="20:37" x14ac:dyDescent="0.25">
      <c r="T173">
        <v>-4.7928499999999995E-3</v>
      </c>
      <c r="V173">
        <v>10</v>
      </c>
      <c r="W173">
        <v>8.9288330999999999E-2</v>
      </c>
      <c r="X173">
        <f t="shared" si="18"/>
        <v>8.4495480999999997E-2</v>
      </c>
      <c r="AF173">
        <v>9</v>
      </c>
      <c r="AI173">
        <v>8.0288331000000004E-2</v>
      </c>
      <c r="AJ173">
        <v>4.7928500988234993E-3</v>
      </c>
      <c r="AK173">
        <f t="shared" si="19"/>
        <v>8.5081181098823511E-2</v>
      </c>
    </row>
    <row r="174" spans="20:37" x14ac:dyDescent="0.25">
      <c r="T174">
        <v>-1.7679029999999995E-3</v>
      </c>
      <c r="V174">
        <v>10</v>
      </c>
      <c r="W174">
        <v>8.6315230000000007E-2</v>
      </c>
      <c r="X174">
        <f t="shared" si="18"/>
        <v>8.4547327000000005E-2</v>
      </c>
      <c r="AF174">
        <v>9</v>
      </c>
      <c r="AI174">
        <v>7.7315229999999999E-2</v>
      </c>
      <c r="AJ174">
        <v>1.7679034889134006E-3</v>
      </c>
      <c r="AK174">
        <f t="shared" si="19"/>
        <v>7.9083133488913396E-2</v>
      </c>
    </row>
    <row r="175" spans="20:37" x14ac:dyDescent="0.25">
      <c r="T175">
        <v>-1.4931460000000008E-3</v>
      </c>
      <c r="V175">
        <v>10</v>
      </c>
      <c r="W175">
        <v>9.0258791000000005E-2</v>
      </c>
      <c r="X175">
        <f t="shared" si="18"/>
        <v>8.8765645000000004E-2</v>
      </c>
      <c r="AF175">
        <v>9</v>
      </c>
      <c r="AI175">
        <v>8.1258790999999997E-2</v>
      </c>
      <c r="AJ175">
        <v>1.4931463908408014E-3</v>
      </c>
      <c r="AK175">
        <f t="shared" si="19"/>
        <v>8.2751937390840802E-2</v>
      </c>
    </row>
    <row r="176" spans="20:37" x14ac:dyDescent="0.25">
      <c r="T176">
        <v>3.8578739999999999E-3</v>
      </c>
      <c r="V176">
        <v>10</v>
      </c>
      <c r="W176">
        <v>8.6346892999999994E-2</v>
      </c>
      <c r="X176">
        <f t="shared" si="18"/>
        <v>9.0204766999999991E-2</v>
      </c>
      <c r="AF176">
        <v>9</v>
      </c>
      <c r="AI176">
        <v>7.7346893E-2</v>
      </c>
      <c r="AJ176">
        <v>-3.8578735530720026E-3</v>
      </c>
      <c r="AK176">
        <f t="shared" si="19"/>
        <v>7.3489019446927997E-2</v>
      </c>
    </row>
    <row r="177" spans="20:37" x14ac:dyDescent="0.25">
      <c r="T177">
        <v>-3.8675430000000011E-3</v>
      </c>
      <c r="V177">
        <v>10</v>
      </c>
      <c r="W177">
        <v>9.0702562E-2</v>
      </c>
      <c r="X177">
        <f t="shared" si="18"/>
        <v>8.6835018999999999E-2</v>
      </c>
      <c r="AF177">
        <v>9</v>
      </c>
      <c r="AI177">
        <v>8.1702562000000006E-2</v>
      </c>
      <c r="AJ177">
        <v>3.8675434691926025E-3</v>
      </c>
      <c r="AK177">
        <f t="shared" si="19"/>
        <v>8.5570105469192609E-2</v>
      </c>
    </row>
    <row r="178" spans="20:37" x14ac:dyDescent="0.25">
      <c r="T178">
        <v>-1.4521239999999991E-3</v>
      </c>
      <c r="V178">
        <v>10</v>
      </c>
      <c r="W178">
        <v>8.5236945999999994E-2</v>
      </c>
      <c r="X178">
        <f t="shared" si="18"/>
        <v>8.3784821999999995E-2</v>
      </c>
      <c r="AF178">
        <v>9</v>
      </c>
      <c r="AI178">
        <v>7.6236946E-2</v>
      </c>
      <c r="AJ178">
        <v>1.4521236790610986E-3</v>
      </c>
      <c r="AK178">
        <f t="shared" si="19"/>
        <v>7.7689069679061099E-2</v>
      </c>
    </row>
    <row r="179" spans="20:37" x14ac:dyDescent="0.25">
      <c r="T179">
        <v>3.6480339999999997E-3</v>
      </c>
      <c r="V179">
        <v>10</v>
      </c>
      <c r="W179">
        <v>8.7590946000000003E-2</v>
      </c>
      <c r="X179">
        <f t="shared" si="18"/>
        <v>9.1238979999999997E-2</v>
      </c>
      <c r="AF179">
        <v>9</v>
      </c>
      <c r="AI179">
        <v>7.8590945999999995E-2</v>
      </c>
      <c r="AJ179">
        <v>-3.6480337855291992E-3</v>
      </c>
      <c r="AK179">
        <f t="shared" si="19"/>
        <v>7.4942912214470803E-2</v>
      </c>
    </row>
    <row r="180" spans="20:37" x14ac:dyDescent="0.25">
      <c r="T180">
        <v>-5.2652129999999995E-3</v>
      </c>
      <c r="V180">
        <v>10</v>
      </c>
      <c r="W180">
        <v>8.7102288999999999E-2</v>
      </c>
      <c r="X180">
        <f t="shared" si="18"/>
        <v>8.1837075999999995E-2</v>
      </c>
      <c r="AF180">
        <v>9</v>
      </c>
      <c r="AI180">
        <v>7.8102289000000005E-2</v>
      </c>
      <c r="AJ180">
        <v>5.2652134721133982E-3</v>
      </c>
      <c r="AK180">
        <f t="shared" si="19"/>
        <v>8.33675024721134E-2</v>
      </c>
    </row>
    <row r="181" spans="20:37" x14ac:dyDescent="0.25">
      <c r="T181">
        <v>3.4581700000000004E-3</v>
      </c>
      <c r="V181">
        <v>10</v>
      </c>
      <c r="W181">
        <v>8.8051646999999997E-2</v>
      </c>
      <c r="X181">
        <f t="shared" si="18"/>
        <v>9.1509816999999993E-2</v>
      </c>
      <c r="AF181">
        <v>9</v>
      </c>
      <c r="AI181">
        <v>7.9051647000000003E-2</v>
      </c>
      <c r="AJ181">
        <v>-3.4581701349243998E-3</v>
      </c>
      <c r="AK181">
        <f t="shared" si="19"/>
        <v>7.5593476865075601E-2</v>
      </c>
    </row>
    <row r="182" spans="20:37" x14ac:dyDescent="0.25">
      <c r="T182">
        <v>-1.3972459999999996E-3</v>
      </c>
      <c r="V182">
        <v>10</v>
      </c>
      <c r="W182">
        <v>9.0054230999999998E-2</v>
      </c>
      <c r="X182">
        <f t="shared" si="18"/>
        <v>8.8656984999999994E-2</v>
      </c>
      <c r="AF182">
        <v>9</v>
      </c>
      <c r="AI182">
        <v>8.1054231000000004E-2</v>
      </c>
      <c r="AJ182">
        <v>1.3972462815104968E-3</v>
      </c>
      <c r="AK182">
        <f t="shared" si="19"/>
        <v>8.2451477281510505E-2</v>
      </c>
    </row>
    <row r="183" spans="20:37" x14ac:dyDescent="0.25">
      <c r="T183">
        <v>4.4980640000000013E-3</v>
      </c>
      <c r="V183">
        <v>10</v>
      </c>
      <c r="W183">
        <v>8.9716327999999998E-2</v>
      </c>
      <c r="X183">
        <f t="shared" si="18"/>
        <v>9.4214391999999994E-2</v>
      </c>
      <c r="AF183">
        <v>9</v>
      </c>
      <c r="AI183">
        <v>8.0716328000000004E-2</v>
      </c>
      <c r="AJ183">
        <v>-4.498064267265801E-3</v>
      </c>
      <c r="AK183">
        <f t="shared" si="19"/>
        <v>7.6218263732734201E-2</v>
      </c>
    </row>
    <row r="184" spans="20:37" x14ac:dyDescent="0.25">
      <c r="T184">
        <v>-1.474932E-3</v>
      </c>
      <c r="V184">
        <v>10</v>
      </c>
      <c r="W184">
        <v>8.9148939999999996E-2</v>
      </c>
      <c r="X184">
        <f t="shared" si="18"/>
        <v>8.7674007999999998E-2</v>
      </c>
      <c r="AF184">
        <v>9</v>
      </c>
      <c r="AI184">
        <v>8.0148940000000002E-2</v>
      </c>
      <c r="AJ184">
        <v>1.4749322152876991E-3</v>
      </c>
      <c r="AK184">
        <f t="shared" si="19"/>
        <v>8.1623872215287704E-2</v>
      </c>
    </row>
    <row r="185" spans="20:37" x14ac:dyDescent="0.25">
      <c r="T185">
        <v>-2.5714429999999979E-3</v>
      </c>
      <c r="V185">
        <v>10</v>
      </c>
      <c r="W185">
        <v>9.0447850999999996E-2</v>
      </c>
      <c r="X185">
        <f t="shared" si="18"/>
        <v>8.7876408000000003E-2</v>
      </c>
      <c r="AF185">
        <v>9</v>
      </c>
      <c r="AI185">
        <v>8.1447851000000002E-2</v>
      </c>
      <c r="AJ185">
        <v>2.5714428601953006E-3</v>
      </c>
      <c r="AK185">
        <f t="shared" si="19"/>
        <v>8.4019293860195299E-2</v>
      </c>
    </row>
    <row r="186" spans="20:37" x14ac:dyDescent="0.25">
      <c r="T186">
        <v>4.0541759999999996E-3</v>
      </c>
      <c r="V186">
        <v>10</v>
      </c>
      <c r="W186">
        <v>9.2565080999999994E-2</v>
      </c>
      <c r="X186">
        <f t="shared" si="18"/>
        <v>9.6619256999999986E-2</v>
      </c>
      <c r="AF186">
        <v>9</v>
      </c>
      <c r="AI186">
        <v>8.3565080999999999E-2</v>
      </c>
      <c r="AJ186">
        <v>-4.054176384198499E-3</v>
      </c>
      <c r="AK186">
        <f t="shared" si="19"/>
        <v>7.95109046158015E-2</v>
      </c>
    </row>
    <row r="187" spans="20:37" x14ac:dyDescent="0.25">
      <c r="T187">
        <v>-1.4223970000000006E-3</v>
      </c>
      <c r="V187">
        <v>10</v>
      </c>
      <c r="W187">
        <v>9.1168024E-2</v>
      </c>
      <c r="X187">
        <f t="shared" si="18"/>
        <v>8.9745626999999994E-2</v>
      </c>
      <c r="AF187">
        <v>9</v>
      </c>
      <c r="AI187">
        <v>8.2168024000000006E-2</v>
      </c>
      <c r="AJ187">
        <v>1.4223965314468026E-3</v>
      </c>
      <c r="AK187">
        <f t="shared" si="19"/>
        <v>8.3590420531446802E-2</v>
      </c>
    </row>
    <row r="188" spans="20:37" x14ac:dyDescent="0.25">
      <c r="T188">
        <v>4.6040869999999998E-3</v>
      </c>
      <c r="V188">
        <v>10</v>
      </c>
      <c r="W188">
        <v>9.0516419000000001E-2</v>
      </c>
      <c r="X188">
        <f t="shared" si="18"/>
        <v>9.5120505999999994E-2</v>
      </c>
      <c r="AF188">
        <v>9</v>
      </c>
      <c r="AI188">
        <v>8.1516419000000007E-2</v>
      </c>
      <c r="AJ188">
        <v>-4.6040865182085007E-3</v>
      </c>
      <c r="AK188">
        <f t="shared" si="19"/>
        <v>7.6912332481791509E-2</v>
      </c>
    </row>
    <row r="189" spans="20:37" x14ac:dyDescent="0.25">
      <c r="T189">
        <v>-1.3638510000000001E-3</v>
      </c>
      <c r="V189">
        <v>10</v>
      </c>
      <c r="W189">
        <v>9.1923295000000002E-2</v>
      </c>
      <c r="X189">
        <f t="shared" si="18"/>
        <v>9.0559444000000003E-2</v>
      </c>
      <c r="AF189">
        <v>9</v>
      </c>
      <c r="AI189">
        <v>8.2923294999999994E-2</v>
      </c>
      <c r="AJ189">
        <v>1.3638512681208997E-3</v>
      </c>
      <c r="AK189">
        <f t="shared" si="19"/>
        <v>8.4287146268120894E-2</v>
      </c>
    </row>
    <row r="190" spans="20:37" x14ac:dyDescent="0.25">
      <c r="T190">
        <v>-4.9820200000000141E-4</v>
      </c>
      <c r="V190">
        <v>10</v>
      </c>
      <c r="W190">
        <v>9.3448172999999995E-2</v>
      </c>
      <c r="X190">
        <f t="shared" si="18"/>
        <v>9.2949970999999992E-2</v>
      </c>
      <c r="AF190">
        <v>9</v>
      </c>
      <c r="AI190">
        <v>8.4448173000000001E-2</v>
      </c>
      <c r="AJ190">
        <v>4.9820218905680114E-4</v>
      </c>
      <c r="AK190">
        <f t="shared" si="19"/>
        <v>8.4946375189056803E-2</v>
      </c>
    </row>
    <row r="191" spans="20:37" x14ac:dyDescent="0.25">
      <c r="T191">
        <v>-3.6063000000000015E-3</v>
      </c>
      <c r="V191">
        <v>10</v>
      </c>
      <c r="W191">
        <v>8.8118712000000002E-2</v>
      </c>
      <c r="X191">
        <f t="shared" si="18"/>
        <v>8.4512411999999995E-2</v>
      </c>
      <c r="AF191">
        <v>9</v>
      </c>
      <c r="AI191">
        <v>7.9118711999999994E-2</v>
      </c>
      <c r="AJ191">
        <v>3.6063003129476016E-3</v>
      </c>
      <c r="AK191">
        <f t="shared" si="19"/>
        <v>8.2725012312947599E-2</v>
      </c>
    </row>
    <row r="192" spans="20:37" x14ac:dyDescent="0.25">
      <c r="T192">
        <v>-2.9499999999999995E-3</v>
      </c>
      <c r="V192">
        <v>10</v>
      </c>
      <c r="W192">
        <v>8.9064439999999995E-2</v>
      </c>
      <c r="X192">
        <f t="shared" si="18"/>
        <v>8.611444E-2</v>
      </c>
      <c r="AF192">
        <v>9</v>
      </c>
      <c r="AI192">
        <v>8.0064440000000001E-2</v>
      </c>
      <c r="AJ192">
        <v>2.9499997063128017E-3</v>
      </c>
      <c r="AK192">
        <f t="shared" si="19"/>
        <v>8.3014439706312809E-2</v>
      </c>
    </row>
    <row r="193" spans="20:37" x14ac:dyDescent="0.25">
      <c r="T193">
        <v>-2.3438760000000017E-3</v>
      </c>
      <c r="V193">
        <v>10</v>
      </c>
      <c r="W193">
        <v>9.0576991999999995E-2</v>
      </c>
      <c r="X193">
        <f t="shared" si="18"/>
        <v>8.8233116E-2</v>
      </c>
      <c r="AF193">
        <v>9</v>
      </c>
      <c r="AI193">
        <v>8.1576992000000001E-2</v>
      </c>
      <c r="AJ193">
        <v>2.3438755038220002E-3</v>
      </c>
      <c r="AK193">
        <f t="shared" si="19"/>
        <v>8.3920867503821994E-2</v>
      </c>
    </row>
    <row r="194" spans="20:37" x14ac:dyDescent="0.25">
      <c r="T194">
        <v>2.8192619999999995E-3</v>
      </c>
      <c r="V194">
        <v>11</v>
      </c>
      <c r="W194">
        <v>9.6614433999999999E-2</v>
      </c>
      <c r="X194">
        <f t="shared" si="18"/>
        <v>9.9433696000000002E-2</v>
      </c>
      <c r="AF194">
        <v>10</v>
      </c>
      <c r="AI194">
        <v>8.8114434000000005E-2</v>
      </c>
      <c r="AJ194">
        <v>-2.8192624026107012E-3</v>
      </c>
      <c r="AK194">
        <f t="shared" si="19"/>
        <v>8.5295171597389308E-2</v>
      </c>
    </row>
    <row r="195" spans="20:37" x14ac:dyDescent="0.25">
      <c r="T195">
        <v>-1.9650540000000001E-2</v>
      </c>
      <c r="V195">
        <v>11</v>
      </c>
      <c r="W195">
        <v>9.9566900999999999E-2</v>
      </c>
      <c r="X195">
        <f t="shared" ref="X195:X241" si="20">W195+T195</f>
        <v>7.9916360999999991E-2</v>
      </c>
      <c r="AF195">
        <v>10</v>
      </c>
      <c r="AI195">
        <v>9.1066901000000006E-2</v>
      </c>
      <c r="AJ195">
        <v>1.9650540324845197E-2</v>
      </c>
      <c r="AK195">
        <f t="shared" si="19"/>
        <v>0.11071744132484521</v>
      </c>
    </row>
    <row r="196" spans="20:37" x14ac:dyDescent="0.25">
      <c r="T196">
        <v>-1.7332529999999997E-3</v>
      </c>
      <c r="V196">
        <v>11</v>
      </c>
      <c r="W196">
        <v>9.9438152000000002E-2</v>
      </c>
      <c r="X196">
        <f t="shared" si="20"/>
        <v>9.7704898999999998E-2</v>
      </c>
      <c r="AF196">
        <v>10</v>
      </c>
      <c r="AI196">
        <v>9.0938151999999994E-2</v>
      </c>
      <c r="AJ196">
        <v>1.7332530896637006E-3</v>
      </c>
      <c r="AK196">
        <f t="shared" si="19"/>
        <v>9.2671405089663692E-2</v>
      </c>
    </row>
    <row r="197" spans="20:37" x14ac:dyDescent="0.25">
      <c r="T197">
        <v>-4.7928499999999995E-3</v>
      </c>
      <c r="V197">
        <v>11</v>
      </c>
      <c r="W197">
        <v>9.7788331000000006E-2</v>
      </c>
      <c r="X197">
        <f t="shared" si="20"/>
        <v>9.2995481000000005E-2</v>
      </c>
      <c r="AF197">
        <v>10</v>
      </c>
      <c r="AI197">
        <v>8.9288330999999999E-2</v>
      </c>
      <c r="AJ197">
        <v>4.7928500988234993E-3</v>
      </c>
      <c r="AK197">
        <f t="shared" si="19"/>
        <v>9.4081181098823491E-2</v>
      </c>
    </row>
    <row r="198" spans="20:37" x14ac:dyDescent="0.25">
      <c r="T198">
        <v>-1.7679029999999995E-3</v>
      </c>
      <c r="V198">
        <v>11</v>
      </c>
      <c r="W198">
        <v>9.481523E-2</v>
      </c>
      <c r="X198">
        <f t="shared" si="20"/>
        <v>9.3047326999999999E-2</v>
      </c>
      <c r="AF198">
        <v>10</v>
      </c>
      <c r="AI198">
        <v>8.6315230000000007E-2</v>
      </c>
      <c r="AJ198">
        <v>1.7679034889134006E-3</v>
      </c>
      <c r="AK198">
        <f t="shared" si="19"/>
        <v>8.8083133488913404E-2</v>
      </c>
    </row>
    <row r="199" spans="20:37" x14ac:dyDescent="0.25">
      <c r="T199">
        <v>-1.4931460000000008E-3</v>
      </c>
      <c r="V199">
        <v>11</v>
      </c>
      <c r="W199">
        <v>9.8758790999999999E-2</v>
      </c>
      <c r="X199">
        <f t="shared" si="20"/>
        <v>9.7265644999999998E-2</v>
      </c>
      <c r="AF199">
        <v>10</v>
      </c>
      <c r="AI199">
        <v>9.0258791000000005E-2</v>
      </c>
      <c r="AJ199">
        <v>1.4931463908408014E-3</v>
      </c>
      <c r="AK199">
        <f t="shared" si="19"/>
        <v>9.175193739084081E-2</v>
      </c>
    </row>
    <row r="200" spans="20:37" x14ac:dyDescent="0.25">
      <c r="T200">
        <v>3.8578739999999999E-3</v>
      </c>
      <c r="V200">
        <v>11</v>
      </c>
      <c r="W200">
        <v>9.4846893000000002E-2</v>
      </c>
      <c r="X200">
        <f t="shared" si="20"/>
        <v>9.8704766999999999E-2</v>
      </c>
      <c r="AF200">
        <v>10</v>
      </c>
      <c r="AI200">
        <v>8.6346892999999994E-2</v>
      </c>
      <c r="AJ200">
        <v>-3.8578735530720026E-3</v>
      </c>
      <c r="AK200">
        <f t="shared" si="19"/>
        <v>8.2489019446927991E-2</v>
      </c>
    </row>
    <row r="201" spans="20:37" x14ac:dyDescent="0.25">
      <c r="T201">
        <v>-3.8675430000000011E-3</v>
      </c>
      <c r="V201">
        <v>11</v>
      </c>
      <c r="W201">
        <v>9.9202561999999994E-2</v>
      </c>
      <c r="X201">
        <f t="shared" si="20"/>
        <v>9.5335018999999993E-2</v>
      </c>
      <c r="AF201">
        <v>10</v>
      </c>
      <c r="AI201">
        <v>9.0702562E-2</v>
      </c>
      <c r="AJ201">
        <v>3.8675434691926025E-3</v>
      </c>
      <c r="AK201">
        <f t="shared" si="19"/>
        <v>9.4570105469192603E-2</v>
      </c>
    </row>
    <row r="202" spans="20:37" x14ac:dyDescent="0.25">
      <c r="T202">
        <v>-1.4521239999999991E-3</v>
      </c>
      <c r="V202">
        <v>11</v>
      </c>
      <c r="W202">
        <v>9.3736946000000002E-2</v>
      </c>
      <c r="X202">
        <f t="shared" si="20"/>
        <v>9.2284822000000002E-2</v>
      </c>
      <c r="AF202">
        <v>10</v>
      </c>
      <c r="AI202">
        <v>8.5236945999999994E-2</v>
      </c>
      <c r="AJ202">
        <v>1.4521236790610986E-3</v>
      </c>
      <c r="AK202">
        <f t="shared" si="19"/>
        <v>8.6689069679061093E-2</v>
      </c>
    </row>
    <row r="203" spans="20:37" x14ac:dyDescent="0.25">
      <c r="T203">
        <v>3.6480339999999997E-3</v>
      </c>
      <c r="V203">
        <v>11</v>
      </c>
      <c r="W203">
        <v>9.6090945999999997E-2</v>
      </c>
      <c r="X203">
        <f t="shared" si="20"/>
        <v>9.9738979999999991E-2</v>
      </c>
      <c r="AF203">
        <v>10</v>
      </c>
      <c r="AI203">
        <v>8.7590946000000003E-2</v>
      </c>
      <c r="AJ203">
        <v>-3.6480337855291992E-3</v>
      </c>
      <c r="AK203">
        <f t="shared" si="19"/>
        <v>8.3942912214470811E-2</v>
      </c>
    </row>
    <row r="204" spans="20:37" x14ac:dyDescent="0.25">
      <c r="T204">
        <v>-5.2652129999999995E-3</v>
      </c>
      <c r="V204">
        <v>11</v>
      </c>
      <c r="W204">
        <v>9.5602288999999993E-2</v>
      </c>
      <c r="X204">
        <f t="shared" si="20"/>
        <v>9.0337075999999988E-2</v>
      </c>
      <c r="AF204">
        <v>10</v>
      </c>
      <c r="AI204">
        <v>8.7102288999999999E-2</v>
      </c>
      <c r="AJ204">
        <v>5.2652134721133982E-3</v>
      </c>
      <c r="AK204">
        <f t="shared" si="19"/>
        <v>9.2367502472113394E-2</v>
      </c>
    </row>
    <row r="205" spans="20:37" x14ac:dyDescent="0.25">
      <c r="T205">
        <v>3.4581700000000004E-3</v>
      </c>
      <c r="V205">
        <v>11</v>
      </c>
      <c r="W205">
        <v>9.6551647000000004E-2</v>
      </c>
      <c r="X205">
        <f t="shared" si="20"/>
        <v>0.100009817</v>
      </c>
      <c r="AF205">
        <v>10</v>
      </c>
      <c r="AI205">
        <v>8.8051646999999997E-2</v>
      </c>
      <c r="AJ205">
        <v>-3.4581701349243998E-3</v>
      </c>
      <c r="AK205">
        <f t="shared" si="19"/>
        <v>8.4593476865075595E-2</v>
      </c>
    </row>
    <row r="206" spans="20:37" x14ac:dyDescent="0.25">
      <c r="T206">
        <v>-1.3972459999999996E-3</v>
      </c>
      <c r="V206">
        <v>11</v>
      </c>
      <c r="W206">
        <v>9.8554231000000006E-2</v>
      </c>
      <c r="X206">
        <f t="shared" si="20"/>
        <v>9.7156985000000001E-2</v>
      </c>
      <c r="AF206">
        <v>10</v>
      </c>
      <c r="AI206">
        <v>9.0054230999999998E-2</v>
      </c>
      <c r="AJ206">
        <v>1.3972462815104968E-3</v>
      </c>
      <c r="AK206">
        <f t="shared" si="19"/>
        <v>9.1451477281510499E-2</v>
      </c>
    </row>
    <row r="207" spans="20:37" x14ac:dyDescent="0.25">
      <c r="T207">
        <v>4.4980640000000013E-3</v>
      </c>
      <c r="V207">
        <v>11</v>
      </c>
      <c r="W207">
        <v>9.8216328000000006E-2</v>
      </c>
      <c r="X207">
        <f t="shared" si="20"/>
        <v>0.102714392</v>
      </c>
      <c r="AF207">
        <v>10</v>
      </c>
      <c r="AI207">
        <v>8.9716327999999998E-2</v>
      </c>
      <c r="AJ207">
        <v>-4.498064267265801E-3</v>
      </c>
      <c r="AK207">
        <f t="shared" si="19"/>
        <v>8.5218263732734195E-2</v>
      </c>
    </row>
    <row r="208" spans="20:37" x14ac:dyDescent="0.25">
      <c r="T208">
        <v>-1.474932E-3</v>
      </c>
      <c r="V208">
        <v>11</v>
      </c>
      <c r="W208">
        <v>9.7648940000000004E-2</v>
      </c>
      <c r="X208">
        <f t="shared" si="20"/>
        <v>9.6174008000000005E-2</v>
      </c>
      <c r="AF208">
        <v>10</v>
      </c>
      <c r="AI208">
        <v>8.9148939999999996E-2</v>
      </c>
      <c r="AJ208">
        <v>1.4749322152876991E-3</v>
      </c>
      <c r="AK208">
        <f t="shared" si="19"/>
        <v>9.0623872215287699E-2</v>
      </c>
    </row>
    <row r="209" spans="20:37" x14ac:dyDescent="0.25">
      <c r="T209">
        <v>-2.5714429999999979E-3</v>
      </c>
      <c r="V209">
        <v>11</v>
      </c>
      <c r="W209">
        <v>9.8947851000000003E-2</v>
      </c>
      <c r="X209">
        <f t="shared" si="20"/>
        <v>9.6376408000000011E-2</v>
      </c>
      <c r="AF209">
        <v>10</v>
      </c>
      <c r="AI209">
        <v>9.0447850999999996E-2</v>
      </c>
      <c r="AJ209">
        <v>2.5714428601953006E-3</v>
      </c>
      <c r="AK209">
        <f t="shared" si="19"/>
        <v>9.3019293860195293E-2</v>
      </c>
    </row>
    <row r="210" spans="20:37" x14ac:dyDescent="0.25">
      <c r="T210">
        <v>4.0541759999999996E-3</v>
      </c>
      <c r="V210">
        <v>11</v>
      </c>
      <c r="W210">
        <v>0.101065081</v>
      </c>
      <c r="X210">
        <f t="shared" si="20"/>
        <v>0.10511925699999999</v>
      </c>
      <c r="AF210">
        <v>10</v>
      </c>
      <c r="AI210">
        <v>9.2565080999999994E-2</v>
      </c>
      <c r="AJ210">
        <v>-4.054176384198499E-3</v>
      </c>
      <c r="AK210">
        <f t="shared" si="19"/>
        <v>8.8510904615801494E-2</v>
      </c>
    </row>
    <row r="211" spans="20:37" x14ac:dyDescent="0.25">
      <c r="T211">
        <v>-1.4223970000000006E-3</v>
      </c>
      <c r="V211">
        <v>11</v>
      </c>
      <c r="W211">
        <v>9.9668023999999994E-2</v>
      </c>
      <c r="X211">
        <f t="shared" si="20"/>
        <v>9.8245626999999988E-2</v>
      </c>
      <c r="AF211">
        <v>10</v>
      </c>
      <c r="AI211">
        <v>9.1168024E-2</v>
      </c>
      <c r="AJ211">
        <v>1.4223965314468026E-3</v>
      </c>
      <c r="AK211">
        <f t="shared" si="19"/>
        <v>9.259042053144681E-2</v>
      </c>
    </row>
    <row r="212" spans="20:37" x14ac:dyDescent="0.25">
      <c r="T212">
        <v>4.6040869999999998E-3</v>
      </c>
      <c r="V212">
        <v>11</v>
      </c>
      <c r="W212">
        <v>9.9016418999999994E-2</v>
      </c>
      <c r="X212">
        <f t="shared" si="20"/>
        <v>0.103620506</v>
      </c>
      <c r="AF212">
        <v>10</v>
      </c>
      <c r="AI212">
        <v>9.0516419000000001E-2</v>
      </c>
      <c r="AJ212">
        <v>-4.6040865182085007E-3</v>
      </c>
      <c r="AK212">
        <f t="shared" si="19"/>
        <v>8.5912332481791504E-2</v>
      </c>
    </row>
    <row r="213" spans="20:37" x14ac:dyDescent="0.25">
      <c r="T213">
        <v>-1.3638510000000001E-3</v>
      </c>
      <c r="V213">
        <v>11</v>
      </c>
      <c r="W213">
        <v>0.100423295</v>
      </c>
      <c r="X213">
        <f t="shared" si="20"/>
        <v>9.9059443999999996E-2</v>
      </c>
      <c r="AF213">
        <v>10</v>
      </c>
      <c r="AI213">
        <v>9.1923295000000002E-2</v>
      </c>
      <c r="AJ213">
        <v>1.3638512681208997E-3</v>
      </c>
      <c r="AK213">
        <f t="shared" si="19"/>
        <v>9.3287146268120902E-2</v>
      </c>
    </row>
    <row r="214" spans="20:37" x14ac:dyDescent="0.25">
      <c r="T214">
        <v>-4.9820200000000141E-4</v>
      </c>
      <c r="V214">
        <v>11</v>
      </c>
      <c r="W214">
        <v>0.101948173</v>
      </c>
      <c r="X214">
        <f t="shared" si="20"/>
        <v>0.101449971</v>
      </c>
      <c r="AF214">
        <v>10</v>
      </c>
      <c r="AI214">
        <v>9.3448172999999995E-2</v>
      </c>
      <c r="AJ214">
        <v>4.9820218905680114E-4</v>
      </c>
      <c r="AK214">
        <f t="shared" si="19"/>
        <v>9.3946375189056797E-2</v>
      </c>
    </row>
    <row r="215" spans="20:37" x14ac:dyDescent="0.25">
      <c r="T215">
        <v>-3.6063000000000015E-3</v>
      </c>
      <c r="V215">
        <v>11</v>
      </c>
      <c r="W215">
        <v>9.6618711999999995E-2</v>
      </c>
      <c r="X215">
        <f t="shared" si="20"/>
        <v>9.3012411999999989E-2</v>
      </c>
      <c r="AF215">
        <v>10</v>
      </c>
      <c r="AI215">
        <v>8.8118712000000002E-2</v>
      </c>
      <c r="AJ215">
        <v>3.6063003129476016E-3</v>
      </c>
      <c r="AK215">
        <f t="shared" si="19"/>
        <v>9.1725012312947607E-2</v>
      </c>
    </row>
    <row r="216" spans="20:37" x14ac:dyDescent="0.25">
      <c r="T216">
        <v>-2.9499999999999995E-3</v>
      </c>
      <c r="V216">
        <v>11</v>
      </c>
      <c r="W216">
        <v>9.7564440000000002E-2</v>
      </c>
      <c r="X216">
        <f t="shared" si="20"/>
        <v>9.4614440000000008E-2</v>
      </c>
      <c r="AF216">
        <v>10</v>
      </c>
      <c r="AI216">
        <v>8.9064439999999995E-2</v>
      </c>
      <c r="AJ216">
        <v>2.9499997063128017E-3</v>
      </c>
      <c r="AK216">
        <f t="shared" si="19"/>
        <v>9.2014439706312789E-2</v>
      </c>
    </row>
    <row r="217" spans="20:37" x14ac:dyDescent="0.25">
      <c r="T217">
        <v>-2.3438760000000017E-3</v>
      </c>
      <c r="V217">
        <v>11</v>
      </c>
      <c r="W217">
        <v>9.9076992000000003E-2</v>
      </c>
      <c r="X217">
        <f t="shared" si="20"/>
        <v>9.6733116000000008E-2</v>
      </c>
      <c r="AF217">
        <v>10</v>
      </c>
      <c r="AI217">
        <v>9.0576991999999995E-2</v>
      </c>
      <c r="AJ217">
        <v>2.3438755038220002E-3</v>
      </c>
      <c r="AK217">
        <f t="shared" si="19"/>
        <v>9.2920867503822002E-2</v>
      </c>
    </row>
    <row r="218" spans="20:37" x14ac:dyDescent="0.25">
      <c r="T218">
        <v>2.8192619999999995E-3</v>
      </c>
      <c r="V218">
        <v>12</v>
      </c>
      <c r="W218">
        <v>0.10411443400000001</v>
      </c>
      <c r="X218">
        <f t="shared" si="20"/>
        <v>0.10693369600000001</v>
      </c>
      <c r="AF218">
        <v>11</v>
      </c>
      <c r="AI218">
        <v>9.6614433999999999E-2</v>
      </c>
      <c r="AJ218">
        <v>-2.8192624026107012E-3</v>
      </c>
      <c r="AK218">
        <f t="shared" si="19"/>
        <v>9.3795171597389301E-2</v>
      </c>
    </row>
    <row r="219" spans="20:37" x14ac:dyDescent="0.25">
      <c r="T219">
        <v>-1.9650540000000001E-2</v>
      </c>
      <c r="V219">
        <v>12</v>
      </c>
      <c r="W219">
        <v>0.10706690100000001</v>
      </c>
      <c r="X219">
        <f t="shared" si="20"/>
        <v>8.7416360999999998E-2</v>
      </c>
      <c r="AF219">
        <v>11</v>
      </c>
      <c r="AI219">
        <v>9.9566900999999999E-2</v>
      </c>
      <c r="AJ219">
        <v>1.9650540324845197E-2</v>
      </c>
      <c r="AK219">
        <f t="shared" ref="AK219:AK265" si="21">AI219+AJ219</f>
        <v>0.1192174413248452</v>
      </c>
    </row>
    <row r="220" spans="20:37" x14ac:dyDescent="0.25">
      <c r="T220">
        <v>-1.7332529999999997E-3</v>
      </c>
      <c r="V220">
        <v>12</v>
      </c>
      <c r="W220">
        <v>0.10693815199999999</v>
      </c>
      <c r="X220">
        <f t="shared" si="20"/>
        <v>0.10520489899999999</v>
      </c>
      <c r="AF220">
        <v>11</v>
      </c>
      <c r="AI220">
        <v>9.9438152000000002E-2</v>
      </c>
      <c r="AJ220">
        <v>1.7332530896637006E-3</v>
      </c>
      <c r="AK220">
        <f t="shared" si="21"/>
        <v>0.1011714050896637</v>
      </c>
    </row>
    <row r="221" spans="20:37" x14ac:dyDescent="0.25">
      <c r="T221">
        <v>-4.7928499999999995E-3</v>
      </c>
      <c r="V221">
        <v>12</v>
      </c>
      <c r="W221">
        <v>0.105288331</v>
      </c>
      <c r="X221">
        <f t="shared" si="20"/>
        <v>0.100495481</v>
      </c>
      <c r="AF221">
        <v>11</v>
      </c>
      <c r="AI221">
        <v>9.7788331000000006E-2</v>
      </c>
      <c r="AJ221">
        <v>4.7928500988234993E-3</v>
      </c>
      <c r="AK221">
        <f t="shared" si="21"/>
        <v>0.1025811810988235</v>
      </c>
    </row>
    <row r="222" spans="20:37" x14ac:dyDescent="0.25">
      <c r="T222">
        <v>-1.7679029999999995E-3</v>
      </c>
      <c r="V222">
        <v>12</v>
      </c>
      <c r="W222">
        <v>0.10231522999999999</v>
      </c>
      <c r="X222">
        <f t="shared" si="20"/>
        <v>0.10054732699999999</v>
      </c>
      <c r="AF222">
        <v>11</v>
      </c>
      <c r="AI222">
        <v>9.481523E-2</v>
      </c>
      <c r="AJ222">
        <v>1.7679034889134006E-3</v>
      </c>
      <c r="AK222">
        <f t="shared" si="21"/>
        <v>9.6583133488913397E-2</v>
      </c>
    </row>
    <row r="223" spans="20:37" x14ac:dyDescent="0.25">
      <c r="T223">
        <v>-1.4931460000000008E-3</v>
      </c>
      <c r="V223">
        <v>12</v>
      </c>
      <c r="W223">
        <v>0.10625879100000001</v>
      </c>
      <c r="X223">
        <f t="shared" si="20"/>
        <v>0.104765645</v>
      </c>
      <c r="AF223">
        <v>11</v>
      </c>
      <c r="AI223">
        <v>9.8758790999999999E-2</v>
      </c>
      <c r="AJ223">
        <v>1.4931463908408014E-3</v>
      </c>
      <c r="AK223">
        <f t="shared" si="21"/>
        <v>0.1002519373908408</v>
      </c>
    </row>
    <row r="224" spans="20:37" x14ac:dyDescent="0.25">
      <c r="T224">
        <v>3.8578739999999999E-3</v>
      </c>
      <c r="V224">
        <v>12</v>
      </c>
      <c r="W224">
        <v>0.10234689299999999</v>
      </c>
      <c r="X224">
        <f t="shared" si="20"/>
        <v>0.10620476699999999</v>
      </c>
      <c r="AF224">
        <v>11</v>
      </c>
      <c r="AI224">
        <v>9.4846893000000002E-2</v>
      </c>
      <c r="AJ224">
        <v>-3.8578735530720026E-3</v>
      </c>
      <c r="AK224">
        <f t="shared" si="21"/>
        <v>9.0989019446927999E-2</v>
      </c>
    </row>
    <row r="225" spans="20:37" x14ac:dyDescent="0.25">
      <c r="T225">
        <v>-3.8675430000000011E-3</v>
      </c>
      <c r="V225">
        <v>12</v>
      </c>
      <c r="W225">
        <v>0.106702562</v>
      </c>
      <c r="X225">
        <f t="shared" si="20"/>
        <v>0.102835019</v>
      </c>
      <c r="AF225">
        <v>11</v>
      </c>
      <c r="AI225">
        <v>9.9202561999999994E-2</v>
      </c>
      <c r="AJ225">
        <v>3.8675434691926025E-3</v>
      </c>
      <c r="AK225">
        <f t="shared" si="21"/>
        <v>0.1030701054691926</v>
      </c>
    </row>
    <row r="226" spans="20:37" x14ac:dyDescent="0.25">
      <c r="T226">
        <v>-1.4521239999999991E-3</v>
      </c>
      <c r="V226">
        <v>12</v>
      </c>
      <c r="W226">
        <v>0.10123694599999999</v>
      </c>
      <c r="X226">
        <f t="shared" si="20"/>
        <v>9.9784821999999995E-2</v>
      </c>
      <c r="AF226">
        <v>11</v>
      </c>
      <c r="AI226">
        <v>9.3736946000000002E-2</v>
      </c>
      <c r="AJ226">
        <v>1.4521236790610986E-3</v>
      </c>
      <c r="AK226">
        <f t="shared" si="21"/>
        <v>9.51890696790611E-2</v>
      </c>
    </row>
    <row r="227" spans="20:37" x14ac:dyDescent="0.25">
      <c r="T227">
        <v>3.6480339999999997E-3</v>
      </c>
      <c r="V227">
        <v>12</v>
      </c>
      <c r="W227">
        <v>0.103590946</v>
      </c>
      <c r="X227">
        <f t="shared" si="20"/>
        <v>0.10723898</v>
      </c>
      <c r="AF227">
        <v>11</v>
      </c>
      <c r="AI227">
        <v>9.6090945999999997E-2</v>
      </c>
      <c r="AJ227">
        <v>-3.6480337855291992E-3</v>
      </c>
      <c r="AK227">
        <f t="shared" si="21"/>
        <v>9.244291221447079E-2</v>
      </c>
    </row>
    <row r="228" spans="20:37" x14ac:dyDescent="0.25">
      <c r="T228">
        <v>-5.2652129999999995E-3</v>
      </c>
      <c r="V228">
        <v>12</v>
      </c>
      <c r="W228">
        <v>0.103102289</v>
      </c>
      <c r="X228">
        <f t="shared" si="20"/>
        <v>9.7837075999999995E-2</v>
      </c>
      <c r="AF228">
        <v>11</v>
      </c>
      <c r="AI228">
        <v>9.5602288999999993E-2</v>
      </c>
      <c r="AJ228">
        <v>5.2652134721133982E-3</v>
      </c>
      <c r="AK228">
        <f t="shared" si="21"/>
        <v>0.10086750247211339</v>
      </c>
    </row>
    <row r="229" spans="20:37" x14ac:dyDescent="0.25">
      <c r="T229">
        <v>3.4581700000000004E-3</v>
      </c>
      <c r="V229">
        <v>12</v>
      </c>
      <c r="W229">
        <v>0.104051647</v>
      </c>
      <c r="X229">
        <f t="shared" si="20"/>
        <v>0.10750981699999999</v>
      </c>
      <c r="AF229">
        <v>11</v>
      </c>
      <c r="AI229">
        <v>9.6551647000000004E-2</v>
      </c>
      <c r="AJ229">
        <v>-3.4581701349243998E-3</v>
      </c>
      <c r="AK229">
        <f t="shared" si="21"/>
        <v>9.3093476865075603E-2</v>
      </c>
    </row>
    <row r="230" spans="20:37" x14ac:dyDescent="0.25">
      <c r="T230">
        <v>-1.3972459999999996E-3</v>
      </c>
      <c r="V230">
        <v>12</v>
      </c>
      <c r="W230">
        <v>0.106054231</v>
      </c>
      <c r="X230">
        <f t="shared" si="20"/>
        <v>0.10465698499999999</v>
      </c>
      <c r="AF230">
        <v>11</v>
      </c>
      <c r="AI230">
        <v>9.8554231000000006E-2</v>
      </c>
      <c r="AJ230">
        <v>1.3972462815104968E-3</v>
      </c>
      <c r="AK230">
        <f t="shared" si="21"/>
        <v>9.9951477281510506E-2</v>
      </c>
    </row>
    <row r="231" spans="20:37" x14ac:dyDescent="0.25">
      <c r="T231">
        <v>4.4980640000000013E-3</v>
      </c>
      <c r="V231">
        <v>12</v>
      </c>
      <c r="W231">
        <v>0.105716328</v>
      </c>
      <c r="X231">
        <f t="shared" si="20"/>
        <v>0.11021439199999999</v>
      </c>
      <c r="AF231">
        <v>11</v>
      </c>
      <c r="AI231">
        <v>9.8216328000000006E-2</v>
      </c>
      <c r="AJ231">
        <v>-4.498064267265801E-3</v>
      </c>
      <c r="AK231">
        <f t="shared" si="21"/>
        <v>9.3718263732734203E-2</v>
      </c>
    </row>
    <row r="232" spans="20:37" x14ac:dyDescent="0.25">
      <c r="T232">
        <v>-1.474932E-3</v>
      </c>
      <c r="V232">
        <v>12</v>
      </c>
      <c r="W232">
        <v>0.10514894</v>
      </c>
      <c r="X232">
        <f t="shared" si="20"/>
        <v>0.103674008</v>
      </c>
      <c r="AF232">
        <v>11</v>
      </c>
      <c r="AI232">
        <v>9.7648940000000004E-2</v>
      </c>
      <c r="AJ232">
        <v>1.4749322152876991E-3</v>
      </c>
      <c r="AK232">
        <f t="shared" si="21"/>
        <v>9.9123872215287706E-2</v>
      </c>
    </row>
    <row r="233" spans="20:37" x14ac:dyDescent="0.25">
      <c r="T233">
        <v>-2.5714429999999979E-3</v>
      </c>
      <c r="V233">
        <v>12</v>
      </c>
      <c r="W233">
        <v>0.106447851</v>
      </c>
      <c r="X233">
        <f t="shared" si="20"/>
        <v>0.103876408</v>
      </c>
      <c r="AF233">
        <v>11</v>
      </c>
      <c r="AI233">
        <v>9.8947851000000003E-2</v>
      </c>
      <c r="AJ233">
        <v>2.5714428601953006E-3</v>
      </c>
      <c r="AK233">
        <f t="shared" si="21"/>
        <v>0.1015192938601953</v>
      </c>
    </row>
    <row r="234" spans="20:37" x14ac:dyDescent="0.25">
      <c r="T234">
        <v>4.0541759999999996E-3</v>
      </c>
      <c r="V234">
        <v>12</v>
      </c>
      <c r="W234">
        <v>0.10856508099999999</v>
      </c>
      <c r="X234">
        <f t="shared" si="20"/>
        <v>0.112619257</v>
      </c>
      <c r="AF234">
        <v>11</v>
      </c>
      <c r="AI234">
        <v>0.101065081</v>
      </c>
      <c r="AJ234">
        <v>-4.054176384198499E-3</v>
      </c>
      <c r="AK234">
        <f t="shared" si="21"/>
        <v>9.7010904615801502E-2</v>
      </c>
    </row>
    <row r="235" spans="20:37" x14ac:dyDescent="0.25">
      <c r="T235">
        <v>-1.4223970000000006E-3</v>
      </c>
      <c r="V235">
        <v>12</v>
      </c>
      <c r="W235">
        <v>0.107168024</v>
      </c>
      <c r="X235">
        <f t="shared" si="20"/>
        <v>0.10574562699999999</v>
      </c>
      <c r="AF235">
        <v>11</v>
      </c>
      <c r="AI235">
        <v>9.9668023999999994E-2</v>
      </c>
      <c r="AJ235">
        <v>1.4223965314468026E-3</v>
      </c>
      <c r="AK235">
        <f t="shared" si="21"/>
        <v>0.10109042053144679</v>
      </c>
    </row>
    <row r="236" spans="20:37" x14ac:dyDescent="0.25">
      <c r="T236">
        <v>4.6040869999999998E-3</v>
      </c>
      <c r="V236">
        <v>12</v>
      </c>
      <c r="W236">
        <v>0.106516419</v>
      </c>
      <c r="X236">
        <f t="shared" si="20"/>
        <v>0.11112050600000001</v>
      </c>
      <c r="AF236">
        <v>11</v>
      </c>
      <c r="AI236">
        <v>9.9016418999999994E-2</v>
      </c>
      <c r="AJ236">
        <v>-4.6040865182085007E-3</v>
      </c>
      <c r="AK236">
        <f t="shared" si="21"/>
        <v>9.4412332481791497E-2</v>
      </c>
    </row>
    <row r="237" spans="20:37" x14ac:dyDescent="0.25">
      <c r="T237">
        <v>-1.3638510000000001E-3</v>
      </c>
      <c r="V237">
        <v>12</v>
      </c>
      <c r="W237">
        <v>0.107923295</v>
      </c>
      <c r="X237">
        <f t="shared" si="20"/>
        <v>0.106559444</v>
      </c>
      <c r="AF237">
        <v>11</v>
      </c>
      <c r="AI237">
        <v>0.100423295</v>
      </c>
      <c r="AJ237">
        <v>1.3638512681208997E-3</v>
      </c>
      <c r="AK237">
        <f t="shared" si="21"/>
        <v>0.1017871462681209</v>
      </c>
    </row>
    <row r="238" spans="20:37" x14ac:dyDescent="0.25">
      <c r="T238">
        <v>-4.9820200000000141E-4</v>
      </c>
      <c r="V238">
        <v>12</v>
      </c>
      <c r="W238">
        <v>0.109448173</v>
      </c>
      <c r="X238">
        <f t="shared" si="20"/>
        <v>0.10894997099999999</v>
      </c>
      <c r="AF238">
        <v>11</v>
      </c>
      <c r="AI238">
        <v>0.101948173</v>
      </c>
      <c r="AJ238">
        <v>4.9820218905680114E-4</v>
      </c>
      <c r="AK238">
        <f t="shared" si="21"/>
        <v>0.1024463751890568</v>
      </c>
    </row>
    <row r="239" spans="20:37" x14ac:dyDescent="0.25">
      <c r="T239">
        <v>-3.6063000000000015E-3</v>
      </c>
      <c r="V239">
        <v>12</v>
      </c>
      <c r="W239">
        <v>0.104118712</v>
      </c>
      <c r="X239">
        <f t="shared" si="20"/>
        <v>0.100512412</v>
      </c>
      <c r="AF239">
        <v>11</v>
      </c>
      <c r="AI239">
        <v>9.6618711999999995E-2</v>
      </c>
      <c r="AJ239">
        <v>3.6063003129476016E-3</v>
      </c>
      <c r="AK239">
        <f t="shared" si="21"/>
        <v>0.1002250123129476</v>
      </c>
    </row>
    <row r="240" spans="20:37" x14ac:dyDescent="0.25">
      <c r="T240">
        <v>-2.9499999999999995E-3</v>
      </c>
      <c r="V240">
        <v>12</v>
      </c>
      <c r="W240">
        <v>0.10506444</v>
      </c>
      <c r="X240">
        <f t="shared" si="20"/>
        <v>0.10211444</v>
      </c>
      <c r="AF240">
        <v>11</v>
      </c>
      <c r="AI240">
        <v>9.7564440000000002E-2</v>
      </c>
      <c r="AJ240">
        <v>2.9499997063128017E-3</v>
      </c>
      <c r="AK240">
        <f t="shared" si="21"/>
        <v>0.1005144397063128</v>
      </c>
    </row>
    <row r="241" spans="20:37" x14ac:dyDescent="0.25">
      <c r="T241">
        <v>-2.3438760000000017E-3</v>
      </c>
      <c r="V241">
        <v>12</v>
      </c>
      <c r="W241">
        <v>0.106576992</v>
      </c>
      <c r="X241">
        <f t="shared" si="20"/>
        <v>0.10423311599999999</v>
      </c>
      <c r="AF241">
        <v>11</v>
      </c>
      <c r="AI241">
        <v>9.9076992000000003E-2</v>
      </c>
      <c r="AJ241">
        <v>2.3438755038220002E-3</v>
      </c>
      <c r="AK241">
        <f t="shared" si="21"/>
        <v>0.10142086750382201</v>
      </c>
    </row>
    <row r="242" spans="20:37" x14ac:dyDescent="0.25">
      <c r="AF242">
        <v>12</v>
      </c>
      <c r="AI242">
        <v>0.10411443400000001</v>
      </c>
      <c r="AJ242">
        <v>-2.8192624026107012E-3</v>
      </c>
      <c r="AK242">
        <f t="shared" si="21"/>
        <v>0.10129517159738931</v>
      </c>
    </row>
    <row r="243" spans="20:37" x14ac:dyDescent="0.25">
      <c r="AF243">
        <v>12</v>
      </c>
      <c r="AI243">
        <v>0.10706690100000001</v>
      </c>
      <c r="AJ243">
        <v>1.9650540324845197E-2</v>
      </c>
      <c r="AK243">
        <f t="shared" si="21"/>
        <v>0.12671744132484519</v>
      </c>
    </row>
    <row r="244" spans="20:37" x14ac:dyDescent="0.25">
      <c r="AF244">
        <v>12</v>
      </c>
      <c r="AI244">
        <v>0.10693815199999999</v>
      </c>
      <c r="AJ244">
        <v>1.7332530896637006E-3</v>
      </c>
      <c r="AK244">
        <f t="shared" si="21"/>
        <v>0.10867140508966369</v>
      </c>
    </row>
    <row r="245" spans="20:37" x14ac:dyDescent="0.25">
      <c r="AF245">
        <v>12</v>
      </c>
      <c r="AI245">
        <v>0.105288331</v>
      </c>
      <c r="AJ245">
        <v>4.7928500988234993E-3</v>
      </c>
      <c r="AK245">
        <f t="shared" si="21"/>
        <v>0.11008118109882351</v>
      </c>
    </row>
    <row r="246" spans="20:37" x14ac:dyDescent="0.25">
      <c r="AF246">
        <v>12</v>
      </c>
      <c r="AI246">
        <v>0.10231522999999999</v>
      </c>
      <c r="AJ246">
        <v>1.7679034889134006E-3</v>
      </c>
      <c r="AK246">
        <f t="shared" si="21"/>
        <v>0.10408313348891339</v>
      </c>
    </row>
    <row r="247" spans="20:37" x14ac:dyDescent="0.25">
      <c r="AF247">
        <v>12</v>
      </c>
      <c r="AI247">
        <v>0.10625879100000001</v>
      </c>
      <c r="AJ247">
        <v>1.4931463908408014E-3</v>
      </c>
      <c r="AK247">
        <f t="shared" si="21"/>
        <v>0.10775193739084081</v>
      </c>
    </row>
    <row r="248" spans="20:37" x14ac:dyDescent="0.25">
      <c r="AF248">
        <v>12</v>
      </c>
      <c r="AI248">
        <v>0.10234689299999999</v>
      </c>
      <c r="AJ248">
        <v>-3.8578735530720026E-3</v>
      </c>
      <c r="AK248">
        <f t="shared" si="21"/>
        <v>9.8489019446927992E-2</v>
      </c>
    </row>
    <row r="249" spans="20:37" x14ac:dyDescent="0.25">
      <c r="AF249">
        <v>12</v>
      </c>
      <c r="AI249">
        <v>0.106702562</v>
      </c>
      <c r="AJ249">
        <v>3.8675434691926025E-3</v>
      </c>
      <c r="AK249">
        <f t="shared" si="21"/>
        <v>0.1105701054691926</v>
      </c>
    </row>
    <row r="250" spans="20:37" x14ac:dyDescent="0.25">
      <c r="AF250">
        <v>12</v>
      </c>
      <c r="AI250">
        <v>0.10123694599999999</v>
      </c>
      <c r="AJ250">
        <v>1.4521236790610986E-3</v>
      </c>
      <c r="AK250">
        <f t="shared" si="21"/>
        <v>0.10268906967906109</v>
      </c>
    </row>
    <row r="251" spans="20:37" x14ac:dyDescent="0.25">
      <c r="AF251">
        <v>12</v>
      </c>
      <c r="AI251">
        <v>0.103590946</v>
      </c>
      <c r="AJ251">
        <v>-3.6480337855291992E-3</v>
      </c>
      <c r="AK251">
        <f t="shared" si="21"/>
        <v>9.9942912214470797E-2</v>
      </c>
    </row>
    <row r="252" spans="20:37" x14ac:dyDescent="0.25">
      <c r="AF252">
        <v>12</v>
      </c>
      <c r="AI252">
        <v>0.103102289</v>
      </c>
      <c r="AJ252">
        <v>5.2652134721133982E-3</v>
      </c>
      <c r="AK252">
        <f t="shared" si="21"/>
        <v>0.10836750247211339</v>
      </c>
    </row>
    <row r="253" spans="20:37" x14ac:dyDescent="0.25">
      <c r="AF253">
        <v>12</v>
      </c>
      <c r="AI253">
        <v>0.104051647</v>
      </c>
      <c r="AJ253">
        <v>-3.4581701349243998E-3</v>
      </c>
      <c r="AK253">
        <f t="shared" si="21"/>
        <v>0.1005934768650756</v>
      </c>
    </row>
    <row r="254" spans="20:37" x14ac:dyDescent="0.25">
      <c r="AF254">
        <v>12</v>
      </c>
      <c r="AI254">
        <v>0.106054231</v>
      </c>
      <c r="AJ254">
        <v>1.3972462815104968E-3</v>
      </c>
      <c r="AK254">
        <f t="shared" si="21"/>
        <v>0.1074514772815105</v>
      </c>
    </row>
    <row r="255" spans="20:37" x14ac:dyDescent="0.25">
      <c r="AF255">
        <v>12</v>
      </c>
      <c r="AI255">
        <v>0.105716328</v>
      </c>
      <c r="AJ255">
        <v>-4.498064267265801E-3</v>
      </c>
      <c r="AK255">
        <f t="shared" si="21"/>
        <v>0.1012182637327342</v>
      </c>
    </row>
    <row r="256" spans="20:37" x14ac:dyDescent="0.25">
      <c r="AF256">
        <v>12</v>
      </c>
      <c r="AI256">
        <v>0.10514894</v>
      </c>
      <c r="AJ256">
        <v>1.4749322152876991E-3</v>
      </c>
      <c r="AK256">
        <f t="shared" si="21"/>
        <v>0.1066238722152877</v>
      </c>
    </row>
    <row r="257" spans="32:37" x14ac:dyDescent="0.25">
      <c r="AF257">
        <v>12</v>
      </c>
      <c r="AI257">
        <v>0.106447851</v>
      </c>
      <c r="AJ257">
        <v>2.5714428601953006E-3</v>
      </c>
      <c r="AK257">
        <f t="shared" si="21"/>
        <v>0.10901929386019529</v>
      </c>
    </row>
    <row r="258" spans="32:37" x14ac:dyDescent="0.25">
      <c r="AF258">
        <v>12</v>
      </c>
      <c r="AI258">
        <v>0.10856508099999999</v>
      </c>
      <c r="AJ258">
        <v>-4.054176384198499E-3</v>
      </c>
      <c r="AK258">
        <f t="shared" si="21"/>
        <v>0.10451090461580149</v>
      </c>
    </row>
    <row r="259" spans="32:37" x14ac:dyDescent="0.25">
      <c r="AF259">
        <v>12</v>
      </c>
      <c r="AI259">
        <v>0.107168024</v>
      </c>
      <c r="AJ259">
        <v>1.4223965314468026E-3</v>
      </c>
      <c r="AK259">
        <f t="shared" si="21"/>
        <v>0.1085904205314468</v>
      </c>
    </row>
    <row r="260" spans="32:37" x14ac:dyDescent="0.25">
      <c r="AF260">
        <v>12</v>
      </c>
      <c r="AI260">
        <v>0.106516419</v>
      </c>
      <c r="AJ260">
        <v>-4.6040865182085007E-3</v>
      </c>
      <c r="AK260">
        <f t="shared" si="21"/>
        <v>0.1019123324817915</v>
      </c>
    </row>
    <row r="261" spans="32:37" x14ac:dyDescent="0.25">
      <c r="AF261">
        <v>12</v>
      </c>
      <c r="AI261">
        <v>0.107923295</v>
      </c>
      <c r="AJ261">
        <v>1.3638512681208997E-3</v>
      </c>
      <c r="AK261">
        <f t="shared" si="21"/>
        <v>0.1092871462681209</v>
      </c>
    </row>
    <row r="262" spans="32:37" x14ac:dyDescent="0.25">
      <c r="AF262">
        <v>12</v>
      </c>
      <c r="AI262">
        <v>0.109448173</v>
      </c>
      <c r="AJ262">
        <v>4.9820218905680114E-4</v>
      </c>
      <c r="AK262">
        <f t="shared" si="21"/>
        <v>0.1099463751890568</v>
      </c>
    </row>
    <row r="263" spans="32:37" x14ac:dyDescent="0.25">
      <c r="AF263">
        <v>12</v>
      </c>
      <c r="AI263">
        <v>0.104118712</v>
      </c>
      <c r="AJ263">
        <v>3.6063003129476016E-3</v>
      </c>
      <c r="AK263">
        <f t="shared" si="21"/>
        <v>0.10772501231294761</v>
      </c>
    </row>
    <row r="264" spans="32:37" x14ac:dyDescent="0.25">
      <c r="AF264">
        <v>12</v>
      </c>
      <c r="AI264">
        <v>0.10506444</v>
      </c>
      <c r="AJ264">
        <v>2.9499997063128017E-3</v>
      </c>
      <c r="AK264">
        <f t="shared" si="21"/>
        <v>0.1080144397063128</v>
      </c>
    </row>
    <row r="265" spans="32:37" x14ac:dyDescent="0.25">
      <c r="AF265">
        <v>12</v>
      </c>
      <c r="AI265">
        <v>0.106576992</v>
      </c>
      <c r="AJ265">
        <v>2.3438755038220002E-3</v>
      </c>
      <c r="AK265">
        <f t="shared" si="21"/>
        <v>0.10892086750382199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30E3-9A3A-46C2-AB22-58E0A58C5C64}">
  <dimension ref="A1:CX217"/>
  <sheetViews>
    <sheetView topLeftCell="BR1" workbookViewId="0">
      <selection activeCell="CA40" sqref="CA40"/>
    </sheetView>
  </sheetViews>
  <sheetFormatPr defaultRowHeight="15" x14ac:dyDescent="0.25"/>
  <cols>
    <col min="1" max="1" width="7.28515625" bestFit="1" customWidth="1"/>
    <col min="2" max="2" width="12.28515625" bestFit="1" customWidth="1"/>
    <col min="3" max="3" width="13.7109375" bestFit="1" customWidth="1"/>
    <col min="4" max="4" width="12" bestFit="1" customWidth="1"/>
    <col min="5" max="5" width="12.42578125" bestFit="1" customWidth="1"/>
    <col min="6" max="6" width="13.7109375" bestFit="1" customWidth="1"/>
    <col min="7" max="7" width="13.42578125" bestFit="1" customWidth="1"/>
    <col min="8" max="8" width="12.7109375" bestFit="1" customWidth="1"/>
    <col min="9" max="9" width="13.28515625" bestFit="1" customWidth="1"/>
    <col min="36" max="36" width="8.85546875" style="58"/>
  </cols>
  <sheetData>
    <row r="1" spans="1:102" ht="15.75" thickBot="1" x14ac:dyDescent="0.3">
      <c r="A1" t="s">
        <v>391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t="s">
        <v>379</v>
      </c>
      <c r="I1" t="s">
        <v>398</v>
      </c>
      <c r="K1" t="s">
        <v>10</v>
      </c>
      <c r="L1" t="s">
        <v>399</v>
      </c>
      <c r="M1" t="s">
        <v>400</v>
      </c>
      <c r="N1" t="s">
        <v>401</v>
      </c>
      <c r="R1" t="s">
        <v>402</v>
      </c>
      <c r="S1" t="s">
        <v>396</v>
      </c>
      <c r="T1" t="s">
        <v>394</v>
      </c>
      <c r="U1" t="s">
        <v>403</v>
      </c>
      <c r="V1" t="s">
        <v>404</v>
      </c>
      <c r="W1" t="s">
        <v>405</v>
      </c>
      <c r="X1" t="s">
        <v>379</v>
      </c>
      <c r="Y1" t="s">
        <v>406</v>
      </c>
      <c r="AA1" t="s">
        <v>407</v>
      </c>
      <c r="AB1" t="s">
        <v>408</v>
      </c>
      <c r="AC1" t="s">
        <v>394</v>
      </c>
      <c r="AD1" t="s">
        <v>409</v>
      </c>
      <c r="AE1" t="s">
        <v>410</v>
      </c>
      <c r="AF1" t="s">
        <v>411</v>
      </c>
      <c r="AG1" t="s">
        <v>379</v>
      </c>
      <c r="AH1" t="s">
        <v>412</v>
      </c>
      <c r="AI1" t="s">
        <v>413</v>
      </c>
      <c r="AJ1" s="58" t="s">
        <v>414</v>
      </c>
      <c r="AL1" t="s">
        <v>407</v>
      </c>
      <c r="AM1" t="s">
        <v>408</v>
      </c>
      <c r="AN1" t="s">
        <v>394</v>
      </c>
      <c r="AO1" t="s">
        <v>409</v>
      </c>
      <c r="AP1" t="s">
        <v>410</v>
      </c>
      <c r="AQ1" t="s">
        <v>411</v>
      </c>
      <c r="AR1" t="s">
        <v>379</v>
      </c>
      <c r="AS1" t="s">
        <v>412</v>
      </c>
      <c r="AT1" t="s">
        <v>413</v>
      </c>
      <c r="AU1" s="58" t="s">
        <v>414</v>
      </c>
      <c r="AW1" t="s">
        <v>407</v>
      </c>
      <c r="AX1" t="s">
        <v>408</v>
      </c>
      <c r="AY1" t="s">
        <v>394</v>
      </c>
      <c r="AZ1" t="s">
        <v>409</v>
      </c>
      <c r="BA1" t="s">
        <v>410</v>
      </c>
      <c r="BB1" t="s">
        <v>411</v>
      </c>
      <c r="BC1" t="s">
        <v>379</v>
      </c>
      <c r="BD1" t="s">
        <v>412</v>
      </c>
      <c r="BE1" t="s">
        <v>413</v>
      </c>
      <c r="BF1" s="58" t="s">
        <v>414</v>
      </c>
      <c r="BH1" t="s">
        <v>407</v>
      </c>
      <c r="BI1" t="s">
        <v>408</v>
      </c>
      <c r="BJ1" t="s">
        <v>394</v>
      </c>
      <c r="BK1" t="s">
        <v>409</v>
      </c>
      <c r="BL1" t="s">
        <v>410</v>
      </c>
      <c r="BM1" t="s">
        <v>411</v>
      </c>
      <c r="BN1" t="s">
        <v>379</v>
      </c>
      <c r="BO1" t="s">
        <v>412</v>
      </c>
      <c r="BP1" t="s">
        <v>413</v>
      </c>
      <c r="BQ1" s="58" t="s">
        <v>414</v>
      </c>
      <c r="BS1" t="s">
        <v>407</v>
      </c>
      <c r="BT1" t="s">
        <v>408</v>
      </c>
      <c r="BU1" t="s">
        <v>394</v>
      </c>
      <c r="BV1" t="s">
        <v>409</v>
      </c>
      <c r="BW1" t="s">
        <v>410</v>
      </c>
      <c r="BX1" t="s">
        <v>411</v>
      </c>
      <c r="BY1" t="s">
        <v>379</v>
      </c>
      <c r="BZ1" t="s">
        <v>412</v>
      </c>
      <c r="CA1" t="s">
        <v>413</v>
      </c>
      <c r="CB1" s="58" t="s">
        <v>414</v>
      </c>
      <c r="CD1" t="s">
        <v>407</v>
      </c>
      <c r="CE1" t="s">
        <v>408</v>
      </c>
      <c r="CF1" t="s">
        <v>394</v>
      </c>
      <c r="CG1" t="s">
        <v>409</v>
      </c>
      <c r="CH1" t="s">
        <v>410</v>
      </c>
      <c r="CI1" t="s">
        <v>411</v>
      </c>
      <c r="CJ1" t="s">
        <v>379</v>
      </c>
      <c r="CK1" t="s">
        <v>412</v>
      </c>
      <c r="CL1" t="s">
        <v>413</v>
      </c>
      <c r="CM1" s="58" t="s">
        <v>414</v>
      </c>
      <c r="CO1" t="s">
        <v>407</v>
      </c>
      <c r="CP1" t="s">
        <v>408</v>
      </c>
      <c r="CQ1" t="s">
        <v>394</v>
      </c>
      <c r="CR1" t="s">
        <v>409</v>
      </c>
      <c r="CS1" t="s">
        <v>410</v>
      </c>
      <c r="CT1" t="s">
        <v>411</v>
      </c>
      <c r="CU1" t="s">
        <v>379</v>
      </c>
      <c r="CV1" t="s">
        <v>412</v>
      </c>
      <c r="CW1" t="s">
        <v>413</v>
      </c>
      <c r="CX1" s="58" t="s">
        <v>414</v>
      </c>
    </row>
    <row r="2" spans="1:102" x14ac:dyDescent="0.25">
      <c r="A2" s="8" t="s">
        <v>46</v>
      </c>
      <c r="B2">
        <v>1.4624935E-2</v>
      </c>
      <c r="C2">
        <v>8.2500000000000004E-3</v>
      </c>
      <c r="D2" t="str">
        <f>IF(A2="Python",B2/C2,"")</f>
        <v/>
      </c>
      <c r="E2">
        <v>1.30008988708811E-2</v>
      </c>
      <c r="F2">
        <f>C2+E2</f>
        <v>2.1250898870881101E-2</v>
      </c>
      <c r="G2">
        <v>2.7625833999999998E-2</v>
      </c>
      <c r="H2">
        <f>F2-G2</f>
        <v>-6.3749351291188978E-3</v>
      </c>
      <c r="I2">
        <f>G2+H2</f>
        <v>2.1250898870881101E-2</v>
      </c>
      <c r="K2">
        <v>3</v>
      </c>
      <c r="L2">
        <v>1.30008988708811E-2</v>
      </c>
      <c r="M2">
        <v>8.2500000000000004E-3</v>
      </c>
      <c r="N2">
        <v>1.4624935E-2</v>
      </c>
      <c r="R2">
        <v>2.1250899E-2</v>
      </c>
      <c r="S2">
        <v>2.955E-2</v>
      </c>
      <c r="T2" t="str">
        <f t="shared" ref="T2:T25" si="0">IF($A2="Python",R2/S2,"")</f>
        <v/>
      </c>
      <c r="U2">
        <v>2.4756717639650198E-2</v>
      </c>
      <c r="V2">
        <f t="shared" ref="V2:V25" si="1">S2+U2</f>
        <v>5.4306717639650198E-2</v>
      </c>
      <c r="W2">
        <v>4.6007617000000001E-2</v>
      </c>
      <c r="X2">
        <f t="shared" ref="X2:X25" si="2">IF($A2="Python",V2-W2,0)</f>
        <v>0</v>
      </c>
      <c r="Y2">
        <f t="shared" ref="Y2:Y33" si="3">W2+X2</f>
        <v>4.6007617000000001E-2</v>
      </c>
      <c r="AA2">
        <v>4.6007617000000001E-2</v>
      </c>
      <c r="AB2">
        <v>3.9900000000000005E-2</v>
      </c>
      <c r="AC2" t="str">
        <f t="shared" ref="AC2:AC25" si="4">IF($A2="Python",AA2/AB2,"")</f>
        <v/>
      </c>
      <c r="AD2">
        <v>2.00581709237748E-2</v>
      </c>
      <c r="AE2">
        <f t="shared" ref="AE2:AE25" si="5">AB2+AD2</f>
        <v>5.9958170923774805E-2</v>
      </c>
      <c r="AF2">
        <v>6.6065788E-2</v>
      </c>
      <c r="AG2">
        <f t="shared" ref="AG2:AG25" si="6">IF($A2="Python",AE2-AF2,0)</f>
        <v>0</v>
      </c>
      <c r="AH2">
        <f t="shared" ref="AH2:AH33" si="7">AF2+AG2</f>
        <v>6.6065788E-2</v>
      </c>
      <c r="AI2">
        <v>6.6065788E-2</v>
      </c>
      <c r="AJ2" s="58">
        <f t="shared" ref="AJ2:AJ33" si="8">(AI2-AH2)/AH2</f>
        <v>0</v>
      </c>
      <c r="AL2">
        <v>6.6065788E-2</v>
      </c>
      <c r="AM2">
        <v>6.3149999999999998E-2</v>
      </c>
      <c r="AN2" t="str">
        <f t="shared" ref="AN2:AN25" si="9">IF($A2="Python",AL2/AM2,"")</f>
        <v/>
      </c>
      <c r="AO2">
        <v>1.6244986003526501E-2</v>
      </c>
      <c r="AP2">
        <f>AM2+AO2</f>
        <v>7.9394986003526499E-2</v>
      </c>
      <c r="AQ2">
        <v>8.2310774003526502E-2</v>
      </c>
      <c r="AR2">
        <f>IF($A2="Python",AP2-AQ2,0)</f>
        <v>0</v>
      </c>
      <c r="AS2">
        <f>AQ2+AR2</f>
        <v>8.2310774003526502E-2</v>
      </c>
      <c r="AT2">
        <v>8.2310774000000003E-2</v>
      </c>
      <c r="AU2" s="58">
        <f t="shared" ref="AU2:AU33" si="10">(AT2-AS2)/AS2</f>
        <v>-4.284370521750228E-11</v>
      </c>
      <c r="AW2">
        <v>8.2310774000000003E-2</v>
      </c>
      <c r="AX2">
        <v>7.8200000000000006E-2</v>
      </c>
      <c r="AY2" t="str">
        <f t="shared" ref="AY2:AY25" si="11">IF($A2="Python",AW2/AX2,"")</f>
        <v/>
      </c>
      <c r="AZ2">
        <v>5.8988416823447997E-3</v>
      </c>
      <c r="BA2">
        <f t="shared" ref="BA2:BA25" si="12">AX2+AZ2</f>
        <v>8.4098841682344799E-2</v>
      </c>
      <c r="BB2">
        <v>8.8209616000000005E-2</v>
      </c>
      <c r="BC2">
        <f t="shared" ref="BC2:BC25" si="13">IF($A2="Python",BA2-BB2,0)</f>
        <v>0</v>
      </c>
      <c r="BD2">
        <f t="shared" ref="BD2:BD33" si="14">BB2+BC2</f>
        <v>8.8209616000000005E-2</v>
      </c>
      <c r="BE2">
        <v>8.8209616000000005E-2</v>
      </c>
      <c r="BF2" s="58">
        <f t="shared" ref="BF2:BF33" si="15">(BE2-BD2)/BD2</f>
        <v>0</v>
      </c>
      <c r="BH2">
        <v>8.8209616000000005E-2</v>
      </c>
      <c r="BI2">
        <v>8.5349999999999995E-2</v>
      </c>
      <c r="BJ2" t="str">
        <f t="shared" ref="BJ2:BJ25" si="16">IF($A2="Python",BH2/BI2,"")</f>
        <v/>
      </c>
      <c r="BK2">
        <v>2.0000000006096001E-3</v>
      </c>
      <c r="BL2">
        <f t="shared" ref="BL2:BL25" si="17">BI2+BK2</f>
        <v>8.7350000000609593E-2</v>
      </c>
      <c r="BM2">
        <v>9.0209616000000006E-2</v>
      </c>
      <c r="BN2">
        <f t="shared" ref="BN2:BN25" si="18">IF($A2="Python",BL2-BM2,0)</f>
        <v>0</v>
      </c>
      <c r="BO2">
        <f t="shared" ref="BO2:BO65" si="19">BM2+BN2</f>
        <v>9.0209616000000006E-2</v>
      </c>
      <c r="BP2">
        <v>9.0209616000000006E-2</v>
      </c>
      <c r="BQ2" s="58">
        <f t="shared" ref="BQ2:BQ65" si="20">(BP2-BO2)/BO2</f>
        <v>0</v>
      </c>
      <c r="BS2">
        <v>9.0209616000000006E-2</v>
      </c>
      <c r="BT2">
        <v>9.9049999999999999E-2</v>
      </c>
      <c r="BU2" t="str">
        <f t="shared" ref="BU2:BU25" si="21">IF($A2="Python",BS2/BT2,"")</f>
        <v/>
      </c>
      <c r="BV2">
        <v>1.0000000007380999E-3</v>
      </c>
      <c r="BW2">
        <f t="shared" ref="BW2:BW25" si="22">BT2+BV2</f>
        <v>0.1000500000007381</v>
      </c>
      <c r="BX2">
        <v>9.1209615999999993E-2</v>
      </c>
      <c r="BY2">
        <f t="shared" ref="BY2:BY25" si="23">IF($A2="Python",BW2-BX2,0)</f>
        <v>0</v>
      </c>
      <c r="BZ2">
        <f t="shared" ref="BZ2:BZ65" si="24">BX2+BY2</f>
        <v>9.1209615999999993E-2</v>
      </c>
      <c r="CA2">
        <v>9.1209615999999993E-2</v>
      </c>
      <c r="CB2" s="58">
        <f t="shared" ref="CB2" si="25">(CA2-BZ2)/BZ2</f>
        <v>0</v>
      </c>
      <c r="CD2">
        <v>9.1209615999999993E-2</v>
      </c>
      <c r="CE2">
        <v>0.11005000000000001</v>
      </c>
      <c r="CF2" t="str">
        <f>IF($A2="Python",CD2/CE2,"")</f>
        <v/>
      </c>
      <c r="CG2">
        <v>2E-3</v>
      </c>
      <c r="CH2">
        <f>CE2+CG2</f>
        <v>0.11205000000000001</v>
      </c>
      <c r="CI2">
        <v>9.3209615999999995E-2</v>
      </c>
      <c r="CJ2">
        <f>IF($A2="Python",CH2-CI2,0)</f>
        <v>0</v>
      </c>
      <c r="CK2">
        <f>CI2+CJ2</f>
        <v>9.3209615999999995E-2</v>
      </c>
      <c r="CL2">
        <v>9.3209615999999995E-2</v>
      </c>
      <c r="CM2" s="58">
        <f>(CL2-CK2)/CK2</f>
        <v>0</v>
      </c>
      <c r="CO2">
        <v>9.3209615999999995E-2</v>
      </c>
      <c r="CP2">
        <v>0.1152</v>
      </c>
      <c r="CQ2" t="str">
        <f t="shared" ref="CQ2:CQ25" si="26">IF($A2="Python",CO2/CP2,"")</f>
        <v/>
      </c>
      <c r="CR2">
        <v>2E-3</v>
      </c>
      <c r="CS2">
        <f t="shared" ref="CS2:CS25" si="27">CP2+CR2</f>
        <v>0.1172</v>
      </c>
      <c r="CT2">
        <v>9.5209615999999997E-2</v>
      </c>
      <c r="CU2">
        <f t="shared" ref="CU2:CU25" si="28">IF($A2="Python",CS2-CT2,0)</f>
        <v>0</v>
      </c>
      <c r="CV2">
        <f t="shared" ref="CV2:CV25" si="29">CT2+CU2</f>
        <v>9.5209615999999997E-2</v>
      </c>
      <c r="CW2">
        <v>9.3209615999999995E-2</v>
      </c>
      <c r="CX2" s="58">
        <f>(CW2-CV2)/CV2</f>
        <v>-2.1006281550384594E-2</v>
      </c>
    </row>
    <row r="3" spans="1:102" x14ac:dyDescent="0.25">
      <c r="A3" t="s">
        <v>46</v>
      </c>
      <c r="B3">
        <v>3.5709711999999998E-2</v>
      </c>
      <c r="C3">
        <v>2.7300000000000001E-2</v>
      </c>
      <c r="D3" t="str">
        <f t="shared" ref="D3:D25" si="30">IF(A3="Python",B3/C3,"")</f>
        <v/>
      </c>
      <c r="E3">
        <v>7.7636178309199002E-3</v>
      </c>
      <c r="F3">
        <f t="shared" ref="F3:F25" si="31">C3+E3</f>
        <v>3.5063617830919901E-2</v>
      </c>
      <c r="G3">
        <v>4.3473329999999998E-2</v>
      </c>
      <c r="H3">
        <f t="shared" ref="H3:H25" si="32">F3-G3</f>
        <v>-8.4097121690800969E-3</v>
      </c>
      <c r="I3">
        <f t="shared" ref="I3:I66" si="33">G3+H3</f>
        <v>3.5063617830919901E-2</v>
      </c>
      <c r="K3">
        <v>3</v>
      </c>
      <c r="L3">
        <v>7.7636178309199002E-3</v>
      </c>
      <c r="M3">
        <v>2.7300000000000001E-2</v>
      </c>
      <c r="N3">
        <v>3.5709711999999998E-2</v>
      </c>
      <c r="R3">
        <v>3.5063617999999998E-2</v>
      </c>
      <c r="S3">
        <v>4.8250000000000001E-2</v>
      </c>
      <c r="T3" t="str">
        <f t="shared" si="0"/>
        <v/>
      </c>
      <c r="U3">
        <v>2.27729749370915E-2</v>
      </c>
      <c r="V3">
        <f t="shared" si="1"/>
        <v>7.1022974937091504E-2</v>
      </c>
      <c r="W3">
        <v>5.7836592999999999E-2</v>
      </c>
      <c r="X3">
        <f t="shared" si="2"/>
        <v>0</v>
      </c>
      <c r="Y3">
        <f t="shared" si="3"/>
        <v>5.7836592999999999E-2</v>
      </c>
      <c r="AA3">
        <v>5.7836592999999999E-2</v>
      </c>
      <c r="AB3">
        <v>5.3449999999999998E-2</v>
      </c>
      <c r="AC3" t="str">
        <f t="shared" si="4"/>
        <v/>
      </c>
      <c r="AD3">
        <v>4.02300584636551E-2</v>
      </c>
      <c r="AE3">
        <f t="shared" si="5"/>
        <v>9.3680058463655097E-2</v>
      </c>
      <c r="AF3">
        <v>9.8066651000000005E-2</v>
      </c>
      <c r="AG3">
        <f t="shared" si="6"/>
        <v>0</v>
      </c>
      <c r="AH3">
        <f t="shared" si="7"/>
        <v>9.8066651000000005E-2</v>
      </c>
      <c r="AI3">
        <v>9.8066651000000005E-2</v>
      </c>
      <c r="AJ3" s="58">
        <f t="shared" si="8"/>
        <v>0</v>
      </c>
      <c r="AL3">
        <v>9.8066651000000005E-2</v>
      </c>
      <c r="AM3">
        <v>7.6950000000000005E-2</v>
      </c>
      <c r="AN3" t="str">
        <f t="shared" si="9"/>
        <v/>
      </c>
      <c r="AO3">
        <v>1.75266135060985E-2</v>
      </c>
      <c r="AP3">
        <f t="shared" ref="AP3:AP25" si="34">AM3+AO3</f>
        <v>9.4476613506098511E-2</v>
      </c>
      <c r="AQ3">
        <v>0.115593264506098</v>
      </c>
      <c r="AR3">
        <f t="shared" ref="AR3:AR25" si="35">IF($A3="Python",AP3-AQ3,0)</f>
        <v>0</v>
      </c>
      <c r="AS3">
        <f t="shared" ref="AS3:AS66" si="36">AQ3+AR3</f>
        <v>0.115593264506098</v>
      </c>
      <c r="AT3">
        <v>0.115593265</v>
      </c>
      <c r="AU3" s="58">
        <f t="shared" si="10"/>
        <v>4.2727576277032863E-9</v>
      </c>
      <c r="AW3">
        <v>0.115593265</v>
      </c>
      <c r="AX3">
        <v>9.4399999999999998E-2</v>
      </c>
      <c r="AY3" t="str">
        <f t="shared" si="11"/>
        <v/>
      </c>
      <c r="AZ3">
        <v>8.5517220013679E-3</v>
      </c>
      <c r="BA3">
        <f t="shared" si="12"/>
        <v>0.1029517220013679</v>
      </c>
      <c r="BB3">
        <v>0.124144987</v>
      </c>
      <c r="BC3">
        <f t="shared" si="13"/>
        <v>0</v>
      </c>
      <c r="BD3">
        <f t="shared" si="14"/>
        <v>0.124144987</v>
      </c>
      <c r="BE3">
        <v>0.124144987</v>
      </c>
      <c r="BF3" s="58">
        <f t="shared" si="15"/>
        <v>0</v>
      </c>
      <c r="BH3">
        <v>0.124144987</v>
      </c>
      <c r="BI3">
        <v>0.10585000000000001</v>
      </c>
      <c r="BJ3" t="str">
        <f t="shared" si="16"/>
        <v/>
      </c>
      <c r="BK3">
        <v>4.9202324994003996E-3</v>
      </c>
      <c r="BL3">
        <f t="shared" si="17"/>
        <v>0.11077023249940041</v>
      </c>
      <c r="BM3">
        <v>0.12906521900000001</v>
      </c>
      <c r="BN3">
        <f t="shared" si="18"/>
        <v>0</v>
      </c>
      <c r="BO3">
        <f t="shared" si="19"/>
        <v>0.12906521900000001</v>
      </c>
      <c r="BP3">
        <v>0.12906521900000001</v>
      </c>
      <c r="BQ3" s="58">
        <f t="shared" si="20"/>
        <v>0</v>
      </c>
      <c r="BS3">
        <v>0.12906521900000001</v>
      </c>
      <c r="BT3">
        <v>0.1208</v>
      </c>
      <c r="BU3" t="str">
        <f t="shared" si="21"/>
        <v/>
      </c>
      <c r="BV3">
        <v>1.0000000044537E-3</v>
      </c>
      <c r="BW3">
        <f t="shared" si="22"/>
        <v>0.12180000000445371</v>
      </c>
      <c r="BX3">
        <v>0.13006521900000001</v>
      </c>
      <c r="BY3">
        <f t="shared" si="23"/>
        <v>0</v>
      </c>
      <c r="BZ3">
        <f t="shared" si="24"/>
        <v>0.13006521900000001</v>
      </c>
      <c r="CA3">
        <v>0.13006521900000001</v>
      </c>
      <c r="CB3" s="58">
        <f t="shared" ref="CB3:CB34" si="37">(CA3-BZ3)/BZ3</f>
        <v>0</v>
      </c>
      <c r="CD3">
        <v>0.13006521900000001</v>
      </c>
      <c r="CE3">
        <v>0.13574999999999998</v>
      </c>
      <c r="CF3" t="str">
        <f t="shared" ref="CF3:CF25" si="38">IF($A3="Python",CD3/CE3,"")</f>
        <v/>
      </c>
      <c r="CG3">
        <v>2E-3</v>
      </c>
      <c r="CH3">
        <f t="shared" ref="CH3:CH25" si="39">CE3+CG3</f>
        <v>0.13774999999999998</v>
      </c>
      <c r="CI3">
        <v>0.13206521900000001</v>
      </c>
      <c r="CJ3">
        <f t="shared" ref="CJ3:CJ25" si="40">IF($A3="Python",CH3-CI3,0)</f>
        <v>0</v>
      </c>
      <c r="CK3">
        <f t="shared" ref="CK3:CK49" si="41">CI3+CJ3</f>
        <v>0.13206521900000001</v>
      </c>
      <c r="CL3">
        <v>0.13206521900000001</v>
      </c>
      <c r="CM3" s="58">
        <f t="shared" ref="CM3:CM49" si="42">(CL3-CK3)/CK3</f>
        <v>0</v>
      </c>
      <c r="CO3">
        <v>0.13206521900000001</v>
      </c>
      <c r="CP3">
        <v>0.13994999999999999</v>
      </c>
      <c r="CQ3" t="str">
        <f t="shared" si="26"/>
        <v/>
      </c>
      <c r="CR3">
        <v>2E-3</v>
      </c>
      <c r="CS3">
        <f t="shared" si="27"/>
        <v>0.14194999999999999</v>
      </c>
      <c r="CT3">
        <v>0.13406521900000001</v>
      </c>
      <c r="CU3">
        <f t="shared" si="28"/>
        <v>0</v>
      </c>
      <c r="CV3">
        <f t="shared" si="29"/>
        <v>0.13406521900000001</v>
      </c>
    </row>
    <row r="4" spans="1:102" x14ac:dyDescent="0.25">
      <c r="A4" t="s">
        <v>49</v>
      </c>
      <c r="B4">
        <v>1.7906700000000001E-2</v>
      </c>
      <c r="C4">
        <v>1.8249999999999999E-2</v>
      </c>
      <c r="D4">
        <f t="shared" si="30"/>
        <v>0.98118904109589056</v>
      </c>
      <c r="E4">
        <v>1.49694572293527E-2</v>
      </c>
      <c r="F4">
        <f t="shared" si="31"/>
        <v>3.3219457229352697E-2</v>
      </c>
      <c r="G4">
        <v>3.2876157000000003E-2</v>
      </c>
      <c r="H4">
        <f t="shared" si="32"/>
        <v>3.4330022935269433E-4</v>
      </c>
      <c r="I4">
        <f t="shared" si="33"/>
        <v>3.3219457229352697E-2</v>
      </c>
      <c r="K4">
        <v>3</v>
      </c>
      <c r="L4">
        <v>1.49694572293527E-2</v>
      </c>
      <c r="M4">
        <v>1.8249999999999999E-2</v>
      </c>
      <c r="N4">
        <v>1.7906700000000001E-2</v>
      </c>
      <c r="R4">
        <v>3.3219457000000001E-2</v>
      </c>
      <c r="S4">
        <v>3.4049999999999997E-2</v>
      </c>
      <c r="T4">
        <f t="shared" si="0"/>
        <v>0.97560813509544797</v>
      </c>
      <c r="U4">
        <v>2.4240892126974199E-2</v>
      </c>
      <c r="V4">
        <f t="shared" si="1"/>
        <v>5.8290892126974192E-2</v>
      </c>
      <c r="W4">
        <v>5.7460349000000001E-2</v>
      </c>
      <c r="X4">
        <f t="shared" si="2"/>
        <v>8.3054312697419114E-4</v>
      </c>
      <c r="Y4">
        <f t="shared" si="3"/>
        <v>5.8290892126974192E-2</v>
      </c>
      <c r="AA4">
        <v>5.8290891999999997E-2</v>
      </c>
      <c r="AB4">
        <v>0.06</v>
      </c>
      <c r="AC4">
        <f t="shared" si="4"/>
        <v>0.97151486666666664</v>
      </c>
      <c r="AD4">
        <v>2.4470856630597001E-2</v>
      </c>
      <c r="AE4">
        <f t="shared" si="5"/>
        <v>8.4470856630597002E-2</v>
      </c>
      <c r="AF4">
        <v>8.2761748999999996E-2</v>
      </c>
      <c r="AG4">
        <f t="shared" si="6"/>
        <v>1.7091076305970065E-3</v>
      </c>
      <c r="AH4">
        <f t="shared" si="7"/>
        <v>8.4470856630597002E-2</v>
      </c>
      <c r="AI4">
        <v>8.4470856999999996E-2</v>
      </c>
      <c r="AJ4" s="58">
        <f t="shared" si="8"/>
        <v>4.3731413299158174E-9</v>
      </c>
      <c r="AL4">
        <v>8.4470856999999996E-2</v>
      </c>
      <c r="AM4">
        <v>8.4399999999999989E-2</v>
      </c>
      <c r="AN4">
        <f t="shared" si="9"/>
        <v>1.0008395379146919</v>
      </c>
      <c r="AO4">
        <v>1.7503538825366202E-2</v>
      </c>
      <c r="AP4">
        <f t="shared" si="34"/>
        <v>0.10190353882536619</v>
      </c>
      <c r="AQ4">
        <v>0.10197439582536599</v>
      </c>
      <c r="AR4">
        <f t="shared" si="35"/>
        <v>-7.0856999999799331E-5</v>
      </c>
      <c r="AS4">
        <f t="shared" si="36"/>
        <v>0.10190353882536619</v>
      </c>
      <c r="AT4">
        <v>0.101903539</v>
      </c>
      <c r="AU4" s="58">
        <f t="shared" si="10"/>
        <v>1.7137168093265652E-9</v>
      </c>
      <c r="AW4">
        <v>0.101903539</v>
      </c>
      <c r="AX4">
        <v>0.10125000000000001</v>
      </c>
      <c r="AY4">
        <f t="shared" si="11"/>
        <v>1.0064547061728395</v>
      </c>
      <c r="AZ4">
        <v>2E-3</v>
      </c>
      <c r="BA4">
        <f t="shared" si="12"/>
        <v>0.10325000000000001</v>
      </c>
      <c r="BB4">
        <v>0.103903539</v>
      </c>
      <c r="BC4">
        <f t="shared" si="13"/>
        <v>-6.5353899999999465E-4</v>
      </c>
      <c r="BD4">
        <f t="shared" si="14"/>
        <v>0.10325000000000001</v>
      </c>
      <c r="BE4">
        <v>0.10324999999999999</v>
      </c>
      <c r="BF4" s="58">
        <f t="shared" si="15"/>
        <v>-1.3440956714590273E-16</v>
      </c>
      <c r="BH4">
        <v>0.10324999999999999</v>
      </c>
      <c r="BI4">
        <v>0.10300000000000001</v>
      </c>
      <c r="BJ4">
        <f t="shared" si="16"/>
        <v>1.0024271844660193</v>
      </c>
      <c r="BK4">
        <v>2E-3</v>
      </c>
      <c r="BL4">
        <f t="shared" si="17"/>
        <v>0.10500000000000001</v>
      </c>
      <c r="BM4">
        <v>0.10525</v>
      </c>
      <c r="BN4">
        <f t="shared" si="18"/>
        <v>-2.4999999999998634E-4</v>
      </c>
      <c r="BO4">
        <f t="shared" si="19"/>
        <v>0.10500000000000001</v>
      </c>
      <c r="BP4">
        <v>0.105</v>
      </c>
      <c r="BQ4" s="58">
        <f t="shared" si="20"/>
        <v>-1.3216940769347102E-16</v>
      </c>
      <c r="BS4">
        <v>0.105</v>
      </c>
      <c r="BT4">
        <v>0.1048</v>
      </c>
      <c r="BU4">
        <f t="shared" si="21"/>
        <v>1.0019083969465647</v>
      </c>
      <c r="BV4">
        <v>1E-3</v>
      </c>
      <c r="BW4">
        <f t="shared" si="22"/>
        <v>0.10580000000000001</v>
      </c>
      <c r="BX4">
        <v>0.106</v>
      </c>
      <c r="BY4">
        <f t="shared" si="23"/>
        <v>-1.9999999999999185E-4</v>
      </c>
      <c r="BZ4">
        <f t="shared" si="24"/>
        <v>0.10580000000000001</v>
      </c>
      <c r="CA4">
        <v>0.10580000000000001</v>
      </c>
      <c r="CB4" s="58">
        <f t="shared" si="37"/>
        <v>0</v>
      </c>
      <c r="CD4">
        <v>0.10580000000000001</v>
      </c>
      <c r="CE4">
        <v>0.1061</v>
      </c>
      <c r="CF4">
        <f t="shared" si="38"/>
        <v>0.99717247879359106</v>
      </c>
      <c r="CG4">
        <v>2E-3</v>
      </c>
      <c r="CH4">
        <f t="shared" si="39"/>
        <v>0.1081</v>
      </c>
      <c r="CI4">
        <v>0.10780000000000001</v>
      </c>
      <c r="CJ4">
        <f t="shared" si="40"/>
        <v>2.9999999999999472E-4</v>
      </c>
      <c r="CK4">
        <f t="shared" si="41"/>
        <v>0.1081</v>
      </c>
      <c r="CL4">
        <v>0.1081</v>
      </c>
      <c r="CM4" s="58">
        <f t="shared" si="42"/>
        <v>0</v>
      </c>
      <c r="CO4">
        <v>0.1081</v>
      </c>
      <c r="CP4">
        <v>0.11545</v>
      </c>
      <c r="CQ4">
        <f t="shared" si="26"/>
        <v>0.93633607622347337</v>
      </c>
      <c r="CR4">
        <v>4.9999999999999899E-2</v>
      </c>
      <c r="CS4">
        <f t="shared" si="27"/>
        <v>0.1654499999999999</v>
      </c>
      <c r="CT4">
        <v>0.15809999999999999</v>
      </c>
      <c r="CU4">
        <f t="shared" si="28"/>
        <v>7.3499999999999122E-3</v>
      </c>
      <c r="CV4">
        <f t="shared" si="29"/>
        <v>0.1654499999999999</v>
      </c>
    </row>
    <row r="5" spans="1:102" x14ac:dyDescent="0.25">
      <c r="A5" t="s">
        <v>388</v>
      </c>
      <c r="B5">
        <v>2.2779401000000001E-2</v>
      </c>
      <c r="C5">
        <v>2.2749999999999999E-2</v>
      </c>
      <c r="D5" t="str">
        <f t="shared" si="30"/>
        <v/>
      </c>
      <c r="E5">
        <v>9.9784039332018008E-3</v>
      </c>
      <c r="F5">
        <f t="shared" si="31"/>
        <v>3.2728403933201797E-2</v>
      </c>
      <c r="G5">
        <v>3.2757805000000001E-2</v>
      </c>
      <c r="H5">
        <f t="shared" si="32"/>
        <v>-2.9401066798204201E-5</v>
      </c>
      <c r="I5">
        <f t="shared" si="33"/>
        <v>3.2728403933201797E-2</v>
      </c>
      <c r="K5">
        <v>3</v>
      </c>
      <c r="L5">
        <v>9.9784039332018008E-3</v>
      </c>
      <c r="M5">
        <v>2.2749999999999999E-2</v>
      </c>
      <c r="N5">
        <v>2.2779401000000001E-2</v>
      </c>
      <c r="R5">
        <v>3.2728404000000003E-2</v>
      </c>
      <c r="S5">
        <v>3.3300000000000003E-2</v>
      </c>
      <c r="T5" t="str">
        <f t="shared" si="0"/>
        <v/>
      </c>
      <c r="U5">
        <v>9.5599441512663995E-3</v>
      </c>
      <c r="V5">
        <f t="shared" si="1"/>
        <v>4.2859944151266399E-2</v>
      </c>
      <c r="W5">
        <v>4.2288348000000003E-2</v>
      </c>
      <c r="X5">
        <f t="shared" si="2"/>
        <v>0</v>
      </c>
      <c r="Y5">
        <f t="shared" si="3"/>
        <v>4.2288348000000003E-2</v>
      </c>
      <c r="AA5">
        <v>4.2288348000000003E-2</v>
      </c>
      <c r="AB5">
        <v>4.5100000000000001E-2</v>
      </c>
      <c r="AC5" t="str">
        <f t="shared" si="4"/>
        <v/>
      </c>
      <c r="AD5">
        <v>1.0254543023204899E-2</v>
      </c>
      <c r="AE5">
        <f t="shared" si="5"/>
        <v>5.5354543023204902E-2</v>
      </c>
      <c r="AF5">
        <v>5.2542891000000001E-2</v>
      </c>
      <c r="AG5">
        <f t="shared" si="6"/>
        <v>0</v>
      </c>
      <c r="AH5">
        <f t="shared" si="7"/>
        <v>5.2542891000000001E-2</v>
      </c>
      <c r="AI5">
        <v>5.2542891000000001E-2</v>
      </c>
      <c r="AJ5" s="58">
        <f t="shared" si="8"/>
        <v>0</v>
      </c>
      <c r="AL5">
        <v>5.2542891000000001E-2</v>
      </c>
      <c r="AM5">
        <v>5.9650000000000002E-2</v>
      </c>
      <c r="AN5" t="str">
        <f t="shared" si="9"/>
        <v/>
      </c>
      <c r="AO5">
        <v>8.6652505771028007E-3</v>
      </c>
      <c r="AP5">
        <f t="shared" si="34"/>
        <v>6.8315250577102804E-2</v>
      </c>
      <c r="AQ5">
        <v>6.1208141577102797E-2</v>
      </c>
      <c r="AR5">
        <f t="shared" si="35"/>
        <v>0</v>
      </c>
      <c r="AS5">
        <f t="shared" si="36"/>
        <v>6.1208141577102797E-2</v>
      </c>
      <c r="AT5">
        <v>6.1208142E-2</v>
      </c>
      <c r="AU5" s="58">
        <f t="shared" si="10"/>
        <v>6.9091658800710783E-9</v>
      </c>
      <c r="AW5">
        <v>6.1208142E-2</v>
      </c>
      <c r="AX5">
        <v>7.2900000000000006E-2</v>
      </c>
      <c r="AY5" t="str">
        <f t="shared" si="11"/>
        <v/>
      </c>
      <c r="AZ5">
        <v>2.0000000343268999E-3</v>
      </c>
      <c r="BA5">
        <f t="shared" si="12"/>
        <v>7.4900000034326911E-2</v>
      </c>
      <c r="BB5">
        <v>6.3208141999999995E-2</v>
      </c>
      <c r="BC5">
        <f t="shared" si="13"/>
        <v>0</v>
      </c>
      <c r="BD5">
        <f t="shared" si="14"/>
        <v>6.3208141999999995E-2</v>
      </c>
      <c r="BE5">
        <v>6.3208141999999995E-2</v>
      </c>
      <c r="BF5" s="58">
        <f t="shared" si="15"/>
        <v>0</v>
      </c>
      <c r="BH5">
        <v>6.3208141999999995E-2</v>
      </c>
      <c r="BI5">
        <v>8.3100000000000007E-2</v>
      </c>
      <c r="BJ5" t="str">
        <f t="shared" si="16"/>
        <v/>
      </c>
      <c r="BK5">
        <v>2.0000000168288999E-3</v>
      </c>
      <c r="BL5">
        <f t="shared" si="17"/>
        <v>8.5100000016828908E-2</v>
      </c>
      <c r="BM5">
        <v>6.5208141999999997E-2</v>
      </c>
      <c r="BN5">
        <f t="shared" si="18"/>
        <v>0</v>
      </c>
      <c r="BO5">
        <f t="shared" si="19"/>
        <v>6.5208141999999997E-2</v>
      </c>
      <c r="BP5">
        <v>6.5208141999999997E-2</v>
      </c>
      <c r="BQ5" s="58">
        <f t="shared" si="20"/>
        <v>0</v>
      </c>
      <c r="BS5">
        <v>6.5208141999999997E-2</v>
      </c>
      <c r="BT5">
        <v>9.35E-2</v>
      </c>
      <c r="BU5" t="str">
        <f t="shared" si="21"/>
        <v/>
      </c>
      <c r="BV5">
        <v>1E-3</v>
      </c>
      <c r="BW5">
        <f t="shared" si="22"/>
        <v>9.4500000000000001E-2</v>
      </c>
      <c r="BX5">
        <v>6.6208141999999998E-2</v>
      </c>
      <c r="BY5">
        <f t="shared" si="23"/>
        <v>0</v>
      </c>
      <c r="BZ5">
        <f t="shared" si="24"/>
        <v>6.6208141999999998E-2</v>
      </c>
      <c r="CA5">
        <v>6.6208141999999998E-2</v>
      </c>
      <c r="CB5" s="58">
        <f t="shared" si="37"/>
        <v>0</v>
      </c>
      <c r="CD5">
        <v>6.6208141999999998E-2</v>
      </c>
      <c r="CE5">
        <v>0.10589999999999999</v>
      </c>
      <c r="CF5" t="str">
        <f t="shared" si="38"/>
        <v/>
      </c>
      <c r="CG5">
        <v>2E-3</v>
      </c>
      <c r="CH5">
        <f t="shared" si="39"/>
        <v>0.1079</v>
      </c>
      <c r="CI5">
        <v>6.8208141999999999E-2</v>
      </c>
      <c r="CJ5">
        <f t="shared" si="40"/>
        <v>0</v>
      </c>
      <c r="CK5">
        <f t="shared" si="41"/>
        <v>6.8208141999999999E-2</v>
      </c>
      <c r="CL5">
        <v>6.8208141999999999E-2</v>
      </c>
      <c r="CM5" s="58">
        <f t="shared" si="42"/>
        <v>0</v>
      </c>
      <c r="CO5">
        <v>6.8208141999999999E-2</v>
      </c>
      <c r="CP5">
        <v>0.11585000000000001</v>
      </c>
      <c r="CQ5" t="str">
        <f t="shared" si="26"/>
        <v/>
      </c>
      <c r="CR5">
        <v>2E-3</v>
      </c>
      <c r="CS5">
        <f t="shared" si="27"/>
        <v>0.11785000000000001</v>
      </c>
      <c r="CT5">
        <v>7.0208142000000001E-2</v>
      </c>
      <c r="CU5">
        <f t="shared" si="28"/>
        <v>0</v>
      </c>
      <c r="CV5">
        <f t="shared" si="29"/>
        <v>7.0208142000000001E-2</v>
      </c>
    </row>
    <row r="6" spans="1:102" x14ac:dyDescent="0.25">
      <c r="A6" t="s">
        <v>49</v>
      </c>
      <c r="B6">
        <v>1.8752364000000001E-2</v>
      </c>
      <c r="C6">
        <v>1.9050000000000001E-2</v>
      </c>
      <c r="D6">
        <f t="shared" si="30"/>
        <v>0.98437606299212599</v>
      </c>
      <c r="E6">
        <v>1.13626973433442E-2</v>
      </c>
      <c r="F6">
        <f t="shared" si="31"/>
        <v>3.0412697343344203E-2</v>
      </c>
      <c r="G6">
        <v>3.0115060999999999E-2</v>
      </c>
      <c r="H6">
        <f t="shared" si="32"/>
        <v>2.9763634334420419E-4</v>
      </c>
      <c r="I6">
        <f t="shared" si="33"/>
        <v>3.0412697343344203E-2</v>
      </c>
      <c r="K6">
        <v>3</v>
      </c>
      <c r="L6">
        <v>1.13626973433442E-2</v>
      </c>
      <c r="M6">
        <v>1.9050000000000001E-2</v>
      </c>
      <c r="N6">
        <v>1.8752364000000001E-2</v>
      </c>
      <c r="R6">
        <v>3.0412696999999999E-2</v>
      </c>
      <c r="S6">
        <v>3.0099999999999998E-2</v>
      </c>
      <c r="T6">
        <f t="shared" si="0"/>
        <v>1.0103886046511628</v>
      </c>
      <c r="U6">
        <v>9.4762086646698E-3</v>
      </c>
      <c r="V6">
        <f t="shared" si="1"/>
        <v>3.95762086646698E-2</v>
      </c>
      <c r="W6">
        <v>3.9888906000000002E-2</v>
      </c>
      <c r="X6">
        <f t="shared" si="2"/>
        <v>-3.1269733533020178E-4</v>
      </c>
      <c r="Y6">
        <f t="shared" si="3"/>
        <v>3.95762086646698E-2</v>
      </c>
      <c r="AA6">
        <v>3.9576209000000001E-2</v>
      </c>
      <c r="AB6">
        <v>4.045E-2</v>
      </c>
      <c r="AC6">
        <f t="shared" si="4"/>
        <v>0.97839824474660075</v>
      </c>
      <c r="AD6">
        <v>1.0808576744521599E-2</v>
      </c>
      <c r="AE6">
        <f t="shared" si="5"/>
        <v>5.1258576744521597E-2</v>
      </c>
      <c r="AF6">
        <v>5.0384786000000001E-2</v>
      </c>
      <c r="AG6">
        <f t="shared" si="6"/>
        <v>8.7379074452159644E-4</v>
      </c>
      <c r="AH6">
        <f t="shared" si="7"/>
        <v>5.1258576744521597E-2</v>
      </c>
      <c r="AI6">
        <v>5.1258577E-2</v>
      </c>
      <c r="AJ6" s="58">
        <f t="shared" si="8"/>
        <v>4.9841103391467606E-9</v>
      </c>
      <c r="AL6">
        <v>5.1258577E-2</v>
      </c>
      <c r="AM6">
        <v>5.1849999999999993E-2</v>
      </c>
      <c r="AN6">
        <f t="shared" si="9"/>
        <v>0.98859357762777256</v>
      </c>
      <c r="AO6">
        <v>9.0720085633823003E-3</v>
      </c>
      <c r="AP6">
        <f t="shared" si="34"/>
        <v>6.0922008563382292E-2</v>
      </c>
      <c r="AQ6">
        <v>6.0330585563382298E-2</v>
      </c>
      <c r="AR6">
        <f t="shared" si="35"/>
        <v>5.914229999999937E-4</v>
      </c>
      <c r="AS6">
        <f t="shared" si="36"/>
        <v>6.0922008563382292E-2</v>
      </c>
      <c r="AT6">
        <v>6.0922008999999999E-2</v>
      </c>
      <c r="AU6" s="58">
        <f t="shared" si="10"/>
        <v>7.1668304700184502E-9</v>
      </c>
      <c r="AW6">
        <v>6.0922008999999999E-2</v>
      </c>
      <c r="AX6">
        <v>6.1749999999999999E-2</v>
      </c>
      <c r="AY6">
        <f t="shared" si="11"/>
        <v>0.98659123886639677</v>
      </c>
      <c r="AZ6">
        <v>1.12998440594404E-2</v>
      </c>
      <c r="BA6">
        <f t="shared" si="12"/>
        <v>7.30498440594404E-2</v>
      </c>
      <c r="BB6">
        <v>7.2221853000000003E-2</v>
      </c>
      <c r="BC6">
        <f t="shared" si="13"/>
        <v>8.2799105944039719E-4</v>
      </c>
      <c r="BD6">
        <f t="shared" si="14"/>
        <v>7.30498440594404E-2</v>
      </c>
      <c r="BE6">
        <v>7.3049844000000003E-2</v>
      </c>
      <c r="BF6" s="58">
        <f t="shared" si="15"/>
        <v>-8.1369642624416163E-10</v>
      </c>
      <c r="BH6">
        <v>7.3049844000000003E-2</v>
      </c>
      <c r="BI6">
        <v>7.1150000000000005E-2</v>
      </c>
      <c r="BJ6">
        <f t="shared" si="16"/>
        <v>1.0267019536191144</v>
      </c>
      <c r="BK6">
        <v>9.4387480012367003E-3</v>
      </c>
      <c r="BL6">
        <f t="shared" si="17"/>
        <v>8.0588748001236707E-2</v>
      </c>
      <c r="BM6">
        <v>8.2488591999999999E-2</v>
      </c>
      <c r="BN6">
        <f t="shared" si="18"/>
        <v>-1.8998439987632926E-3</v>
      </c>
      <c r="BO6">
        <f t="shared" si="19"/>
        <v>8.0588748001236707E-2</v>
      </c>
      <c r="BP6">
        <v>8.0588748000000002E-2</v>
      </c>
      <c r="BQ6" s="58">
        <f t="shared" si="20"/>
        <v>-1.5345879088313906E-11</v>
      </c>
      <c r="BS6">
        <v>8.0588748000000002E-2</v>
      </c>
      <c r="BT6">
        <v>7.9600000000000004E-2</v>
      </c>
      <c r="BU6">
        <f t="shared" si="21"/>
        <v>1.0124214572864321</v>
      </c>
      <c r="BV6">
        <v>5.6638160799607996E-3</v>
      </c>
      <c r="BW6">
        <f t="shared" si="22"/>
        <v>8.5263816079960808E-2</v>
      </c>
      <c r="BX6">
        <v>8.6252564000000004E-2</v>
      </c>
      <c r="BY6">
        <f t="shared" si="23"/>
        <v>-9.8874792003919576E-4</v>
      </c>
      <c r="BZ6">
        <f t="shared" si="24"/>
        <v>8.5263816079960808E-2</v>
      </c>
      <c r="CA6">
        <v>8.5263816000000006E-2</v>
      </c>
      <c r="CB6" s="58">
        <f t="shared" si="37"/>
        <v>-9.3780463442646034E-10</v>
      </c>
      <c r="CD6">
        <v>8.5263816000000006E-2</v>
      </c>
      <c r="CE6">
        <v>8.5099999999999995E-2</v>
      </c>
      <c r="CF6">
        <f t="shared" si="38"/>
        <v>1.0019249823736782</v>
      </c>
      <c r="CG6">
        <v>2.0000000000080999E-3</v>
      </c>
      <c r="CH6">
        <f t="shared" si="39"/>
        <v>8.7100000000008101E-2</v>
      </c>
      <c r="CI6">
        <v>8.7263815999999994E-2</v>
      </c>
      <c r="CJ6">
        <f t="shared" si="40"/>
        <v>-1.6381599999189256E-4</v>
      </c>
      <c r="CK6">
        <f t="shared" si="41"/>
        <v>8.7100000000008101E-2</v>
      </c>
      <c r="CL6">
        <v>8.7099999999999997E-2</v>
      </c>
      <c r="CM6" s="58">
        <f t="shared" si="42"/>
        <v>-9.3049690927243274E-14</v>
      </c>
      <c r="CO6">
        <v>8.7099999999999997E-2</v>
      </c>
      <c r="CP6">
        <v>8.6999999999999994E-2</v>
      </c>
      <c r="CQ6">
        <f t="shared" si="26"/>
        <v>1.0011494252873563</v>
      </c>
      <c r="CR6">
        <v>2E-3</v>
      </c>
      <c r="CS6">
        <f t="shared" si="27"/>
        <v>8.8999999999999996E-2</v>
      </c>
      <c r="CT6">
        <v>8.9099999999999999E-2</v>
      </c>
      <c r="CU6">
        <f t="shared" si="28"/>
        <v>-1.0000000000000286E-4</v>
      </c>
      <c r="CV6">
        <f t="shared" si="29"/>
        <v>8.8999999999999996E-2</v>
      </c>
    </row>
    <row r="7" spans="1:102" x14ac:dyDescent="0.25">
      <c r="A7" t="s">
        <v>49</v>
      </c>
      <c r="B7">
        <v>1.7686930999999999E-2</v>
      </c>
      <c r="C7">
        <v>1.8000000000000002E-2</v>
      </c>
      <c r="D7">
        <f t="shared" si="30"/>
        <v>0.98260727777777768</v>
      </c>
      <c r="E7">
        <v>1.4869825137455699E-2</v>
      </c>
      <c r="F7">
        <f t="shared" si="31"/>
        <v>3.2869825137455705E-2</v>
      </c>
      <c r="G7">
        <v>3.2556755999999999E-2</v>
      </c>
      <c r="H7">
        <f t="shared" si="32"/>
        <v>3.1306913745570569E-4</v>
      </c>
      <c r="I7">
        <f t="shared" si="33"/>
        <v>3.2869825137455705E-2</v>
      </c>
      <c r="K7">
        <v>3</v>
      </c>
      <c r="L7">
        <v>1.4869825137455699E-2</v>
      </c>
      <c r="M7">
        <v>1.8000000000000002E-2</v>
      </c>
      <c r="N7">
        <v>1.7686930999999999E-2</v>
      </c>
      <c r="R7">
        <v>3.2869824999999998E-2</v>
      </c>
      <c r="S7">
        <v>3.3799999999999997E-2</v>
      </c>
      <c r="T7">
        <f t="shared" si="0"/>
        <v>0.97248002958579882</v>
      </c>
      <c r="U7">
        <v>2.6502049610607599E-2</v>
      </c>
      <c r="V7">
        <f t="shared" si="1"/>
        <v>6.0302049610607596E-2</v>
      </c>
      <c r="W7">
        <v>5.9371874999999998E-2</v>
      </c>
      <c r="X7">
        <f t="shared" si="2"/>
        <v>9.301746106075981E-4</v>
      </c>
      <c r="Y7">
        <f t="shared" si="3"/>
        <v>6.0302049610607596E-2</v>
      </c>
      <c r="AA7">
        <v>6.0302050000000003E-2</v>
      </c>
      <c r="AB7">
        <v>6.2350000000000003E-2</v>
      </c>
      <c r="AC7">
        <f t="shared" si="4"/>
        <v>0.9671539695268645</v>
      </c>
      <c r="AD7">
        <v>2.8100733699321898E-2</v>
      </c>
      <c r="AE7">
        <f t="shared" si="5"/>
        <v>9.0450733699321897E-2</v>
      </c>
      <c r="AF7">
        <v>8.8402783999999998E-2</v>
      </c>
      <c r="AG7">
        <f t="shared" si="6"/>
        <v>2.0479496993218993E-3</v>
      </c>
      <c r="AH7">
        <f t="shared" si="7"/>
        <v>9.0450733699321897E-2</v>
      </c>
      <c r="AI7">
        <v>9.0450734000000005E-2</v>
      </c>
      <c r="AJ7" s="58">
        <f t="shared" si="8"/>
        <v>3.3242196620727145E-9</v>
      </c>
      <c r="AL7">
        <v>9.0450734000000005E-2</v>
      </c>
      <c r="AM7">
        <v>9.1199999999999989E-2</v>
      </c>
      <c r="AN7">
        <f t="shared" si="9"/>
        <v>0.99178436403508785</v>
      </c>
      <c r="AO7">
        <v>2.0949958699216498E-2</v>
      </c>
      <c r="AP7">
        <f t="shared" si="34"/>
        <v>0.11214995869921648</v>
      </c>
      <c r="AQ7">
        <v>0.111400692699216</v>
      </c>
      <c r="AR7">
        <f t="shared" si="35"/>
        <v>7.4926600000048416E-4</v>
      </c>
      <c r="AS7">
        <f t="shared" si="36"/>
        <v>0.11214995869921648</v>
      </c>
      <c r="AT7">
        <v>0.11214995899999999</v>
      </c>
      <c r="AU7" s="58">
        <f t="shared" si="10"/>
        <v>2.6819761032394447E-9</v>
      </c>
      <c r="AW7">
        <v>0.11214995899999999</v>
      </c>
      <c r="AX7">
        <v>0.11144999999999999</v>
      </c>
      <c r="AY7">
        <f t="shared" si="11"/>
        <v>1.0062804755495738</v>
      </c>
      <c r="AZ7">
        <v>2.0000000326787001E-3</v>
      </c>
      <c r="BA7">
        <f t="shared" si="12"/>
        <v>0.11345000003267869</v>
      </c>
      <c r="BB7">
        <v>0.114149959</v>
      </c>
      <c r="BC7">
        <f t="shared" si="13"/>
        <v>-6.9995896732130691E-4</v>
      </c>
      <c r="BD7">
        <f t="shared" si="14"/>
        <v>0.11345000003267869</v>
      </c>
      <c r="BE7">
        <v>0.11345</v>
      </c>
      <c r="BF7" s="58">
        <f t="shared" si="15"/>
        <v>-2.8804489268807885E-10</v>
      </c>
      <c r="BH7">
        <v>0.11345</v>
      </c>
      <c r="BI7">
        <v>0.11315</v>
      </c>
      <c r="BJ7">
        <f t="shared" si="16"/>
        <v>1.0026513477684489</v>
      </c>
      <c r="BK7">
        <v>2E-3</v>
      </c>
      <c r="BL7">
        <f t="shared" si="17"/>
        <v>0.11515</v>
      </c>
      <c r="BM7">
        <v>0.11545</v>
      </c>
      <c r="BN7">
        <f t="shared" si="18"/>
        <v>-2.9999999999999472E-4</v>
      </c>
      <c r="BO7">
        <f t="shared" si="19"/>
        <v>0.11515</v>
      </c>
      <c r="BP7">
        <v>0.11515</v>
      </c>
      <c r="BQ7" s="58">
        <f t="shared" si="20"/>
        <v>0</v>
      </c>
      <c r="BS7">
        <v>0.11515</v>
      </c>
      <c r="BT7">
        <v>0.11495</v>
      </c>
      <c r="BU7">
        <f t="shared" si="21"/>
        <v>1.0017398869073511</v>
      </c>
      <c r="BV7">
        <v>1.0000000216939E-3</v>
      </c>
      <c r="BW7">
        <f t="shared" si="22"/>
        <v>0.11595000002169389</v>
      </c>
      <c r="BX7">
        <v>0.11615</v>
      </c>
      <c r="BY7">
        <f t="shared" si="23"/>
        <v>-1.9999997830610905E-4</v>
      </c>
      <c r="BZ7">
        <f t="shared" si="24"/>
        <v>0.11595000002169389</v>
      </c>
      <c r="CA7">
        <v>0.11595</v>
      </c>
      <c r="CB7" s="58">
        <f t="shared" si="37"/>
        <v>-1.8709699590336158E-10</v>
      </c>
      <c r="CD7">
        <v>0.11595</v>
      </c>
      <c r="CE7">
        <v>0.11625000000000001</v>
      </c>
      <c r="CF7">
        <f t="shared" si="38"/>
        <v>0.99741935483870958</v>
      </c>
      <c r="CG7">
        <v>2E-3</v>
      </c>
      <c r="CH7">
        <f t="shared" si="39"/>
        <v>0.11825000000000001</v>
      </c>
      <c r="CI7">
        <v>0.11795</v>
      </c>
      <c r="CJ7">
        <f t="shared" si="40"/>
        <v>3.0000000000000859E-4</v>
      </c>
      <c r="CK7">
        <f t="shared" si="41"/>
        <v>0.11825000000000001</v>
      </c>
      <c r="CL7">
        <v>0.11824999999999999</v>
      </c>
      <c r="CM7" s="58">
        <f t="shared" si="42"/>
        <v>-1.1735972776164445E-16</v>
      </c>
      <c r="CO7">
        <v>0.11824999999999999</v>
      </c>
      <c r="CP7">
        <v>0.12275</v>
      </c>
      <c r="CQ7">
        <f t="shared" si="26"/>
        <v>0.96334012219959264</v>
      </c>
      <c r="CR7">
        <v>2.69999064525995E-2</v>
      </c>
      <c r="CS7">
        <f t="shared" si="27"/>
        <v>0.1497499064525995</v>
      </c>
      <c r="CT7">
        <v>0.14524990600000001</v>
      </c>
      <c r="CU7">
        <f t="shared" si="28"/>
        <v>4.5000004525994897E-3</v>
      </c>
      <c r="CV7">
        <f t="shared" si="29"/>
        <v>0.1497499064525995</v>
      </c>
    </row>
    <row r="8" spans="1:102" x14ac:dyDescent="0.25">
      <c r="A8" t="s">
        <v>46</v>
      </c>
      <c r="B8">
        <v>1.3401197E-2</v>
      </c>
      <c r="C8">
        <v>7.1999999999999998E-3</v>
      </c>
      <c r="D8" t="str">
        <f t="shared" si="30"/>
        <v/>
      </c>
      <c r="E8">
        <v>1.34916986022842E-2</v>
      </c>
      <c r="F8">
        <f t="shared" si="31"/>
        <v>2.06916986022842E-2</v>
      </c>
      <c r="G8">
        <v>2.6892895999999999E-2</v>
      </c>
      <c r="H8">
        <f t="shared" si="32"/>
        <v>-6.2011973977157998E-3</v>
      </c>
      <c r="I8">
        <f t="shared" si="33"/>
        <v>2.06916986022842E-2</v>
      </c>
      <c r="K8">
        <v>3</v>
      </c>
      <c r="L8">
        <v>1.34916986022842E-2</v>
      </c>
      <c r="M8">
        <v>7.1999999999999998E-3</v>
      </c>
      <c r="N8">
        <v>1.3401197E-2</v>
      </c>
      <c r="R8">
        <v>2.0691699000000001E-2</v>
      </c>
      <c r="S8">
        <v>2.9449999999999997E-2</v>
      </c>
      <c r="T8" t="str">
        <f t="shared" si="0"/>
        <v/>
      </c>
      <c r="U8">
        <v>2.9498553674693399E-2</v>
      </c>
      <c r="V8">
        <f t="shared" si="1"/>
        <v>5.8948553674693399E-2</v>
      </c>
      <c r="W8">
        <v>5.0190252999999997E-2</v>
      </c>
      <c r="X8">
        <f t="shared" si="2"/>
        <v>0</v>
      </c>
      <c r="Y8">
        <f t="shared" si="3"/>
        <v>5.0190252999999997E-2</v>
      </c>
      <c r="AA8">
        <v>5.0190252999999997E-2</v>
      </c>
      <c r="AB8">
        <v>4.4800000000000006E-2</v>
      </c>
      <c r="AC8" t="str">
        <f t="shared" si="4"/>
        <v/>
      </c>
      <c r="AD8">
        <v>2.3693444036416701E-2</v>
      </c>
      <c r="AE8">
        <f t="shared" si="5"/>
        <v>6.8493444036416704E-2</v>
      </c>
      <c r="AF8">
        <v>7.3883696999999998E-2</v>
      </c>
      <c r="AG8">
        <f t="shared" si="6"/>
        <v>0</v>
      </c>
      <c r="AH8">
        <f t="shared" si="7"/>
        <v>7.3883696999999998E-2</v>
      </c>
      <c r="AI8">
        <v>7.3883696999999998E-2</v>
      </c>
      <c r="AJ8" s="58">
        <f t="shared" si="8"/>
        <v>0</v>
      </c>
      <c r="AL8">
        <v>7.3883696999999998E-2</v>
      </c>
      <c r="AM8">
        <v>6.905E-2</v>
      </c>
      <c r="AN8" t="str">
        <f t="shared" si="9"/>
        <v/>
      </c>
      <c r="AO8">
        <v>1.8330274373920898E-2</v>
      </c>
      <c r="AP8">
        <f t="shared" si="34"/>
        <v>8.7380274373920902E-2</v>
      </c>
      <c r="AQ8">
        <v>9.22139713739209E-2</v>
      </c>
      <c r="AR8">
        <f t="shared" si="35"/>
        <v>0</v>
      </c>
      <c r="AS8">
        <f t="shared" si="36"/>
        <v>9.22139713739209E-2</v>
      </c>
      <c r="AT8">
        <v>9.2213971000000006E-2</v>
      </c>
      <c r="AU8" s="58">
        <f t="shared" si="10"/>
        <v>-4.0549266957767346E-9</v>
      </c>
      <c r="AW8">
        <v>9.2213971000000006E-2</v>
      </c>
      <c r="AX8">
        <v>8.72E-2</v>
      </c>
      <c r="AY8" t="str">
        <f t="shared" si="11"/>
        <v/>
      </c>
      <c r="AZ8">
        <v>2E-3</v>
      </c>
      <c r="BA8">
        <f t="shared" si="12"/>
        <v>8.9200000000000002E-2</v>
      </c>
      <c r="BB8">
        <v>9.4213970999999994E-2</v>
      </c>
      <c r="BC8">
        <f t="shared" si="13"/>
        <v>0</v>
      </c>
      <c r="BD8">
        <f t="shared" si="14"/>
        <v>9.4213970999999994E-2</v>
      </c>
      <c r="BE8">
        <v>9.4213970999999994E-2</v>
      </c>
      <c r="BF8" s="58">
        <f t="shared" si="15"/>
        <v>0</v>
      </c>
      <c r="BH8">
        <v>9.4213970999999994E-2</v>
      </c>
      <c r="BI8">
        <v>0.10074999999999999</v>
      </c>
      <c r="BJ8" t="str">
        <f t="shared" si="16"/>
        <v/>
      </c>
      <c r="BK8">
        <v>2E-3</v>
      </c>
      <c r="BL8">
        <f t="shared" si="17"/>
        <v>0.10274999999999999</v>
      </c>
      <c r="BM8">
        <v>9.6213970999999995E-2</v>
      </c>
      <c r="BN8">
        <f t="shared" si="18"/>
        <v>0</v>
      </c>
      <c r="BO8">
        <f t="shared" si="19"/>
        <v>9.6213970999999995E-2</v>
      </c>
      <c r="BP8">
        <v>9.6213970999999995E-2</v>
      </c>
      <c r="BQ8" s="58">
        <f t="shared" si="20"/>
        <v>0</v>
      </c>
      <c r="BS8">
        <v>9.6213970999999995E-2</v>
      </c>
      <c r="BT8">
        <v>0.1133</v>
      </c>
      <c r="BU8" t="str">
        <f t="shared" si="21"/>
        <v/>
      </c>
      <c r="BV8">
        <v>1.0000000043486001E-3</v>
      </c>
      <c r="BW8">
        <f t="shared" si="22"/>
        <v>0.1143000000043486</v>
      </c>
      <c r="BX8">
        <v>9.7213970999999996E-2</v>
      </c>
      <c r="BY8">
        <f t="shared" si="23"/>
        <v>0</v>
      </c>
      <c r="BZ8">
        <f t="shared" si="24"/>
        <v>9.7213970999999996E-2</v>
      </c>
      <c r="CA8">
        <v>9.7213970999999996E-2</v>
      </c>
      <c r="CB8" s="58">
        <f t="shared" si="37"/>
        <v>0</v>
      </c>
      <c r="CD8">
        <v>9.7213970999999996E-2</v>
      </c>
      <c r="CE8">
        <v>0.12905</v>
      </c>
      <c r="CF8" t="str">
        <f t="shared" si="38"/>
        <v/>
      </c>
      <c r="CG8">
        <v>2E-3</v>
      </c>
      <c r="CH8">
        <f t="shared" si="39"/>
        <v>0.13105</v>
      </c>
      <c r="CI8">
        <v>9.9213970999999998E-2</v>
      </c>
      <c r="CJ8">
        <f t="shared" si="40"/>
        <v>0</v>
      </c>
      <c r="CK8">
        <f t="shared" si="41"/>
        <v>9.9213970999999998E-2</v>
      </c>
      <c r="CL8">
        <v>9.9213970999999998E-2</v>
      </c>
      <c r="CM8" s="58">
        <f t="shared" si="42"/>
        <v>0</v>
      </c>
      <c r="CO8">
        <v>9.9213970999999998E-2</v>
      </c>
      <c r="CP8">
        <v>0.13289999999999999</v>
      </c>
      <c r="CQ8" t="str">
        <f t="shared" si="26"/>
        <v/>
      </c>
      <c r="CR8">
        <v>2E-3</v>
      </c>
      <c r="CS8">
        <f t="shared" si="27"/>
        <v>0.13489999999999999</v>
      </c>
      <c r="CT8">
        <v>0.101213971</v>
      </c>
      <c r="CU8">
        <f t="shared" si="28"/>
        <v>0</v>
      </c>
      <c r="CV8">
        <f t="shared" si="29"/>
        <v>0.101213971</v>
      </c>
    </row>
    <row r="9" spans="1:102" x14ac:dyDescent="0.25">
      <c r="A9" t="s">
        <v>388</v>
      </c>
      <c r="B9">
        <v>2.1622237999999998E-2</v>
      </c>
      <c r="C9">
        <v>2.0049999999999998E-2</v>
      </c>
      <c r="D9" t="str">
        <f t="shared" si="30"/>
        <v/>
      </c>
      <c r="E9">
        <v>1.18337268345563E-2</v>
      </c>
      <c r="F9">
        <f t="shared" si="31"/>
        <v>3.18837268345563E-2</v>
      </c>
      <c r="G9">
        <v>3.3455964999999997E-2</v>
      </c>
      <c r="H9">
        <f t="shared" si="32"/>
        <v>-1.572238165443697E-3</v>
      </c>
      <c r="I9">
        <f t="shared" si="33"/>
        <v>3.18837268345563E-2</v>
      </c>
      <c r="K9">
        <v>3</v>
      </c>
      <c r="L9">
        <v>1.18337268345563E-2</v>
      </c>
      <c r="M9">
        <v>2.0049999999999998E-2</v>
      </c>
      <c r="N9">
        <v>2.1622237999999998E-2</v>
      </c>
      <c r="R9">
        <v>3.1883727000000001E-2</v>
      </c>
      <c r="S9">
        <v>2.98E-2</v>
      </c>
      <c r="T9" t="str">
        <f t="shared" si="0"/>
        <v/>
      </c>
      <c r="U9">
        <v>1.9626052311631E-2</v>
      </c>
      <c r="V9">
        <f t="shared" si="1"/>
        <v>4.9426052311630997E-2</v>
      </c>
      <c r="W9">
        <v>5.1509778999999999E-2</v>
      </c>
      <c r="X9">
        <f t="shared" si="2"/>
        <v>0</v>
      </c>
      <c r="Y9">
        <f t="shared" si="3"/>
        <v>5.1509778999999999E-2</v>
      </c>
      <c r="AA9">
        <v>5.1509778999999999E-2</v>
      </c>
      <c r="AB9">
        <v>3.9949999999999999E-2</v>
      </c>
      <c r="AC9" t="str">
        <f t="shared" si="4"/>
        <v/>
      </c>
      <c r="AD9">
        <v>1.84436370012101E-2</v>
      </c>
      <c r="AE9">
        <f t="shared" si="5"/>
        <v>5.83936370012101E-2</v>
      </c>
      <c r="AF9">
        <v>6.9953416000000004E-2</v>
      </c>
      <c r="AG9">
        <f t="shared" si="6"/>
        <v>0</v>
      </c>
      <c r="AH9">
        <f t="shared" si="7"/>
        <v>6.9953416000000004E-2</v>
      </c>
      <c r="AI9">
        <v>6.9953416000000004E-2</v>
      </c>
      <c r="AJ9" s="58">
        <f t="shared" si="8"/>
        <v>0</v>
      </c>
      <c r="AL9">
        <v>6.9953416000000004E-2</v>
      </c>
      <c r="AM9">
        <v>5.2400000000000002E-2</v>
      </c>
      <c r="AN9" t="str">
        <f t="shared" si="9"/>
        <v/>
      </c>
      <c r="AO9">
        <v>1.46499478152295E-2</v>
      </c>
      <c r="AP9">
        <f t="shared" si="34"/>
        <v>6.7049947815229508E-2</v>
      </c>
      <c r="AQ9">
        <v>8.4603363815229496E-2</v>
      </c>
      <c r="AR9">
        <f t="shared" si="35"/>
        <v>0</v>
      </c>
      <c r="AS9">
        <f t="shared" si="36"/>
        <v>8.4603363815229496E-2</v>
      </c>
      <c r="AT9">
        <v>8.4603364E-2</v>
      </c>
      <c r="AU9" s="58">
        <f t="shared" si="10"/>
        <v>2.1839616785892191E-9</v>
      </c>
      <c r="AW9">
        <v>8.4603364E-2</v>
      </c>
      <c r="AX9">
        <v>6.3500000000000001E-2</v>
      </c>
      <c r="AY9" t="str">
        <f t="shared" si="11"/>
        <v/>
      </c>
      <c r="AZ9">
        <v>2.3146548762429E-3</v>
      </c>
      <c r="BA9">
        <f t="shared" si="12"/>
        <v>6.5814654876242898E-2</v>
      </c>
      <c r="BB9">
        <v>8.6918018999999999E-2</v>
      </c>
      <c r="BC9">
        <f t="shared" si="13"/>
        <v>0</v>
      </c>
      <c r="BD9">
        <f t="shared" si="14"/>
        <v>8.6918018999999999E-2</v>
      </c>
      <c r="BE9">
        <v>8.6918018999999999E-2</v>
      </c>
      <c r="BF9" s="58">
        <f t="shared" si="15"/>
        <v>0</v>
      </c>
      <c r="BH9">
        <v>8.6918018999999999E-2</v>
      </c>
      <c r="BI9">
        <v>7.2599999999999998E-2</v>
      </c>
      <c r="BJ9" t="str">
        <f t="shared" si="16"/>
        <v/>
      </c>
      <c r="BK9">
        <v>5.0257341141739997E-3</v>
      </c>
      <c r="BL9">
        <f t="shared" si="17"/>
        <v>7.7625734114173991E-2</v>
      </c>
      <c r="BM9">
        <v>9.1943753000000003E-2</v>
      </c>
      <c r="BN9">
        <f t="shared" si="18"/>
        <v>0</v>
      </c>
      <c r="BO9">
        <f t="shared" si="19"/>
        <v>9.1943753000000003E-2</v>
      </c>
      <c r="BP9">
        <v>9.1943753000000003E-2</v>
      </c>
      <c r="BQ9" s="58">
        <f t="shared" si="20"/>
        <v>0</v>
      </c>
      <c r="BS9">
        <v>9.1943753000000003E-2</v>
      </c>
      <c r="BT9">
        <v>8.2750000000000004E-2</v>
      </c>
      <c r="BU9" t="str">
        <f t="shared" si="21"/>
        <v/>
      </c>
      <c r="BV9">
        <v>8.7066282782583999E-3</v>
      </c>
      <c r="BW9">
        <f t="shared" si="22"/>
        <v>9.1456628278258401E-2</v>
      </c>
      <c r="BX9">
        <v>0.100650381</v>
      </c>
      <c r="BY9">
        <f t="shared" si="23"/>
        <v>0</v>
      </c>
      <c r="BZ9">
        <f t="shared" si="24"/>
        <v>0.100650381</v>
      </c>
      <c r="CA9">
        <v>0.100650381</v>
      </c>
      <c r="CB9" s="58">
        <f t="shared" si="37"/>
        <v>0</v>
      </c>
      <c r="CD9">
        <v>0.100650381</v>
      </c>
      <c r="CE9">
        <v>9.3149999999999997E-2</v>
      </c>
      <c r="CF9" t="str">
        <f t="shared" si="38"/>
        <v/>
      </c>
      <c r="CG9">
        <v>8.8961023466145005E-3</v>
      </c>
      <c r="CH9">
        <f t="shared" si="39"/>
        <v>0.1020461023466145</v>
      </c>
      <c r="CI9">
        <v>0.109546483</v>
      </c>
      <c r="CJ9">
        <f t="shared" si="40"/>
        <v>0</v>
      </c>
      <c r="CK9">
        <f t="shared" si="41"/>
        <v>0.109546483</v>
      </c>
      <c r="CL9">
        <v>0.109546483</v>
      </c>
      <c r="CM9" s="58">
        <f t="shared" si="42"/>
        <v>0</v>
      </c>
      <c r="CO9">
        <v>0.109546483</v>
      </c>
      <c r="CP9">
        <v>0.1014</v>
      </c>
      <c r="CQ9" t="str">
        <f t="shared" si="26"/>
        <v/>
      </c>
      <c r="CR9">
        <v>7.9836796061020995E-3</v>
      </c>
      <c r="CS9">
        <f t="shared" si="27"/>
        <v>0.1093836796061021</v>
      </c>
      <c r="CT9">
        <v>0.11753016299999999</v>
      </c>
      <c r="CU9">
        <f t="shared" si="28"/>
        <v>0</v>
      </c>
      <c r="CV9">
        <f t="shared" si="29"/>
        <v>0.11753016299999999</v>
      </c>
    </row>
    <row r="10" spans="1:102" x14ac:dyDescent="0.25">
      <c r="A10" t="s">
        <v>49</v>
      </c>
      <c r="B10">
        <v>1.7969161000000001E-2</v>
      </c>
      <c r="C10">
        <v>1.8200000000000001E-2</v>
      </c>
      <c r="D10">
        <f t="shared" si="30"/>
        <v>0.98731653846153844</v>
      </c>
      <c r="E10">
        <v>1.1369892107464301E-2</v>
      </c>
      <c r="F10">
        <f t="shared" si="31"/>
        <v>2.9569892107464302E-2</v>
      </c>
      <c r="G10">
        <v>2.9339053E-2</v>
      </c>
      <c r="H10">
        <f t="shared" si="32"/>
        <v>2.3083910746430139E-4</v>
      </c>
      <c r="I10">
        <f t="shared" si="33"/>
        <v>2.9569892107464302E-2</v>
      </c>
      <c r="K10">
        <v>3</v>
      </c>
      <c r="L10">
        <v>1.1369892107464301E-2</v>
      </c>
      <c r="M10">
        <v>1.8200000000000001E-2</v>
      </c>
      <c r="N10">
        <v>1.7969161000000001E-2</v>
      </c>
      <c r="R10">
        <v>2.9569892E-2</v>
      </c>
      <c r="S10">
        <v>3.0200000000000001E-2</v>
      </c>
      <c r="T10">
        <f t="shared" si="0"/>
        <v>0.97913549668874167</v>
      </c>
      <c r="U10">
        <v>2.0378316465822902E-2</v>
      </c>
      <c r="V10">
        <f t="shared" si="1"/>
        <v>5.0578316465822906E-2</v>
      </c>
      <c r="W10">
        <v>4.9948208000000001E-2</v>
      </c>
      <c r="X10">
        <f t="shared" si="2"/>
        <v>6.3010846582290531E-4</v>
      </c>
      <c r="Y10">
        <f t="shared" si="3"/>
        <v>5.0578316465822906E-2</v>
      </c>
      <c r="AA10">
        <v>5.0578315999999998E-2</v>
      </c>
      <c r="AB10">
        <v>4.9599999999999998E-2</v>
      </c>
      <c r="AC10">
        <f t="shared" si="4"/>
        <v>1.0197241129032257</v>
      </c>
      <c r="AD10">
        <v>7.4922579201817004E-3</v>
      </c>
      <c r="AE10">
        <f t="shared" si="5"/>
        <v>5.7092257920181702E-2</v>
      </c>
      <c r="AF10">
        <v>5.8070574E-2</v>
      </c>
      <c r="AG10">
        <f t="shared" si="6"/>
        <v>-9.7831607981829771E-4</v>
      </c>
      <c r="AH10">
        <f t="shared" si="7"/>
        <v>5.7092257920181702E-2</v>
      </c>
      <c r="AI10">
        <v>5.7092258E-2</v>
      </c>
      <c r="AJ10" s="58">
        <f t="shared" si="8"/>
        <v>1.3980581730741615E-9</v>
      </c>
      <c r="AL10">
        <v>5.7092258E-2</v>
      </c>
      <c r="AM10">
        <v>5.7200000000000001E-2</v>
      </c>
      <c r="AN10">
        <f t="shared" si="9"/>
        <v>0.99811639860139856</v>
      </c>
      <c r="AO10">
        <v>4.7028840942344996E-3</v>
      </c>
      <c r="AP10">
        <f t="shared" si="34"/>
        <v>6.19028840942345E-2</v>
      </c>
      <c r="AQ10">
        <v>6.1795142094234499E-2</v>
      </c>
      <c r="AR10">
        <f t="shared" si="35"/>
        <v>1.0774200000000095E-4</v>
      </c>
      <c r="AS10">
        <f t="shared" si="36"/>
        <v>6.19028840942345E-2</v>
      </c>
      <c r="AT10">
        <v>6.1902883999999998E-2</v>
      </c>
      <c r="AU10" s="58">
        <f t="shared" si="10"/>
        <v>-1.5222958271622612E-9</v>
      </c>
      <c r="AW10">
        <v>6.1902883999999998E-2</v>
      </c>
      <c r="AX10">
        <v>6.2449999999999999E-2</v>
      </c>
      <c r="AY10">
        <f t="shared" si="11"/>
        <v>0.99123913530824659</v>
      </c>
      <c r="AZ10">
        <v>6.9499866455023001E-3</v>
      </c>
      <c r="BA10">
        <f t="shared" si="12"/>
        <v>6.9399986645502301E-2</v>
      </c>
      <c r="BB10">
        <v>6.8852870999999996E-2</v>
      </c>
      <c r="BC10">
        <f t="shared" si="13"/>
        <v>5.4711564550230518E-4</v>
      </c>
      <c r="BD10">
        <f t="shared" si="14"/>
        <v>6.9399986645502301E-2</v>
      </c>
      <c r="BE10">
        <v>6.9399986999999996E-2</v>
      </c>
      <c r="BF10" s="58">
        <f t="shared" si="15"/>
        <v>5.1080369351991319E-9</v>
      </c>
      <c r="BH10">
        <v>6.9399986999999996E-2</v>
      </c>
      <c r="BI10">
        <v>6.7699999999999996E-2</v>
      </c>
      <c r="BJ10">
        <f t="shared" si="16"/>
        <v>1.0251105908419498</v>
      </c>
      <c r="BK10">
        <v>2E-3</v>
      </c>
      <c r="BL10">
        <f t="shared" si="17"/>
        <v>6.9699999999999998E-2</v>
      </c>
      <c r="BM10">
        <v>7.1399986999999998E-2</v>
      </c>
      <c r="BN10">
        <f t="shared" si="18"/>
        <v>-1.699987E-3</v>
      </c>
      <c r="BO10">
        <f t="shared" si="19"/>
        <v>6.9699999999999998E-2</v>
      </c>
      <c r="BP10">
        <v>6.9699999999999998E-2</v>
      </c>
      <c r="BQ10" s="58">
        <f t="shared" si="20"/>
        <v>0</v>
      </c>
      <c r="BS10">
        <v>6.9699999999999998E-2</v>
      </c>
      <c r="BT10">
        <v>6.9850000000000009E-2</v>
      </c>
      <c r="BU10">
        <f t="shared" si="21"/>
        <v>0.99785254115962763</v>
      </c>
      <c r="BV10">
        <v>4.7408047146185999E-3</v>
      </c>
      <c r="BW10">
        <f t="shared" si="22"/>
        <v>7.4590804714618611E-2</v>
      </c>
      <c r="BX10">
        <v>7.4440804999999999E-2</v>
      </c>
      <c r="BY10">
        <f t="shared" si="23"/>
        <v>1.4999971461861217E-4</v>
      </c>
      <c r="BZ10">
        <f t="shared" si="24"/>
        <v>7.4590804714618611E-2</v>
      </c>
      <c r="CA10">
        <v>7.4590804999999996E-2</v>
      </c>
      <c r="CB10" s="58">
        <f t="shared" si="37"/>
        <v>3.825959329461883E-9</v>
      </c>
      <c r="CD10">
        <v>7.4590804999999996E-2</v>
      </c>
      <c r="CE10">
        <v>7.7149999999999996E-2</v>
      </c>
      <c r="CF10">
        <f t="shared" si="38"/>
        <v>0.96682832145171738</v>
      </c>
      <c r="CG10">
        <v>1.6433115383455099E-2</v>
      </c>
      <c r="CH10">
        <f t="shared" si="39"/>
        <v>9.3583115383455096E-2</v>
      </c>
      <c r="CI10">
        <v>9.1023919999999994E-2</v>
      </c>
      <c r="CJ10">
        <f t="shared" si="40"/>
        <v>2.5591953834551012E-3</v>
      </c>
      <c r="CK10">
        <f t="shared" si="41"/>
        <v>9.3583115383455096E-2</v>
      </c>
      <c r="CL10">
        <v>9.3583114999999994E-2</v>
      </c>
      <c r="CM10" s="58">
        <f t="shared" si="42"/>
        <v>-4.0974816817534387E-9</v>
      </c>
      <c r="CO10">
        <v>9.3583114999999994E-2</v>
      </c>
      <c r="CP10">
        <v>9.7049999999999997E-2</v>
      </c>
      <c r="CQ10">
        <f t="shared" si="26"/>
        <v>0.96427733127253989</v>
      </c>
      <c r="CR10">
        <v>0.05</v>
      </c>
      <c r="CS10">
        <f t="shared" si="27"/>
        <v>0.14705000000000001</v>
      </c>
      <c r="CT10">
        <v>0.14358311500000001</v>
      </c>
      <c r="CU10">
        <f t="shared" si="28"/>
        <v>3.4668850000000029E-3</v>
      </c>
      <c r="CV10">
        <f t="shared" si="29"/>
        <v>0.14705000000000001</v>
      </c>
    </row>
    <row r="11" spans="1:102" x14ac:dyDescent="0.25">
      <c r="A11" t="s">
        <v>46</v>
      </c>
      <c r="B11">
        <v>1.3984770000000001E-2</v>
      </c>
      <c r="C11">
        <v>7.6500000000000005E-3</v>
      </c>
      <c r="D11" t="str">
        <f t="shared" si="30"/>
        <v/>
      </c>
      <c r="E11">
        <v>1.41999245175573E-2</v>
      </c>
      <c r="F11">
        <f t="shared" si="31"/>
        <v>2.1849924517557302E-2</v>
      </c>
      <c r="G11">
        <v>2.8184694999999999E-2</v>
      </c>
      <c r="H11">
        <f t="shared" si="32"/>
        <v>-6.3347704824426969E-3</v>
      </c>
      <c r="I11">
        <f t="shared" si="33"/>
        <v>2.1849924517557302E-2</v>
      </c>
      <c r="K11">
        <v>3</v>
      </c>
      <c r="L11">
        <v>1.41999245175573E-2</v>
      </c>
      <c r="M11">
        <v>7.6500000000000005E-3</v>
      </c>
      <c r="N11">
        <v>1.3984770000000001E-2</v>
      </c>
      <c r="R11">
        <v>2.1849924999999999E-2</v>
      </c>
      <c r="S11">
        <v>3.0299999999999997E-2</v>
      </c>
      <c r="T11" t="str">
        <f t="shared" si="0"/>
        <v/>
      </c>
      <c r="U11">
        <v>3.1620498387879399E-2</v>
      </c>
      <c r="V11">
        <f t="shared" si="1"/>
        <v>6.19204983878794E-2</v>
      </c>
      <c r="W11">
        <v>5.3470423000000003E-2</v>
      </c>
      <c r="X11">
        <f t="shared" si="2"/>
        <v>0</v>
      </c>
      <c r="Y11">
        <f t="shared" si="3"/>
        <v>5.3470423000000003E-2</v>
      </c>
      <c r="AA11">
        <v>5.3470423000000003E-2</v>
      </c>
      <c r="AB11">
        <v>4.9400000000000006E-2</v>
      </c>
      <c r="AC11" t="str">
        <f t="shared" si="4"/>
        <v/>
      </c>
      <c r="AD11">
        <v>2.71813056437217E-2</v>
      </c>
      <c r="AE11">
        <f t="shared" si="5"/>
        <v>7.6581305643721703E-2</v>
      </c>
      <c r="AF11">
        <v>8.0651729000000005E-2</v>
      </c>
      <c r="AG11">
        <f t="shared" si="6"/>
        <v>0</v>
      </c>
      <c r="AH11">
        <f t="shared" si="7"/>
        <v>8.0651729000000005E-2</v>
      </c>
      <c r="AI11">
        <v>8.0651729000000005E-2</v>
      </c>
      <c r="AJ11" s="58">
        <f t="shared" si="8"/>
        <v>0</v>
      </c>
      <c r="AL11">
        <v>8.0651729000000005E-2</v>
      </c>
      <c r="AM11">
        <v>7.4400000000000008E-2</v>
      </c>
      <c r="AN11" t="str">
        <f t="shared" si="9"/>
        <v/>
      </c>
      <c r="AO11">
        <v>1.99427982095755E-2</v>
      </c>
      <c r="AP11">
        <f t="shared" si="34"/>
        <v>9.4342798209575501E-2</v>
      </c>
      <c r="AQ11">
        <v>0.100594527209575</v>
      </c>
      <c r="AR11">
        <f t="shared" si="35"/>
        <v>0</v>
      </c>
      <c r="AS11">
        <f t="shared" si="36"/>
        <v>0.100594527209575</v>
      </c>
      <c r="AT11">
        <v>0.100594527</v>
      </c>
      <c r="AU11" s="58">
        <f t="shared" si="10"/>
        <v>-2.083363797808352E-9</v>
      </c>
      <c r="AW11">
        <v>0.100594527</v>
      </c>
      <c r="AX11">
        <v>9.7049999999999997E-2</v>
      </c>
      <c r="AY11" t="str">
        <f t="shared" si="11"/>
        <v/>
      </c>
      <c r="AZ11">
        <v>5.4886702615738999E-3</v>
      </c>
      <c r="BA11">
        <f t="shared" si="12"/>
        <v>0.1025386702615739</v>
      </c>
      <c r="BB11">
        <v>0.106083197</v>
      </c>
      <c r="BC11">
        <f t="shared" si="13"/>
        <v>0</v>
      </c>
      <c r="BD11">
        <f t="shared" si="14"/>
        <v>0.106083197</v>
      </c>
      <c r="BE11">
        <v>0.106083197</v>
      </c>
      <c r="BF11" s="58">
        <f t="shared" si="15"/>
        <v>0</v>
      </c>
      <c r="BH11">
        <v>0.106083197</v>
      </c>
      <c r="BI11">
        <v>0.10855000000000001</v>
      </c>
      <c r="BJ11" t="str">
        <f t="shared" si="16"/>
        <v/>
      </c>
      <c r="BK11">
        <v>2E-3</v>
      </c>
      <c r="BL11">
        <f t="shared" si="17"/>
        <v>0.11055000000000001</v>
      </c>
      <c r="BM11">
        <v>0.10808319700000001</v>
      </c>
      <c r="BN11">
        <f t="shared" si="18"/>
        <v>0</v>
      </c>
      <c r="BO11">
        <f t="shared" si="19"/>
        <v>0.10808319700000001</v>
      </c>
      <c r="BP11">
        <v>0.10808319700000001</v>
      </c>
      <c r="BQ11" s="58">
        <f t="shared" si="20"/>
        <v>0</v>
      </c>
      <c r="BS11">
        <v>0.10808319700000001</v>
      </c>
      <c r="BT11">
        <v>0.11735</v>
      </c>
      <c r="BU11" t="str">
        <f t="shared" si="21"/>
        <v/>
      </c>
      <c r="BV11">
        <v>1E-3</v>
      </c>
      <c r="BW11">
        <f t="shared" si="22"/>
        <v>0.11835</v>
      </c>
      <c r="BX11">
        <v>0.10908319700000001</v>
      </c>
      <c r="BY11">
        <f t="shared" si="23"/>
        <v>0</v>
      </c>
      <c r="BZ11">
        <f t="shared" si="24"/>
        <v>0.10908319700000001</v>
      </c>
      <c r="CA11">
        <v>0.10908319700000001</v>
      </c>
      <c r="CB11" s="58">
        <f t="shared" si="37"/>
        <v>0</v>
      </c>
      <c r="CD11">
        <v>0.10908319700000001</v>
      </c>
      <c r="CE11">
        <v>0.13364999999999999</v>
      </c>
      <c r="CF11" t="str">
        <f t="shared" si="38"/>
        <v/>
      </c>
      <c r="CG11">
        <v>2E-3</v>
      </c>
      <c r="CH11">
        <f t="shared" si="39"/>
        <v>0.13564999999999999</v>
      </c>
      <c r="CI11">
        <v>0.11108319699999999</v>
      </c>
      <c r="CJ11">
        <f t="shared" si="40"/>
        <v>0</v>
      </c>
      <c r="CK11">
        <f t="shared" si="41"/>
        <v>0.11108319699999999</v>
      </c>
      <c r="CL11">
        <v>0.11108319699999999</v>
      </c>
      <c r="CM11" s="58">
        <f t="shared" si="42"/>
        <v>0</v>
      </c>
      <c r="CO11">
        <v>0.11108319699999999</v>
      </c>
      <c r="CP11">
        <v>0.13714999999999999</v>
      </c>
      <c r="CQ11" t="str">
        <f t="shared" si="26"/>
        <v/>
      </c>
      <c r="CR11">
        <v>2E-3</v>
      </c>
      <c r="CS11">
        <f t="shared" si="27"/>
        <v>0.13915</v>
      </c>
      <c r="CT11">
        <v>0.113083197</v>
      </c>
      <c r="CU11">
        <f t="shared" si="28"/>
        <v>0</v>
      </c>
      <c r="CV11">
        <f t="shared" si="29"/>
        <v>0.113083197</v>
      </c>
    </row>
    <row r="12" spans="1:102" x14ac:dyDescent="0.25">
      <c r="A12" t="s">
        <v>388</v>
      </c>
      <c r="B12">
        <v>2.2465321999999999E-2</v>
      </c>
      <c r="C12">
        <v>2.41E-2</v>
      </c>
      <c r="D12" t="str">
        <f t="shared" si="30"/>
        <v/>
      </c>
      <c r="E12">
        <v>1.0040137011331799E-2</v>
      </c>
      <c r="F12">
        <f t="shared" si="31"/>
        <v>3.4140137011331798E-2</v>
      </c>
      <c r="G12">
        <v>3.2505459E-2</v>
      </c>
      <c r="H12">
        <f t="shared" si="32"/>
        <v>1.6346780113317971E-3</v>
      </c>
      <c r="I12">
        <f t="shared" si="33"/>
        <v>3.4140137011331798E-2</v>
      </c>
      <c r="K12">
        <v>3</v>
      </c>
      <c r="L12">
        <v>1.0040137011331799E-2</v>
      </c>
      <c r="M12">
        <v>2.41E-2</v>
      </c>
      <c r="N12">
        <v>2.2465321999999999E-2</v>
      </c>
      <c r="R12">
        <v>3.4140137000000001E-2</v>
      </c>
      <c r="S12">
        <v>3.3349999999999998E-2</v>
      </c>
      <c r="T12" t="str">
        <f t="shared" si="0"/>
        <v/>
      </c>
      <c r="U12">
        <v>1.7943828061342201E-2</v>
      </c>
      <c r="V12">
        <f t="shared" si="1"/>
        <v>5.1293828061342195E-2</v>
      </c>
      <c r="W12">
        <v>5.2083965000000003E-2</v>
      </c>
      <c r="X12">
        <f t="shared" si="2"/>
        <v>0</v>
      </c>
      <c r="Y12">
        <f t="shared" si="3"/>
        <v>5.2083965000000003E-2</v>
      </c>
      <c r="AA12">
        <v>5.2083965000000003E-2</v>
      </c>
      <c r="AB12">
        <v>4.5949999999999998E-2</v>
      </c>
      <c r="AC12" t="str">
        <f t="shared" si="4"/>
        <v/>
      </c>
      <c r="AD12">
        <v>1.4033229101838299E-2</v>
      </c>
      <c r="AE12">
        <f t="shared" si="5"/>
        <v>5.9983229101838301E-2</v>
      </c>
      <c r="AF12">
        <v>6.6117194000000004E-2</v>
      </c>
      <c r="AG12">
        <f t="shared" si="6"/>
        <v>0</v>
      </c>
      <c r="AH12">
        <f t="shared" si="7"/>
        <v>6.6117194000000004E-2</v>
      </c>
      <c r="AI12">
        <v>6.6117194000000004E-2</v>
      </c>
      <c r="AJ12" s="58">
        <f t="shared" si="8"/>
        <v>0</v>
      </c>
      <c r="AL12">
        <v>6.6117194000000004E-2</v>
      </c>
      <c r="AM12">
        <v>6.0999999999999999E-2</v>
      </c>
      <c r="AN12" t="str">
        <f t="shared" si="9"/>
        <v/>
      </c>
      <c r="AO12">
        <v>9.2168515111025005E-3</v>
      </c>
      <c r="AP12">
        <f t="shared" si="34"/>
        <v>7.0216851511102504E-2</v>
      </c>
      <c r="AQ12">
        <v>7.5334045511102496E-2</v>
      </c>
      <c r="AR12">
        <f t="shared" si="35"/>
        <v>0</v>
      </c>
      <c r="AS12">
        <f t="shared" si="36"/>
        <v>7.5334045511102496E-2</v>
      </c>
      <c r="AT12">
        <v>7.5334046000000002E-2</v>
      </c>
      <c r="AU12" s="58">
        <f t="shared" si="10"/>
        <v>6.4897285483035684E-9</v>
      </c>
      <c r="AW12">
        <v>7.5334046000000002E-2</v>
      </c>
      <c r="AX12">
        <v>7.4349999999999999E-2</v>
      </c>
      <c r="AY12" t="str">
        <f t="shared" si="11"/>
        <v/>
      </c>
      <c r="AZ12">
        <v>5.1550218089927002E-3</v>
      </c>
      <c r="BA12">
        <f t="shared" si="12"/>
        <v>7.9505021808992701E-2</v>
      </c>
      <c r="BB12">
        <v>8.0489067999999997E-2</v>
      </c>
      <c r="BC12">
        <f t="shared" si="13"/>
        <v>0</v>
      </c>
      <c r="BD12">
        <f t="shared" si="14"/>
        <v>8.0489067999999997E-2</v>
      </c>
      <c r="BE12">
        <v>8.0489067999999997E-2</v>
      </c>
      <c r="BF12" s="58">
        <f t="shared" si="15"/>
        <v>0</v>
      </c>
      <c r="BH12">
        <v>8.0489067999999997E-2</v>
      </c>
      <c r="BI12">
        <v>8.455E-2</v>
      </c>
      <c r="BJ12" t="str">
        <f t="shared" si="16"/>
        <v/>
      </c>
      <c r="BK12">
        <v>2E-3</v>
      </c>
      <c r="BL12">
        <f t="shared" si="17"/>
        <v>8.6550000000000002E-2</v>
      </c>
      <c r="BM12">
        <v>8.2489067999999999E-2</v>
      </c>
      <c r="BN12">
        <f t="shared" si="18"/>
        <v>0</v>
      </c>
      <c r="BO12">
        <f t="shared" si="19"/>
        <v>8.2489067999999999E-2</v>
      </c>
      <c r="BP12">
        <v>8.2489067999999999E-2</v>
      </c>
      <c r="BQ12" s="58">
        <f t="shared" si="20"/>
        <v>0</v>
      </c>
      <c r="BS12">
        <v>8.2489067999999999E-2</v>
      </c>
      <c r="BT12">
        <v>9.5749999999999988E-2</v>
      </c>
      <c r="BU12" t="str">
        <f t="shared" si="21"/>
        <v/>
      </c>
      <c r="BV12">
        <v>1.0000000017913999E-3</v>
      </c>
      <c r="BW12">
        <f t="shared" si="22"/>
        <v>9.6750000001791389E-2</v>
      </c>
      <c r="BX12">
        <v>8.3489068E-2</v>
      </c>
      <c r="BY12">
        <f t="shared" si="23"/>
        <v>0</v>
      </c>
      <c r="BZ12">
        <f t="shared" si="24"/>
        <v>8.3489068E-2</v>
      </c>
      <c r="CA12">
        <v>8.3489068E-2</v>
      </c>
      <c r="CB12" s="58">
        <f t="shared" si="37"/>
        <v>0</v>
      </c>
      <c r="CD12">
        <v>8.3489068E-2</v>
      </c>
      <c r="CE12">
        <v>0.1079</v>
      </c>
      <c r="CF12" t="str">
        <f t="shared" si="38"/>
        <v/>
      </c>
      <c r="CG12">
        <v>2E-3</v>
      </c>
      <c r="CH12">
        <f t="shared" si="39"/>
        <v>0.1099</v>
      </c>
      <c r="CI12">
        <v>8.5489068000000001E-2</v>
      </c>
      <c r="CJ12">
        <f t="shared" si="40"/>
        <v>0</v>
      </c>
      <c r="CK12">
        <f t="shared" si="41"/>
        <v>8.5489068000000001E-2</v>
      </c>
      <c r="CL12">
        <v>8.5489068000000001E-2</v>
      </c>
      <c r="CM12" s="58">
        <f t="shared" si="42"/>
        <v>0</v>
      </c>
      <c r="CO12">
        <v>8.5489068000000001E-2</v>
      </c>
      <c r="CP12">
        <v>0.1174</v>
      </c>
      <c r="CQ12" t="str">
        <f t="shared" si="26"/>
        <v/>
      </c>
      <c r="CR12">
        <v>2E-3</v>
      </c>
      <c r="CS12">
        <f t="shared" si="27"/>
        <v>0.11940000000000001</v>
      </c>
      <c r="CT12">
        <v>8.7489068000000003E-2</v>
      </c>
      <c r="CU12">
        <f t="shared" si="28"/>
        <v>0</v>
      </c>
      <c r="CV12">
        <f t="shared" si="29"/>
        <v>8.7489068000000003E-2</v>
      </c>
    </row>
    <row r="13" spans="1:102" x14ac:dyDescent="0.25">
      <c r="A13" t="s">
        <v>46</v>
      </c>
      <c r="B13">
        <v>1.3525394E-2</v>
      </c>
      <c r="C13">
        <v>5.8999999999999999E-3</v>
      </c>
      <c r="D13" t="str">
        <f t="shared" si="30"/>
        <v/>
      </c>
      <c r="E13">
        <v>1.4195918254083799E-2</v>
      </c>
      <c r="F13">
        <f t="shared" si="31"/>
        <v>2.00959182540838E-2</v>
      </c>
      <c r="G13">
        <v>2.7721312000000001E-2</v>
      </c>
      <c r="H13">
        <f t="shared" si="32"/>
        <v>-7.6253937459162015E-3</v>
      </c>
      <c r="I13">
        <f t="shared" si="33"/>
        <v>2.00959182540838E-2</v>
      </c>
      <c r="K13">
        <v>3</v>
      </c>
      <c r="L13">
        <v>1.4195918254083799E-2</v>
      </c>
      <c r="M13">
        <v>5.8999999999999999E-3</v>
      </c>
      <c r="N13">
        <v>1.3525394E-2</v>
      </c>
      <c r="R13">
        <v>2.0095918000000001E-2</v>
      </c>
      <c r="S13">
        <v>2.835E-2</v>
      </c>
      <c r="T13" t="str">
        <f t="shared" si="0"/>
        <v/>
      </c>
      <c r="U13">
        <v>3.3031256232418198E-2</v>
      </c>
      <c r="V13">
        <f t="shared" si="1"/>
        <v>6.1381256232418198E-2</v>
      </c>
      <c r="W13">
        <v>5.3127173999999999E-2</v>
      </c>
      <c r="X13">
        <f t="shared" si="2"/>
        <v>0</v>
      </c>
      <c r="Y13">
        <f t="shared" si="3"/>
        <v>5.3127173999999999E-2</v>
      </c>
      <c r="AA13">
        <v>5.3127173999999999E-2</v>
      </c>
      <c r="AB13">
        <v>4.1550000000000004E-2</v>
      </c>
      <c r="AC13" t="str">
        <f t="shared" si="4"/>
        <v/>
      </c>
      <c r="AD13">
        <v>3.0444988201659601E-2</v>
      </c>
      <c r="AE13">
        <f t="shared" si="5"/>
        <v>7.1994988201659602E-2</v>
      </c>
      <c r="AF13">
        <v>8.3572162000000005E-2</v>
      </c>
      <c r="AG13">
        <f t="shared" si="6"/>
        <v>0</v>
      </c>
      <c r="AH13">
        <f t="shared" si="7"/>
        <v>8.3572162000000005E-2</v>
      </c>
      <c r="AI13">
        <v>8.3572162000000005E-2</v>
      </c>
      <c r="AJ13" s="58">
        <f t="shared" si="8"/>
        <v>0</v>
      </c>
      <c r="AL13">
        <v>8.3572162000000005E-2</v>
      </c>
      <c r="AM13">
        <v>6.6449999999999995E-2</v>
      </c>
      <c r="AN13" t="str">
        <f t="shared" si="9"/>
        <v/>
      </c>
      <c r="AO13">
        <v>2.3849140055574598E-2</v>
      </c>
      <c r="AP13">
        <f t="shared" si="34"/>
        <v>9.02991400555746E-2</v>
      </c>
      <c r="AQ13">
        <v>0.107421302055574</v>
      </c>
      <c r="AR13">
        <f t="shared" si="35"/>
        <v>0</v>
      </c>
      <c r="AS13">
        <f t="shared" si="36"/>
        <v>0.107421302055574</v>
      </c>
      <c r="AT13">
        <v>0.107421302</v>
      </c>
      <c r="AU13" s="58">
        <f t="shared" si="10"/>
        <v>-5.1734621223906237E-10</v>
      </c>
      <c r="AW13">
        <v>0.107421302</v>
      </c>
      <c r="AX13">
        <v>8.7050000000000002E-2</v>
      </c>
      <c r="AY13" t="str">
        <f t="shared" si="11"/>
        <v/>
      </c>
      <c r="AZ13">
        <v>1.15039579208423E-2</v>
      </c>
      <c r="BA13">
        <f t="shared" si="12"/>
        <v>9.8553957920842303E-2</v>
      </c>
      <c r="BB13">
        <v>0.11892526</v>
      </c>
      <c r="BC13">
        <f t="shared" si="13"/>
        <v>0</v>
      </c>
      <c r="BD13">
        <f t="shared" si="14"/>
        <v>0.11892526</v>
      </c>
      <c r="BE13">
        <v>0.11892526</v>
      </c>
      <c r="BF13" s="58">
        <f t="shared" si="15"/>
        <v>0</v>
      </c>
      <c r="BH13">
        <v>0.11892526</v>
      </c>
      <c r="BI13">
        <v>9.7049999999999997E-2</v>
      </c>
      <c r="BJ13" t="str">
        <f t="shared" si="16"/>
        <v/>
      </c>
      <c r="BK13">
        <v>2E-3</v>
      </c>
      <c r="BL13">
        <f t="shared" si="17"/>
        <v>9.9049999999999999E-2</v>
      </c>
      <c r="BM13">
        <v>0.12092526000000001</v>
      </c>
      <c r="BN13">
        <f t="shared" si="18"/>
        <v>0</v>
      </c>
      <c r="BO13">
        <f t="shared" si="19"/>
        <v>0.12092526000000001</v>
      </c>
      <c r="BP13">
        <v>0.12092526000000001</v>
      </c>
      <c r="BQ13" s="58">
        <f t="shared" si="20"/>
        <v>0</v>
      </c>
      <c r="BS13">
        <v>0.12092526000000001</v>
      </c>
      <c r="BT13">
        <v>0.11269999999999999</v>
      </c>
      <c r="BU13" t="str">
        <f t="shared" si="21"/>
        <v/>
      </c>
      <c r="BV13">
        <v>1E-3</v>
      </c>
      <c r="BW13">
        <f t="shared" si="22"/>
        <v>0.1137</v>
      </c>
      <c r="BX13">
        <v>0.12192525999999999</v>
      </c>
      <c r="BY13">
        <f t="shared" si="23"/>
        <v>0</v>
      </c>
      <c r="BZ13">
        <f t="shared" si="24"/>
        <v>0.12192525999999999</v>
      </c>
      <c r="CA13">
        <v>0.12192525999999999</v>
      </c>
      <c r="CB13" s="58">
        <f t="shared" si="37"/>
        <v>0</v>
      </c>
      <c r="CD13">
        <v>0.12192525999999999</v>
      </c>
      <c r="CE13">
        <v>0.12865000000000001</v>
      </c>
      <c r="CF13" t="str">
        <f t="shared" si="38"/>
        <v/>
      </c>
      <c r="CG13">
        <v>2E-3</v>
      </c>
      <c r="CH13">
        <f t="shared" si="39"/>
        <v>0.13065000000000002</v>
      </c>
      <c r="CI13">
        <v>0.12392526</v>
      </c>
      <c r="CJ13">
        <f t="shared" si="40"/>
        <v>0</v>
      </c>
      <c r="CK13">
        <f t="shared" si="41"/>
        <v>0.12392526</v>
      </c>
      <c r="CL13">
        <v>0.12392526</v>
      </c>
      <c r="CM13" s="58">
        <f t="shared" si="42"/>
        <v>0</v>
      </c>
      <c r="CO13">
        <v>0.12392526</v>
      </c>
      <c r="CP13">
        <v>0.13289999999999999</v>
      </c>
      <c r="CQ13" t="str">
        <f t="shared" si="26"/>
        <v/>
      </c>
      <c r="CR13">
        <v>2E-3</v>
      </c>
      <c r="CS13">
        <f t="shared" si="27"/>
        <v>0.13489999999999999</v>
      </c>
      <c r="CT13">
        <v>0.12592526000000001</v>
      </c>
      <c r="CU13">
        <f t="shared" si="28"/>
        <v>0</v>
      </c>
      <c r="CV13">
        <f t="shared" si="29"/>
        <v>0.12592526000000001</v>
      </c>
    </row>
    <row r="14" spans="1:102" x14ac:dyDescent="0.25">
      <c r="A14" t="s">
        <v>49</v>
      </c>
      <c r="B14">
        <v>1.9703241999999999E-2</v>
      </c>
      <c r="C14">
        <v>1.9900000000000001E-2</v>
      </c>
      <c r="D14">
        <f t="shared" si="30"/>
        <v>0.99011266331658287</v>
      </c>
      <c r="E14">
        <v>1.2642379799712699E-2</v>
      </c>
      <c r="F14">
        <f t="shared" si="31"/>
        <v>3.2542379799712702E-2</v>
      </c>
      <c r="G14">
        <v>3.2345621999999997E-2</v>
      </c>
      <c r="H14">
        <f t="shared" si="32"/>
        <v>1.9675779971270457E-4</v>
      </c>
      <c r="I14">
        <f t="shared" si="33"/>
        <v>3.2542379799712702E-2</v>
      </c>
      <c r="K14">
        <v>3</v>
      </c>
      <c r="L14">
        <v>1.2642379799712699E-2</v>
      </c>
      <c r="M14">
        <v>1.9900000000000001E-2</v>
      </c>
      <c r="N14">
        <v>1.9703241999999999E-2</v>
      </c>
      <c r="R14">
        <v>3.2542380000000003E-2</v>
      </c>
      <c r="S14">
        <v>3.2899999999999999E-2</v>
      </c>
      <c r="T14">
        <f t="shared" si="0"/>
        <v>0.98913009118541051</v>
      </c>
      <c r="U14">
        <v>2.1397821451783702E-2</v>
      </c>
      <c r="V14">
        <f t="shared" si="1"/>
        <v>5.4297821451783704E-2</v>
      </c>
      <c r="W14">
        <v>5.3940201E-2</v>
      </c>
      <c r="X14">
        <f t="shared" si="2"/>
        <v>3.5762045178370366E-4</v>
      </c>
      <c r="Y14">
        <f t="shared" si="3"/>
        <v>5.4297821451783704E-2</v>
      </c>
      <c r="AA14">
        <v>5.4297821000000003E-2</v>
      </c>
      <c r="AB14">
        <v>5.5549999999999995E-2</v>
      </c>
      <c r="AC14">
        <f t="shared" si="4"/>
        <v>0.97745852385238541</v>
      </c>
      <c r="AD14">
        <v>1.9467635040908898E-2</v>
      </c>
      <c r="AE14">
        <f t="shared" si="5"/>
        <v>7.5017635040908887E-2</v>
      </c>
      <c r="AF14">
        <v>7.3765455999999993E-2</v>
      </c>
      <c r="AG14">
        <f t="shared" si="6"/>
        <v>1.2521790409088934E-3</v>
      </c>
      <c r="AH14">
        <f t="shared" si="7"/>
        <v>7.5017635040908887E-2</v>
      </c>
      <c r="AI14">
        <v>7.5017634999999999E-2</v>
      </c>
      <c r="AJ14" s="58">
        <f t="shared" si="8"/>
        <v>-5.4532360779456246E-10</v>
      </c>
      <c r="AL14">
        <v>7.5017634999999999E-2</v>
      </c>
      <c r="AM14">
        <v>7.4900000000000008E-2</v>
      </c>
      <c r="AN14">
        <f t="shared" si="9"/>
        <v>1.0015705607476635</v>
      </c>
      <c r="AO14">
        <v>1.38875999652251E-2</v>
      </c>
      <c r="AP14">
        <f t="shared" si="34"/>
        <v>8.8787599965225103E-2</v>
      </c>
      <c r="AQ14">
        <v>8.8905234965225205E-2</v>
      </c>
      <c r="AR14">
        <f t="shared" si="35"/>
        <v>-1.1763500000010196E-4</v>
      </c>
      <c r="AS14">
        <f t="shared" si="36"/>
        <v>8.8787599965225103E-2</v>
      </c>
      <c r="AT14">
        <v>8.8787599999999994E-2</v>
      </c>
      <c r="AU14" s="58">
        <f t="shared" si="10"/>
        <v>3.9166382820914738E-10</v>
      </c>
      <c r="AW14">
        <v>8.8787599999999994E-2</v>
      </c>
      <c r="AX14">
        <v>8.904999999999999E-2</v>
      </c>
      <c r="AY14">
        <f t="shared" si="11"/>
        <v>0.99705334081976427</v>
      </c>
      <c r="AZ14">
        <v>2E-3</v>
      </c>
      <c r="BA14">
        <f t="shared" si="12"/>
        <v>9.1049999999999992E-2</v>
      </c>
      <c r="BB14">
        <v>9.0787599999999996E-2</v>
      </c>
      <c r="BC14">
        <f t="shared" si="13"/>
        <v>2.6239999999999597E-4</v>
      </c>
      <c r="BD14">
        <f t="shared" si="14"/>
        <v>9.1049999999999992E-2</v>
      </c>
      <c r="BE14">
        <v>9.1050000000000006E-2</v>
      </c>
      <c r="BF14" s="58">
        <f t="shared" si="15"/>
        <v>1.5241941579148224E-16</v>
      </c>
      <c r="BH14">
        <v>9.1050000000000006E-2</v>
      </c>
      <c r="BI14">
        <v>9.0749999999999997E-2</v>
      </c>
      <c r="BJ14">
        <f t="shared" si="16"/>
        <v>1.0033057851239671</v>
      </c>
      <c r="BK14">
        <v>2E-3</v>
      </c>
      <c r="BL14">
        <f t="shared" si="17"/>
        <v>9.2749999999999999E-2</v>
      </c>
      <c r="BM14">
        <v>9.3049999999999994E-2</v>
      </c>
      <c r="BN14">
        <f t="shared" si="18"/>
        <v>-2.9999999999999472E-4</v>
      </c>
      <c r="BO14">
        <f t="shared" si="19"/>
        <v>9.2749999999999999E-2</v>
      </c>
      <c r="BP14">
        <v>9.2749999999999999E-2</v>
      </c>
      <c r="BQ14" s="58">
        <f t="shared" si="20"/>
        <v>0</v>
      </c>
      <c r="BS14">
        <v>9.2749999999999999E-2</v>
      </c>
      <c r="BT14">
        <v>9.2600000000000002E-2</v>
      </c>
      <c r="BU14">
        <f t="shared" si="21"/>
        <v>1.0016198704103672</v>
      </c>
      <c r="BV14">
        <v>1E-3</v>
      </c>
      <c r="BW14">
        <f t="shared" si="22"/>
        <v>9.3600000000000003E-2</v>
      </c>
      <c r="BX14">
        <v>9.375E-2</v>
      </c>
      <c r="BY14">
        <f t="shared" si="23"/>
        <v>-1.4999999999999736E-4</v>
      </c>
      <c r="BZ14">
        <f t="shared" si="24"/>
        <v>9.3600000000000003E-2</v>
      </c>
      <c r="CA14">
        <v>9.3600000000000003E-2</v>
      </c>
      <c r="CB14" s="58">
        <f t="shared" si="37"/>
        <v>0</v>
      </c>
      <c r="CD14">
        <v>9.3600000000000003E-2</v>
      </c>
      <c r="CE14">
        <v>9.3949999999999992E-2</v>
      </c>
      <c r="CF14">
        <f t="shared" si="38"/>
        <v>0.99627461415646634</v>
      </c>
      <c r="CG14">
        <v>2E-3</v>
      </c>
      <c r="CH14">
        <f t="shared" si="39"/>
        <v>9.5949999999999994E-2</v>
      </c>
      <c r="CI14">
        <v>9.5600000000000004E-2</v>
      </c>
      <c r="CJ14">
        <f t="shared" si="40"/>
        <v>3.4999999999998921E-4</v>
      </c>
      <c r="CK14">
        <f t="shared" si="41"/>
        <v>9.5949999999999994E-2</v>
      </c>
      <c r="CL14">
        <v>9.5949999999999994E-2</v>
      </c>
      <c r="CM14" s="58">
        <f t="shared" si="42"/>
        <v>0</v>
      </c>
      <c r="CO14">
        <v>9.5949999999999994E-2</v>
      </c>
      <c r="CP14">
        <v>0.10045</v>
      </c>
      <c r="CQ14">
        <f t="shared" si="26"/>
        <v>0.95520159283225481</v>
      </c>
      <c r="CR14">
        <v>3.43478403424868E-2</v>
      </c>
      <c r="CS14">
        <f t="shared" si="27"/>
        <v>0.13479784034248679</v>
      </c>
      <c r="CT14">
        <v>0.13029784</v>
      </c>
      <c r="CU14">
        <f t="shared" si="28"/>
        <v>4.5000003424867929E-3</v>
      </c>
      <c r="CV14">
        <f t="shared" si="29"/>
        <v>0.13479784034248679</v>
      </c>
    </row>
    <row r="15" spans="1:102" x14ac:dyDescent="0.25">
      <c r="A15" t="s">
        <v>46</v>
      </c>
      <c r="B15">
        <v>1.3671938999999999E-2</v>
      </c>
      <c r="C15">
        <v>6.8000000000000005E-3</v>
      </c>
      <c r="D15" t="str">
        <f t="shared" si="30"/>
        <v/>
      </c>
      <c r="E15">
        <v>1.5752474004341099E-2</v>
      </c>
      <c r="F15">
        <f t="shared" si="31"/>
        <v>2.25524740043411E-2</v>
      </c>
      <c r="G15">
        <v>2.9424413E-2</v>
      </c>
      <c r="H15">
        <f t="shared" si="32"/>
        <v>-6.8719389956589001E-3</v>
      </c>
      <c r="I15">
        <f t="shared" si="33"/>
        <v>2.25524740043411E-2</v>
      </c>
      <c r="K15">
        <v>3</v>
      </c>
      <c r="L15">
        <v>1.5752474004341099E-2</v>
      </c>
      <c r="M15">
        <v>6.8000000000000005E-3</v>
      </c>
      <c r="N15">
        <v>1.3671938999999999E-2</v>
      </c>
      <c r="R15">
        <v>2.2552473999999999E-2</v>
      </c>
      <c r="S15">
        <v>2.9449999999999997E-2</v>
      </c>
      <c r="T15" t="str">
        <f t="shared" si="0"/>
        <v/>
      </c>
      <c r="U15">
        <v>3.8934382769874501E-2</v>
      </c>
      <c r="V15">
        <f t="shared" si="1"/>
        <v>6.8384382769874491E-2</v>
      </c>
      <c r="W15">
        <v>6.1486856999999999E-2</v>
      </c>
      <c r="X15">
        <f t="shared" si="2"/>
        <v>0</v>
      </c>
      <c r="Y15">
        <f t="shared" si="3"/>
        <v>6.1486856999999999E-2</v>
      </c>
      <c r="AA15">
        <v>6.1486856999999999E-2</v>
      </c>
      <c r="AB15">
        <v>4.6399999999999997E-2</v>
      </c>
      <c r="AC15" t="str">
        <f t="shared" si="4"/>
        <v/>
      </c>
      <c r="AD15">
        <v>3.80980494564521E-2</v>
      </c>
      <c r="AE15">
        <f t="shared" si="5"/>
        <v>8.449804945645209E-2</v>
      </c>
      <c r="AF15">
        <v>9.9584906000000001E-2</v>
      </c>
      <c r="AG15">
        <f t="shared" si="6"/>
        <v>0</v>
      </c>
      <c r="AH15">
        <f t="shared" si="7"/>
        <v>9.9584906000000001E-2</v>
      </c>
      <c r="AI15">
        <v>9.9584906000000001E-2</v>
      </c>
      <c r="AJ15" s="58">
        <f t="shared" si="8"/>
        <v>0</v>
      </c>
      <c r="AL15">
        <v>9.9584906000000001E-2</v>
      </c>
      <c r="AM15">
        <v>7.145E-2</v>
      </c>
      <c r="AN15" t="str">
        <f t="shared" si="9"/>
        <v/>
      </c>
      <c r="AO15">
        <v>3.0216911531463501E-2</v>
      </c>
      <c r="AP15">
        <f t="shared" si="34"/>
        <v>0.1016669115314635</v>
      </c>
      <c r="AQ15">
        <v>0.129801817531463</v>
      </c>
      <c r="AR15">
        <f t="shared" si="35"/>
        <v>0</v>
      </c>
      <c r="AS15">
        <f t="shared" si="36"/>
        <v>0.129801817531463</v>
      </c>
      <c r="AT15">
        <v>0.12980181800000001</v>
      </c>
      <c r="AU15" s="58">
        <f t="shared" si="10"/>
        <v>3.6096336989127989E-9</v>
      </c>
      <c r="AW15">
        <v>0.12980181800000001</v>
      </c>
      <c r="AX15">
        <v>9.4499999999999987E-2</v>
      </c>
      <c r="AY15" t="str">
        <f t="shared" si="11"/>
        <v/>
      </c>
      <c r="AZ15">
        <v>2.0000001534516E-3</v>
      </c>
      <c r="BA15">
        <f t="shared" si="12"/>
        <v>9.6500000153451587E-2</v>
      </c>
      <c r="BB15">
        <v>0.13180181799999999</v>
      </c>
      <c r="BC15">
        <f t="shared" si="13"/>
        <v>0</v>
      </c>
      <c r="BD15">
        <f t="shared" si="14"/>
        <v>0.13180181799999999</v>
      </c>
      <c r="BE15">
        <v>0.13180181799999999</v>
      </c>
      <c r="BF15" s="58">
        <f t="shared" si="15"/>
        <v>0</v>
      </c>
      <c r="BH15">
        <v>0.13180181799999999</v>
      </c>
      <c r="BI15">
        <v>0.10845</v>
      </c>
      <c r="BJ15" t="str">
        <f t="shared" si="16"/>
        <v/>
      </c>
      <c r="BK15">
        <v>2.0000000235005999E-3</v>
      </c>
      <c r="BL15">
        <f t="shared" si="17"/>
        <v>0.11045000002350061</v>
      </c>
      <c r="BM15">
        <v>0.13380181799999999</v>
      </c>
      <c r="BN15">
        <f t="shared" si="18"/>
        <v>0</v>
      </c>
      <c r="BO15">
        <f t="shared" si="19"/>
        <v>0.13380181799999999</v>
      </c>
      <c r="BP15">
        <v>0.13380181799999999</v>
      </c>
      <c r="BQ15" s="58">
        <f t="shared" si="20"/>
        <v>0</v>
      </c>
      <c r="BS15">
        <v>0.13380181799999999</v>
      </c>
      <c r="BT15">
        <v>0.11445</v>
      </c>
      <c r="BU15" t="str">
        <f t="shared" si="21"/>
        <v/>
      </c>
      <c r="BV15">
        <v>1.0000004317363999E-3</v>
      </c>
      <c r="BW15">
        <f t="shared" si="22"/>
        <v>0.11545000043173639</v>
      </c>
      <c r="BX15">
        <v>0.13480181799999999</v>
      </c>
      <c r="BY15">
        <f t="shared" si="23"/>
        <v>0</v>
      </c>
      <c r="BZ15">
        <f t="shared" si="24"/>
        <v>0.13480181799999999</v>
      </c>
      <c r="CA15">
        <v>0.13480181799999999</v>
      </c>
      <c r="CB15" s="58">
        <f t="shared" si="37"/>
        <v>0</v>
      </c>
      <c r="CD15">
        <v>0.13480181799999999</v>
      </c>
      <c r="CE15">
        <v>0.13100000000000001</v>
      </c>
      <c r="CF15" t="str">
        <f t="shared" si="38"/>
        <v/>
      </c>
      <c r="CG15">
        <v>2E-3</v>
      </c>
      <c r="CH15">
        <f t="shared" si="39"/>
        <v>0.13300000000000001</v>
      </c>
      <c r="CI15">
        <v>0.13680181799999999</v>
      </c>
      <c r="CJ15">
        <f t="shared" si="40"/>
        <v>0</v>
      </c>
      <c r="CK15">
        <f t="shared" si="41"/>
        <v>0.13680181799999999</v>
      </c>
      <c r="CL15">
        <v>0.13680181799999999</v>
      </c>
      <c r="CM15" s="58">
        <f t="shared" si="42"/>
        <v>0</v>
      </c>
      <c r="CO15">
        <v>0.13680181799999999</v>
      </c>
      <c r="CP15">
        <v>0.13414999999999999</v>
      </c>
      <c r="CQ15" t="str">
        <f t="shared" si="26"/>
        <v/>
      </c>
      <c r="CR15">
        <v>2E-3</v>
      </c>
      <c r="CS15">
        <f t="shared" si="27"/>
        <v>0.13614999999999999</v>
      </c>
      <c r="CT15">
        <v>0.13880181799999999</v>
      </c>
      <c r="CU15">
        <f t="shared" si="28"/>
        <v>0</v>
      </c>
      <c r="CV15">
        <f t="shared" si="29"/>
        <v>0.13880181799999999</v>
      </c>
    </row>
    <row r="16" spans="1:102" x14ac:dyDescent="0.25">
      <c r="A16" t="s">
        <v>49</v>
      </c>
      <c r="B16">
        <v>2.0268247E-2</v>
      </c>
      <c r="C16">
        <v>2.0400000000000001E-2</v>
      </c>
      <c r="D16">
        <f t="shared" si="30"/>
        <v>0.99354151960784309</v>
      </c>
      <c r="E16">
        <v>1.0936983741416099E-2</v>
      </c>
      <c r="F16">
        <f t="shared" si="31"/>
        <v>3.1336983741416101E-2</v>
      </c>
      <c r="G16">
        <v>3.1205231E-2</v>
      </c>
      <c r="H16">
        <f t="shared" si="32"/>
        <v>1.3175274141610099E-4</v>
      </c>
      <c r="I16">
        <f t="shared" si="33"/>
        <v>3.1336983741416101E-2</v>
      </c>
      <c r="K16">
        <v>3</v>
      </c>
      <c r="L16">
        <v>1.0936983741416099E-2</v>
      </c>
      <c r="M16">
        <v>2.0400000000000001E-2</v>
      </c>
      <c r="N16">
        <v>2.0268247E-2</v>
      </c>
      <c r="R16">
        <v>3.1336983999999998E-2</v>
      </c>
      <c r="S16">
        <v>3.1449999999999999E-2</v>
      </c>
      <c r="T16">
        <f t="shared" si="0"/>
        <v>0.99640648648648644</v>
      </c>
      <c r="U16">
        <v>1.7293048543152799E-2</v>
      </c>
      <c r="V16">
        <f t="shared" si="1"/>
        <v>4.8743048543152798E-2</v>
      </c>
      <c r="W16">
        <v>4.8630033000000003E-2</v>
      </c>
      <c r="X16">
        <f t="shared" si="2"/>
        <v>1.1301554315279461E-4</v>
      </c>
      <c r="Y16">
        <f t="shared" si="3"/>
        <v>4.8743048543152798E-2</v>
      </c>
      <c r="AA16">
        <v>4.8743048999999997E-2</v>
      </c>
      <c r="AB16">
        <v>4.9749999999999996E-2</v>
      </c>
      <c r="AC16">
        <f t="shared" si="4"/>
        <v>0.97975977889447241</v>
      </c>
      <c r="AD16">
        <v>1.5300871468613799E-2</v>
      </c>
      <c r="AE16">
        <f t="shared" si="5"/>
        <v>6.5050871468613797E-2</v>
      </c>
      <c r="AF16">
        <v>6.4043920000000004E-2</v>
      </c>
      <c r="AG16">
        <f t="shared" si="6"/>
        <v>1.0069514686137926E-3</v>
      </c>
      <c r="AH16">
        <f t="shared" si="7"/>
        <v>6.5050871468613797E-2</v>
      </c>
      <c r="AI16">
        <v>6.5050870999999996E-2</v>
      </c>
      <c r="AJ16" s="58">
        <f t="shared" si="8"/>
        <v>-7.2038051137829824E-9</v>
      </c>
      <c r="AL16">
        <v>6.5050870999999996E-2</v>
      </c>
      <c r="AM16">
        <v>6.5350000000000005E-2</v>
      </c>
      <c r="AN16">
        <f t="shared" si="9"/>
        <v>0.99542266258607481</v>
      </c>
      <c r="AO16">
        <v>9.5100602621331996E-3</v>
      </c>
      <c r="AP16">
        <f t="shared" si="34"/>
        <v>7.486006026213321E-2</v>
      </c>
      <c r="AQ16">
        <v>7.4560931262133201E-2</v>
      </c>
      <c r="AR16">
        <f t="shared" si="35"/>
        <v>2.9912900000000908E-4</v>
      </c>
      <c r="AS16">
        <f t="shared" si="36"/>
        <v>7.486006026213321E-2</v>
      </c>
      <c r="AT16">
        <v>7.4860060000000006E-2</v>
      </c>
      <c r="AU16" s="58">
        <f t="shared" si="10"/>
        <v>-3.5016429737581604E-9</v>
      </c>
      <c r="AW16">
        <v>7.4860060000000006E-2</v>
      </c>
      <c r="AX16">
        <v>7.5149999999999995E-2</v>
      </c>
      <c r="AY16">
        <f t="shared" si="11"/>
        <v>0.99614184963406538</v>
      </c>
      <c r="AZ16">
        <v>2E-3</v>
      </c>
      <c r="BA16">
        <f t="shared" si="12"/>
        <v>7.7149999999999996E-2</v>
      </c>
      <c r="BB16">
        <v>7.6860059999999994E-2</v>
      </c>
      <c r="BC16">
        <f t="shared" si="13"/>
        <v>2.8994000000000242E-4</v>
      </c>
      <c r="BD16">
        <f t="shared" si="14"/>
        <v>7.7149999999999996E-2</v>
      </c>
      <c r="BE16">
        <v>7.7149999999999996E-2</v>
      </c>
      <c r="BF16" s="58">
        <f t="shared" si="15"/>
        <v>0</v>
      </c>
      <c r="BH16">
        <v>7.7149999999999996E-2</v>
      </c>
      <c r="BI16">
        <v>7.6850000000000002E-2</v>
      </c>
      <c r="BJ16">
        <f t="shared" si="16"/>
        <v>1.0039037085230968</v>
      </c>
      <c r="BK16">
        <v>2.0000000023469998E-3</v>
      </c>
      <c r="BL16">
        <f t="shared" si="17"/>
        <v>7.8850000002347001E-2</v>
      </c>
      <c r="BM16">
        <v>7.9149999999999998E-2</v>
      </c>
      <c r="BN16">
        <f t="shared" si="18"/>
        <v>-2.9999999765299712E-4</v>
      </c>
      <c r="BO16">
        <f t="shared" si="19"/>
        <v>7.8850000002347001E-2</v>
      </c>
      <c r="BP16">
        <v>7.8850000000000003E-2</v>
      </c>
      <c r="BQ16" s="58">
        <f t="shared" si="20"/>
        <v>-2.9765346812934862E-11</v>
      </c>
      <c r="BS16">
        <v>7.8850000000000003E-2</v>
      </c>
      <c r="BT16">
        <v>7.8700000000000006E-2</v>
      </c>
      <c r="BU16">
        <f t="shared" si="21"/>
        <v>1.0019059720457433</v>
      </c>
      <c r="BV16">
        <v>1E-3</v>
      </c>
      <c r="BW16">
        <f t="shared" si="22"/>
        <v>7.9700000000000007E-2</v>
      </c>
      <c r="BX16">
        <v>7.9850000000000004E-2</v>
      </c>
      <c r="BY16">
        <f t="shared" si="23"/>
        <v>-1.4999999999999736E-4</v>
      </c>
      <c r="BZ16">
        <f t="shared" si="24"/>
        <v>7.9700000000000007E-2</v>
      </c>
      <c r="CA16">
        <v>7.9699999999999993E-2</v>
      </c>
      <c r="CB16" s="58">
        <f t="shared" si="37"/>
        <v>-1.7412531753844988E-16</v>
      </c>
      <c r="CD16">
        <v>7.9699999999999993E-2</v>
      </c>
      <c r="CE16">
        <v>8.0100000000000005E-2</v>
      </c>
      <c r="CF16">
        <f t="shared" si="38"/>
        <v>0.99500624219725331</v>
      </c>
      <c r="CG16">
        <v>3.0104191104762998E-3</v>
      </c>
      <c r="CH16">
        <f t="shared" si="39"/>
        <v>8.31104191104763E-2</v>
      </c>
      <c r="CI16">
        <v>8.2710418999999993E-2</v>
      </c>
      <c r="CJ16">
        <f t="shared" si="40"/>
        <v>4.0000011047630624E-4</v>
      </c>
      <c r="CK16">
        <f t="shared" si="41"/>
        <v>8.31104191104763E-2</v>
      </c>
      <c r="CL16">
        <v>8.3110419000000005E-2</v>
      </c>
      <c r="CM16" s="58">
        <f t="shared" si="42"/>
        <v>-1.3292712990912971E-9</v>
      </c>
      <c r="CO16">
        <v>8.3110419000000005E-2</v>
      </c>
      <c r="CP16">
        <v>8.7150000000000005E-2</v>
      </c>
      <c r="CQ16">
        <f t="shared" si="26"/>
        <v>0.95364795180722894</v>
      </c>
      <c r="CR16">
        <v>4.3695504635307303E-2</v>
      </c>
      <c r="CS16">
        <f t="shared" si="27"/>
        <v>0.13084550463530731</v>
      </c>
      <c r="CT16">
        <v>0.12680592399999999</v>
      </c>
      <c r="CU16">
        <f t="shared" si="28"/>
        <v>4.0395806353073216E-3</v>
      </c>
      <c r="CV16">
        <f t="shared" si="29"/>
        <v>0.13084550463530731</v>
      </c>
    </row>
    <row r="17" spans="1:100" x14ac:dyDescent="0.25">
      <c r="A17" t="s">
        <v>388</v>
      </c>
      <c r="B17">
        <v>2.0475485000000002E-2</v>
      </c>
      <c r="C17">
        <v>1.8000000000000002E-2</v>
      </c>
      <c r="D17" t="str">
        <f t="shared" si="30"/>
        <v/>
      </c>
      <c r="E17">
        <v>1.2824712078535E-2</v>
      </c>
      <c r="F17">
        <f t="shared" si="31"/>
        <v>3.0824712078535002E-2</v>
      </c>
      <c r="G17">
        <v>3.3300196999999997E-2</v>
      </c>
      <c r="H17">
        <f t="shared" si="32"/>
        <v>-2.4754849214649946E-3</v>
      </c>
      <c r="I17">
        <f t="shared" si="33"/>
        <v>3.0824712078535002E-2</v>
      </c>
      <c r="K17">
        <v>3</v>
      </c>
      <c r="L17">
        <v>1.2824712078535E-2</v>
      </c>
      <c r="M17">
        <v>1.8000000000000002E-2</v>
      </c>
      <c r="N17">
        <v>2.0475485000000002E-2</v>
      </c>
      <c r="R17">
        <v>3.0824712000000001E-2</v>
      </c>
      <c r="S17">
        <v>2.665E-2</v>
      </c>
      <c r="T17" t="str">
        <f t="shared" si="0"/>
        <v/>
      </c>
      <c r="U17">
        <v>2.4395586577529701E-2</v>
      </c>
      <c r="V17">
        <f t="shared" si="1"/>
        <v>5.1045586577529702E-2</v>
      </c>
      <c r="W17">
        <v>5.5220299E-2</v>
      </c>
      <c r="X17">
        <f t="shared" si="2"/>
        <v>0</v>
      </c>
      <c r="Y17">
        <f t="shared" si="3"/>
        <v>5.5220299E-2</v>
      </c>
      <c r="AA17">
        <v>5.5220299E-2</v>
      </c>
      <c r="AB17">
        <v>3.6799999999999999E-2</v>
      </c>
      <c r="AC17" t="str">
        <f t="shared" si="4"/>
        <v/>
      </c>
      <c r="AD17">
        <v>2.55206923212613E-2</v>
      </c>
      <c r="AE17">
        <f t="shared" si="5"/>
        <v>6.2320692321261299E-2</v>
      </c>
      <c r="AF17">
        <v>8.0740990999999998E-2</v>
      </c>
      <c r="AG17">
        <f t="shared" si="6"/>
        <v>0</v>
      </c>
      <c r="AH17">
        <f t="shared" si="7"/>
        <v>8.0740990999999998E-2</v>
      </c>
      <c r="AI17">
        <v>8.0740990999999998E-2</v>
      </c>
      <c r="AJ17" s="58">
        <f t="shared" si="8"/>
        <v>0</v>
      </c>
      <c r="AL17">
        <v>8.0740990999999998E-2</v>
      </c>
      <c r="AM17">
        <v>4.8949999999999994E-2</v>
      </c>
      <c r="AN17" t="str">
        <f t="shared" si="9"/>
        <v/>
      </c>
      <c r="AO17">
        <v>2.15245357049366E-2</v>
      </c>
      <c r="AP17">
        <f t="shared" si="34"/>
        <v>7.0474535704936586E-2</v>
      </c>
      <c r="AQ17">
        <v>0.10226552670493599</v>
      </c>
      <c r="AR17">
        <f t="shared" si="35"/>
        <v>0</v>
      </c>
      <c r="AS17">
        <f t="shared" si="36"/>
        <v>0.10226552670493599</v>
      </c>
      <c r="AT17">
        <v>0.10226552699999999</v>
      </c>
      <c r="AU17" s="58">
        <f t="shared" si="10"/>
        <v>2.8852733713633899E-9</v>
      </c>
      <c r="AW17">
        <v>0.10226552699999999</v>
      </c>
      <c r="AX17">
        <v>6.0049999999999999E-2</v>
      </c>
      <c r="AY17" t="str">
        <f t="shared" si="11"/>
        <v/>
      </c>
      <c r="AZ17">
        <v>9.8420551885688001E-3</v>
      </c>
      <c r="BA17">
        <f t="shared" si="12"/>
        <v>6.9892055188568794E-2</v>
      </c>
      <c r="BB17">
        <v>0.112107582</v>
      </c>
      <c r="BC17">
        <f t="shared" si="13"/>
        <v>0</v>
      </c>
      <c r="BD17">
        <f t="shared" si="14"/>
        <v>0.112107582</v>
      </c>
      <c r="BE17">
        <v>0.112107582</v>
      </c>
      <c r="BF17" s="58">
        <f t="shared" si="15"/>
        <v>0</v>
      </c>
      <c r="BH17">
        <v>0.112107582</v>
      </c>
      <c r="BI17">
        <v>6.8949999999999997E-2</v>
      </c>
      <c r="BJ17" t="str">
        <f t="shared" si="16"/>
        <v/>
      </c>
      <c r="BK17">
        <v>1.0514942708317E-2</v>
      </c>
      <c r="BL17">
        <f t="shared" si="17"/>
        <v>7.9464942708316999E-2</v>
      </c>
      <c r="BM17">
        <v>0.122622525</v>
      </c>
      <c r="BN17">
        <f t="shared" si="18"/>
        <v>0</v>
      </c>
      <c r="BO17">
        <f t="shared" si="19"/>
        <v>0.122622525</v>
      </c>
      <c r="BP17">
        <v>0.122622525</v>
      </c>
      <c r="BQ17" s="58">
        <f t="shared" si="20"/>
        <v>0</v>
      </c>
      <c r="BS17">
        <v>0.122622525</v>
      </c>
      <c r="BT17">
        <v>7.8149999999999997E-2</v>
      </c>
      <c r="BU17" t="str">
        <f t="shared" si="21"/>
        <v/>
      </c>
      <c r="BV17">
        <v>7.5232839682831997E-3</v>
      </c>
      <c r="BW17">
        <f t="shared" si="22"/>
        <v>8.5673283968283193E-2</v>
      </c>
      <c r="BX17">
        <v>0.130145809</v>
      </c>
      <c r="BY17">
        <f t="shared" si="23"/>
        <v>0</v>
      </c>
      <c r="BZ17">
        <f t="shared" si="24"/>
        <v>0.130145809</v>
      </c>
      <c r="CA17">
        <v>0.130145809</v>
      </c>
      <c r="CB17" s="58">
        <f t="shared" si="37"/>
        <v>0</v>
      </c>
      <c r="CD17">
        <v>0.130145809</v>
      </c>
      <c r="CE17">
        <v>8.7150000000000005E-2</v>
      </c>
      <c r="CF17" t="str">
        <f t="shared" si="38"/>
        <v/>
      </c>
      <c r="CG17">
        <v>2.0000000003656E-3</v>
      </c>
      <c r="CH17">
        <f t="shared" si="39"/>
        <v>8.9150000000365603E-2</v>
      </c>
      <c r="CI17">
        <v>0.132145809</v>
      </c>
      <c r="CJ17">
        <f t="shared" si="40"/>
        <v>0</v>
      </c>
      <c r="CK17">
        <f t="shared" si="41"/>
        <v>0.132145809</v>
      </c>
      <c r="CL17">
        <v>0.132145809</v>
      </c>
      <c r="CM17" s="58">
        <f t="shared" si="42"/>
        <v>0</v>
      </c>
      <c r="CO17">
        <v>0.132145809</v>
      </c>
      <c r="CP17">
        <v>9.5250000000000001E-2</v>
      </c>
      <c r="CQ17" t="str">
        <f t="shared" si="26"/>
        <v/>
      </c>
      <c r="CR17">
        <v>2E-3</v>
      </c>
      <c r="CS17">
        <f t="shared" si="27"/>
        <v>9.7250000000000003E-2</v>
      </c>
      <c r="CT17">
        <v>0.134145809</v>
      </c>
      <c r="CU17">
        <f t="shared" si="28"/>
        <v>0</v>
      </c>
      <c r="CV17">
        <f t="shared" si="29"/>
        <v>0.134145809</v>
      </c>
    </row>
    <row r="18" spans="1:100" x14ac:dyDescent="0.25">
      <c r="A18" t="s">
        <v>46</v>
      </c>
      <c r="B18">
        <v>1.4443510999999999E-2</v>
      </c>
      <c r="C18">
        <v>6.45E-3</v>
      </c>
      <c r="D18" t="str">
        <f t="shared" si="30"/>
        <v/>
      </c>
      <c r="E18">
        <v>1.5546829267798001E-2</v>
      </c>
      <c r="F18">
        <f t="shared" si="31"/>
        <v>2.1996829267798002E-2</v>
      </c>
      <c r="G18">
        <v>2.9990340000000001E-2</v>
      </c>
      <c r="H18">
        <f t="shared" si="32"/>
        <v>-7.9935107322019992E-3</v>
      </c>
      <c r="I18">
        <f t="shared" si="33"/>
        <v>2.1996829267798002E-2</v>
      </c>
      <c r="K18">
        <v>3</v>
      </c>
      <c r="L18">
        <v>1.5546829267798001E-2</v>
      </c>
      <c r="M18">
        <v>6.45E-3</v>
      </c>
      <c r="N18">
        <v>1.4443510999999999E-2</v>
      </c>
      <c r="R18">
        <v>2.1996828999999999E-2</v>
      </c>
      <c r="S18">
        <v>2.8999999999999998E-2</v>
      </c>
      <c r="T18" t="str">
        <f t="shared" si="0"/>
        <v/>
      </c>
      <c r="U18">
        <v>3.7572622913954898E-2</v>
      </c>
      <c r="V18">
        <f t="shared" si="1"/>
        <v>6.6572622913954896E-2</v>
      </c>
      <c r="W18">
        <v>5.9569452000000002E-2</v>
      </c>
      <c r="X18">
        <f t="shared" si="2"/>
        <v>0</v>
      </c>
      <c r="Y18">
        <f t="shared" si="3"/>
        <v>5.9569452000000002E-2</v>
      </c>
      <c r="AA18">
        <v>5.9569452000000002E-2</v>
      </c>
      <c r="AB18">
        <v>4.2849999999999999E-2</v>
      </c>
      <c r="AC18" t="str">
        <f t="shared" si="4"/>
        <v/>
      </c>
      <c r="AD18">
        <v>3.6041244330877201E-2</v>
      </c>
      <c r="AE18">
        <f t="shared" si="5"/>
        <v>7.88912443308772E-2</v>
      </c>
      <c r="AF18">
        <v>9.5610695999999995E-2</v>
      </c>
      <c r="AG18">
        <f t="shared" si="6"/>
        <v>0</v>
      </c>
      <c r="AH18">
        <f t="shared" si="7"/>
        <v>9.5610695999999995E-2</v>
      </c>
      <c r="AI18">
        <v>9.5610695999999995E-2</v>
      </c>
      <c r="AJ18" s="58">
        <f t="shared" si="8"/>
        <v>0</v>
      </c>
      <c r="AL18">
        <v>9.5610695999999995E-2</v>
      </c>
      <c r="AM18">
        <v>6.8250000000000005E-2</v>
      </c>
      <c r="AN18" t="str">
        <f t="shared" si="9"/>
        <v/>
      </c>
      <c r="AO18">
        <v>2.8306534985264701E-2</v>
      </c>
      <c r="AP18">
        <f t="shared" si="34"/>
        <v>9.6556534985264703E-2</v>
      </c>
      <c r="AQ18">
        <v>0.123917230985264</v>
      </c>
      <c r="AR18">
        <f t="shared" si="35"/>
        <v>0</v>
      </c>
      <c r="AS18">
        <f t="shared" si="36"/>
        <v>0.123917230985264</v>
      </c>
      <c r="AT18">
        <v>0.123917231</v>
      </c>
      <c r="AU18" s="58">
        <f t="shared" si="10"/>
        <v>1.1891811950986774E-10</v>
      </c>
      <c r="AW18">
        <v>0.123917231</v>
      </c>
      <c r="AX18">
        <v>9.3200000000000005E-2</v>
      </c>
      <c r="AY18" t="str">
        <f t="shared" si="11"/>
        <v/>
      </c>
      <c r="AZ18">
        <v>1.2609577687708999E-2</v>
      </c>
      <c r="BA18">
        <f t="shared" si="12"/>
        <v>0.105809577687709</v>
      </c>
      <c r="BB18">
        <v>0.136526809</v>
      </c>
      <c r="BC18">
        <f t="shared" si="13"/>
        <v>0</v>
      </c>
      <c r="BD18">
        <f t="shared" si="14"/>
        <v>0.136526809</v>
      </c>
      <c r="BE18">
        <v>0.136526809</v>
      </c>
      <c r="BF18" s="58">
        <f t="shared" si="15"/>
        <v>0</v>
      </c>
      <c r="BH18">
        <v>0.136526809</v>
      </c>
      <c r="BI18">
        <v>0.1024</v>
      </c>
      <c r="BJ18" t="str">
        <f t="shared" si="16"/>
        <v/>
      </c>
      <c r="BK18">
        <v>2.0000000100982998E-3</v>
      </c>
      <c r="BL18">
        <f t="shared" si="17"/>
        <v>0.1044000000100983</v>
      </c>
      <c r="BM18">
        <v>0.138526809</v>
      </c>
      <c r="BN18">
        <f t="shared" si="18"/>
        <v>0</v>
      </c>
      <c r="BO18">
        <f t="shared" si="19"/>
        <v>0.138526809</v>
      </c>
      <c r="BP18">
        <v>0.138526809</v>
      </c>
      <c r="BQ18" s="58">
        <f t="shared" si="20"/>
        <v>0</v>
      </c>
      <c r="BS18">
        <v>0.138526809</v>
      </c>
      <c r="BT18">
        <v>0.10795</v>
      </c>
      <c r="BU18" t="str">
        <f t="shared" si="21"/>
        <v/>
      </c>
      <c r="BV18">
        <v>1.0000000002101E-3</v>
      </c>
      <c r="BW18">
        <f t="shared" si="22"/>
        <v>0.1089500000002101</v>
      </c>
      <c r="BX18">
        <v>0.139526809</v>
      </c>
      <c r="BY18">
        <f t="shared" si="23"/>
        <v>0</v>
      </c>
      <c r="BZ18">
        <f t="shared" si="24"/>
        <v>0.139526809</v>
      </c>
      <c r="CA18">
        <v>0.139526809</v>
      </c>
      <c r="CB18" s="58">
        <f t="shared" si="37"/>
        <v>0</v>
      </c>
      <c r="CD18">
        <v>0.139526809</v>
      </c>
      <c r="CE18">
        <v>0.1249</v>
      </c>
      <c r="CF18" t="str">
        <f t="shared" si="38"/>
        <v/>
      </c>
      <c r="CG18">
        <v>2E-3</v>
      </c>
      <c r="CH18">
        <f t="shared" si="39"/>
        <v>0.12689999999999999</v>
      </c>
      <c r="CI18">
        <v>0.141526809</v>
      </c>
      <c r="CJ18">
        <f t="shared" si="40"/>
        <v>0</v>
      </c>
      <c r="CK18">
        <f t="shared" si="41"/>
        <v>0.141526809</v>
      </c>
      <c r="CL18">
        <v>0.141526809</v>
      </c>
      <c r="CM18" s="58">
        <f t="shared" si="42"/>
        <v>0</v>
      </c>
      <c r="CO18">
        <v>0.141526809</v>
      </c>
      <c r="CP18">
        <v>0.12805</v>
      </c>
      <c r="CQ18" t="str">
        <f t="shared" si="26"/>
        <v/>
      </c>
      <c r="CR18">
        <v>2E-3</v>
      </c>
      <c r="CS18">
        <f t="shared" si="27"/>
        <v>0.13005</v>
      </c>
      <c r="CT18">
        <v>0.14352680900000001</v>
      </c>
      <c r="CU18">
        <f t="shared" si="28"/>
        <v>0</v>
      </c>
      <c r="CV18">
        <f t="shared" si="29"/>
        <v>0.14352680900000001</v>
      </c>
    </row>
    <row r="19" spans="1:100" x14ac:dyDescent="0.25">
      <c r="A19" t="s">
        <v>49</v>
      </c>
      <c r="B19">
        <v>2.0483123999999998E-2</v>
      </c>
      <c r="C19">
        <v>2.0499999999999997E-2</v>
      </c>
      <c r="D19">
        <f t="shared" si="30"/>
        <v>0.99917678048780489</v>
      </c>
      <c r="E19">
        <v>1.18631787398815E-2</v>
      </c>
      <c r="F19">
        <f t="shared" si="31"/>
        <v>3.2363178739881496E-2</v>
      </c>
      <c r="G19">
        <v>3.2346303E-2</v>
      </c>
      <c r="H19">
        <f t="shared" si="32"/>
        <v>1.6875739881495877E-5</v>
      </c>
      <c r="I19">
        <f t="shared" si="33"/>
        <v>3.2363178739881496E-2</v>
      </c>
      <c r="K19">
        <v>3</v>
      </c>
      <c r="L19">
        <v>1.18631787398815E-2</v>
      </c>
      <c r="M19">
        <v>2.0499999999999997E-2</v>
      </c>
      <c r="N19">
        <v>2.0483123999999998E-2</v>
      </c>
      <c r="R19">
        <v>3.2363178999999999E-2</v>
      </c>
      <c r="S19">
        <v>3.2500000000000001E-2</v>
      </c>
      <c r="T19">
        <f t="shared" si="0"/>
        <v>0.99579012307692305</v>
      </c>
      <c r="U19">
        <v>1.9029253258577201E-2</v>
      </c>
      <c r="V19">
        <f t="shared" si="1"/>
        <v>5.1529253258577198E-2</v>
      </c>
      <c r="W19">
        <v>5.1392432000000002E-2</v>
      </c>
      <c r="X19">
        <f t="shared" si="2"/>
        <v>1.3682125857719662E-4</v>
      </c>
      <c r="Y19">
        <f t="shared" si="3"/>
        <v>5.1529253258577198E-2</v>
      </c>
      <c r="AA19">
        <v>5.1529252999999997E-2</v>
      </c>
      <c r="AB19">
        <v>5.2750000000000005E-2</v>
      </c>
      <c r="AC19">
        <f t="shared" si="4"/>
        <v>0.976857876777251</v>
      </c>
      <c r="AD19">
        <v>1.78706241100096E-2</v>
      </c>
      <c r="AE19">
        <f t="shared" si="5"/>
        <v>7.0620624110009605E-2</v>
      </c>
      <c r="AF19">
        <v>6.9399876999999999E-2</v>
      </c>
      <c r="AG19">
        <f t="shared" si="6"/>
        <v>1.2207471100096068E-3</v>
      </c>
      <c r="AH19">
        <f t="shared" si="7"/>
        <v>7.0620624110009605E-2</v>
      </c>
      <c r="AI19">
        <v>7.0620624000000007E-2</v>
      </c>
      <c r="AJ19" s="58">
        <f t="shared" si="8"/>
        <v>-1.5577545517220018E-9</v>
      </c>
      <c r="AL19">
        <v>7.0620624000000007E-2</v>
      </c>
      <c r="AM19">
        <v>7.1399999999999991E-2</v>
      </c>
      <c r="AN19">
        <f t="shared" si="9"/>
        <v>0.98908436974789937</v>
      </c>
      <c r="AO19">
        <v>1.35950065895033E-2</v>
      </c>
      <c r="AP19">
        <f t="shared" si="34"/>
        <v>8.4995006589503291E-2</v>
      </c>
      <c r="AQ19">
        <v>8.4215630589503293E-2</v>
      </c>
      <c r="AR19">
        <f t="shared" si="35"/>
        <v>7.7937599999999829E-4</v>
      </c>
      <c r="AS19">
        <f t="shared" si="36"/>
        <v>8.4995006589503291E-2</v>
      </c>
      <c r="AT19">
        <v>8.4995006999999997E-2</v>
      </c>
      <c r="AU19" s="58">
        <f t="shared" si="10"/>
        <v>4.8296567356475915E-9</v>
      </c>
      <c r="AW19">
        <v>8.4995006999999997E-2</v>
      </c>
      <c r="AX19">
        <v>8.539999999999999E-2</v>
      </c>
      <c r="AY19">
        <f t="shared" si="11"/>
        <v>0.99525769320843105</v>
      </c>
      <c r="AZ19">
        <v>2.0000006627049999E-3</v>
      </c>
      <c r="BA19">
        <f t="shared" si="12"/>
        <v>8.7400000662704994E-2</v>
      </c>
      <c r="BB19">
        <v>8.6995007999999999E-2</v>
      </c>
      <c r="BC19">
        <f t="shared" si="13"/>
        <v>4.049926627049949E-4</v>
      </c>
      <c r="BD19">
        <f t="shared" si="14"/>
        <v>8.7400000662704994E-2</v>
      </c>
      <c r="BE19">
        <v>8.7400001000000005E-2</v>
      </c>
      <c r="BF19" s="58">
        <f t="shared" si="15"/>
        <v>3.8592106270946477E-9</v>
      </c>
      <c r="BH19">
        <v>8.7400001000000005E-2</v>
      </c>
      <c r="BI19">
        <v>8.7150000000000005E-2</v>
      </c>
      <c r="BJ19">
        <f t="shared" si="16"/>
        <v>1.0028686288009179</v>
      </c>
      <c r="BK19">
        <v>2E-3</v>
      </c>
      <c r="BL19">
        <f t="shared" si="17"/>
        <v>8.9150000000000007E-2</v>
      </c>
      <c r="BM19">
        <v>8.9400001000000007E-2</v>
      </c>
      <c r="BN19">
        <f t="shared" si="18"/>
        <v>-2.500009999999997E-4</v>
      </c>
      <c r="BO19">
        <f t="shared" si="19"/>
        <v>8.9150000000000007E-2</v>
      </c>
      <c r="BP19">
        <v>8.9149999999999993E-2</v>
      </c>
      <c r="BQ19" s="58">
        <f t="shared" si="20"/>
        <v>-1.5566783856213634E-16</v>
      </c>
      <c r="BS19">
        <v>8.9149999999999993E-2</v>
      </c>
      <c r="BT19">
        <v>8.900000000000001E-2</v>
      </c>
      <c r="BU19">
        <f t="shared" si="21"/>
        <v>1.0016853932584269</v>
      </c>
      <c r="BV19">
        <v>1.0000000007913E-3</v>
      </c>
      <c r="BW19">
        <f t="shared" si="22"/>
        <v>9.0000000000791308E-2</v>
      </c>
      <c r="BX19">
        <v>9.0149999999999994E-2</v>
      </c>
      <c r="BY19">
        <f t="shared" si="23"/>
        <v>-1.499999992086859E-4</v>
      </c>
      <c r="BZ19">
        <f t="shared" si="24"/>
        <v>9.0000000000791308E-2</v>
      </c>
      <c r="CA19">
        <v>0.09</v>
      </c>
      <c r="CB19" s="58">
        <f t="shared" si="37"/>
        <v>-8.7923495643846987E-12</v>
      </c>
      <c r="CD19">
        <v>0.09</v>
      </c>
      <c r="CE19">
        <v>9.0200000000000002E-2</v>
      </c>
      <c r="CF19">
        <f t="shared" si="38"/>
        <v>0.99778270509977818</v>
      </c>
      <c r="CG19">
        <v>2E-3</v>
      </c>
      <c r="CH19">
        <f t="shared" si="39"/>
        <v>9.2200000000000004E-2</v>
      </c>
      <c r="CI19">
        <v>9.1999999999999998E-2</v>
      </c>
      <c r="CJ19">
        <f t="shared" si="40"/>
        <v>2.0000000000000573E-4</v>
      </c>
      <c r="CK19">
        <f t="shared" si="41"/>
        <v>9.2200000000000004E-2</v>
      </c>
      <c r="CL19">
        <v>9.2200000000000004E-2</v>
      </c>
      <c r="CM19" s="58">
        <f t="shared" si="42"/>
        <v>0</v>
      </c>
      <c r="CO19">
        <v>9.2200000000000004E-2</v>
      </c>
      <c r="CP19">
        <v>9.5449999999999993E-2</v>
      </c>
      <c r="CQ19">
        <f t="shared" si="26"/>
        <v>0.96595075955997911</v>
      </c>
      <c r="CR19">
        <v>3.5126468381456201E-2</v>
      </c>
      <c r="CS19">
        <f t="shared" si="27"/>
        <v>0.1305764683814562</v>
      </c>
      <c r="CT19">
        <v>0.127326468</v>
      </c>
      <c r="CU19">
        <f t="shared" si="28"/>
        <v>3.2500003814562028E-3</v>
      </c>
      <c r="CV19">
        <f t="shared" si="29"/>
        <v>0.1305764683814562</v>
      </c>
    </row>
    <row r="20" spans="1:100" x14ac:dyDescent="0.25">
      <c r="A20" t="s">
        <v>46</v>
      </c>
      <c r="B20">
        <v>1.3607691E-2</v>
      </c>
      <c r="C20">
        <v>8.9499999999999996E-3</v>
      </c>
      <c r="D20" t="str">
        <f t="shared" si="30"/>
        <v/>
      </c>
      <c r="E20">
        <v>1.6254195183151299E-2</v>
      </c>
      <c r="F20">
        <f t="shared" si="31"/>
        <v>2.5204195183151298E-2</v>
      </c>
      <c r="G20">
        <v>2.9861886000000001E-2</v>
      </c>
      <c r="H20">
        <f t="shared" si="32"/>
        <v>-4.6576908168487023E-3</v>
      </c>
      <c r="I20">
        <f t="shared" si="33"/>
        <v>2.5204195183151298E-2</v>
      </c>
      <c r="K20">
        <v>3</v>
      </c>
      <c r="L20">
        <v>1.6254195183151299E-2</v>
      </c>
      <c r="M20">
        <v>8.9499999999999996E-3</v>
      </c>
      <c r="N20">
        <v>1.3607691E-2</v>
      </c>
      <c r="R20">
        <v>2.5204194999999999E-2</v>
      </c>
      <c r="S20">
        <v>3.15E-2</v>
      </c>
      <c r="T20" t="str">
        <f t="shared" si="0"/>
        <v/>
      </c>
      <c r="U20">
        <v>3.6787348990887397E-2</v>
      </c>
      <c r="V20">
        <f t="shared" si="1"/>
        <v>6.8287348990887398E-2</v>
      </c>
      <c r="W20">
        <v>6.1991544000000003E-2</v>
      </c>
      <c r="X20">
        <f t="shared" si="2"/>
        <v>0</v>
      </c>
      <c r="Y20">
        <f t="shared" si="3"/>
        <v>6.1991544000000003E-2</v>
      </c>
      <c r="AA20">
        <v>6.1991544000000003E-2</v>
      </c>
      <c r="AB20">
        <v>4.4299999999999999E-2</v>
      </c>
      <c r="AC20" t="str">
        <f t="shared" si="4"/>
        <v/>
      </c>
      <c r="AD20">
        <v>3.5775301099818198E-2</v>
      </c>
      <c r="AE20">
        <f t="shared" si="5"/>
        <v>8.0075301099818197E-2</v>
      </c>
      <c r="AF20">
        <v>9.7766845000000005E-2</v>
      </c>
      <c r="AG20">
        <f t="shared" si="6"/>
        <v>0</v>
      </c>
      <c r="AH20">
        <f t="shared" si="7"/>
        <v>9.7766845000000005E-2</v>
      </c>
      <c r="AI20">
        <v>9.7766845000000005E-2</v>
      </c>
      <c r="AJ20" s="58">
        <f t="shared" si="8"/>
        <v>0</v>
      </c>
      <c r="AL20">
        <v>9.7766845000000005E-2</v>
      </c>
      <c r="AM20">
        <v>6.9449999999999998E-2</v>
      </c>
      <c r="AN20" t="str">
        <f t="shared" si="9"/>
        <v/>
      </c>
      <c r="AO20">
        <v>3.1835948330355898E-2</v>
      </c>
      <c r="AP20">
        <f t="shared" si="34"/>
        <v>0.1012859483303559</v>
      </c>
      <c r="AQ20">
        <v>0.12960279333035499</v>
      </c>
      <c r="AR20">
        <f t="shared" si="35"/>
        <v>0</v>
      </c>
      <c r="AS20">
        <f t="shared" si="36"/>
        <v>0.12960279333035499</v>
      </c>
      <c r="AT20">
        <v>0.12960279299999999</v>
      </c>
      <c r="AU20" s="58">
        <f t="shared" si="10"/>
        <v>-2.5489805032118581E-9</v>
      </c>
      <c r="AW20">
        <v>0.12960279299999999</v>
      </c>
      <c r="AX20">
        <v>9.4149999999999998E-2</v>
      </c>
      <c r="AY20" t="str">
        <f t="shared" si="11"/>
        <v/>
      </c>
      <c r="AZ20">
        <v>7.3308706165030003E-3</v>
      </c>
      <c r="BA20">
        <f t="shared" si="12"/>
        <v>0.101480870616503</v>
      </c>
      <c r="BB20">
        <v>0.13693366400000001</v>
      </c>
      <c r="BC20">
        <f t="shared" si="13"/>
        <v>0</v>
      </c>
      <c r="BD20">
        <f t="shared" si="14"/>
        <v>0.13693366400000001</v>
      </c>
      <c r="BE20">
        <v>0.13693366400000001</v>
      </c>
      <c r="BF20" s="58">
        <f t="shared" si="15"/>
        <v>0</v>
      </c>
      <c r="BH20">
        <v>0.13693366400000001</v>
      </c>
      <c r="BI20">
        <v>0.10189999999999999</v>
      </c>
      <c r="BJ20" t="str">
        <f t="shared" si="16"/>
        <v/>
      </c>
      <c r="BK20">
        <v>2.0000000091995999E-3</v>
      </c>
      <c r="BL20">
        <f t="shared" si="17"/>
        <v>0.10390000000919959</v>
      </c>
      <c r="BM20">
        <v>0.13893366400000001</v>
      </c>
      <c r="BN20">
        <f t="shared" si="18"/>
        <v>0</v>
      </c>
      <c r="BO20">
        <f t="shared" si="19"/>
        <v>0.13893366400000001</v>
      </c>
      <c r="BP20">
        <v>0.13893366400000001</v>
      </c>
      <c r="BQ20" s="58">
        <f t="shared" si="20"/>
        <v>0</v>
      </c>
      <c r="BS20">
        <v>0.13893366400000001</v>
      </c>
      <c r="BT20">
        <v>0.1065</v>
      </c>
      <c r="BU20" t="str">
        <f t="shared" si="21"/>
        <v/>
      </c>
      <c r="BV20">
        <v>1.0000000042481999E-3</v>
      </c>
      <c r="BW20">
        <f t="shared" si="22"/>
        <v>0.1075000000042482</v>
      </c>
      <c r="BX20">
        <v>0.13993366400000001</v>
      </c>
      <c r="BY20">
        <f t="shared" si="23"/>
        <v>0</v>
      </c>
      <c r="BZ20">
        <f t="shared" si="24"/>
        <v>0.13993366400000001</v>
      </c>
      <c r="CA20">
        <v>0.13993366400000001</v>
      </c>
      <c r="CB20" s="58">
        <f t="shared" si="37"/>
        <v>0</v>
      </c>
      <c r="CD20">
        <v>0.13993366400000001</v>
      </c>
      <c r="CE20">
        <v>0.12435</v>
      </c>
      <c r="CF20" t="str">
        <f t="shared" si="38"/>
        <v/>
      </c>
      <c r="CG20">
        <v>2E-3</v>
      </c>
      <c r="CH20">
        <f t="shared" si="39"/>
        <v>0.12634999999999999</v>
      </c>
      <c r="CI20">
        <v>0.14193366399999999</v>
      </c>
      <c r="CJ20">
        <f t="shared" si="40"/>
        <v>0</v>
      </c>
      <c r="CK20">
        <f t="shared" si="41"/>
        <v>0.14193366399999999</v>
      </c>
      <c r="CL20">
        <v>0.14193366399999999</v>
      </c>
      <c r="CM20" s="58">
        <f t="shared" si="42"/>
        <v>0</v>
      </c>
      <c r="CO20">
        <v>0.14193366399999999</v>
      </c>
      <c r="CP20">
        <v>0.12655</v>
      </c>
      <c r="CQ20" t="str">
        <f t="shared" si="26"/>
        <v/>
      </c>
      <c r="CR20">
        <v>2E-3</v>
      </c>
      <c r="CS20">
        <f t="shared" si="27"/>
        <v>0.12855</v>
      </c>
      <c r="CT20">
        <v>0.14393366399999999</v>
      </c>
      <c r="CU20">
        <f t="shared" si="28"/>
        <v>0</v>
      </c>
      <c r="CV20">
        <f t="shared" si="29"/>
        <v>0.14393366399999999</v>
      </c>
    </row>
    <row r="21" spans="1:100" x14ac:dyDescent="0.25">
      <c r="A21" t="s">
        <v>49</v>
      </c>
      <c r="B21">
        <v>1.9799094E-2</v>
      </c>
      <c r="C21">
        <v>1.9799999999999998E-2</v>
      </c>
      <c r="D21">
        <f t="shared" si="30"/>
        <v>0.99995424242424247</v>
      </c>
      <c r="E21">
        <v>1.3451750774867601E-2</v>
      </c>
      <c r="F21">
        <f t="shared" si="31"/>
        <v>3.3251750774867597E-2</v>
      </c>
      <c r="G21">
        <v>3.3250845000000001E-2</v>
      </c>
      <c r="H21">
        <f t="shared" si="32"/>
        <v>9.0577486759613191E-7</v>
      </c>
      <c r="I21">
        <f t="shared" si="33"/>
        <v>3.3251750774867597E-2</v>
      </c>
      <c r="K21">
        <v>3</v>
      </c>
      <c r="L21">
        <v>1.3451750774867601E-2</v>
      </c>
      <c r="M21">
        <v>1.9799999999999998E-2</v>
      </c>
      <c r="N21">
        <v>1.9799094E-2</v>
      </c>
      <c r="R21">
        <v>3.3251751000000003E-2</v>
      </c>
      <c r="S21">
        <v>3.3250000000000002E-2</v>
      </c>
      <c r="T21">
        <f t="shared" si="0"/>
        <v>1.0000526616541354</v>
      </c>
      <c r="U21">
        <v>2.19681622578447E-2</v>
      </c>
      <c r="V21">
        <f t="shared" si="1"/>
        <v>5.5218162257844705E-2</v>
      </c>
      <c r="W21">
        <v>5.5219913000000002E-2</v>
      </c>
      <c r="X21">
        <f t="shared" si="2"/>
        <v>-1.7507421552973024E-6</v>
      </c>
      <c r="Y21">
        <f t="shared" si="3"/>
        <v>5.5218162257844705E-2</v>
      </c>
      <c r="AA21">
        <v>5.5218162000000001E-2</v>
      </c>
      <c r="AB21">
        <v>5.6649999999999999E-2</v>
      </c>
      <c r="AC21">
        <f t="shared" si="4"/>
        <v>0.97472483671668142</v>
      </c>
      <c r="AD21">
        <v>2.157820467856E-2</v>
      </c>
      <c r="AE21">
        <f t="shared" si="5"/>
        <v>7.8228204678559995E-2</v>
      </c>
      <c r="AF21">
        <v>7.6796367000000004E-2</v>
      </c>
      <c r="AG21">
        <f t="shared" si="6"/>
        <v>1.4318376785599912E-3</v>
      </c>
      <c r="AH21">
        <f t="shared" si="7"/>
        <v>7.8228204678559995E-2</v>
      </c>
      <c r="AI21">
        <v>7.8228204999999995E-2</v>
      </c>
      <c r="AJ21" s="58">
        <f t="shared" si="8"/>
        <v>4.1090039192186963E-9</v>
      </c>
      <c r="AL21">
        <v>7.8228204999999995E-2</v>
      </c>
      <c r="AM21">
        <v>7.9000000000000001E-2</v>
      </c>
      <c r="AN21">
        <f t="shared" si="9"/>
        <v>0.99023044303797458</v>
      </c>
      <c r="AO21">
        <v>1.40533484386441E-2</v>
      </c>
      <c r="AP21">
        <f t="shared" si="34"/>
        <v>9.3053348438644101E-2</v>
      </c>
      <c r="AQ21">
        <v>9.2281553438644096E-2</v>
      </c>
      <c r="AR21">
        <f t="shared" si="35"/>
        <v>7.7179500000000567E-4</v>
      </c>
      <c r="AS21">
        <f t="shared" si="36"/>
        <v>9.3053348438644101E-2</v>
      </c>
      <c r="AT21">
        <v>9.3053347999999994E-2</v>
      </c>
      <c r="AU21" s="58">
        <f t="shared" si="10"/>
        <v>-4.7138992256385725E-9</v>
      </c>
      <c r="AW21">
        <v>9.3053347999999994E-2</v>
      </c>
      <c r="AX21">
        <v>9.375E-2</v>
      </c>
      <c r="AY21">
        <f t="shared" si="11"/>
        <v>0.99256904533333323</v>
      </c>
      <c r="AZ21">
        <v>5.8283441133836003E-3</v>
      </c>
      <c r="BA21">
        <f t="shared" si="12"/>
        <v>9.9578344113383593E-2</v>
      </c>
      <c r="BB21">
        <v>9.8881691999999993E-2</v>
      </c>
      <c r="BC21">
        <f t="shared" si="13"/>
        <v>6.9665211338360011E-4</v>
      </c>
      <c r="BD21">
        <f t="shared" si="14"/>
        <v>9.9578344113383593E-2</v>
      </c>
      <c r="BE21">
        <v>9.9578343999999999E-2</v>
      </c>
      <c r="BF21" s="58">
        <f t="shared" si="15"/>
        <v>-1.138637072043744E-9</v>
      </c>
      <c r="BH21">
        <v>9.9578343999999999E-2</v>
      </c>
      <c r="BI21">
        <v>9.8400000000000001E-2</v>
      </c>
      <c r="BJ21">
        <f t="shared" si="16"/>
        <v>1.0119750406504064</v>
      </c>
      <c r="BK21">
        <v>2E-3</v>
      </c>
      <c r="BL21">
        <f t="shared" si="17"/>
        <v>0.1004</v>
      </c>
      <c r="BM21">
        <v>0.101578344</v>
      </c>
      <c r="BN21">
        <f t="shared" si="18"/>
        <v>-1.1783439999999978E-3</v>
      </c>
      <c r="BO21">
        <f t="shared" si="19"/>
        <v>0.1004</v>
      </c>
      <c r="BP21">
        <v>0.1004</v>
      </c>
      <c r="BQ21" s="58">
        <f t="shared" si="20"/>
        <v>0</v>
      </c>
      <c r="BS21">
        <v>0.1004</v>
      </c>
      <c r="BT21">
        <v>0.1003</v>
      </c>
      <c r="BU21">
        <f t="shared" si="21"/>
        <v>1.0009970089730809</v>
      </c>
      <c r="BV21">
        <v>1.0000000002950999E-3</v>
      </c>
      <c r="BW21">
        <f t="shared" si="22"/>
        <v>0.1013000000002951</v>
      </c>
      <c r="BX21">
        <v>0.1014</v>
      </c>
      <c r="BY21">
        <f t="shared" si="23"/>
        <v>-9.9999999704905584E-5</v>
      </c>
      <c r="BZ21">
        <f t="shared" si="24"/>
        <v>0.1013000000002951</v>
      </c>
      <c r="CA21">
        <v>0.1013</v>
      </c>
      <c r="CB21" s="58">
        <f t="shared" si="37"/>
        <v>-2.9131024673692689E-12</v>
      </c>
      <c r="CD21">
        <v>0.1013</v>
      </c>
      <c r="CE21">
        <v>0.10154999999999999</v>
      </c>
      <c r="CF21">
        <f t="shared" si="38"/>
        <v>0.99753815854258998</v>
      </c>
      <c r="CG21">
        <v>3.0777856386022999E-3</v>
      </c>
      <c r="CH21">
        <f t="shared" si="39"/>
        <v>0.10462778563860228</v>
      </c>
      <c r="CI21">
        <v>0.104377786</v>
      </c>
      <c r="CJ21">
        <f t="shared" si="40"/>
        <v>2.4999963860228291E-4</v>
      </c>
      <c r="CK21">
        <f t="shared" si="41"/>
        <v>0.10462778563860228</v>
      </c>
      <c r="CL21">
        <v>0.104627786</v>
      </c>
      <c r="CM21" s="58">
        <f t="shared" si="42"/>
        <v>3.4541275541864529E-9</v>
      </c>
      <c r="CO21">
        <v>0.104627786</v>
      </c>
      <c r="CP21">
        <v>0.10765000000000001</v>
      </c>
      <c r="CQ21">
        <f t="shared" si="26"/>
        <v>0.97192555503947975</v>
      </c>
      <c r="CR21">
        <v>4.4961624330719402E-2</v>
      </c>
      <c r="CS21">
        <f t="shared" si="27"/>
        <v>0.1526116243307194</v>
      </c>
      <c r="CT21">
        <v>0.14958941000000001</v>
      </c>
      <c r="CU21">
        <f t="shared" si="28"/>
        <v>3.0222143307193916E-3</v>
      </c>
      <c r="CV21">
        <f t="shared" si="29"/>
        <v>0.1526116243307194</v>
      </c>
    </row>
    <row r="22" spans="1:100" x14ac:dyDescent="0.25">
      <c r="A22" t="s">
        <v>388</v>
      </c>
      <c r="B22">
        <v>1.9792028999999999E-2</v>
      </c>
      <c r="C22">
        <v>1.585E-2</v>
      </c>
      <c r="D22" t="str">
        <f t="shared" si="30"/>
        <v/>
      </c>
      <c r="E22">
        <v>1.43281874214507E-2</v>
      </c>
      <c r="F22">
        <f t="shared" si="31"/>
        <v>3.0178187421450699E-2</v>
      </c>
      <c r="G22">
        <v>3.4120216000000002E-2</v>
      </c>
      <c r="H22">
        <f t="shared" si="32"/>
        <v>-3.9420285785493024E-3</v>
      </c>
      <c r="I22">
        <f t="shared" si="33"/>
        <v>3.0178187421450699E-2</v>
      </c>
      <c r="K22">
        <v>3</v>
      </c>
      <c r="L22">
        <v>1.43281874214507E-2</v>
      </c>
      <c r="M22">
        <v>1.585E-2</v>
      </c>
      <c r="N22">
        <v>1.9792028999999999E-2</v>
      </c>
      <c r="R22">
        <v>3.0178186999999999E-2</v>
      </c>
      <c r="S22">
        <v>2.3700000000000002E-2</v>
      </c>
      <c r="T22" t="str">
        <f t="shared" si="0"/>
        <v/>
      </c>
      <c r="U22">
        <v>2.21144562171646E-2</v>
      </c>
      <c r="V22">
        <f t="shared" si="1"/>
        <v>4.5814456217164602E-2</v>
      </c>
      <c r="W22">
        <v>5.2292643E-2</v>
      </c>
      <c r="X22">
        <f t="shared" si="2"/>
        <v>0</v>
      </c>
      <c r="Y22">
        <f t="shared" si="3"/>
        <v>5.2292643E-2</v>
      </c>
      <c r="AA22">
        <v>5.2292643E-2</v>
      </c>
      <c r="AB22">
        <v>3.3050000000000003E-2</v>
      </c>
      <c r="AC22" t="str">
        <f t="shared" si="4"/>
        <v/>
      </c>
      <c r="AD22">
        <v>2.6793043156187898E-2</v>
      </c>
      <c r="AE22">
        <f t="shared" si="5"/>
        <v>5.9843043156187901E-2</v>
      </c>
      <c r="AF22">
        <v>7.9085686000000002E-2</v>
      </c>
      <c r="AG22">
        <f t="shared" si="6"/>
        <v>0</v>
      </c>
      <c r="AH22">
        <f t="shared" si="7"/>
        <v>7.9085686000000002E-2</v>
      </c>
      <c r="AI22">
        <v>7.9085686000000002E-2</v>
      </c>
      <c r="AJ22" s="58">
        <f t="shared" si="8"/>
        <v>0</v>
      </c>
      <c r="AL22">
        <v>7.9085686000000002E-2</v>
      </c>
      <c r="AM22">
        <v>4.4950000000000004E-2</v>
      </c>
      <c r="AN22" t="str">
        <f t="shared" si="9"/>
        <v/>
      </c>
      <c r="AO22">
        <v>2.2889441660438901E-2</v>
      </c>
      <c r="AP22">
        <f t="shared" si="34"/>
        <v>6.7839441660438898E-2</v>
      </c>
      <c r="AQ22">
        <v>0.10197512766043799</v>
      </c>
      <c r="AR22">
        <f t="shared" si="35"/>
        <v>0</v>
      </c>
      <c r="AS22">
        <f t="shared" si="36"/>
        <v>0.10197512766043799</v>
      </c>
      <c r="AT22">
        <v>0.101975128</v>
      </c>
      <c r="AU22" s="58">
        <f t="shared" si="10"/>
        <v>3.3298512226024278E-9</v>
      </c>
      <c r="AW22">
        <v>0.101975128</v>
      </c>
      <c r="AX22">
        <v>5.6349999999999997E-2</v>
      </c>
      <c r="AY22" t="str">
        <f t="shared" si="11"/>
        <v/>
      </c>
      <c r="AZ22">
        <v>1.0311549896525E-2</v>
      </c>
      <c r="BA22">
        <f t="shared" si="12"/>
        <v>6.6661549896524994E-2</v>
      </c>
      <c r="BB22">
        <v>0.112286678</v>
      </c>
      <c r="BC22">
        <f t="shared" si="13"/>
        <v>0</v>
      </c>
      <c r="BD22">
        <f t="shared" si="14"/>
        <v>0.112286678</v>
      </c>
      <c r="BE22">
        <v>0.112286678</v>
      </c>
      <c r="BF22" s="58">
        <f t="shared" si="15"/>
        <v>0</v>
      </c>
      <c r="BH22">
        <v>0.112286678</v>
      </c>
      <c r="BI22">
        <v>6.5350000000000005E-2</v>
      </c>
      <c r="BJ22" t="str">
        <f t="shared" si="16"/>
        <v/>
      </c>
      <c r="BK22">
        <v>2.0000000107349E-3</v>
      </c>
      <c r="BL22">
        <f t="shared" si="17"/>
        <v>6.7350000010734906E-2</v>
      </c>
      <c r="BM22">
        <v>0.114286678</v>
      </c>
      <c r="BN22">
        <f t="shared" si="18"/>
        <v>0</v>
      </c>
      <c r="BO22">
        <f t="shared" si="19"/>
        <v>0.114286678</v>
      </c>
      <c r="BP22">
        <v>0.114286678</v>
      </c>
      <c r="BQ22" s="58">
        <f t="shared" si="20"/>
        <v>0</v>
      </c>
      <c r="BS22">
        <v>0.114286678</v>
      </c>
      <c r="BT22">
        <v>7.4499999999999997E-2</v>
      </c>
      <c r="BU22" t="str">
        <f t="shared" si="21"/>
        <v/>
      </c>
      <c r="BV22">
        <v>1.9757521655335E-3</v>
      </c>
      <c r="BW22">
        <f t="shared" si="22"/>
        <v>7.6475752165533498E-2</v>
      </c>
      <c r="BX22">
        <v>0.11626243</v>
      </c>
      <c r="BY22">
        <f t="shared" si="23"/>
        <v>0</v>
      </c>
      <c r="BZ22">
        <f t="shared" si="24"/>
        <v>0.11626243</v>
      </c>
      <c r="CA22">
        <v>0.11626243</v>
      </c>
      <c r="CB22" s="58">
        <f t="shared" si="37"/>
        <v>0</v>
      </c>
      <c r="CD22">
        <v>0.11626243</v>
      </c>
      <c r="CE22">
        <v>8.3900000000000002E-2</v>
      </c>
      <c r="CF22" t="str">
        <f t="shared" si="38"/>
        <v/>
      </c>
      <c r="CG22">
        <v>1.4668047397136201E-2</v>
      </c>
      <c r="CH22">
        <f t="shared" si="39"/>
        <v>9.8568047397136205E-2</v>
      </c>
      <c r="CI22">
        <v>0.13093047699999999</v>
      </c>
      <c r="CJ22">
        <f t="shared" si="40"/>
        <v>0</v>
      </c>
      <c r="CK22">
        <f t="shared" si="41"/>
        <v>0.13093047699999999</v>
      </c>
      <c r="CL22">
        <v>0.13093047699999999</v>
      </c>
      <c r="CM22" s="58">
        <f t="shared" si="42"/>
        <v>0</v>
      </c>
      <c r="CO22">
        <v>0.13093047699999999</v>
      </c>
      <c r="CP22">
        <v>9.2449999999999991E-2</v>
      </c>
      <c r="CQ22" t="str">
        <f t="shared" si="26"/>
        <v/>
      </c>
      <c r="CR22">
        <v>2E-3</v>
      </c>
      <c r="CS22">
        <f t="shared" si="27"/>
        <v>9.4449999999999992E-2</v>
      </c>
      <c r="CT22">
        <v>0.13293047699999999</v>
      </c>
      <c r="CU22">
        <f t="shared" si="28"/>
        <v>0</v>
      </c>
      <c r="CV22">
        <f t="shared" si="29"/>
        <v>0.13293047699999999</v>
      </c>
    </row>
    <row r="23" spans="1:100" x14ac:dyDescent="0.25">
      <c r="A23" t="s">
        <v>388</v>
      </c>
      <c r="B23">
        <v>2.1192076000000001E-2</v>
      </c>
      <c r="C23">
        <v>0.02</v>
      </c>
      <c r="D23" t="str">
        <f t="shared" si="30"/>
        <v/>
      </c>
      <c r="E23">
        <v>1.1978715413335299E-2</v>
      </c>
      <c r="F23">
        <f t="shared" si="31"/>
        <v>3.1978715413335301E-2</v>
      </c>
      <c r="G23">
        <v>3.3170790999999998E-2</v>
      </c>
      <c r="H23">
        <f t="shared" si="32"/>
        <v>-1.1920755866646968E-3</v>
      </c>
      <c r="I23">
        <f t="shared" si="33"/>
        <v>3.1978715413335301E-2</v>
      </c>
      <c r="K23">
        <v>3</v>
      </c>
      <c r="L23">
        <v>1.1978715413335299E-2</v>
      </c>
      <c r="M23">
        <v>0.02</v>
      </c>
      <c r="N23">
        <v>2.1192076000000001E-2</v>
      </c>
      <c r="R23">
        <v>3.1978714999999998E-2</v>
      </c>
      <c r="S23">
        <v>2.9649999999999999E-2</v>
      </c>
      <c r="T23" t="str">
        <f t="shared" si="0"/>
        <v/>
      </c>
      <c r="U23">
        <v>1.8414759162862001E-2</v>
      </c>
      <c r="V23">
        <f t="shared" si="1"/>
        <v>4.8064759162862E-2</v>
      </c>
      <c r="W23">
        <v>5.0393474000000001E-2</v>
      </c>
      <c r="X23">
        <f t="shared" si="2"/>
        <v>0</v>
      </c>
      <c r="Y23">
        <f t="shared" si="3"/>
        <v>5.0393474000000001E-2</v>
      </c>
      <c r="AA23">
        <v>5.0393474000000001E-2</v>
      </c>
      <c r="AB23">
        <v>4.0050000000000002E-2</v>
      </c>
      <c r="AC23" t="str">
        <f t="shared" si="4"/>
        <v/>
      </c>
      <c r="AD23">
        <v>1.5687663566245499E-2</v>
      </c>
      <c r="AE23">
        <f t="shared" si="5"/>
        <v>5.5737663566245502E-2</v>
      </c>
      <c r="AF23">
        <v>6.6081137999999998E-2</v>
      </c>
      <c r="AG23">
        <f t="shared" si="6"/>
        <v>0</v>
      </c>
      <c r="AH23">
        <f t="shared" si="7"/>
        <v>6.6081137999999998E-2</v>
      </c>
      <c r="AI23">
        <v>6.6081137999999998E-2</v>
      </c>
      <c r="AJ23" s="58">
        <f t="shared" si="8"/>
        <v>0</v>
      </c>
      <c r="AL23">
        <v>6.6081137999999998E-2</v>
      </c>
      <c r="AM23">
        <v>5.3099999999999994E-2</v>
      </c>
      <c r="AN23" t="str">
        <f t="shared" si="9"/>
        <v/>
      </c>
      <c r="AO23">
        <v>1.2053138168873901E-2</v>
      </c>
      <c r="AP23">
        <f t="shared" si="34"/>
        <v>6.51531381688739E-2</v>
      </c>
      <c r="AQ23">
        <v>7.8134276168873903E-2</v>
      </c>
      <c r="AR23">
        <f t="shared" si="35"/>
        <v>0</v>
      </c>
      <c r="AS23">
        <f t="shared" si="36"/>
        <v>7.8134276168873903E-2</v>
      </c>
      <c r="AT23">
        <v>7.8134276000000003E-2</v>
      </c>
      <c r="AU23" s="58">
        <f t="shared" si="10"/>
        <v>-2.1613293071174787E-9</v>
      </c>
      <c r="AW23">
        <v>7.8134276000000003E-2</v>
      </c>
      <c r="AX23">
        <v>6.54E-2</v>
      </c>
      <c r="AY23" t="str">
        <f t="shared" si="11"/>
        <v/>
      </c>
      <c r="AZ23">
        <v>2.1457651519994E-3</v>
      </c>
      <c r="BA23">
        <f t="shared" si="12"/>
        <v>6.7545765151999393E-2</v>
      </c>
      <c r="BB23">
        <v>8.0280040999999996E-2</v>
      </c>
      <c r="BC23">
        <f t="shared" si="13"/>
        <v>0</v>
      </c>
      <c r="BD23">
        <f t="shared" si="14"/>
        <v>8.0280040999999996E-2</v>
      </c>
      <c r="BE23">
        <v>8.0280040999999996E-2</v>
      </c>
      <c r="BF23" s="58">
        <f t="shared" si="15"/>
        <v>0</v>
      </c>
      <c r="BH23">
        <v>8.0280040999999996E-2</v>
      </c>
      <c r="BI23">
        <v>7.4900000000000008E-2</v>
      </c>
      <c r="BJ23" t="str">
        <f t="shared" si="16"/>
        <v/>
      </c>
      <c r="BK23">
        <v>6.3557571003017002E-3</v>
      </c>
      <c r="BL23">
        <f t="shared" si="17"/>
        <v>8.1255757100301709E-2</v>
      </c>
      <c r="BM23">
        <v>8.6635798E-2</v>
      </c>
      <c r="BN23">
        <f t="shared" si="18"/>
        <v>0</v>
      </c>
      <c r="BO23">
        <f t="shared" si="19"/>
        <v>8.6635798E-2</v>
      </c>
      <c r="BP23">
        <v>8.6635798E-2</v>
      </c>
      <c r="BQ23" s="58">
        <f t="shared" si="20"/>
        <v>0</v>
      </c>
      <c r="BS23">
        <v>8.6635798E-2</v>
      </c>
      <c r="BT23">
        <v>8.5000000000000006E-2</v>
      </c>
      <c r="BU23" t="str">
        <f t="shared" si="21"/>
        <v/>
      </c>
      <c r="BV23">
        <v>3.9685696762302002E-3</v>
      </c>
      <c r="BW23">
        <f t="shared" si="22"/>
        <v>8.8968569676230208E-2</v>
      </c>
      <c r="BX23">
        <v>9.0604368000000005E-2</v>
      </c>
      <c r="BY23">
        <f t="shared" si="23"/>
        <v>0</v>
      </c>
      <c r="BZ23">
        <f t="shared" si="24"/>
        <v>9.0604368000000005E-2</v>
      </c>
      <c r="CA23">
        <v>9.0604368000000005E-2</v>
      </c>
      <c r="CB23" s="58">
        <f t="shared" si="37"/>
        <v>0</v>
      </c>
      <c r="CD23">
        <v>9.0604368000000005E-2</v>
      </c>
      <c r="CE23">
        <v>9.5649999999999999E-2</v>
      </c>
      <c r="CF23" t="str">
        <f t="shared" si="38"/>
        <v/>
      </c>
      <c r="CG23">
        <v>2.0000000000082001E-3</v>
      </c>
      <c r="CH23">
        <f t="shared" si="39"/>
        <v>9.7650000000008202E-2</v>
      </c>
      <c r="CI23">
        <v>9.2604368000000006E-2</v>
      </c>
      <c r="CJ23">
        <f t="shared" si="40"/>
        <v>0</v>
      </c>
      <c r="CK23">
        <f t="shared" si="41"/>
        <v>9.2604368000000006E-2</v>
      </c>
      <c r="CL23">
        <v>9.2604368000000006E-2</v>
      </c>
      <c r="CM23" s="58">
        <f t="shared" si="42"/>
        <v>0</v>
      </c>
      <c r="CO23">
        <v>9.2604368000000006E-2</v>
      </c>
      <c r="CP23">
        <v>0.1047</v>
      </c>
      <c r="CQ23" t="str">
        <f t="shared" si="26"/>
        <v/>
      </c>
      <c r="CR23">
        <v>2.0060089999998998E-3</v>
      </c>
      <c r="CS23">
        <f t="shared" si="27"/>
        <v>0.10670600899999991</v>
      </c>
      <c r="CT23">
        <v>9.4610376999999996E-2</v>
      </c>
      <c r="CU23">
        <f t="shared" si="28"/>
        <v>0</v>
      </c>
      <c r="CV23">
        <f t="shared" si="29"/>
        <v>9.4610376999999996E-2</v>
      </c>
    </row>
    <row r="24" spans="1:100" x14ac:dyDescent="0.25">
      <c r="A24" t="s">
        <v>388</v>
      </c>
      <c r="B24">
        <v>2.1255033E-2</v>
      </c>
      <c r="C24">
        <v>2.0649999999999998E-2</v>
      </c>
      <c r="D24" t="str">
        <f t="shared" si="30"/>
        <v/>
      </c>
      <c r="E24">
        <v>1.1664902293496499E-2</v>
      </c>
      <c r="F24">
        <f t="shared" si="31"/>
        <v>3.2314902293496497E-2</v>
      </c>
      <c r="G24">
        <v>3.2919934999999997E-2</v>
      </c>
      <c r="H24">
        <f t="shared" si="32"/>
        <v>-6.0503270650349994E-4</v>
      </c>
      <c r="I24">
        <f t="shared" si="33"/>
        <v>3.2314902293496497E-2</v>
      </c>
      <c r="K24">
        <v>3</v>
      </c>
      <c r="L24">
        <v>1.1664902293496499E-2</v>
      </c>
      <c r="M24">
        <v>2.0649999999999998E-2</v>
      </c>
      <c r="N24">
        <v>2.1255033E-2</v>
      </c>
      <c r="R24">
        <v>3.2314902E-2</v>
      </c>
      <c r="S24">
        <v>2.9049999999999999E-2</v>
      </c>
      <c r="T24" t="str">
        <f t="shared" si="0"/>
        <v/>
      </c>
      <c r="U24">
        <v>1.9381105891888899E-2</v>
      </c>
      <c r="V24">
        <f t="shared" si="1"/>
        <v>4.8431105891888898E-2</v>
      </c>
      <c r="W24">
        <v>5.1696008000000002E-2</v>
      </c>
      <c r="X24">
        <f t="shared" si="2"/>
        <v>0</v>
      </c>
      <c r="Y24">
        <f t="shared" si="3"/>
        <v>5.1696008000000002E-2</v>
      </c>
      <c r="AA24">
        <v>5.1696008000000002E-2</v>
      </c>
      <c r="AB24">
        <v>3.9599999999999996E-2</v>
      </c>
      <c r="AC24" t="str">
        <f t="shared" si="4"/>
        <v/>
      </c>
      <c r="AD24">
        <v>1.6936765095686701E-2</v>
      </c>
      <c r="AE24">
        <f t="shared" si="5"/>
        <v>5.6536765095686697E-2</v>
      </c>
      <c r="AF24">
        <v>6.8632772999999994E-2</v>
      </c>
      <c r="AG24">
        <f t="shared" si="6"/>
        <v>0</v>
      </c>
      <c r="AH24">
        <f t="shared" si="7"/>
        <v>6.8632772999999994E-2</v>
      </c>
      <c r="AI24">
        <v>6.8632772999999994E-2</v>
      </c>
      <c r="AJ24" s="58">
        <f t="shared" si="8"/>
        <v>0</v>
      </c>
      <c r="AL24">
        <v>6.8632772999999994E-2</v>
      </c>
      <c r="AM24">
        <v>5.2549999999999999E-2</v>
      </c>
      <c r="AN24" t="str">
        <f t="shared" si="9"/>
        <v/>
      </c>
      <c r="AO24">
        <v>1.32161526172781E-2</v>
      </c>
      <c r="AP24">
        <f t="shared" si="34"/>
        <v>6.5766152617278098E-2</v>
      </c>
      <c r="AQ24">
        <v>8.1848925617278107E-2</v>
      </c>
      <c r="AR24">
        <f t="shared" si="35"/>
        <v>0</v>
      </c>
      <c r="AS24">
        <f t="shared" si="36"/>
        <v>8.1848925617278107E-2</v>
      </c>
      <c r="AT24">
        <v>8.1848926000000002E-2</v>
      </c>
      <c r="AU24" s="58">
        <f t="shared" si="10"/>
        <v>4.6759550349074318E-9</v>
      </c>
      <c r="AW24">
        <v>8.1848926000000002E-2</v>
      </c>
      <c r="AX24">
        <v>6.4299999999999996E-2</v>
      </c>
      <c r="AY24" t="str">
        <f t="shared" si="11"/>
        <v/>
      </c>
      <c r="AZ24">
        <v>2.5161359276455E-3</v>
      </c>
      <c r="BA24">
        <f t="shared" si="12"/>
        <v>6.6816135927645501E-2</v>
      </c>
      <c r="BB24">
        <v>8.4365062000000005E-2</v>
      </c>
      <c r="BC24">
        <f t="shared" si="13"/>
        <v>0</v>
      </c>
      <c r="BD24">
        <f t="shared" si="14"/>
        <v>8.4365062000000005E-2</v>
      </c>
      <c r="BE24">
        <v>8.4365062000000005E-2</v>
      </c>
      <c r="BF24" s="58">
        <f t="shared" si="15"/>
        <v>0</v>
      </c>
      <c r="BH24">
        <v>8.4365062000000005E-2</v>
      </c>
      <c r="BI24">
        <v>7.4050000000000005E-2</v>
      </c>
      <c r="BJ24" t="str">
        <f t="shared" si="16"/>
        <v/>
      </c>
      <c r="BK24">
        <v>3.6299992040052E-3</v>
      </c>
      <c r="BL24">
        <f t="shared" si="17"/>
        <v>7.7679999204005201E-2</v>
      </c>
      <c r="BM24">
        <v>8.7995060999999999E-2</v>
      </c>
      <c r="BN24">
        <f t="shared" si="18"/>
        <v>0</v>
      </c>
      <c r="BO24">
        <f t="shared" si="19"/>
        <v>8.7995060999999999E-2</v>
      </c>
      <c r="BP24">
        <v>8.7995060999999999E-2</v>
      </c>
      <c r="BQ24" s="58">
        <f t="shared" si="20"/>
        <v>0</v>
      </c>
      <c r="BS24">
        <v>8.7995060999999999E-2</v>
      </c>
      <c r="BT24">
        <v>8.5000000000000006E-2</v>
      </c>
      <c r="BU24" t="str">
        <f t="shared" si="21"/>
        <v/>
      </c>
      <c r="BV24">
        <v>3.5894588917501002E-3</v>
      </c>
      <c r="BW24">
        <f t="shared" si="22"/>
        <v>8.85894588917501E-2</v>
      </c>
      <c r="BX24">
        <v>9.1584520000000003E-2</v>
      </c>
      <c r="BY24">
        <f t="shared" si="23"/>
        <v>0</v>
      </c>
      <c r="BZ24">
        <f t="shared" si="24"/>
        <v>9.1584520000000003E-2</v>
      </c>
      <c r="CA24">
        <v>9.1584520000000003E-2</v>
      </c>
      <c r="CB24" s="58">
        <f t="shared" si="37"/>
        <v>0</v>
      </c>
      <c r="CD24">
        <v>9.1584520000000003E-2</v>
      </c>
      <c r="CE24">
        <v>9.7049999999999997E-2</v>
      </c>
      <c r="CF24" t="str">
        <f t="shared" si="38"/>
        <v/>
      </c>
      <c r="CG24">
        <v>2E-3</v>
      </c>
      <c r="CH24">
        <f t="shared" si="39"/>
        <v>9.9049999999999999E-2</v>
      </c>
      <c r="CI24">
        <v>9.3584520000000004E-2</v>
      </c>
      <c r="CJ24">
        <f t="shared" si="40"/>
        <v>0</v>
      </c>
      <c r="CK24">
        <f t="shared" si="41"/>
        <v>9.3584520000000004E-2</v>
      </c>
      <c r="CL24">
        <v>9.3584520000000004E-2</v>
      </c>
      <c r="CM24" s="58">
        <f t="shared" si="42"/>
        <v>0</v>
      </c>
      <c r="CO24">
        <v>9.3584520000000004E-2</v>
      </c>
      <c r="CP24">
        <v>0.10705000000000001</v>
      </c>
      <c r="CQ24" t="str">
        <f t="shared" si="26"/>
        <v/>
      </c>
      <c r="CR24">
        <v>2E-3</v>
      </c>
      <c r="CS24">
        <f t="shared" si="27"/>
        <v>0.10905000000000001</v>
      </c>
      <c r="CT24">
        <v>9.5584520000000006E-2</v>
      </c>
      <c r="CU24">
        <f t="shared" si="28"/>
        <v>0</v>
      </c>
      <c r="CV24">
        <f t="shared" si="29"/>
        <v>9.5584520000000006E-2</v>
      </c>
    </row>
    <row r="25" spans="1:100" ht="15.75" thickBot="1" x14ac:dyDescent="0.3">
      <c r="A25" s="13" t="s">
        <v>388</v>
      </c>
      <c r="B25">
        <v>2.1215814999999999E-2</v>
      </c>
      <c r="C25">
        <v>1.9050000000000001E-2</v>
      </c>
      <c r="D25" t="str">
        <f t="shared" si="30"/>
        <v/>
      </c>
      <c r="E25">
        <v>1.2439713410901099E-2</v>
      </c>
      <c r="F25">
        <f t="shared" si="31"/>
        <v>3.14897134109011E-2</v>
      </c>
      <c r="G25">
        <v>3.3655527999999997E-2</v>
      </c>
      <c r="H25">
        <f t="shared" si="32"/>
        <v>-2.1658145890988967E-3</v>
      </c>
      <c r="I25">
        <f t="shared" si="33"/>
        <v>3.14897134109011E-2</v>
      </c>
      <c r="K25">
        <v>3</v>
      </c>
      <c r="L25">
        <v>1.2439713410901099E-2</v>
      </c>
      <c r="M25">
        <v>1.9050000000000001E-2</v>
      </c>
      <c r="N25">
        <v>2.1215814999999999E-2</v>
      </c>
      <c r="R25">
        <v>3.1489713000000003E-2</v>
      </c>
      <c r="S25">
        <v>2.6849999999999999E-2</v>
      </c>
      <c r="T25" t="str">
        <f t="shared" si="0"/>
        <v/>
      </c>
      <c r="U25">
        <v>1.9443067374959499E-2</v>
      </c>
      <c r="V25">
        <f t="shared" si="1"/>
        <v>4.6293067374959501E-2</v>
      </c>
      <c r="W25">
        <v>5.0932779999999997E-2</v>
      </c>
      <c r="X25">
        <f t="shared" si="2"/>
        <v>0</v>
      </c>
      <c r="Y25">
        <f t="shared" si="3"/>
        <v>5.0932779999999997E-2</v>
      </c>
      <c r="AA25">
        <v>5.0932779999999997E-2</v>
      </c>
      <c r="AB25">
        <v>3.6150000000000002E-2</v>
      </c>
      <c r="AC25" t="str">
        <f t="shared" si="4"/>
        <v/>
      </c>
      <c r="AD25">
        <v>1.93941233080938E-2</v>
      </c>
      <c r="AE25">
        <f t="shared" si="5"/>
        <v>5.5544123308093801E-2</v>
      </c>
      <c r="AF25">
        <v>7.0326902999999996E-2</v>
      </c>
      <c r="AG25">
        <f t="shared" si="6"/>
        <v>0</v>
      </c>
      <c r="AH25">
        <f t="shared" si="7"/>
        <v>7.0326902999999996E-2</v>
      </c>
      <c r="AI25">
        <v>7.0326902999999996E-2</v>
      </c>
      <c r="AJ25" s="58">
        <f t="shared" si="8"/>
        <v>0</v>
      </c>
      <c r="AL25">
        <v>7.0326902999999996E-2</v>
      </c>
      <c r="AM25">
        <v>4.9149999999999999E-2</v>
      </c>
      <c r="AN25" t="str">
        <f t="shared" si="9"/>
        <v/>
      </c>
      <c r="AO25">
        <v>1.52424912645904E-2</v>
      </c>
      <c r="AP25">
        <f t="shared" si="34"/>
        <v>6.4392491264590401E-2</v>
      </c>
      <c r="AQ25">
        <v>8.5569394264590398E-2</v>
      </c>
      <c r="AR25">
        <f t="shared" si="35"/>
        <v>0</v>
      </c>
      <c r="AS25">
        <f t="shared" si="36"/>
        <v>8.5569394264590398E-2</v>
      </c>
      <c r="AT25">
        <v>8.5569393999999993E-2</v>
      </c>
      <c r="AU25" s="58">
        <f t="shared" si="10"/>
        <v>-3.0921149718919234E-9</v>
      </c>
      <c r="AW25">
        <v>8.5569393999999993E-2</v>
      </c>
      <c r="AX25">
        <v>6.0499999999999998E-2</v>
      </c>
      <c r="AY25" t="str">
        <f t="shared" si="11"/>
        <v/>
      </c>
      <c r="AZ25">
        <v>7.8767728684031903E-3</v>
      </c>
      <c r="BA25">
        <f t="shared" si="12"/>
        <v>6.8376772868403185E-2</v>
      </c>
      <c r="BB25">
        <v>9.3446166999999997E-2</v>
      </c>
      <c r="BC25">
        <f t="shared" si="13"/>
        <v>0</v>
      </c>
      <c r="BD25">
        <f t="shared" si="14"/>
        <v>9.3446166999999997E-2</v>
      </c>
      <c r="BE25">
        <v>9.3446166999999997E-2</v>
      </c>
      <c r="BF25" s="58">
        <f t="shared" si="15"/>
        <v>0</v>
      </c>
      <c r="BH25">
        <v>9.3446166999999997E-2</v>
      </c>
      <c r="BI25">
        <v>6.88E-2</v>
      </c>
      <c r="BJ25" t="str">
        <f t="shared" si="16"/>
        <v/>
      </c>
      <c r="BK25">
        <v>1.22982613951402E-2</v>
      </c>
      <c r="BL25">
        <f t="shared" si="17"/>
        <v>8.1098261395140203E-2</v>
      </c>
      <c r="BM25">
        <v>0.105744428</v>
      </c>
      <c r="BN25">
        <f t="shared" si="18"/>
        <v>0</v>
      </c>
      <c r="BO25">
        <f t="shared" si="19"/>
        <v>0.105744428</v>
      </c>
      <c r="BP25">
        <v>0.105744428</v>
      </c>
      <c r="BQ25" s="58">
        <f t="shared" si="20"/>
        <v>0</v>
      </c>
      <c r="BS25">
        <v>0.105744428</v>
      </c>
      <c r="BT25">
        <v>7.8550000000000009E-2</v>
      </c>
      <c r="BU25" t="str">
        <f t="shared" si="21"/>
        <v/>
      </c>
      <c r="BV25">
        <v>1.1172884080812601E-2</v>
      </c>
      <c r="BW25">
        <f t="shared" si="22"/>
        <v>8.9722884080812609E-2</v>
      </c>
      <c r="BX25">
        <v>0.116917312</v>
      </c>
      <c r="BY25">
        <f t="shared" si="23"/>
        <v>0</v>
      </c>
      <c r="BZ25">
        <f t="shared" si="24"/>
        <v>0.116917312</v>
      </c>
      <c r="CA25">
        <v>0.116917312</v>
      </c>
      <c r="CB25" s="58">
        <f t="shared" si="37"/>
        <v>0</v>
      </c>
      <c r="CD25">
        <v>0.116917312</v>
      </c>
      <c r="CE25">
        <v>8.9099999999999999E-2</v>
      </c>
      <c r="CF25" t="str">
        <f t="shared" si="38"/>
        <v/>
      </c>
      <c r="CG25">
        <v>6.9066046547166396E-3</v>
      </c>
      <c r="CH25">
        <f t="shared" si="39"/>
        <v>9.6006604654716637E-2</v>
      </c>
      <c r="CI25">
        <v>0.12382391700000001</v>
      </c>
      <c r="CJ25">
        <f t="shared" si="40"/>
        <v>0</v>
      </c>
      <c r="CK25">
        <f t="shared" si="41"/>
        <v>0.12382391700000001</v>
      </c>
      <c r="CL25">
        <v>0.12382391700000001</v>
      </c>
      <c r="CM25" s="58">
        <f t="shared" si="42"/>
        <v>0</v>
      </c>
      <c r="CO25">
        <v>0.12382391700000001</v>
      </c>
      <c r="CP25">
        <v>9.845000000000001E-2</v>
      </c>
      <c r="CQ25" t="str">
        <f t="shared" si="26"/>
        <v/>
      </c>
      <c r="CR25">
        <v>2E-3</v>
      </c>
      <c r="CS25">
        <f t="shared" si="27"/>
        <v>0.10045000000000001</v>
      </c>
      <c r="CT25">
        <v>0.12582391700000001</v>
      </c>
      <c r="CU25">
        <f t="shared" si="28"/>
        <v>0</v>
      </c>
      <c r="CV25">
        <f t="shared" si="29"/>
        <v>0.12582391700000001</v>
      </c>
    </row>
    <row r="26" spans="1:100" x14ac:dyDescent="0.25">
      <c r="A26" s="8" t="s">
        <v>46</v>
      </c>
      <c r="G26">
        <v>4.0759630999999998E-2</v>
      </c>
      <c r="H26">
        <v>-6.3749351291188978E-3</v>
      </c>
      <c r="I26">
        <f t="shared" si="33"/>
        <v>3.4384695870881096E-2</v>
      </c>
      <c r="K26" s="8">
        <v>4</v>
      </c>
      <c r="L26">
        <v>2.4756717639650198E-2</v>
      </c>
      <c r="M26">
        <f t="shared" ref="M26:M49" si="43">L2+M2</f>
        <v>2.1250898870881101E-2</v>
      </c>
      <c r="N26">
        <v>2.1250899E-2</v>
      </c>
      <c r="O26">
        <f t="shared" ref="O26:O49" si="44">M26/N26</f>
        <v>0.99999999392407357</v>
      </c>
      <c r="W26">
        <v>7.0592290000000002E-2</v>
      </c>
      <c r="X26">
        <v>0</v>
      </c>
      <c r="Y26">
        <f t="shared" si="3"/>
        <v>7.0592290000000002E-2</v>
      </c>
      <c r="AF26">
        <v>8.5919413E-2</v>
      </c>
      <c r="AG26">
        <v>0</v>
      </c>
      <c r="AH26">
        <f t="shared" si="7"/>
        <v>8.5919413E-2</v>
      </c>
      <c r="AI26">
        <v>8.2310774003526502E-2</v>
      </c>
      <c r="AJ26" s="58">
        <f t="shared" si="8"/>
        <v>-4.2000275263443645E-2</v>
      </c>
      <c r="AQ26">
        <v>9.8408276580437104E-2</v>
      </c>
      <c r="AR26">
        <v>0</v>
      </c>
      <c r="AS26">
        <f t="shared" si="36"/>
        <v>9.8408276580437104E-2</v>
      </c>
      <c r="AT26">
        <v>8.8209615682344797E-2</v>
      </c>
      <c r="AU26" s="58">
        <f t="shared" si="10"/>
        <v>-0.10363621081968762</v>
      </c>
      <c r="BB26">
        <v>9.4080750000000005E-2</v>
      </c>
      <c r="BC26">
        <v>0</v>
      </c>
      <c r="BD26">
        <f t="shared" si="14"/>
        <v>9.4080750000000005E-2</v>
      </c>
      <c r="BE26">
        <v>9.0209616000609602E-2</v>
      </c>
      <c r="BF26" s="58">
        <f t="shared" si="15"/>
        <v>-4.114692962577788E-2</v>
      </c>
      <c r="BM26">
        <v>9.2209615999999994E-2</v>
      </c>
      <c r="BN26">
        <v>0</v>
      </c>
      <c r="BO26">
        <f t="shared" si="19"/>
        <v>9.2209615999999994E-2</v>
      </c>
      <c r="BP26">
        <v>9.1209616000738097E-2</v>
      </c>
      <c r="BQ26" s="58">
        <f t="shared" si="20"/>
        <v>-1.0844855912445149E-2</v>
      </c>
      <c r="BX26">
        <v>9.2209615999999994E-2</v>
      </c>
      <c r="BY26">
        <v>0</v>
      </c>
      <c r="BZ26">
        <f t="shared" si="24"/>
        <v>9.2209615999999994E-2</v>
      </c>
      <c r="CA26">
        <v>9.3209615999999995E-2</v>
      </c>
      <c r="CB26" s="58">
        <f t="shared" si="37"/>
        <v>1.0844855920449783E-2</v>
      </c>
      <c r="CI26">
        <v>9.5209615999999997E-2</v>
      </c>
      <c r="CJ26">
        <v>0</v>
      </c>
      <c r="CK26">
        <f t="shared" si="41"/>
        <v>9.5209615999999997E-2</v>
      </c>
      <c r="CL26">
        <v>9.5209615999999997E-2</v>
      </c>
      <c r="CM26" s="58">
        <f t="shared" si="42"/>
        <v>0</v>
      </c>
    </row>
    <row r="27" spans="1:100" x14ac:dyDescent="0.25">
      <c r="A27" t="s">
        <v>46</v>
      </c>
      <c r="G27">
        <v>5.1371345999999998E-2</v>
      </c>
      <c r="H27">
        <v>-8.4097121690800969E-3</v>
      </c>
      <c r="I27">
        <f t="shared" si="33"/>
        <v>4.2961633830919901E-2</v>
      </c>
      <c r="K27">
        <v>4</v>
      </c>
      <c r="L27">
        <v>2.27729749370915E-2</v>
      </c>
      <c r="M27">
        <f t="shared" si="43"/>
        <v>3.5063617830919901E-2</v>
      </c>
      <c r="N27">
        <v>3.5063617999999998E-2</v>
      </c>
      <c r="O27">
        <f t="shared" si="44"/>
        <v>0.99999999517790494</v>
      </c>
      <c r="W27">
        <v>8.0523578999999998E-2</v>
      </c>
      <c r="X27">
        <v>0</v>
      </c>
      <c r="Y27">
        <f t="shared" si="3"/>
        <v>8.0523578999999998E-2</v>
      </c>
      <c r="AF27">
        <v>0.13809537299999999</v>
      </c>
      <c r="AG27">
        <v>0</v>
      </c>
      <c r="AH27">
        <f t="shared" si="7"/>
        <v>0.13809537299999999</v>
      </c>
      <c r="AI27">
        <v>0.115593264506098</v>
      </c>
      <c r="AJ27" s="58">
        <f t="shared" si="8"/>
        <v>-0.16294614370535063</v>
      </c>
      <c r="AQ27">
        <v>0.13301265339891799</v>
      </c>
      <c r="AR27">
        <v>0</v>
      </c>
      <c r="AS27">
        <f t="shared" si="36"/>
        <v>0.13301265339891799</v>
      </c>
      <c r="AT27">
        <v>0.124144987001367</v>
      </c>
      <c r="AU27" s="58">
        <f t="shared" si="10"/>
        <v>-6.6667840772681883E-2</v>
      </c>
      <c r="BB27">
        <v>0.13266787899999999</v>
      </c>
      <c r="BC27">
        <v>0</v>
      </c>
      <c r="BD27">
        <f t="shared" si="14"/>
        <v>0.13266787899999999</v>
      </c>
      <c r="BE27">
        <v>0.1290652194994</v>
      </c>
      <c r="BF27" s="58">
        <f t="shared" si="15"/>
        <v>-2.7155476726962571E-2</v>
      </c>
      <c r="BM27">
        <v>0.13396956300000001</v>
      </c>
      <c r="BN27">
        <v>0</v>
      </c>
      <c r="BO27">
        <f t="shared" si="19"/>
        <v>0.13396956300000001</v>
      </c>
      <c r="BP27">
        <v>0.130065219004453</v>
      </c>
      <c r="BQ27" s="58">
        <f t="shared" si="20"/>
        <v>-2.9143515199396522E-2</v>
      </c>
      <c r="BX27">
        <v>0.13106521900000001</v>
      </c>
      <c r="BY27">
        <v>0</v>
      </c>
      <c r="BZ27">
        <f t="shared" si="24"/>
        <v>0.13106521900000001</v>
      </c>
      <c r="CA27">
        <v>0.13206521900000001</v>
      </c>
      <c r="CB27" s="58">
        <f t="shared" si="37"/>
        <v>7.6297892578198094E-3</v>
      </c>
      <c r="CI27">
        <v>0.13406521900000001</v>
      </c>
      <c r="CJ27">
        <v>0</v>
      </c>
      <c r="CK27">
        <f t="shared" si="41"/>
        <v>0.13406521900000001</v>
      </c>
      <c r="CL27">
        <v>0.13406521900000001</v>
      </c>
      <c r="CM27" s="58">
        <f t="shared" si="42"/>
        <v>0</v>
      </c>
    </row>
    <row r="28" spans="1:100" x14ac:dyDescent="0.25">
      <c r="A28" t="s">
        <v>49</v>
      </c>
      <c r="G28">
        <v>4.7937592000000001E-2</v>
      </c>
      <c r="H28">
        <v>3.4330022935269433E-4</v>
      </c>
      <c r="I28">
        <f t="shared" si="33"/>
        <v>4.8280892229352695E-2</v>
      </c>
      <c r="K28">
        <v>4</v>
      </c>
      <c r="L28">
        <v>2.4240892126974199E-2</v>
      </c>
      <c r="M28">
        <f t="shared" si="43"/>
        <v>3.3219457229352697E-2</v>
      </c>
      <c r="N28">
        <v>3.3219457000000001E-2</v>
      </c>
      <c r="O28">
        <f t="shared" si="44"/>
        <v>1.0000000069041675</v>
      </c>
      <c r="W28">
        <v>8.1584838000000007E-2</v>
      </c>
      <c r="X28">
        <v>8.3054312697419114E-4</v>
      </c>
      <c r="Y28">
        <f t="shared" si="3"/>
        <v>8.2415381126974191E-2</v>
      </c>
      <c r="AF28">
        <v>0.10707389</v>
      </c>
      <c r="AG28">
        <v>1.7091076305970065E-3</v>
      </c>
      <c r="AH28">
        <f t="shared" si="7"/>
        <v>0.10878299763059701</v>
      </c>
      <c r="AI28">
        <v>0.10197439582536599</v>
      </c>
      <c r="AJ28" s="58">
        <f t="shared" si="8"/>
        <v>-6.2588841579375512E-2</v>
      </c>
      <c r="AQ28">
        <v>0.119372784948811</v>
      </c>
      <c r="AR28">
        <v>-7.0856999999799331E-5</v>
      </c>
      <c r="AS28">
        <f t="shared" si="36"/>
        <v>0.1193019279488112</v>
      </c>
      <c r="AT28">
        <v>0.103903539</v>
      </c>
      <c r="AU28" s="58">
        <f t="shared" si="10"/>
        <v>-0.12907074691549136</v>
      </c>
      <c r="BB28">
        <v>0.105903539</v>
      </c>
      <c r="BC28">
        <v>-6.5353899999999465E-4</v>
      </c>
      <c r="BD28">
        <f t="shared" si="14"/>
        <v>0.10525000000000001</v>
      </c>
      <c r="BE28">
        <v>0.10525</v>
      </c>
      <c r="BF28" s="58">
        <f t="shared" si="15"/>
        <v>-1.3185546610750077E-16</v>
      </c>
      <c r="BM28">
        <v>0.10725</v>
      </c>
      <c r="BN28">
        <v>-2.4999999999998634E-4</v>
      </c>
      <c r="BO28">
        <f t="shared" si="19"/>
        <v>0.10700000000000001</v>
      </c>
      <c r="BP28">
        <v>0.106</v>
      </c>
      <c r="BQ28" s="58">
        <f t="shared" si="20"/>
        <v>-9.3457943925235008E-3</v>
      </c>
      <c r="BX28">
        <v>0.107</v>
      </c>
      <c r="BY28">
        <v>-1.9999999999999185E-4</v>
      </c>
      <c r="BZ28">
        <f t="shared" si="24"/>
        <v>0.10680000000000001</v>
      </c>
      <c r="CA28">
        <v>0.10780000000000001</v>
      </c>
      <c r="CB28" s="58">
        <f t="shared" si="37"/>
        <v>9.36329588014982E-3</v>
      </c>
      <c r="CI28">
        <v>0.10979999999999999</v>
      </c>
      <c r="CJ28">
        <v>2.9999999999999472E-4</v>
      </c>
      <c r="CK28">
        <f t="shared" si="41"/>
        <v>0.11009999999999999</v>
      </c>
      <c r="CL28">
        <v>0.15809999999999999</v>
      </c>
      <c r="CM28" s="58">
        <f t="shared" si="42"/>
        <v>0.43596730245231613</v>
      </c>
    </row>
    <row r="29" spans="1:100" x14ac:dyDescent="0.25">
      <c r="A29" t="s">
        <v>388</v>
      </c>
      <c r="G29">
        <v>4.2915571E-2</v>
      </c>
      <c r="H29">
        <v>-2.9401066798204201E-5</v>
      </c>
      <c r="I29">
        <f t="shared" si="33"/>
        <v>4.2886169933201795E-2</v>
      </c>
      <c r="K29">
        <v>4</v>
      </c>
      <c r="L29">
        <v>9.5599441512663995E-3</v>
      </c>
      <c r="M29">
        <f t="shared" si="43"/>
        <v>3.2728403933201797E-2</v>
      </c>
      <c r="N29">
        <v>3.2728404000000003E-2</v>
      </c>
      <c r="O29">
        <f t="shared" si="44"/>
        <v>0.99999999795901429</v>
      </c>
      <c r="W29">
        <v>5.1881695999999998E-2</v>
      </c>
      <c r="X29">
        <v>0</v>
      </c>
      <c r="Y29">
        <f t="shared" si="3"/>
        <v>5.1881695999999998E-2</v>
      </c>
      <c r="AF29">
        <v>6.2789926999999995E-2</v>
      </c>
      <c r="AG29">
        <v>0</v>
      </c>
      <c r="AH29">
        <f t="shared" si="7"/>
        <v>6.2789926999999995E-2</v>
      </c>
      <c r="AI29">
        <v>6.1208141577102797E-2</v>
      </c>
      <c r="AJ29" s="58">
        <f t="shared" si="8"/>
        <v>-2.5191706671313676E-2</v>
      </c>
      <c r="AQ29">
        <v>6.9856711124948304E-2</v>
      </c>
      <c r="AR29">
        <v>0</v>
      </c>
      <c r="AS29">
        <f t="shared" si="36"/>
        <v>6.9856711124948304E-2</v>
      </c>
      <c r="AT29">
        <v>6.3208142034326995E-2</v>
      </c>
      <c r="AU29" s="58">
        <f t="shared" si="10"/>
        <v>-9.5174378861458742E-2</v>
      </c>
      <c r="BB29">
        <v>6.5208141999999997E-2</v>
      </c>
      <c r="BC29">
        <v>0</v>
      </c>
      <c r="BD29">
        <f t="shared" si="14"/>
        <v>6.5208141999999997E-2</v>
      </c>
      <c r="BE29">
        <v>6.5208142016828896E-2</v>
      </c>
      <c r="BF29" s="58">
        <f t="shared" si="15"/>
        <v>2.5807972546045248E-10</v>
      </c>
      <c r="BM29">
        <v>6.7208141999999998E-2</v>
      </c>
      <c r="BN29">
        <v>0</v>
      </c>
      <c r="BO29">
        <f t="shared" si="19"/>
        <v>6.7208141999999998E-2</v>
      </c>
      <c r="BP29">
        <v>6.6208141999999998E-2</v>
      </c>
      <c r="BQ29" s="58">
        <f t="shared" si="20"/>
        <v>-1.4879149612557372E-2</v>
      </c>
      <c r="BX29">
        <v>6.7208141999999998E-2</v>
      </c>
      <c r="BY29">
        <v>0</v>
      </c>
      <c r="BZ29">
        <f t="shared" si="24"/>
        <v>6.7208141999999998E-2</v>
      </c>
      <c r="CA29">
        <v>6.8208141999999999E-2</v>
      </c>
      <c r="CB29" s="58">
        <f t="shared" si="37"/>
        <v>1.4879149612557372E-2</v>
      </c>
      <c r="CI29">
        <v>7.0208142000000001E-2</v>
      </c>
      <c r="CJ29">
        <v>0</v>
      </c>
      <c r="CK29">
        <f t="shared" si="41"/>
        <v>7.0208142000000001E-2</v>
      </c>
      <c r="CL29">
        <v>7.0208142000000001E-2</v>
      </c>
      <c r="CM29" s="58">
        <f t="shared" si="42"/>
        <v>0</v>
      </c>
    </row>
    <row r="30" spans="1:100" x14ac:dyDescent="0.25">
      <c r="A30" t="s">
        <v>49</v>
      </c>
      <c r="G30">
        <v>4.1650887999999997E-2</v>
      </c>
      <c r="H30">
        <v>2.9763634334420419E-4</v>
      </c>
      <c r="I30">
        <f t="shared" si="33"/>
        <v>4.1948524343344201E-2</v>
      </c>
      <c r="K30">
        <v>4</v>
      </c>
      <c r="L30">
        <v>9.4762086646698E-3</v>
      </c>
      <c r="M30">
        <f t="shared" si="43"/>
        <v>3.0412697343344203E-2</v>
      </c>
      <c r="N30">
        <v>3.0412696999999999E-2</v>
      </c>
      <c r="O30">
        <f t="shared" si="44"/>
        <v>1.000000011289502</v>
      </c>
      <c r="W30">
        <v>4.9348428E-2</v>
      </c>
      <c r="X30">
        <v>-3.1269733533020178E-4</v>
      </c>
      <c r="Y30">
        <f t="shared" si="3"/>
        <v>4.9035730664669798E-2</v>
      </c>
      <c r="AF30">
        <v>6.1121474000000002E-2</v>
      </c>
      <c r="AG30">
        <v>8.7379074452159644E-4</v>
      </c>
      <c r="AH30">
        <f t="shared" si="7"/>
        <v>6.1995264744521598E-2</v>
      </c>
      <c r="AI30">
        <v>6.0330585563382298E-2</v>
      </c>
      <c r="AJ30" s="58">
        <f t="shared" si="8"/>
        <v>-2.6851715014031045E-2</v>
      </c>
      <c r="AQ30">
        <v>6.9327570830362201E-2</v>
      </c>
      <c r="AR30">
        <v>5.914229999999937E-4</v>
      </c>
      <c r="AS30">
        <f t="shared" si="36"/>
        <v>6.9918993830362194E-2</v>
      </c>
      <c r="AT30">
        <v>7.2221853059440497E-2</v>
      </c>
      <c r="AU30" s="58">
        <f t="shared" si="10"/>
        <v>3.2936103666844956E-2</v>
      </c>
      <c r="BB30">
        <v>8.3509292999999998E-2</v>
      </c>
      <c r="BC30">
        <v>8.2799105944039719E-4</v>
      </c>
      <c r="BD30">
        <f t="shared" si="14"/>
        <v>8.4337284059440396E-2</v>
      </c>
      <c r="BE30">
        <v>8.2488592001236705E-2</v>
      </c>
      <c r="BF30" s="58">
        <f t="shared" si="15"/>
        <v>-2.1920222815104459E-2</v>
      </c>
      <c r="BM30">
        <v>9.1932905999999995E-2</v>
      </c>
      <c r="BN30">
        <v>-1.8998439987632926E-3</v>
      </c>
      <c r="BO30">
        <f t="shared" si="19"/>
        <v>9.0033062001236702E-2</v>
      </c>
      <c r="BP30">
        <v>8.6252564079960806E-2</v>
      </c>
      <c r="BQ30" s="58">
        <f t="shared" si="20"/>
        <v>-4.1990107158900884E-2</v>
      </c>
      <c r="BX30">
        <v>9.1927141000000004E-2</v>
      </c>
      <c r="BY30">
        <v>-9.8874792003919576E-4</v>
      </c>
      <c r="BZ30">
        <f t="shared" si="24"/>
        <v>9.0938393079960808E-2</v>
      </c>
      <c r="CA30">
        <v>8.7263816000008196E-2</v>
      </c>
      <c r="CB30" s="58">
        <f t="shared" si="37"/>
        <v>-4.0407323634161975E-2</v>
      </c>
      <c r="CI30">
        <v>8.9263815999999996E-2</v>
      </c>
      <c r="CJ30">
        <v>-1.6381599999189256E-4</v>
      </c>
      <c r="CK30">
        <f t="shared" si="41"/>
        <v>8.9100000000008103E-2</v>
      </c>
      <c r="CL30">
        <v>8.9099999999999999E-2</v>
      </c>
      <c r="CM30" s="58">
        <f t="shared" si="42"/>
        <v>-9.0961033442905786E-14</v>
      </c>
    </row>
    <row r="31" spans="1:100" x14ac:dyDescent="0.25">
      <c r="A31" t="s">
        <v>49</v>
      </c>
      <c r="G31">
        <v>4.7521991E-2</v>
      </c>
      <c r="H31">
        <v>3.1306913745570569E-4</v>
      </c>
      <c r="I31">
        <f t="shared" si="33"/>
        <v>4.7835060137455705E-2</v>
      </c>
      <c r="K31">
        <v>4</v>
      </c>
      <c r="L31">
        <v>2.6502049610607599E-2</v>
      </c>
      <c r="M31">
        <f t="shared" si="43"/>
        <v>3.2869825137455705E-2</v>
      </c>
      <c r="N31">
        <v>3.2869824999999998E-2</v>
      </c>
      <c r="O31">
        <f t="shared" si="44"/>
        <v>1.0000000041818204</v>
      </c>
      <c r="W31">
        <v>8.5748748E-2</v>
      </c>
      <c r="X31">
        <v>9.301746106075981E-4</v>
      </c>
      <c r="Y31">
        <f t="shared" si="3"/>
        <v>8.6678922610607598E-2</v>
      </c>
      <c r="AF31">
        <v>0.116346638</v>
      </c>
      <c r="AG31">
        <v>2.0479496993218993E-3</v>
      </c>
      <c r="AH31">
        <f t="shared" si="7"/>
        <v>0.1183945876993219</v>
      </c>
      <c r="AI31">
        <v>0.111400692699216</v>
      </c>
      <c r="AJ31" s="58">
        <f t="shared" si="8"/>
        <v>-5.907275945643551E-2</v>
      </c>
      <c r="AQ31">
        <v>0.13223526644393099</v>
      </c>
      <c r="AR31">
        <v>7.4926600000048416E-4</v>
      </c>
      <c r="AS31">
        <f t="shared" si="36"/>
        <v>0.13298453244393149</v>
      </c>
      <c r="AT31">
        <v>0.11414995903267799</v>
      </c>
      <c r="AU31" s="58">
        <f t="shared" si="10"/>
        <v>-0.14162980509928452</v>
      </c>
      <c r="BB31">
        <v>0.116149959</v>
      </c>
      <c r="BC31">
        <v>-6.9995896732130691E-4</v>
      </c>
      <c r="BD31">
        <f t="shared" si="14"/>
        <v>0.11545000003267869</v>
      </c>
      <c r="BE31">
        <v>0.11545</v>
      </c>
      <c r="BF31" s="58">
        <f t="shared" si="15"/>
        <v>-2.8305494218818198E-10</v>
      </c>
      <c r="BM31">
        <v>0.11745</v>
      </c>
      <c r="BN31">
        <v>-2.9999999999999472E-4</v>
      </c>
      <c r="BO31">
        <f t="shared" si="19"/>
        <v>0.11715</v>
      </c>
      <c r="BP31">
        <v>0.116150000021694</v>
      </c>
      <c r="BQ31" s="58">
        <f t="shared" si="20"/>
        <v>-8.5360646889117119E-3</v>
      </c>
      <c r="BX31">
        <v>0.11715</v>
      </c>
      <c r="BY31">
        <v>-1.9999997830610905E-4</v>
      </c>
      <c r="BZ31">
        <f t="shared" si="24"/>
        <v>0.1169500000216939</v>
      </c>
      <c r="CA31">
        <v>0.11795</v>
      </c>
      <c r="CB31" s="58">
        <f t="shared" si="37"/>
        <v>8.5506624892741096E-3</v>
      </c>
      <c r="CI31">
        <v>0.11995</v>
      </c>
      <c r="CJ31">
        <v>3.0000000000000859E-4</v>
      </c>
      <c r="CK31">
        <f t="shared" si="41"/>
        <v>0.12025000000000001</v>
      </c>
      <c r="CL31">
        <v>0.145249906452599</v>
      </c>
      <c r="CM31" s="58">
        <f t="shared" si="42"/>
        <v>0.20789942995924313</v>
      </c>
    </row>
    <row r="32" spans="1:100" x14ac:dyDescent="0.25">
      <c r="A32" t="s">
        <v>46</v>
      </c>
      <c r="G32">
        <v>4.0553605999999999E-2</v>
      </c>
      <c r="H32">
        <v>-6.2011973977157998E-3</v>
      </c>
      <c r="I32">
        <f t="shared" si="33"/>
        <v>3.4352408602284196E-2</v>
      </c>
      <c r="K32">
        <v>4</v>
      </c>
      <c r="L32">
        <v>2.9498553674693399E-2</v>
      </c>
      <c r="M32">
        <f t="shared" si="43"/>
        <v>2.06916986022842E-2</v>
      </c>
      <c r="N32">
        <v>2.0691699000000001E-2</v>
      </c>
      <c r="O32">
        <f t="shared" si="44"/>
        <v>0.99999998077896834</v>
      </c>
      <c r="W32">
        <v>7.9492637000000005E-2</v>
      </c>
      <c r="X32">
        <v>0</v>
      </c>
      <c r="Y32">
        <f t="shared" si="3"/>
        <v>7.9492637000000005E-2</v>
      </c>
      <c r="AF32">
        <v>9.7376668E-2</v>
      </c>
      <c r="AG32">
        <v>0</v>
      </c>
      <c r="AH32">
        <f t="shared" si="7"/>
        <v>9.7376668E-2</v>
      </c>
      <c r="AI32">
        <v>9.22139713739209E-2</v>
      </c>
      <c r="AJ32" s="58">
        <f t="shared" si="8"/>
        <v>-5.3017799151631476E-2</v>
      </c>
      <c r="AQ32">
        <v>0.11040080986992</v>
      </c>
      <c r="AR32">
        <v>0</v>
      </c>
      <c r="AS32">
        <f t="shared" si="36"/>
        <v>0.11040080986992</v>
      </c>
      <c r="AT32">
        <v>9.4213970999999994E-2</v>
      </c>
      <c r="AU32" s="58">
        <f t="shared" si="10"/>
        <v>-0.14661884173668821</v>
      </c>
      <c r="BB32">
        <v>9.6213970999999995E-2</v>
      </c>
      <c r="BC32">
        <v>0</v>
      </c>
      <c r="BD32">
        <f t="shared" si="14"/>
        <v>9.6213970999999995E-2</v>
      </c>
      <c r="BE32">
        <v>9.6213970999999995E-2</v>
      </c>
      <c r="BF32" s="58">
        <f t="shared" si="15"/>
        <v>0</v>
      </c>
      <c r="BM32">
        <v>9.8213970999999997E-2</v>
      </c>
      <c r="BN32">
        <v>0</v>
      </c>
      <c r="BO32">
        <f t="shared" si="19"/>
        <v>9.8213970999999997E-2</v>
      </c>
      <c r="BP32">
        <v>9.7213971004348601E-2</v>
      </c>
      <c r="BQ32" s="58">
        <f t="shared" si="20"/>
        <v>-1.0181850763893826E-2</v>
      </c>
      <c r="BX32">
        <v>9.8213970999999997E-2</v>
      </c>
      <c r="BY32">
        <v>0</v>
      </c>
      <c r="BZ32">
        <f t="shared" si="24"/>
        <v>9.8213970999999997E-2</v>
      </c>
      <c r="CA32">
        <v>9.9213970999999998E-2</v>
      </c>
      <c r="CB32" s="58">
        <f t="shared" si="37"/>
        <v>1.0181850808170672E-2</v>
      </c>
      <c r="CI32">
        <v>0.101213971</v>
      </c>
      <c r="CJ32">
        <v>0</v>
      </c>
      <c r="CK32">
        <f t="shared" si="41"/>
        <v>0.101213971</v>
      </c>
      <c r="CL32">
        <v>0.101213971</v>
      </c>
      <c r="CM32" s="58">
        <f t="shared" si="42"/>
        <v>0</v>
      </c>
    </row>
    <row r="33" spans="1:91" x14ac:dyDescent="0.25">
      <c r="A33" t="s">
        <v>388</v>
      </c>
      <c r="G33">
        <v>4.5426790000000002E-2</v>
      </c>
      <c r="H33">
        <v>-1.572238165443697E-3</v>
      </c>
      <c r="I33">
        <f t="shared" si="33"/>
        <v>4.3854551834556305E-2</v>
      </c>
      <c r="K33">
        <v>4</v>
      </c>
      <c r="L33">
        <v>1.9626052311631E-2</v>
      </c>
      <c r="M33">
        <f t="shared" si="43"/>
        <v>3.18837268345563E-2</v>
      </c>
      <c r="N33">
        <v>3.1883727000000001E-2</v>
      </c>
      <c r="O33">
        <f t="shared" si="44"/>
        <v>0.99999999481103008</v>
      </c>
      <c r="W33">
        <v>7.1078557000000001E-2</v>
      </c>
      <c r="X33">
        <v>0</v>
      </c>
      <c r="Y33">
        <f t="shared" si="3"/>
        <v>7.1078557000000001E-2</v>
      </c>
      <c r="AF33">
        <v>8.8289123999999997E-2</v>
      </c>
      <c r="AG33">
        <v>0</v>
      </c>
      <c r="AH33">
        <f t="shared" si="7"/>
        <v>8.8289123999999997E-2</v>
      </c>
      <c r="AI33">
        <v>8.4603363815229496E-2</v>
      </c>
      <c r="AJ33" s="58">
        <f t="shared" si="8"/>
        <v>-4.1746480401940574E-2</v>
      </c>
      <c r="AQ33">
        <v>9.9141308700333206E-2</v>
      </c>
      <c r="AR33">
        <v>0</v>
      </c>
      <c r="AS33">
        <f t="shared" si="36"/>
        <v>9.9141308700333206E-2</v>
      </c>
      <c r="AT33">
        <v>8.6918018876242897E-2</v>
      </c>
      <c r="AU33" s="58">
        <f t="shared" si="10"/>
        <v>-0.12329159241821898</v>
      </c>
      <c r="BB33">
        <v>8.9237019000000001E-2</v>
      </c>
      <c r="BC33">
        <v>0</v>
      </c>
      <c r="BD33">
        <f t="shared" si="14"/>
        <v>8.9237019000000001E-2</v>
      </c>
      <c r="BE33">
        <v>9.1943753114174007E-2</v>
      </c>
      <c r="BF33" s="58">
        <f t="shared" si="15"/>
        <v>3.0331964744071134E-2</v>
      </c>
      <c r="BM33">
        <v>9.6971154000000004E-2</v>
      </c>
      <c r="BN33">
        <v>0</v>
      </c>
      <c r="BO33">
        <f t="shared" si="19"/>
        <v>9.6971154000000004E-2</v>
      </c>
      <c r="BP33">
        <v>0.100650381278258</v>
      </c>
      <c r="BQ33" s="58">
        <f t="shared" si="20"/>
        <v>3.7941461212867414E-2</v>
      </c>
      <c r="BX33">
        <v>0.109338358</v>
      </c>
      <c r="BY33">
        <v>0</v>
      </c>
      <c r="BZ33">
        <f t="shared" si="24"/>
        <v>0.109338358</v>
      </c>
      <c r="CA33">
        <v>0.109546483346614</v>
      </c>
      <c r="CB33" s="58">
        <f t="shared" si="37"/>
        <v>1.9034980076617287E-3</v>
      </c>
      <c r="CI33">
        <v>0.11843139</v>
      </c>
      <c r="CJ33">
        <v>0</v>
      </c>
      <c r="CK33">
        <f t="shared" si="41"/>
        <v>0.11843139</v>
      </c>
      <c r="CL33">
        <v>0.117530162606102</v>
      </c>
      <c r="CM33" s="58">
        <f t="shared" si="42"/>
        <v>-7.6097003834709872E-3</v>
      </c>
    </row>
    <row r="34" spans="1:91" x14ac:dyDescent="0.25">
      <c r="A34" t="s">
        <v>49</v>
      </c>
      <c r="G34">
        <v>4.0902218999999997E-2</v>
      </c>
      <c r="H34">
        <v>2.3083910746430139E-4</v>
      </c>
      <c r="I34">
        <f t="shared" si="33"/>
        <v>4.1133058107464301E-2</v>
      </c>
      <c r="K34">
        <v>4</v>
      </c>
      <c r="L34">
        <v>2.0378316465822902E-2</v>
      </c>
      <c r="M34">
        <f t="shared" si="43"/>
        <v>2.9569892107464302E-2</v>
      </c>
      <c r="N34">
        <v>2.9569892E-2</v>
      </c>
      <c r="O34">
        <f t="shared" si="44"/>
        <v>1.0000000036342473</v>
      </c>
      <c r="W34">
        <v>7.0260913999999994E-2</v>
      </c>
      <c r="X34">
        <v>6.3010846582290531E-4</v>
      </c>
      <c r="Y34">
        <f t="shared" ref="Y34:Y65" si="45">W34+X34</f>
        <v>7.0891022465822906E-2</v>
      </c>
      <c r="AF34">
        <v>6.5487945000000006E-2</v>
      </c>
      <c r="AG34">
        <v>-9.7831607981829771E-4</v>
      </c>
      <c r="AH34">
        <f t="shared" ref="AH34:AH65" si="46">AF34+AG34</f>
        <v>6.4509628920181708E-2</v>
      </c>
      <c r="AI34">
        <v>6.1795142094234499E-2</v>
      </c>
      <c r="AJ34" s="58">
        <f t="shared" ref="AJ34:AJ65" si="47">(AI34-AH34)/AH34</f>
        <v>-4.2078785312900581E-2</v>
      </c>
      <c r="AQ34">
        <v>6.6458911261272999E-2</v>
      </c>
      <c r="AR34">
        <v>1.0774200000000095E-4</v>
      </c>
      <c r="AS34">
        <f t="shared" si="36"/>
        <v>6.6566653261273007E-2</v>
      </c>
      <c r="AT34">
        <v>6.8852870645502301E-2</v>
      </c>
      <c r="AU34" s="58">
        <f t="shared" ref="AU34:AU65" si="48">(AT34-AS34)/AS34</f>
        <v>3.4344784846790016E-2</v>
      </c>
      <c r="BB34">
        <v>7.5805978999999996E-2</v>
      </c>
      <c r="BC34">
        <v>5.4711564550230518E-4</v>
      </c>
      <c r="BD34">
        <f t="shared" ref="BD34:BD65" si="49">BB34+BC34</f>
        <v>7.6353094645502301E-2</v>
      </c>
      <c r="BE34">
        <v>7.1399986999999998E-2</v>
      </c>
      <c r="BF34" s="58">
        <f t="shared" ref="BF34:BF65" si="50">(BE34-BD34)/BD34</f>
        <v>-6.4871079142226659E-2</v>
      </c>
      <c r="BM34">
        <v>7.3399987E-2</v>
      </c>
      <c r="BN34">
        <v>-1.699987E-3</v>
      </c>
      <c r="BO34">
        <f t="shared" si="19"/>
        <v>7.17E-2</v>
      </c>
      <c r="BP34">
        <v>7.44408047146186E-2</v>
      </c>
      <c r="BQ34" s="58">
        <f t="shared" si="20"/>
        <v>3.8226007177386327E-2</v>
      </c>
      <c r="BX34">
        <v>7.9187419999999994E-2</v>
      </c>
      <c r="BY34">
        <v>1.4999971461861217E-4</v>
      </c>
      <c r="BZ34">
        <f t="shared" si="24"/>
        <v>7.9337419714618607E-2</v>
      </c>
      <c r="CA34">
        <v>9.1023920383455095E-2</v>
      </c>
      <c r="CB34" s="58">
        <f t="shared" si="37"/>
        <v>0.14730124461916613</v>
      </c>
      <c r="CI34">
        <v>0.10743942400000001</v>
      </c>
      <c r="CJ34">
        <v>2.5591953834551012E-3</v>
      </c>
      <c r="CK34">
        <f t="shared" si="41"/>
        <v>0.10999861938345511</v>
      </c>
      <c r="CL34">
        <v>0.14358311499999901</v>
      </c>
      <c r="CM34" s="58">
        <f t="shared" si="42"/>
        <v>0.30531742857124761</v>
      </c>
    </row>
    <row r="35" spans="1:91" x14ac:dyDescent="0.25">
      <c r="A35" t="s">
        <v>46</v>
      </c>
      <c r="G35">
        <v>4.2546201999999998E-2</v>
      </c>
      <c r="H35">
        <v>-6.3347704824426969E-3</v>
      </c>
      <c r="I35">
        <f t="shared" si="33"/>
        <v>3.6211431517557305E-2</v>
      </c>
      <c r="K35">
        <v>4</v>
      </c>
      <c r="L35">
        <v>3.1620498387879399E-2</v>
      </c>
      <c r="M35">
        <f t="shared" si="43"/>
        <v>2.1849924517557302E-2</v>
      </c>
      <c r="N35">
        <v>2.1849924999999999E-2</v>
      </c>
      <c r="O35">
        <f t="shared" si="44"/>
        <v>0.99999997792016693</v>
      </c>
      <c r="W35">
        <v>8.4835770000000005E-2</v>
      </c>
      <c r="X35">
        <v>0</v>
      </c>
      <c r="Y35">
        <f t="shared" si="45"/>
        <v>8.4835770000000005E-2</v>
      </c>
      <c r="AF35">
        <v>0.10755906599999999</v>
      </c>
      <c r="AG35">
        <v>0</v>
      </c>
      <c r="AH35">
        <f t="shared" si="46"/>
        <v>0.10755906599999999</v>
      </c>
      <c r="AI35">
        <v>0.100594527209575</v>
      </c>
      <c r="AJ35" s="58">
        <f t="shared" si="47"/>
        <v>-6.4750829933991769E-2</v>
      </c>
      <c r="AQ35">
        <v>0.120382658212423</v>
      </c>
      <c r="AR35">
        <v>0</v>
      </c>
      <c r="AS35">
        <f t="shared" si="36"/>
        <v>0.120382658212423</v>
      </c>
      <c r="AT35">
        <v>0.106083197261573</v>
      </c>
      <c r="AU35" s="58">
        <f t="shared" si="48"/>
        <v>-0.11878339590755398</v>
      </c>
      <c r="BB35">
        <v>0.111574431</v>
      </c>
      <c r="BC35">
        <v>0</v>
      </c>
      <c r="BD35">
        <f t="shared" si="49"/>
        <v>0.111574431</v>
      </c>
      <c r="BE35">
        <v>0.10808319700000001</v>
      </c>
      <c r="BF35" s="58">
        <f t="shared" si="50"/>
        <v>-3.1290627867956555E-2</v>
      </c>
      <c r="BM35">
        <v>0.11008319699999999</v>
      </c>
      <c r="BN35">
        <v>0</v>
      </c>
      <c r="BO35">
        <f t="shared" si="19"/>
        <v>0.11008319699999999</v>
      </c>
      <c r="BP35">
        <v>0.10908319700000001</v>
      </c>
      <c r="BQ35" s="58">
        <f t="shared" si="20"/>
        <v>-9.0840385022610409E-3</v>
      </c>
      <c r="BX35">
        <v>0.11008319699999999</v>
      </c>
      <c r="BY35">
        <v>0</v>
      </c>
      <c r="BZ35">
        <f t="shared" si="24"/>
        <v>0.11008319699999999</v>
      </c>
      <c r="CA35">
        <v>0.11108319699999999</v>
      </c>
      <c r="CB35" s="58">
        <f t="shared" ref="CB35:CB66" si="51">(CA35-BZ35)/BZ35</f>
        <v>9.0840385022611658E-3</v>
      </c>
      <c r="CI35">
        <v>0.113083197</v>
      </c>
      <c r="CJ35">
        <v>0</v>
      </c>
      <c r="CK35">
        <f t="shared" si="41"/>
        <v>0.113083197</v>
      </c>
      <c r="CL35">
        <v>0.113083197</v>
      </c>
      <c r="CM35" s="58">
        <f t="shared" si="42"/>
        <v>0</v>
      </c>
    </row>
    <row r="36" spans="1:91" x14ac:dyDescent="0.25">
      <c r="A36" t="s">
        <v>388</v>
      </c>
      <c r="G36">
        <v>4.2762343000000001E-2</v>
      </c>
      <c r="H36">
        <v>1.6346780113317971E-3</v>
      </c>
      <c r="I36">
        <f t="shared" si="33"/>
        <v>4.4397021011331798E-2</v>
      </c>
      <c r="K36">
        <v>4</v>
      </c>
      <c r="L36">
        <v>1.7943828061342201E-2</v>
      </c>
      <c r="M36">
        <f t="shared" si="43"/>
        <v>3.4140137011331798E-2</v>
      </c>
      <c r="N36">
        <v>3.4140137000000001E-2</v>
      </c>
      <c r="O36">
        <f t="shared" si="44"/>
        <v>1.00000000033192</v>
      </c>
      <c r="W36">
        <v>7.0008928999999998E-2</v>
      </c>
      <c r="X36">
        <v>0</v>
      </c>
      <c r="Y36">
        <f t="shared" si="45"/>
        <v>7.0008928999999998E-2</v>
      </c>
      <c r="AF36">
        <v>8.0086414999999994E-2</v>
      </c>
      <c r="AG36">
        <v>0</v>
      </c>
      <c r="AH36">
        <f t="shared" si="46"/>
        <v>8.0086414999999994E-2</v>
      </c>
      <c r="AI36">
        <v>7.5334045511102496E-2</v>
      </c>
      <c r="AJ36" s="58">
        <f t="shared" si="47"/>
        <v>-5.934051972356983E-2</v>
      </c>
      <c r="AQ36">
        <v>8.4568025659193996E-2</v>
      </c>
      <c r="AR36">
        <v>0</v>
      </c>
      <c r="AS36">
        <f t="shared" si="36"/>
        <v>8.4568025659193996E-2</v>
      </c>
      <c r="AT36">
        <v>8.0489067808992704E-2</v>
      </c>
      <c r="AU36" s="58">
        <f t="shared" si="48"/>
        <v>-4.8232861278319786E-2</v>
      </c>
      <c r="BB36">
        <v>8.5670178E-2</v>
      </c>
      <c r="BC36">
        <v>0</v>
      </c>
      <c r="BD36">
        <f t="shared" si="49"/>
        <v>8.5670178E-2</v>
      </c>
      <c r="BE36">
        <v>8.2489067999999999E-2</v>
      </c>
      <c r="BF36" s="58">
        <f t="shared" si="50"/>
        <v>-3.7132057785615909E-2</v>
      </c>
      <c r="BM36">
        <v>8.4489068000000001E-2</v>
      </c>
      <c r="BN36">
        <v>0</v>
      </c>
      <c r="BO36">
        <f t="shared" si="19"/>
        <v>8.4489068000000001E-2</v>
      </c>
      <c r="BP36">
        <v>8.34890680017914E-2</v>
      </c>
      <c r="BQ36" s="58">
        <f t="shared" si="20"/>
        <v>-1.1835850742354034E-2</v>
      </c>
      <c r="BX36">
        <v>8.4489068000000001E-2</v>
      </c>
      <c r="BY36">
        <v>0</v>
      </c>
      <c r="BZ36">
        <f t="shared" si="24"/>
        <v>8.4489068000000001E-2</v>
      </c>
      <c r="CA36">
        <v>8.5489068000000001E-2</v>
      </c>
      <c r="CB36" s="58">
        <f t="shared" si="51"/>
        <v>1.1835850763556782E-2</v>
      </c>
      <c r="CI36">
        <v>8.7489068000000003E-2</v>
      </c>
      <c r="CJ36">
        <v>0</v>
      </c>
      <c r="CK36">
        <f t="shared" si="41"/>
        <v>8.7489068000000003E-2</v>
      </c>
      <c r="CL36">
        <v>8.7489068000000003E-2</v>
      </c>
      <c r="CM36" s="58">
        <f t="shared" si="42"/>
        <v>0</v>
      </c>
    </row>
    <row r="37" spans="1:91" x14ac:dyDescent="0.25">
      <c r="A37" t="s">
        <v>46</v>
      </c>
      <c r="G37">
        <v>4.2092494000000001E-2</v>
      </c>
      <c r="H37">
        <v>-7.6253937459162015E-3</v>
      </c>
      <c r="I37">
        <f t="shared" si="33"/>
        <v>3.4467100254083796E-2</v>
      </c>
      <c r="K37">
        <v>4</v>
      </c>
      <c r="L37">
        <v>3.3031256232418198E-2</v>
      </c>
      <c r="M37">
        <f t="shared" si="43"/>
        <v>2.00959182540838E-2</v>
      </c>
      <c r="N37">
        <v>2.0095918000000001E-2</v>
      </c>
      <c r="O37">
        <f t="shared" si="44"/>
        <v>1.0000000126435526</v>
      </c>
      <c r="W37">
        <v>8.5948028999999995E-2</v>
      </c>
      <c r="X37">
        <v>0</v>
      </c>
      <c r="Y37">
        <f t="shared" si="45"/>
        <v>8.5948028999999995E-2</v>
      </c>
      <c r="AF37">
        <v>0.11373412500000001</v>
      </c>
      <c r="AG37">
        <v>0</v>
      </c>
      <c r="AH37">
        <f t="shared" si="46"/>
        <v>0.11373412500000001</v>
      </c>
      <c r="AI37">
        <v>0.107421302055574</v>
      </c>
      <c r="AJ37" s="58">
        <f t="shared" si="47"/>
        <v>-5.5505090881263694E-2</v>
      </c>
      <c r="AQ37">
        <v>0.13105986476713799</v>
      </c>
      <c r="AR37">
        <v>0</v>
      </c>
      <c r="AS37">
        <f t="shared" si="36"/>
        <v>0.13105986476713799</v>
      </c>
      <c r="AT37">
        <v>0.11892525992084201</v>
      </c>
      <c r="AU37" s="58">
        <f t="shared" si="48"/>
        <v>-9.2588260089053756E-2</v>
      </c>
      <c r="BB37">
        <v>0.13034435899999999</v>
      </c>
      <c r="BC37">
        <v>0</v>
      </c>
      <c r="BD37">
        <f t="shared" si="49"/>
        <v>0.13034435899999999</v>
      </c>
      <c r="BE37">
        <v>0.12092526000000001</v>
      </c>
      <c r="BF37" s="58">
        <f t="shared" si="50"/>
        <v>-7.2263188620230095E-2</v>
      </c>
      <c r="BM37">
        <v>0.12292525999999999</v>
      </c>
      <c r="BN37">
        <v>0</v>
      </c>
      <c r="BO37">
        <f t="shared" si="19"/>
        <v>0.12292525999999999</v>
      </c>
      <c r="BP37">
        <v>0.12192525999999999</v>
      </c>
      <c r="BQ37" s="58">
        <f t="shared" si="20"/>
        <v>-8.1350244856102077E-3</v>
      </c>
      <c r="BX37">
        <v>0.12292525999999999</v>
      </c>
      <c r="BY37">
        <v>0</v>
      </c>
      <c r="BZ37">
        <f t="shared" si="24"/>
        <v>0.12292525999999999</v>
      </c>
      <c r="CA37">
        <v>0.12392526</v>
      </c>
      <c r="CB37" s="58">
        <f t="shared" si="51"/>
        <v>8.1350244856102077E-3</v>
      </c>
      <c r="CI37">
        <v>0.12592526000000001</v>
      </c>
      <c r="CJ37">
        <v>0</v>
      </c>
      <c r="CK37">
        <f t="shared" si="41"/>
        <v>0.12592526000000001</v>
      </c>
      <c r="CL37">
        <v>0.12592526000000001</v>
      </c>
      <c r="CM37" s="58">
        <f t="shared" si="42"/>
        <v>0</v>
      </c>
    </row>
    <row r="38" spans="1:91" x14ac:dyDescent="0.25">
      <c r="A38" t="s">
        <v>49</v>
      </c>
      <c r="G38">
        <v>4.5125555999999997E-2</v>
      </c>
      <c r="H38">
        <v>1.9675779971270457E-4</v>
      </c>
      <c r="I38">
        <f t="shared" si="33"/>
        <v>4.5322313799712702E-2</v>
      </c>
      <c r="K38">
        <v>4</v>
      </c>
      <c r="L38">
        <v>2.1397821451783702E-2</v>
      </c>
      <c r="M38">
        <f t="shared" si="43"/>
        <v>3.2542379799712702E-2</v>
      </c>
      <c r="N38">
        <v>3.2542380000000003E-2</v>
      </c>
      <c r="O38">
        <f t="shared" si="44"/>
        <v>0.99999999384533955</v>
      </c>
      <c r="W38">
        <v>7.5284961999999997E-2</v>
      </c>
      <c r="X38">
        <v>3.5762045178370366E-4</v>
      </c>
      <c r="Y38">
        <f t="shared" si="45"/>
        <v>7.5642582451783708E-2</v>
      </c>
      <c r="AF38">
        <v>9.3143126000000007E-2</v>
      </c>
      <c r="AG38">
        <v>1.2521790409088934E-3</v>
      </c>
      <c r="AH38">
        <f t="shared" si="46"/>
        <v>9.43953050409089E-2</v>
      </c>
      <c r="AI38">
        <v>8.8905234965225205E-2</v>
      </c>
      <c r="AJ38" s="58">
        <f t="shared" si="47"/>
        <v>-5.8160414581047398E-2</v>
      </c>
      <c r="AQ38">
        <v>0.102719645699849</v>
      </c>
      <c r="AR38">
        <v>-1.1763500000010196E-4</v>
      </c>
      <c r="AS38">
        <f t="shared" si="36"/>
        <v>0.10260201069984889</v>
      </c>
      <c r="AT38">
        <v>9.0787599999999996E-2</v>
      </c>
      <c r="AU38" s="58">
        <f t="shared" si="48"/>
        <v>-0.11514794514515589</v>
      </c>
      <c r="BB38">
        <v>9.2787599999999998E-2</v>
      </c>
      <c r="BC38">
        <v>2.6239999999999597E-4</v>
      </c>
      <c r="BD38">
        <f t="shared" si="49"/>
        <v>9.3049999999999994E-2</v>
      </c>
      <c r="BE38">
        <v>9.3049999999999994E-2</v>
      </c>
      <c r="BF38" s="58">
        <f t="shared" si="50"/>
        <v>0</v>
      </c>
      <c r="BM38">
        <v>9.5049999999999996E-2</v>
      </c>
      <c r="BN38">
        <v>-2.9999999999999472E-4</v>
      </c>
      <c r="BO38">
        <f t="shared" si="19"/>
        <v>9.4750000000000001E-2</v>
      </c>
      <c r="BP38">
        <v>9.375E-2</v>
      </c>
      <c r="BQ38" s="58">
        <f t="shared" si="20"/>
        <v>-1.0554089709762543E-2</v>
      </c>
      <c r="BX38">
        <v>9.4750000000000001E-2</v>
      </c>
      <c r="BY38">
        <v>-1.4999999999999736E-4</v>
      </c>
      <c r="BZ38">
        <f t="shared" si="24"/>
        <v>9.4600000000000004E-2</v>
      </c>
      <c r="CA38">
        <v>9.5600000000000004E-2</v>
      </c>
      <c r="CB38" s="58">
        <f t="shared" si="51"/>
        <v>1.0570824524312905E-2</v>
      </c>
      <c r="CI38">
        <v>9.7600000000000006E-2</v>
      </c>
      <c r="CJ38">
        <v>3.4999999999998921E-4</v>
      </c>
      <c r="CK38">
        <f t="shared" si="41"/>
        <v>9.7949999999999995E-2</v>
      </c>
      <c r="CL38">
        <v>0.13029784034248601</v>
      </c>
      <c r="CM38" s="58">
        <f t="shared" si="42"/>
        <v>0.33024849762619718</v>
      </c>
    </row>
    <row r="39" spans="1:91" x14ac:dyDescent="0.25">
      <c r="A39" t="s">
        <v>46</v>
      </c>
      <c r="G39">
        <v>4.535322E-2</v>
      </c>
      <c r="H39">
        <v>-6.8719389956589001E-3</v>
      </c>
      <c r="I39">
        <f t="shared" si="33"/>
        <v>3.8481281004341103E-2</v>
      </c>
      <c r="K39">
        <v>4</v>
      </c>
      <c r="L39">
        <v>3.8934382769874501E-2</v>
      </c>
      <c r="M39">
        <f t="shared" si="43"/>
        <v>2.25524740043411E-2</v>
      </c>
      <c r="N39">
        <v>2.2552473999999999E-2</v>
      </c>
      <c r="O39">
        <f t="shared" si="44"/>
        <v>1.0000000001924889</v>
      </c>
      <c r="W39">
        <v>0.100214843</v>
      </c>
      <c r="X39">
        <v>0</v>
      </c>
      <c r="Y39">
        <f t="shared" si="45"/>
        <v>0.100214843</v>
      </c>
      <c r="AF39">
        <v>0.13746301399999999</v>
      </c>
      <c r="AG39">
        <v>0</v>
      </c>
      <c r="AH39">
        <f t="shared" si="46"/>
        <v>0.13746301399999999</v>
      </c>
      <c r="AI39">
        <v>0.129801817531463</v>
      </c>
      <c r="AJ39" s="58">
        <f t="shared" si="47"/>
        <v>-5.5732784009355392E-2</v>
      </c>
      <c r="AQ39">
        <v>0.15982157220325899</v>
      </c>
      <c r="AR39">
        <v>0</v>
      </c>
      <c r="AS39">
        <f t="shared" si="36"/>
        <v>0.15982157220325899</v>
      </c>
      <c r="AT39">
        <v>0.13180181815345099</v>
      </c>
      <c r="AU39" s="58">
        <f t="shared" si="48"/>
        <v>-0.17531897392532744</v>
      </c>
      <c r="BB39">
        <v>0.13380181799999999</v>
      </c>
      <c r="BC39">
        <v>0</v>
      </c>
      <c r="BD39">
        <f t="shared" si="49"/>
        <v>0.13380181799999999</v>
      </c>
      <c r="BE39">
        <v>0.1338018180235</v>
      </c>
      <c r="BF39" s="58">
        <f t="shared" si="50"/>
        <v>1.7563294614960944E-10</v>
      </c>
      <c r="BM39">
        <v>0.13580181799999999</v>
      </c>
      <c r="BN39">
        <v>0</v>
      </c>
      <c r="BO39">
        <f t="shared" si="19"/>
        <v>0.13580181799999999</v>
      </c>
      <c r="BP39">
        <v>0.134801818431736</v>
      </c>
      <c r="BQ39" s="58">
        <f t="shared" si="20"/>
        <v>-7.3636684912715446E-3</v>
      </c>
      <c r="BX39">
        <v>0.13580181899999999</v>
      </c>
      <c r="BY39">
        <v>0</v>
      </c>
      <c r="BZ39">
        <f t="shared" si="24"/>
        <v>0.13580181899999999</v>
      </c>
      <c r="CA39">
        <v>0.13680181799999999</v>
      </c>
      <c r="CB39" s="58">
        <f t="shared" si="51"/>
        <v>7.3636642525384838E-3</v>
      </c>
      <c r="CI39">
        <v>0.13880181799999999</v>
      </c>
      <c r="CJ39">
        <v>0</v>
      </c>
      <c r="CK39">
        <f t="shared" si="41"/>
        <v>0.13880181799999999</v>
      </c>
      <c r="CL39">
        <v>0.13880181799999999</v>
      </c>
      <c r="CM39" s="58">
        <f t="shared" si="42"/>
        <v>0</v>
      </c>
    </row>
    <row r="40" spans="1:91" x14ac:dyDescent="0.25">
      <c r="A40" t="s">
        <v>49</v>
      </c>
      <c r="G40">
        <v>4.2299117999999997E-2</v>
      </c>
      <c r="H40">
        <v>1.3175274141610099E-4</v>
      </c>
      <c r="I40">
        <f t="shared" si="33"/>
        <v>4.2430870741416098E-2</v>
      </c>
      <c r="K40">
        <v>4</v>
      </c>
      <c r="L40">
        <v>1.7293048543152799E-2</v>
      </c>
      <c r="M40">
        <f t="shared" si="43"/>
        <v>3.1336983741416101E-2</v>
      </c>
      <c r="N40">
        <v>3.1336983999999998E-2</v>
      </c>
      <c r="O40">
        <f t="shared" si="44"/>
        <v>0.9999999917482838</v>
      </c>
      <c r="W40">
        <v>6.5923439E-2</v>
      </c>
      <c r="X40">
        <v>1.1301554315279461E-4</v>
      </c>
      <c r="Y40">
        <f t="shared" si="45"/>
        <v>6.6036454543152795E-2</v>
      </c>
      <c r="AF40">
        <v>7.9286443999999998E-2</v>
      </c>
      <c r="AG40">
        <v>1.0069514686137926E-3</v>
      </c>
      <c r="AH40">
        <f t="shared" si="46"/>
        <v>8.029339546861379E-2</v>
      </c>
      <c r="AI40">
        <v>7.4560931262133201E-2</v>
      </c>
      <c r="AJ40" s="58">
        <f t="shared" si="47"/>
        <v>-7.1393969242730254E-2</v>
      </c>
      <c r="AQ40">
        <v>8.4035711432255397E-2</v>
      </c>
      <c r="AR40">
        <v>2.9912900000000908E-4</v>
      </c>
      <c r="AS40">
        <f t="shared" si="36"/>
        <v>8.4334840432255406E-2</v>
      </c>
      <c r="AT40">
        <v>7.6860059999999994E-2</v>
      </c>
      <c r="AU40" s="58">
        <f t="shared" si="48"/>
        <v>-8.8632176143853186E-2</v>
      </c>
      <c r="BB40">
        <v>7.8860059999999996E-2</v>
      </c>
      <c r="BC40">
        <v>2.8994000000000242E-4</v>
      </c>
      <c r="BD40">
        <f t="shared" si="49"/>
        <v>7.9149999999999998E-2</v>
      </c>
      <c r="BE40">
        <v>7.9150000002346996E-2</v>
      </c>
      <c r="BF40" s="58">
        <f t="shared" si="50"/>
        <v>2.9652528064052725E-11</v>
      </c>
      <c r="BM40">
        <v>8.115E-2</v>
      </c>
      <c r="BN40">
        <v>-2.9999999765299712E-4</v>
      </c>
      <c r="BO40">
        <f t="shared" si="19"/>
        <v>8.0850000002347003E-2</v>
      </c>
      <c r="BP40">
        <v>7.9850000000000004E-2</v>
      </c>
      <c r="BQ40" s="58">
        <f t="shared" si="20"/>
        <v>-1.2368583825825225E-2</v>
      </c>
      <c r="BX40">
        <v>8.0850000000000005E-2</v>
      </c>
      <c r="BY40">
        <v>-1.4999999999999736E-4</v>
      </c>
      <c r="BZ40">
        <f t="shared" si="24"/>
        <v>8.0700000000000008E-2</v>
      </c>
      <c r="CA40">
        <v>8.2710419110476302E-2</v>
      </c>
      <c r="CB40" s="58">
        <f t="shared" si="51"/>
        <v>2.4912256635393978E-2</v>
      </c>
      <c r="CI40">
        <v>8.5718816000000003E-2</v>
      </c>
      <c r="CJ40">
        <v>4.0000011047630624E-4</v>
      </c>
      <c r="CK40">
        <f t="shared" si="41"/>
        <v>8.6118816110476309E-2</v>
      </c>
      <c r="CL40">
        <v>0.12680592363530699</v>
      </c>
      <c r="CM40" s="58">
        <f t="shared" si="42"/>
        <v>0.4724531683370542</v>
      </c>
    </row>
    <row r="41" spans="1:91" x14ac:dyDescent="0.25">
      <c r="A41" t="s">
        <v>388</v>
      </c>
      <c r="G41">
        <v>4.6209422E-2</v>
      </c>
      <c r="H41">
        <v>-2.4754849214649946E-3</v>
      </c>
      <c r="I41">
        <f t="shared" si="33"/>
        <v>4.3733937078535005E-2</v>
      </c>
      <c r="K41">
        <v>4</v>
      </c>
      <c r="L41">
        <v>2.4395586577529701E-2</v>
      </c>
      <c r="M41">
        <f t="shared" si="43"/>
        <v>3.0824712078535002E-2</v>
      </c>
      <c r="N41">
        <v>3.0824712000000001E-2</v>
      </c>
      <c r="O41">
        <f t="shared" si="44"/>
        <v>1.0000000025477935</v>
      </c>
      <c r="W41">
        <v>7.9501751999999995E-2</v>
      </c>
      <c r="X41">
        <v>0</v>
      </c>
      <c r="Y41">
        <f t="shared" si="45"/>
        <v>7.9501751999999995E-2</v>
      </c>
      <c r="AF41">
        <v>0.106067315</v>
      </c>
      <c r="AG41">
        <v>0</v>
      </c>
      <c r="AH41">
        <f t="shared" si="46"/>
        <v>0.106067315</v>
      </c>
      <c r="AI41">
        <v>0.10226552670493599</v>
      </c>
      <c r="AJ41" s="58">
        <f t="shared" si="47"/>
        <v>-3.5843165211300029E-2</v>
      </c>
      <c r="AQ41">
        <v>0.12361284510993301</v>
      </c>
      <c r="AR41">
        <v>0</v>
      </c>
      <c r="AS41">
        <f t="shared" si="36"/>
        <v>0.12361284510993301</v>
      </c>
      <c r="AT41">
        <v>0.11210758218856801</v>
      </c>
      <c r="AU41" s="58">
        <f t="shared" si="48"/>
        <v>-9.30749786653077E-2</v>
      </c>
      <c r="BB41">
        <v>0.121847199</v>
      </c>
      <c r="BC41">
        <v>0</v>
      </c>
      <c r="BD41">
        <f t="shared" si="49"/>
        <v>0.121847199</v>
      </c>
      <c r="BE41">
        <v>0.122622524708317</v>
      </c>
      <c r="BF41" s="58">
        <f t="shared" si="50"/>
        <v>6.3630983287272418E-3</v>
      </c>
      <c r="BM41">
        <v>0.13307729200000001</v>
      </c>
      <c r="BN41">
        <v>0</v>
      </c>
      <c r="BO41">
        <f t="shared" si="19"/>
        <v>0.13307729200000001</v>
      </c>
      <c r="BP41">
        <v>0.13014580896828301</v>
      </c>
      <c r="BQ41" s="58">
        <f t="shared" si="20"/>
        <v>-2.2028424141039799E-2</v>
      </c>
      <c r="BX41">
        <v>0.137628838</v>
      </c>
      <c r="BY41">
        <v>0</v>
      </c>
      <c r="BZ41">
        <f t="shared" si="24"/>
        <v>0.137628838</v>
      </c>
      <c r="CA41">
        <v>0.13214580900036499</v>
      </c>
      <c r="CB41" s="58">
        <f t="shared" si="51"/>
        <v>-3.9839245025341377E-2</v>
      </c>
      <c r="CI41">
        <v>0.134145809</v>
      </c>
      <c r="CJ41">
        <v>0</v>
      </c>
      <c r="CK41">
        <f t="shared" si="41"/>
        <v>0.134145809</v>
      </c>
      <c r="CL41">
        <v>0.134145809</v>
      </c>
      <c r="CM41" s="58">
        <f t="shared" si="42"/>
        <v>0</v>
      </c>
    </row>
    <row r="42" spans="1:91" x14ac:dyDescent="0.25">
      <c r="A42" t="s">
        <v>46</v>
      </c>
      <c r="G42">
        <v>4.5678839999999998E-2</v>
      </c>
      <c r="H42">
        <v>-7.9935107322019992E-3</v>
      </c>
      <c r="I42">
        <f t="shared" si="33"/>
        <v>3.7685329267797996E-2</v>
      </c>
      <c r="K42">
        <v>4</v>
      </c>
      <c r="L42">
        <v>3.7572622913954898E-2</v>
      </c>
      <c r="M42">
        <f t="shared" si="43"/>
        <v>2.1996829267798002E-2</v>
      </c>
      <c r="N42">
        <v>2.1996828999999999E-2</v>
      </c>
      <c r="O42">
        <f t="shared" si="44"/>
        <v>1.0000000121743913</v>
      </c>
      <c r="W42">
        <v>9.6941835000000004E-2</v>
      </c>
      <c r="X42">
        <v>0</v>
      </c>
      <c r="Y42">
        <f t="shared" si="45"/>
        <v>9.6941835000000004E-2</v>
      </c>
      <c r="AF42">
        <v>0.131403258</v>
      </c>
      <c r="AG42">
        <v>0</v>
      </c>
      <c r="AH42">
        <f t="shared" si="46"/>
        <v>0.131403258</v>
      </c>
      <c r="AI42">
        <v>0.123917230985264</v>
      </c>
      <c r="AJ42" s="58">
        <f t="shared" si="47"/>
        <v>-5.6969873720604379E-2</v>
      </c>
      <c r="AQ42">
        <v>0.15202546025858399</v>
      </c>
      <c r="AR42">
        <v>0</v>
      </c>
      <c r="AS42">
        <f t="shared" si="36"/>
        <v>0.15202546025858399</v>
      </c>
      <c r="AT42">
        <v>0.136526808687709</v>
      </c>
      <c r="AU42" s="58">
        <f t="shared" si="48"/>
        <v>-0.10194773654697664</v>
      </c>
      <c r="BB42">
        <v>0.149047981</v>
      </c>
      <c r="BC42">
        <v>0</v>
      </c>
      <c r="BD42">
        <f t="shared" si="49"/>
        <v>0.149047981</v>
      </c>
      <c r="BE42">
        <v>0.13852680901009801</v>
      </c>
      <c r="BF42" s="58">
        <f t="shared" si="50"/>
        <v>-7.0589161418442764E-2</v>
      </c>
      <c r="BM42">
        <v>0.140526809</v>
      </c>
      <c r="BN42">
        <v>0</v>
      </c>
      <c r="BO42">
        <f t="shared" si="19"/>
        <v>0.140526809</v>
      </c>
      <c r="BP42">
        <v>0.13952680900021</v>
      </c>
      <c r="BQ42" s="58">
        <f t="shared" si="20"/>
        <v>-7.11607989184471E-3</v>
      </c>
      <c r="BX42">
        <v>0.140526809</v>
      </c>
      <c r="BY42">
        <v>0</v>
      </c>
      <c r="BZ42">
        <f t="shared" si="24"/>
        <v>0.140526809</v>
      </c>
      <c r="CA42">
        <v>0.141526809</v>
      </c>
      <c r="CB42" s="58">
        <f t="shared" si="51"/>
        <v>7.1160798933390772E-3</v>
      </c>
      <c r="CI42">
        <v>0.14352680900000001</v>
      </c>
      <c r="CJ42">
        <v>0</v>
      </c>
      <c r="CK42">
        <f t="shared" si="41"/>
        <v>0.14352680900000001</v>
      </c>
      <c r="CL42">
        <v>0.14352680900000001</v>
      </c>
      <c r="CM42" s="58">
        <f t="shared" si="42"/>
        <v>0</v>
      </c>
    </row>
    <row r="43" spans="1:91" x14ac:dyDescent="0.25">
      <c r="A43" t="s">
        <v>49</v>
      </c>
      <c r="G43">
        <v>4.4334994000000003E-2</v>
      </c>
      <c r="H43">
        <v>1.6875739881495877E-5</v>
      </c>
      <c r="I43">
        <f t="shared" si="33"/>
        <v>4.4351869739881498E-2</v>
      </c>
      <c r="K43">
        <v>4</v>
      </c>
      <c r="L43">
        <v>1.9029253258577201E-2</v>
      </c>
      <c r="M43">
        <f t="shared" si="43"/>
        <v>3.2363178739881496E-2</v>
      </c>
      <c r="N43">
        <v>3.2363178999999999E-2</v>
      </c>
      <c r="O43">
        <f t="shared" si="44"/>
        <v>0.99999999196251699</v>
      </c>
      <c r="W43">
        <v>7.0354885000000006E-2</v>
      </c>
      <c r="X43">
        <v>1.3682125857719662E-4</v>
      </c>
      <c r="Y43">
        <f t="shared" si="45"/>
        <v>7.0491706258577203E-2</v>
      </c>
      <c r="AF43">
        <v>8.7190256999999993E-2</v>
      </c>
      <c r="AG43">
        <v>1.2207471100096068E-3</v>
      </c>
      <c r="AH43">
        <f t="shared" si="46"/>
        <v>8.84110041100096E-2</v>
      </c>
      <c r="AI43">
        <v>8.4215630589503293E-2</v>
      </c>
      <c r="AJ43" s="58">
        <f t="shared" si="47"/>
        <v>-4.7453069476351764E-2</v>
      </c>
      <c r="AQ43">
        <v>9.7755421924056604E-2</v>
      </c>
      <c r="AR43">
        <v>7.7937599999999829E-4</v>
      </c>
      <c r="AS43">
        <f t="shared" si="36"/>
        <v>9.8534797924056602E-2</v>
      </c>
      <c r="AT43">
        <v>8.6995007662705001E-2</v>
      </c>
      <c r="AU43" s="58">
        <f t="shared" si="48"/>
        <v>-0.11711385728162375</v>
      </c>
      <c r="BB43">
        <v>8.8995008E-2</v>
      </c>
      <c r="BC43">
        <v>4.049926627049949E-4</v>
      </c>
      <c r="BD43">
        <f t="shared" si="49"/>
        <v>8.9400000662704995E-2</v>
      </c>
      <c r="BE43">
        <v>8.9400001000000007E-2</v>
      </c>
      <c r="BF43" s="58">
        <f t="shared" si="50"/>
        <v>3.77287481952223E-9</v>
      </c>
      <c r="BM43">
        <v>9.1400000999999995E-2</v>
      </c>
      <c r="BN43">
        <v>-2.500009999999997E-4</v>
      </c>
      <c r="BO43">
        <f t="shared" si="19"/>
        <v>9.1149999999999995E-2</v>
      </c>
      <c r="BP43">
        <v>9.0150000000791305E-2</v>
      </c>
      <c r="BQ43" s="58">
        <f t="shared" si="20"/>
        <v>-1.0970927034653752E-2</v>
      </c>
      <c r="BX43">
        <v>9.1149999999999995E-2</v>
      </c>
      <c r="BY43">
        <v>-1.499999992086859E-4</v>
      </c>
      <c r="BZ43">
        <f t="shared" si="24"/>
        <v>9.1000000000791309E-2</v>
      </c>
      <c r="CA43">
        <v>9.1999999999999998E-2</v>
      </c>
      <c r="CB43" s="58">
        <f t="shared" si="51"/>
        <v>1.0989010980219711E-2</v>
      </c>
      <c r="CI43">
        <v>9.4E-2</v>
      </c>
      <c r="CJ43">
        <v>2.0000000000000573E-4</v>
      </c>
      <c r="CK43">
        <f t="shared" si="41"/>
        <v>9.4200000000000006E-2</v>
      </c>
      <c r="CL43">
        <v>0.127326468381456</v>
      </c>
      <c r="CM43" s="58">
        <f t="shared" si="42"/>
        <v>0.35166102315770698</v>
      </c>
    </row>
    <row r="44" spans="1:91" x14ac:dyDescent="0.25">
      <c r="A44" t="s">
        <v>46</v>
      </c>
      <c r="G44">
        <v>4.6261972999999998E-2</v>
      </c>
      <c r="H44">
        <v>-4.6576908168487023E-3</v>
      </c>
      <c r="I44">
        <f t="shared" si="33"/>
        <v>4.1604282183151292E-2</v>
      </c>
      <c r="K44">
        <v>4</v>
      </c>
      <c r="L44">
        <v>3.6787348990887397E-2</v>
      </c>
      <c r="M44">
        <f t="shared" si="43"/>
        <v>2.5204195183151298E-2</v>
      </c>
      <c r="N44">
        <v>2.5204194999999999E-2</v>
      </c>
      <c r="O44">
        <f t="shared" si="44"/>
        <v>1.000000007266699</v>
      </c>
      <c r="W44">
        <v>9.8546525999999995E-2</v>
      </c>
      <c r="X44">
        <v>0</v>
      </c>
      <c r="Y44">
        <f t="shared" si="45"/>
        <v>9.8546525999999995E-2</v>
      </c>
      <c r="AF44">
        <v>0.13333495300000001</v>
      </c>
      <c r="AG44">
        <v>0</v>
      </c>
      <c r="AH44">
        <f t="shared" si="46"/>
        <v>0.13333495300000001</v>
      </c>
      <c r="AI44">
        <v>0.12960279333035499</v>
      </c>
      <c r="AJ44" s="58">
        <f t="shared" si="47"/>
        <v>-2.7990857503396117E-2</v>
      </c>
      <c r="AQ44">
        <v>0.16126802131621701</v>
      </c>
      <c r="AR44">
        <v>0</v>
      </c>
      <c r="AS44">
        <f t="shared" si="36"/>
        <v>0.16126802131621701</v>
      </c>
      <c r="AT44">
        <v>0.136933663616503</v>
      </c>
      <c r="AU44" s="58">
        <f t="shared" si="48"/>
        <v>-0.15089388150921004</v>
      </c>
      <c r="BB44">
        <v>0.14422512000000001</v>
      </c>
      <c r="BC44">
        <v>0</v>
      </c>
      <c r="BD44">
        <f t="shared" si="49"/>
        <v>0.14422512000000001</v>
      </c>
      <c r="BE44">
        <v>0.13893366400919899</v>
      </c>
      <c r="BF44" s="58">
        <f t="shared" si="50"/>
        <v>-3.6688865232360528E-2</v>
      </c>
      <c r="BM44">
        <v>0.14093366399999999</v>
      </c>
      <c r="BN44">
        <v>0</v>
      </c>
      <c r="BO44">
        <f t="shared" si="19"/>
        <v>0.14093366399999999</v>
      </c>
      <c r="BP44">
        <v>0.139933664004248</v>
      </c>
      <c r="BQ44" s="58">
        <f t="shared" si="20"/>
        <v>-7.0955367750318507E-3</v>
      </c>
      <c r="BX44">
        <v>0.14093366399999999</v>
      </c>
      <c r="BY44">
        <v>0</v>
      </c>
      <c r="BZ44">
        <f t="shared" si="24"/>
        <v>0.14093366399999999</v>
      </c>
      <c r="CA44">
        <v>0.14193366399999999</v>
      </c>
      <c r="CB44" s="58">
        <f t="shared" si="51"/>
        <v>7.095536805173823E-3</v>
      </c>
      <c r="CI44">
        <v>0.14393366399999999</v>
      </c>
      <c r="CJ44">
        <v>0</v>
      </c>
      <c r="CK44">
        <f t="shared" si="41"/>
        <v>0.14393366399999999</v>
      </c>
      <c r="CL44">
        <v>0.14393366399999999</v>
      </c>
      <c r="CM44" s="58">
        <f t="shared" si="42"/>
        <v>0</v>
      </c>
    </row>
    <row r="45" spans="1:91" x14ac:dyDescent="0.25">
      <c r="A45" t="s">
        <v>49</v>
      </c>
      <c r="G45">
        <v>4.6773385000000001E-2</v>
      </c>
      <c r="H45">
        <v>9.0577486759613191E-7</v>
      </c>
      <c r="I45">
        <f t="shared" si="33"/>
        <v>4.6774290774867597E-2</v>
      </c>
      <c r="K45">
        <v>4</v>
      </c>
      <c r="L45">
        <v>2.19681622578447E-2</v>
      </c>
      <c r="M45">
        <f t="shared" si="43"/>
        <v>3.3251750774867597E-2</v>
      </c>
      <c r="N45">
        <v>3.3251751000000003E-2</v>
      </c>
      <c r="O45">
        <f t="shared" si="44"/>
        <v>0.9999999932294571</v>
      </c>
      <c r="W45">
        <v>7.7096223000000005E-2</v>
      </c>
      <c r="X45">
        <v>-1.7507421552973024E-6</v>
      </c>
      <c r="Y45">
        <f t="shared" si="45"/>
        <v>7.7094472257844715E-2</v>
      </c>
      <c r="AF45">
        <v>9.8205715999999998E-2</v>
      </c>
      <c r="AG45">
        <v>1.4318376785599912E-3</v>
      </c>
      <c r="AH45">
        <f t="shared" si="46"/>
        <v>9.963755367855999E-2</v>
      </c>
      <c r="AI45">
        <v>9.2281553438644096E-2</v>
      </c>
      <c r="AJ45" s="58">
        <f t="shared" si="47"/>
        <v>-7.382758777525826E-2</v>
      </c>
      <c r="AQ45">
        <v>0.10622581996467501</v>
      </c>
      <c r="AR45">
        <v>7.7179500000000567E-4</v>
      </c>
      <c r="AS45">
        <f t="shared" si="36"/>
        <v>0.10699761496467501</v>
      </c>
      <c r="AT45">
        <v>9.8881692113383601E-2</v>
      </c>
      <c r="AU45" s="58">
        <f t="shared" si="48"/>
        <v>-7.5851437006057204E-2</v>
      </c>
      <c r="BB45">
        <v>0.104693965</v>
      </c>
      <c r="BC45">
        <v>6.9665211338360011E-4</v>
      </c>
      <c r="BD45">
        <f t="shared" si="49"/>
        <v>0.1053906171133836</v>
      </c>
      <c r="BE45">
        <v>0.101578344</v>
      </c>
      <c r="BF45" s="58">
        <f t="shared" si="50"/>
        <v>-3.6172794294222585E-2</v>
      </c>
      <c r="BM45">
        <v>0.103578344</v>
      </c>
      <c r="BN45">
        <v>-1.1783439999999978E-3</v>
      </c>
      <c r="BO45">
        <f t="shared" si="19"/>
        <v>0.1024</v>
      </c>
      <c r="BP45">
        <v>0.101400000000295</v>
      </c>
      <c r="BQ45" s="58">
        <f t="shared" si="20"/>
        <v>-9.7656249971191482E-3</v>
      </c>
      <c r="BX45">
        <v>0.1024</v>
      </c>
      <c r="BY45">
        <v>-9.9999999704905584E-5</v>
      </c>
      <c r="BZ45">
        <f t="shared" si="24"/>
        <v>0.1023000000002951</v>
      </c>
      <c r="CA45">
        <v>0.10437778563860201</v>
      </c>
      <c r="CB45" s="58">
        <f t="shared" si="51"/>
        <v>2.0310710051817324E-2</v>
      </c>
      <c r="CI45">
        <v>0.107448249</v>
      </c>
      <c r="CJ45">
        <v>2.4999963860228291E-4</v>
      </c>
      <c r="CK45">
        <f t="shared" si="41"/>
        <v>0.10769824863860228</v>
      </c>
      <c r="CL45">
        <v>0.14958941033071901</v>
      </c>
      <c r="CM45" s="58">
        <f t="shared" si="42"/>
        <v>0.38896790079371529</v>
      </c>
    </row>
    <row r="46" spans="1:91" x14ac:dyDescent="0.25">
      <c r="A46" t="s">
        <v>388</v>
      </c>
      <c r="G46">
        <v>4.8510587000000001E-2</v>
      </c>
      <c r="H46">
        <v>-3.9420285785493024E-3</v>
      </c>
      <c r="I46">
        <f t="shared" si="33"/>
        <v>4.4568558421450702E-2</v>
      </c>
      <c r="K46">
        <v>4</v>
      </c>
      <c r="L46">
        <v>2.21144562171646E-2</v>
      </c>
      <c r="M46">
        <f t="shared" si="43"/>
        <v>3.0178187421450699E-2</v>
      </c>
      <c r="N46">
        <v>3.0178186999999999E-2</v>
      </c>
      <c r="O46">
        <f t="shared" si="44"/>
        <v>1.0000000139654082</v>
      </c>
      <c r="W46">
        <v>7.4305588000000006E-2</v>
      </c>
      <c r="X46">
        <v>0</v>
      </c>
      <c r="Y46">
        <f t="shared" si="45"/>
        <v>7.4305588000000006E-2</v>
      </c>
      <c r="AF46">
        <v>0.105697235</v>
      </c>
      <c r="AG46">
        <v>0</v>
      </c>
      <c r="AH46">
        <f t="shared" si="46"/>
        <v>0.105697235</v>
      </c>
      <c r="AI46">
        <v>0.10197512766043799</v>
      </c>
      <c r="AJ46" s="58">
        <f t="shared" si="47"/>
        <v>-3.5214803297002099E-2</v>
      </c>
      <c r="AQ46">
        <v>0.12469503668838</v>
      </c>
      <c r="AR46">
        <v>0</v>
      </c>
      <c r="AS46">
        <f t="shared" si="36"/>
        <v>0.12469503668838</v>
      </c>
      <c r="AT46">
        <v>0.11228667789652499</v>
      </c>
      <c r="AU46" s="58">
        <f t="shared" si="48"/>
        <v>-9.950964466103171E-2</v>
      </c>
      <c r="BB46">
        <v>0.12251390500000001</v>
      </c>
      <c r="BC46">
        <v>0</v>
      </c>
      <c r="BD46">
        <f t="shared" si="49"/>
        <v>0.12251390500000001</v>
      </c>
      <c r="BE46">
        <v>0.114286678010734</v>
      </c>
      <c r="BF46" s="58">
        <f t="shared" si="50"/>
        <v>-6.7153414049335919E-2</v>
      </c>
      <c r="BM46">
        <v>0.116286678</v>
      </c>
      <c r="BN46">
        <v>0</v>
      </c>
      <c r="BO46">
        <f t="shared" si="19"/>
        <v>0.116286678</v>
      </c>
      <c r="BP46">
        <v>0.116262430165533</v>
      </c>
      <c r="BQ46" s="58">
        <f t="shared" si="20"/>
        <v>-2.0851773293412439E-4</v>
      </c>
      <c r="BX46">
        <v>0.11821226899999999</v>
      </c>
      <c r="BY46">
        <v>0</v>
      </c>
      <c r="BZ46">
        <f t="shared" si="24"/>
        <v>0.11821226899999999</v>
      </c>
      <c r="CA46">
        <v>0.13093047739713601</v>
      </c>
      <c r="CB46" s="58">
        <f t="shared" si="51"/>
        <v>0.1075878883361592</v>
      </c>
      <c r="CI46">
        <v>0.14557224699999999</v>
      </c>
      <c r="CJ46">
        <v>0</v>
      </c>
      <c r="CK46">
        <f t="shared" si="41"/>
        <v>0.14557224699999999</v>
      </c>
      <c r="CL46">
        <v>0.13293047699999999</v>
      </c>
      <c r="CM46" s="58">
        <f t="shared" si="42"/>
        <v>-8.6841896450221015E-2</v>
      </c>
    </row>
    <row r="47" spans="1:91" x14ac:dyDescent="0.25">
      <c r="A47" t="s">
        <v>388</v>
      </c>
      <c r="G47">
        <v>4.5277627000000001E-2</v>
      </c>
      <c r="H47">
        <v>-1.1920755866646968E-3</v>
      </c>
      <c r="I47">
        <f t="shared" si="33"/>
        <v>4.4085551413335304E-2</v>
      </c>
      <c r="K47">
        <v>4</v>
      </c>
      <c r="L47">
        <v>1.8414759162862001E-2</v>
      </c>
      <c r="M47">
        <f t="shared" si="43"/>
        <v>3.1978715413335301E-2</v>
      </c>
      <c r="N47">
        <v>3.1978714999999998E-2</v>
      </c>
      <c r="O47">
        <f t="shared" si="44"/>
        <v>1.0000000129253257</v>
      </c>
      <c r="W47">
        <v>6.8740809E-2</v>
      </c>
      <c r="X47">
        <v>0</v>
      </c>
      <c r="Y47">
        <f t="shared" si="45"/>
        <v>6.8740809E-2</v>
      </c>
      <c r="AF47">
        <v>8.1697311999999994E-2</v>
      </c>
      <c r="AG47">
        <v>0</v>
      </c>
      <c r="AH47">
        <f t="shared" si="46"/>
        <v>8.1697311999999994E-2</v>
      </c>
      <c r="AI47">
        <v>7.8134276168873903E-2</v>
      </c>
      <c r="AJ47" s="58">
        <f t="shared" si="47"/>
        <v>-4.3612644576679474E-2</v>
      </c>
      <c r="AQ47">
        <v>9.01066838032335E-2</v>
      </c>
      <c r="AR47">
        <v>0</v>
      </c>
      <c r="AS47">
        <f t="shared" si="36"/>
        <v>9.01066838032335E-2</v>
      </c>
      <c r="AT47">
        <v>8.0280041151999396E-2</v>
      </c>
      <c r="AU47" s="58">
        <f t="shared" si="48"/>
        <v>-0.10905564644563552</v>
      </c>
      <c r="BB47">
        <v>8.2443739000000002E-2</v>
      </c>
      <c r="BC47">
        <v>0</v>
      </c>
      <c r="BD47">
        <f t="shared" si="49"/>
        <v>8.2443739000000002E-2</v>
      </c>
      <c r="BE47">
        <v>8.6635798100301697E-2</v>
      </c>
      <c r="BF47" s="58">
        <f t="shared" si="50"/>
        <v>5.0847513118027016E-2</v>
      </c>
      <c r="BM47">
        <v>9.2989541999999994E-2</v>
      </c>
      <c r="BN47">
        <v>0</v>
      </c>
      <c r="BO47">
        <f t="shared" si="19"/>
        <v>9.2989541999999994E-2</v>
      </c>
      <c r="BP47">
        <v>9.0604367676230202E-2</v>
      </c>
      <c r="BQ47" s="58">
        <f t="shared" si="20"/>
        <v>-2.5649920114347833E-2</v>
      </c>
      <c r="BX47">
        <v>9.4575012999999999E-2</v>
      </c>
      <c r="BY47">
        <v>0</v>
      </c>
      <c r="BZ47">
        <f t="shared" si="24"/>
        <v>9.4575012999999999E-2</v>
      </c>
      <c r="CA47">
        <v>9.2604368000008194E-2</v>
      </c>
      <c r="CB47" s="58">
        <f t="shared" si="51"/>
        <v>-2.0836846197333381E-2</v>
      </c>
      <c r="CI47">
        <v>9.4604367999999994E-2</v>
      </c>
      <c r="CJ47">
        <v>0</v>
      </c>
      <c r="CK47">
        <f t="shared" si="41"/>
        <v>9.4604367999999994E-2</v>
      </c>
      <c r="CL47">
        <v>9.4610376999999996E-2</v>
      </c>
      <c r="CM47" s="58">
        <f t="shared" si="42"/>
        <v>6.3517151766198196E-5</v>
      </c>
    </row>
    <row r="48" spans="1:91" x14ac:dyDescent="0.25">
      <c r="A48" t="s">
        <v>388</v>
      </c>
      <c r="G48">
        <v>4.4719279000000001E-2</v>
      </c>
      <c r="H48">
        <v>-6.0503270650349994E-4</v>
      </c>
      <c r="I48">
        <f t="shared" si="33"/>
        <v>4.4114246293496501E-2</v>
      </c>
      <c r="K48">
        <v>4</v>
      </c>
      <c r="L48">
        <v>1.9381105891888899E-2</v>
      </c>
      <c r="M48">
        <f t="shared" si="43"/>
        <v>3.2314902293496497E-2</v>
      </c>
      <c r="N48">
        <v>3.2314902E-2</v>
      </c>
      <c r="O48">
        <f t="shared" si="44"/>
        <v>1.0000000090823886</v>
      </c>
      <c r="W48">
        <v>7.1002996999999998E-2</v>
      </c>
      <c r="X48">
        <v>0</v>
      </c>
      <c r="Y48">
        <f t="shared" si="45"/>
        <v>7.1002996999999998E-2</v>
      </c>
      <c r="AF48">
        <v>8.5466054E-2</v>
      </c>
      <c r="AG48">
        <v>0</v>
      </c>
      <c r="AH48">
        <f t="shared" si="46"/>
        <v>8.5466054E-2</v>
      </c>
      <c r="AI48">
        <v>8.1848925617278107E-2</v>
      </c>
      <c r="AJ48" s="58">
        <f t="shared" si="47"/>
        <v>-4.2322398349195961E-2</v>
      </c>
      <c r="AQ48">
        <v>9.4996582817953798E-2</v>
      </c>
      <c r="AR48">
        <v>0</v>
      </c>
      <c r="AS48">
        <f t="shared" si="36"/>
        <v>9.4996582817953798E-2</v>
      </c>
      <c r="AT48">
        <v>8.4365061927645493E-2</v>
      </c>
      <c r="AU48" s="58">
        <f t="shared" si="48"/>
        <v>-0.11191477182586625</v>
      </c>
      <c r="BB48">
        <v>8.6902230999999996E-2</v>
      </c>
      <c r="BC48">
        <v>0</v>
      </c>
      <c r="BD48">
        <f t="shared" si="49"/>
        <v>8.6902230999999996E-2</v>
      </c>
      <c r="BE48">
        <v>8.7995061204005201E-2</v>
      </c>
      <c r="BF48" s="58">
        <f t="shared" si="50"/>
        <v>1.2575398714507165E-2</v>
      </c>
      <c r="BM48">
        <v>9.1650818999999994E-2</v>
      </c>
      <c r="BN48">
        <v>0</v>
      </c>
      <c r="BO48">
        <f t="shared" si="19"/>
        <v>9.1650818999999994E-2</v>
      </c>
      <c r="BP48">
        <v>9.1584519891750094E-2</v>
      </c>
      <c r="BQ48" s="58">
        <f t="shared" si="20"/>
        <v>-7.2338806104832443E-4</v>
      </c>
      <c r="BX48">
        <v>9.5181981999999998E-2</v>
      </c>
      <c r="BY48">
        <v>0</v>
      </c>
      <c r="BZ48">
        <f t="shared" si="24"/>
        <v>9.5181981999999998E-2</v>
      </c>
      <c r="CA48">
        <v>9.3584520000000004E-2</v>
      </c>
      <c r="CB48" s="58">
        <f t="shared" si="51"/>
        <v>-1.678323950009776E-2</v>
      </c>
      <c r="CI48">
        <v>9.5584520000000006E-2</v>
      </c>
      <c r="CJ48">
        <v>0</v>
      </c>
      <c r="CK48">
        <f t="shared" si="41"/>
        <v>9.5584520000000006E-2</v>
      </c>
      <c r="CL48">
        <v>9.5584520000000006E-2</v>
      </c>
      <c r="CM48" s="58">
        <f t="shared" si="42"/>
        <v>0</v>
      </c>
    </row>
    <row r="49" spans="1:91" ht="15.75" thickBot="1" x14ac:dyDescent="0.3">
      <c r="A49" s="13" t="s">
        <v>388</v>
      </c>
      <c r="G49">
        <v>4.6201241999999997E-2</v>
      </c>
      <c r="H49">
        <v>-2.1658145890988967E-3</v>
      </c>
      <c r="I49">
        <f t="shared" si="33"/>
        <v>4.40354274109011E-2</v>
      </c>
      <c r="K49" s="13">
        <v>4</v>
      </c>
      <c r="L49">
        <v>1.9443067374959499E-2</v>
      </c>
      <c r="M49">
        <f t="shared" si="43"/>
        <v>3.14897134109011E-2</v>
      </c>
      <c r="N49">
        <v>3.1489713000000003E-2</v>
      </c>
      <c r="O49">
        <f t="shared" si="44"/>
        <v>1.0000000130487405</v>
      </c>
      <c r="W49">
        <v>7.0267158999999996E-2</v>
      </c>
      <c r="X49">
        <v>0</v>
      </c>
      <c r="Y49">
        <f t="shared" si="45"/>
        <v>7.0267158999999996E-2</v>
      </c>
      <c r="AF49">
        <v>8.9559923E-2</v>
      </c>
      <c r="AG49">
        <v>0</v>
      </c>
      <c r="AH49">
        <f t="shared" si="46"/>
        <v>8.9559923E-2</v>
      </c>
      <c r="AI49">
        <v>8.5569394264590398E-2</v>
      </c>
      <c r="AJ49" s="58">
        <f t="shared" si="47"/>
        <v>-4.4557080910058416E-2</v>
      </c>
      <c r="AQ49">
        <v>0.100701886539666</v>
      </c>
      <c r="AR49">
        <v>0</v>
      </c>
      <c r="AS49">
        <f t="shared" si="36"/>
        <v>0.100701886539666</v>
      </c>
      <c r="AT49">
        <v>9.3446166868403097E-2</v>
      </c>
      <c r="AU49" s="58">
        <f t="shared" si="48"/>
        <v>-7.2051477093280733E-2</v>
      </c>
      <c r="BB49">
        <v>0.10127789399999999</v>
      </c>
      <c r="BC49">
        <v>0</v>
      </c>
      <c r="BD49">
        <f t="shared" si="49"/>
        <v>0.10127789399999999</v>
      </c>
      <c r="BE49">
        <v>0.10574442839514001</v>
      </c>
      <c r="BF49" s="58">
        <f t="shared" si="50"/>
        <v>4.4101770077683608E-2</v>
      </c>
      <c r="BM49">
        <v>0.11799317400000001</v>
      </c>
      <c r="BN49">
        <v>0</v>
      </c>
      <c r="BO49">
        <f t="shared" si="19"/>
        <v>0.11799317400000001</v>
      </c>
      <c r="BP49">
        <v>0.11691731208081201</v>
      </c>
      <c r="BQ49" s="58">
        <f t="shared" si="20"/>
        <v>-9.1180013446201628E-3</v>
      </c>
      <c r="BX49">
        <v>0.128052947</v>
      </c>
      <c r="BY49">
        <v>0</v>
      </c>
      <c r="BZ49">
        <f t="shared" si="24"/>
        <v>0.128052947</v>
      </c>
      <c r="CA49">
        <v>0.123823916654716</v>
      </c>
      <c r="CB49" s="58">
        <f t="shared" si="51"/>
        <v>-3.3025638568739885E-2</v>
      </c>
      <c r="CI49">
        <v>0.13071715</v>
      </c>
      <c r="CJ49">
        <v>0</v>
      </c>
      <c r="CK49">
        <f t="shared" si="41"/>
        <v>0.13071715</v>
      </c>
      <c r="CL49">
        <v>0.12582391700000001</v>
      </c>
      <c r="CM49" s="58">
        <f t="shared" si="42"/>
        <v>-3.7433749129322333E-2</v>
      </c>
    </row>
    <row r="50" spans="1:91" x14ac:dyDescent="0.25">
      <c r="G50">
        <v>5.4044126999999997E-2</v>
      </c>
      <c r="H50">
        <v>-6.3749351291188978E-3</v>
      </c>
      <c r="I50">
        <f t="shared" si="33"/>
        <v>4.7669191870881103E-2</v>
      </c>
      <c r="W50">
        <v>9.4973923000000002E-2</v>
      </c>
      <c r="X50">
        <v>0</v>
      </c>
      <c r="Y50">
        <f t="shared" si="45"/>
        <v>9.4973923000000002E-2</v>
      </c>
      <c r="AF50">
        <v>0.105537853</v>
      </c>
      <c r="AG50">
        <v>0</v>
      </c>
      <c r="AH50">
        <f t="shared" si="46"/>
        <v>0.105537853</v>
      </c>
      <c r="AI50">
        <v>9.8408276580437104E-2</v>
      </c>
      <c r="AJ50" s="58">
        <f t="shared" si="47"/>
        <v>-6.7554685043317075E-2</v>
      </c>
      <c r="AQ50">
        <v>0.114342516449544</v>
      </c>
      <c r="AR50">
        <v>0</v>
      </c>
      <c r="AS50">
        <f t="shared" si="36"/>
        <v>0.114342516449544</v>
      </c>
      <c r="AT50">
        <v>9.4080749762160298E-2</v>
      </c>
      <c r="AU50" s="58">
        <f t="shared" si="48"/>
        <v>-0.17720238557391405</v>
      </c>
      <c r="BB50">
        <v>9.9920526999999995E-2</v>
      </c>
      <c r="BC50">
        <v>0</v>
      </c>
      <c r="BD50">
        <f t="shared" si="49"/>
        <v>9.9920526999999995E-2</v>
      </c>
      <c r="BE50">
        <v>9.22096160062017E-2</v>
      </c>
      <c r="BF50" s="58">
        <f t="shared" si="50"/>
        <v>-7.7170439601447413E-2</v>
      </c>
      <c r="BM50">
        <v>9.4209615999999996E-2</v>
      </c>
      <c r="BN50">
        <v>0</v>
      </c>
      <c r="BO50">
        <f t="shared" si="19"/>
        <v>9.4209615999999996E-2</v>
      </c>
      <c r="BP50">
        <v>9.22096160015098E-2</v>
      </c>
      <c r="BQ50" s="58">
        <f t="shared" si="20"/>
        <v>-2.1229255392466471E-2</v>
      </c>
      <c r="BX50">
        <v>9.3209615999999995E-2</v>
      </c>
      <c r="BY50">
        <v>0</v>
      </c>
      <c r="BZ50">
        <f t="shared" si="24"/>
        <v>9.3209615999999995E-2</v>
      </c>
      <c r="CA50">
        <v>9.5209615999999997E-2</v>
      </c>
      <c r="CB50" s="58">
        <f t="shared" si="51"/>
        <v>2.1457013619710672E-2</v>
      </c>
    </row>
    <row r="51" spans="1:91" x14ac:dyDescent="0.25">
      <c r="G51">
        <v>5.9427911999999999E-2</v>
      </c>
      <c r="H51">
        <v>-8.4097121690800969E-3</v>
      </c>
      <c r="I51">
        <f t="shared" si="33"/>
        <v>5.1018199830919903E-2</v>
      </c>
      <c r="W51">
        <v>0.103104166</v>
      </c>
      <c r="X51">
        <v>0</v>
      </c>
      <c r="Y51">
        <f t="shared" si="45"/>
        <v>0.103104166</v>
      </c>
      <c r="AF51">
        <v>0.17789503300000001</v>
      </c>
      <c r="AG51">
        <v>0</v>
      </c>
      <c r="AH51">
        <f t="shared" si="46"/>
        <v>0.17789503300000001</v>
      </c>
      <c r="AI51">
        <v>0.13301265339891799</v>
      </c>
      <c r="AJ51" s="58">
        <f t="shared" si="47"/>
        <v>-0.25229698010220453</v>
      </c>
      <c r="AQ51">
        <v>0.150315013578213</v>
      </c>
      <c r="AR51">
        <v>0</v>
      </c>
      <c r="AS51">
        <f t="shared" si="36"/>
        <v>0.150315013578213</v>
      </c>
      <c r="AT51">
        <v>0.13266787928822099</v>
      </c>
      <c r="AU51" s="58">
        <f t="shared" si="48"/>
        <v>-0.11740100918668198</v>
      </c>
      <c r="BB51">
        <v>0.14115855999999999</v>
      </c>
      <c r="BC51">
        <v>0</v>
      </c>
      <c r="BD51">
        <f t="shared" si="49"/>
        <v>0.14115855999999999</v>
      </c>
      <c r="BE51">
        <v>0.13396956270222701</v>
      </c>
      <c r="BF51" s="58">
        <f t="shared" si="50"/>
        <v>-5.0928525324804789E-2</v>
      </c>
      <c r="BM51">
        <v>0.13885616000000001</v>
      </c>
      <c r="BN51">
        <v>0</v>
      </c>
      <c r="BO51">
        <f t="shared" si="19"/>
        <v>0.13885616000000001</v>
      </c>
      <c r="BP51">
        <v>0.131065219009071</v>
      </c>
      <c r="BQ51" s="58">
        <f t="shared" si="20"/>
        <v>-5.6107996871935691E-2</v>
      </c>
      <c r="BX51">
        <v>0.13206521900000001</v>
      </c>
      <c r="BY51">
        <v>0</v>
      </c>
      <c r="BZ51">
        <f t="shared" si="24"/>
        <v>0.13206521900000001</v>
      </c>
      <c r="CA51">
        <v>0.13406521900000001</v>
      </c>
      <c r="CB51" s="58">
        <f t="shared" si="51"/>
        <v>1.5144032737340189E-2</v>
      </c>
    </row>
    <row r="52" spans="1:91" x14ac:dyDescent="0.25">
      <c r="G52">
        <v>6.3102701999999997E-2</v>
      </c>
      <c r="H52">
        <v>3.4330022935269433E-4</v>
      </c>
      <c r="I52">
        <f t="shared" si="33"/>
        <v>6.3446002229352691E-2</v>
      </c>
      <c r="W52">
        <v>0.105573031</v>
      </c>
      <c r="X52">
        <v>8.3054312697419114E-4</v>
      </c>
      <c r="Y52">
        <f t="shared" si="45"/>
        <v>0.10640357412697418</v>
      </c>
      <c r="AF52">
        <v>0.13120369300000001</v>
      </c>
      <c r="AG52">
        <v>1.7091076305970065E-3</v>
      </c>
      <c r="AH52">
        <f t="shared" si="46"/>
        <v>0.13291280063059702</v>
      </c>
      <c r="AI52">
        <v>0.119372784948811</v>
      </c>
      <c r="AJ52" s="58">
        <f t="shared" si="47"/>
        <v>-0.10187141958898019</v>
      </c>
      <c r="AQ52">
        <v>0.13665545211646599</v>
      </c>
      <c r="AR52">
        <v>-7.0856999999799331E-5</v>
      </c>
      <c r="AS52">
        <f t="shared" si="36"/>
        <v>0.1365845951164662</v>
      </c>
      <c r="AT52">
        <v>0.105903539</v>
      </c>
      <c r="AU52" s="58">
        <f t="shared" si="48"/>
        <v>-0.22463042841913719</v>
      </c>
      <c r="BB52">
        <v>0.10790353900000001</v>
      </c>
      <c r="BC52">
        <v>-6.5353899999999465E-4</v>
      </c>
      <c r="BD52">
        <f t="shared" si="49"/>
        <v>0.10725000000000001</v>
      </c>
      <c r="BE52">
        <v>0.10725</v>
      </c>
      <c r="BF52" s="58">
        <f t="shared" si="50"/>
        <v>-1.2939662291668489E-16</v>
      </c>
      <c r="BM52">
        <v>0.10925</v>
      </c>
      <c r="BN52">
        <v>-2.4999999999998634E-4</v>
      </c>
      <c r="BO52">
        <f t="shared" si="19"/>
        <v>0.10900000000000001</v>
      </c>
      <c r="BP52">
        <v>0.107</v>
      </c>
      <c r="BQ52" s="58">
        <f t="shared" si="20"/>
        <v>-1.8348623853211149E-2</v>
      </c>
      <c r="BX52">
        <v>0.108</v>
      </c>
      <c r="BY52">
        <v>-1.9999999999999185E-4</v>
      </c>
      <c r="BZ52">
        <f t="shared" si="24"/>
        <v>0.10780000000000001</v>
      </c>
      <c r="CA52">
        <v>0.10979999999999999</v>
      </c>
      <c r="CB52" s="58">
        <f t="shared" si="51"/>
        <v>1.8552875695732725E-2</v>
      </c>
    </row>
    <row r="53" spans="1:91" x14ac:dyDescent="0.25">
      <c r="G53">
        <v>5.3278245000000002E-2</v>
      </c>
      <c r="H53">
        <v>-2.9401066798204201E-5</v>
      </c>
      <c r="I53">
        <f t="shared" si="33"/>
        <v>5.3248843933201798E-2</v>
      </c>
      <c r="W53">
        <v>6.1513238999999997E-2</v>
      </c>
      <c r="X53">
        <v>0</v>
      </c>
      <c r="Y53">
        <f t="shared" si="45"/>
        <v>6.1513238999999997E-2</v>
      </c>
      <c r="AF53">
        <v>7.3025346000000005E-2</v>
      </c>
      <c r="AG53">
        <v>0</v>
      </c>
      <c r="AH53">
        <f t="shared" si="46"/>
        <v>7.3025346000000005E-2</v>
      </c>
      <c r="AI53">
        <v>6.9856711124948304E-2</v>
      </c>
      <c r="AJ53" s="58">
        <f t="shared" si="47"/>
        <v>-4.3390891637154323E-2</v>
      </c>
      <c r="AQ53">
        <v>7.8538500260996999E-2</v>
      </c>
      <c r="AR53">
        <v>0</v>
      </c>
      <c r="AS53">
        <f t="shared" si="36"/>
        <v>7.8538500260996999E-2</v>
      </c>
      <c r="AT53">
        <v>6.5208142061286806E-2</v>
      </c>
      <c r="AU53" s="58">
        <f t="shared" si="48"/>
        <v>-0.16973023619512864</v>
      </c>
      <c r="BB53">
        <v>6.7208141999999998E-2</v>
      </c>
      <c r="BC53">
        <v>0</v>
      </c>
      <c r="BD53">
        <f t="shared" si="49"/>
        <v>6.7208141999999998E-2</v>
      </c>
      <c r="BE53">
        <v>6.72081420361237E-2</v>
      </c>
      <c r="BF53" s="58">
        <f t="shared" si="50"/>
        <v>5.374899554952662E-10</v>
      </c>
      <c r="BM53">
        <v>6.9208142E-2</v>
      </c>
      <c r="BN53">
        <v>0</v>
      </c>
      <c r="BO53">
        <f t="shared" si="19"/>
        <v>6.9208142E-2</v>
      </c>
      <c r="BP53">
        <v>6.7208141999999998E-2</v>
      </c>
      <c r="BQ53" s="58">
        <f t="shared" si="20"/>
        <v>-2.889833395614062E-2</v>
      </c>
      <c r="BX53">
        <v>6.8208141999999999E-2</v>
      </c>
      <c r="BY53">
        <v>0</v>
      </c>
      <c r="BZ53">
        <f t="shared" si="24"/>
        <v>6.8208141999999999E-2</v>
      </c>
      <c r="CA53">
        <v>7.0208142000000001E-2</v>
      </c>
      <c r="CB53" s="58">
        <f t="shared" si="51"/>
        <v>2.9322012612511886E-2</v>
      </c>
    </row>
    <row r="54" spans="1:91" x14ac:dyDescent="0.25">
      <c r="G54">
        <v>5.3384070999999998E-2</v>
      </c>
      <c r="H54">
        <v>2.9763634334420419E-4</v>
      </c>
      <c r="I54">
        <f t="shared" si="33"/>
        <v>5.3681707343344202E-2</v>
      </c>
      <c r="W54">
        <v>5.8783165999999998E-2</v>
      </c>
      <c r="X54">
        <v>-3.1269733533020178E-4</v>
      </c>
      <c r="Y54">
        <f t="shared" si="45"/>
        <v>5.8470468664669796E-2</v>
      </c>
      <c r="AF54">
        <v>7.1773140999999999E-2</v>
      </c>
      <c r="AG54">
        <v>8.7379074452159644E-4</v>
      </c>
      <c r="AH54">
        <f t="shared" si="46"/>
        <v>7.2646931744521595E-2</v>
      </c>
      <c r="AI54">
        <v>6.9327570830362201E-2</v>
      </c>
      <c r="AJ54" s="58">
        <f t="shared" si="47"/>
        <v>-4.5691687652172755E-2</v>
      </c>
      <c r="AQ54">
        <v>7.8214815021531103E-2</v>
      </c>
      <c r="AR54">
        <v>5.914229999999937E-4</v>
      </c>
      <c r="AS54">
        <f t="shared" si="36"/>
        <v>7.8806238021531097E-2</v>
      </c>
      <c r="AT54">
        <v>8.3509293337167598E-2</v>
      </c>
      <c r="AU54" s="58">
        <f t="shared" si="48"/>
        <v>5.9678718762739981E-2</v>
      </c>
      <c r="BB54">
        <v>9.4781370000000004E-2</v>
      </c>
      <c r="BC54">
        <v>8.2799105944039719E-4</v>
      </c>
      <c r="BD54">
        <f t="shared" si="49"/>
        <v>9.5609361059440401E-2</v>
      </c>
      <c r="BE54">
        <v>9.19329056024836E-2</v>
      </c>
      <c r="BF54" s="58">
        <f t="shared" si="50"/>
        <v>-3.8452881770344081E-2</v>
      </c>
      <c r="BM54">
        <v>0.10138164500000001</v>
      </c>
      <c r="BN54">
        <v>-1.8998439987632926E-3</v>
      </c>
      <c r="BO54">
        <f t="shared" si="19"/>
        <v>9.9481801001236714E-2</v>
      </c>
      <c r="BP54">
        <v>9.1927141430275902E-2</v>
      </c>
      <c r="BQ54" s="58">
        <f t="shared" si="20"/>
        <v>-7.5940116633663429E-2</v>
      </c>
      <c r="BX54">
        <v>9.7600251999999998E-2</v>
      </c>
      <c r="BY54">
        <v>-9.8874792003919576E-4</v>
      </c>
      <c r="BZ54">
        <f t="shared" si="24"/>
        <v>9.6611504079960803E-2</v>
      </c>
      <c r="CA54">
        <v>8.9263816000011098E-2</v>
      </c>
      <c r="CB54" s="58">
        <f t="shared" si="51"/>
        <v>-7.605396634616482E-2</v>
      </c>
    </row>
    <row r="55" spans="1:91" x14ac:dyDescent="0.25">
      <c r="G55">
        <v>6.2595125000000001E-2</v>
      </c>
      <c r="H55">
        <v>3.1306913745570569E-4</v>
      </c>
      <c r="I55">
        <f t="shared" si="33"/>
        <v>6.2908194137455714E-2</v>
      </c>
      <c r="W55">
        <v>0.111978964</v>
      </c>
      <c r="X55">
        <v>9.301746106075981E-4</v>
      </c>
      <c r="Y55">
        <f t="shared" si="45"/>
        <v>0.1129091386106076</v>
      </c>
      <c r="AF55">
        <v>0.14411057999999999</v>
      </c>
      <c r="AG55">
        <v>2.0479496993218993E-3</v>
      </c>
      <c r="AH55">
        <f t="shared" si="46"/>
        <v>0.14615852969932189</v>
      </c>
      <c r="AI55">
        <v>0.13223526644393099</v>
      </c>
      <c r="AJ55" s="58">
        <f t="shared" si="47"/>
        <v>-9.5261380119476477E-2</v>
      </c>
      <c r="AQ55">
        <v>0.15294304031435699</v>
      </c>
      <c r="AR55">
        <v>7.4926600000048416E-4</v>
      </c>
      <c r="AS55">
        <f t="shared" si="36"/>
        <v>0.15369230631435749</v>
      </c>
      <c r="AT55">
        <v>0.116149959066374</v>
      </c>
      <c r="AU55" s="58">
        <f t="shared" si="48"/>
        <v>-0.24426952882856431</v>
      </c>
      <c r="BB55">
        <v>0.118149959</v>
      </c>
      <c r="BC55">
        <v>-6.9995896732130691E-4</v>
      </c>
      <c r="BD55">
        <f t="shared" si="49"/>
        <v>0.11745000003267869</v>
      </c>
      <c r="BE55">
        <v>0.11745</v>
      </c>
      <c r="BF55" s="58">
        <f t="shared" si="50"/>
        <v>-2.7823493465971154E-10</v>
      </c>
      <c r="BM55">
        <v>0.11945</v>
      </c>
      <c r="BN55">
        <v>-2.9999999999999472E-4</v>
      </c>
      <c r="BO55">
        <f t="shared" si="19"/>
        <v>0.11915000000000001</v>
      </c>
      <c r="BP55">
        <v>0.117150000043894</v>
      </c>
      <c r="BQ55" s="58">
        <f t="shared" si="20"/>
        <v>-1.6785564046210677E-2</v>
      </c>
      <c r="BX55">
        <v>0.11815000000000001</v>
      </c>
      <c r="BY55">
        <v>-1.9999997830610905E-4</v>
      </c>
      <c r="BZ55">
        <f t="shared" si="24"/>
        <v>0.1179500000216939</v>
      </c>
      <c r="CA55">
        <v>0.11995</v>
      </c>
      <c r="CB55" s="58">
        <f t="shared" si="51"/>
        <v>1.6956337244071692E-2</v>
      </c>
    </row>
    <row r="56" spans="1:91" x14ac:dyDescent="0.25">
      <c r="G56">
        <v>5.4406393999999997E-2</v>
      </c>
      <c r="H56">
        <v>-6.2011973977157998E-3</v>
      </c>
      <c r="I56">
        <f t="shared" si="33"/>
        <v>4.82051966022842E-2</v>
      </c>
      <c r="W56">
        <v>0.10856321100000001</v>
      </c>
      <c r="X56">
        <v>0</v>
      </c>
      <c r="Y56">
        <f t="shared" si="45"/>
        <v>0.10856321100000001</v>
      </c>
      <c r="AF56">
        <v>0.120639028</v>
      </c>
      <c r="AG56">
        <v>0</v>
      </c>
      <c r="AH56">
        <f t="shared" si="46"/>
        <v>0.120639028</v>
      </c>
      <c r="AI56">
        <v>0.11040080986992</v>
      </c>
      <c r="AJ56" s="58">
        <f t="shared" si="47"/>
        <v>-8.4866550235136146E-2</v>
      </c>
      <c r="AQ56">
        <v>0.12842848642423699</v>
      </c>
      <c r="AR56">
        <v>0</v>
      </c>
      <c r="AS56">
        <f t="shared" si="36"/>
        <v>0.12842848642423699</v>
      </c>
      <c r="AT56">
        <v>9.6213970999999995E-2</v>
      </c>
      <c r="AU56" s="58">
        <f t="shared" si="48"/>
        <v>-0.25083621493305613</v>
      </c>
      <c r="BB56">
        <v>9.8213970999999997E-2</v>
      </c>
      <c r="BC56">
        <v>0</v>
      </c>
      <c r="BD56">
        <f t="shared" si="49"/>
        <v>9.8213970999999997E-2</v>
      </c>
      <c r="BE56">
        <v>9.8213970999999997E-2</v>
      </c>
      <c r="BF56" s="58">
        <f t="shared" si="50"/>
        <v>0</v>
      </c>
      <c r="BM56">
        <v>0.100213971</v>
      </c>
      <c r="BN56">
        <v>0</v>
      </c>
      <c r="BO56">
        <f t="shared" si="19"/>
        <v>0.100213971</v>
      </c>
      <c r="BP56">
        <v>9.8213971008853596E-2</v>
      </c>
      <c r="BQ56" s="58">
        <f t="shared" si="20"/>
        <v>-1.9957297083321879E-2</v>
      </c>
      <c r="BX56">
        <v>9.9213970999999998E-2</v>
      </c>
      <c r="BY56">
        <v>0</v>
      </c>
      <c r="BZ56">
        <f t="shared" si="24"/>
        <v>9.9213970999999998E-2</v>
      </c>
      <c r="CA56">
        <v>0.101213971</v>
      </c>
      <c r="CB56" s="58">
        <f t="shared" si="51"/>
        <v>2.0158451272956325E-2</v>
      </c>
    </row>
    <row r="57" spans="1:91" x14ac:dyDescent="0.25">
      <c r="G57">
        <v>5.7553775000000001E-2</v>
      </c>
      <c r="H57">
        <v>-1.572238165443697E-3</v>
      </c>
      <c r="I57">
        <f t="shared" si="33"/>
        <v>5.5981536834556304E-2</v>
      </c>
      <c r="W57">
        <v>9.0577873000000003E-2</v>
      </c>
      <c r="X57">
        <v>0</v>
      </c>
      <c r="Y57">
        <f t="shared" si="45"/>
        <v>9.0577873000000003E-2</v>
      </c>
      <c r="AF57">
        <v>0.10650019500000001</v>
      </c>
      <c r="AG57">
        <v>0</v>
      </c>
      <c r="AH57">
        <f t="shared" si="46"/>
        <v>0.10650019500000001</v>
      </c>
      <c r="AI57">
        <v>9.9141308700333206E-2</v>
      </c>
      <c r="AJ57" s="58">
        <f t="shared" si="47"/>
        <v>-6.9097397424171855E-2</v>
      </c>
      <c r="AQ57">
        <v>0.113556397280177</v>
      </c>
      <c r="AR57">
        <v>0</v>
      </c>
      <c r="AS57">
        <f t="shared" si="36"/>
        <v>0.113556397280177</v>
      </c>
      <c r="AT57">
        <v>8.9237019039353702E-2</v>
      </c>
      <c r="AU57" s="58">
        <f t="shared" si="48"/>
        <v>-0.21416123462265399</v>
      </c>
      <c r="BB57">
        <v>9.1559710000000002E-2</v>
      </c>
      <c r="BC57">
        <v>0</v>
      </c>
      <c r="BD57">
        <f t="shared" si="49"/>
        <v>9.1559710000000002E-2</v>
      </c>
      <c r="BE57">
        <v>9.6971153921532799E-2</v>
      </c>
      <c r="BF57" s="58">
        <f t="shared" si="50"/>
        <v>5.9102894947273166E-2</v>
      </c>
      <c r="BM57">
        <v>0.10199765500000001</v>
      </c>
      <c r="BN57">
        <v>0</v>
      </c>
      <c r="BO57">
        <f t="shared" si="19"/>
        <v>0.10199765500000001</v>
      </c>
      <c r="BP57">
        <v>0.10933835793942499</v>
      </c>
      <c r="BQ57" s="58">
        <f t="shared" si="20"/>
        <v>7.1969330465734588E-2</v>
      </c>
      <c r="BX57">
        <v>0.11800664800000001</v>
      </c>
      <c r="BY57">
        <v>0</v>
      </c>
      <c r="BZ57">
        <f t="shared" si="24"/>
        <v>0.11800664800000001</v>
      </c>
      <c r="CA57">
        <v>0.11843138954703999</v>
      </c>
      <c r="CB57" s="58">
        <f t="shared" si="51"/>
        <v>3.5993018549259105E-3</v>
      </c>
    </row>
    <row r="58" spans="1:91" x14ac:dyDescent="0.25">
      <c r="G58">
        <v>5.2686255000000001E-2</v>
      </c>
      <c r="H58">
        <v>2.3083910746430139E-4</v>
      </c>
      <c r="I58">
        <f t="shared" si="33"/>
        <v>5.2917094107464299E-2</v>
      </c>
      <c r="W58">
        <v>9.0492322E-2</v>
      </c>
      <c r="X58">
        <v>6.3010846582290531E-4</v>
      </c>
      <c r="Y58">
        <f t="shared" si="45"/>
        <v>9.1122430465822912E-2</v>
      </c>
      <c r="AF58">
        <v>7.2818092000000001E-2</v>
      </c>
      <c r="AG58">
        <v>-9.7831607981829771E-4</v>
      </c>
      <c r="AH58">
        <f t="shared" si="46"/>
        <v>7.1839775920181703E-2</v>
      </c>
      <c r="AI58">
        <v>6.6458911261272999E-2</v>
      </c>
      <c r="AJ58" s="58">
        <f t="shared" si="47"/>
        <v>-7.4900910950601626E-2</v>
      </c>
      <c r="AQ58">
        <v>7.1083181761685696E-2</v>
      </c>
      <c r="AR58">
        <v>1.0774200000000095E-4</v>
      </c>
      <c r="AS58">
        <f t="shared" si="36"/>
        <v>7.1190923761685704E-2</v>
      </c>
      <c r="AT58">
        <v>7.5805978897636003E-2</v>
      </c>
      <c r="AU58" s="58">
        <f t="shared" si="48"/>
        <v>6.482645388054481E-2</v>
      </c>
      <c r="BB58">
        <v>8.2761400999999998E-2</v>
      </c>
      <c r="BC58">
        <v>5.4711564550230518E-4</v>
      </c>
      <c r="BD58">
        <f t="shared" si="49"/>
        <v>8.3308516645502304E-2</v>
      </c>
      <c r="BE58">
        <v>7.3399987E-2</v>
      </c>
      <c r="BF58" s="58">
        <f t="shared" si="50"/>
        <v>-0.1189377754457623</v>
      </c>
      <c r="BM58">
        <v>7.5399987000000002E-2</v>
      </c>
      <c r="BN58">
        <v>-1.699987E-3</v>
      </c>
      <c r="BO58">
        <f t="shared" si="19"/>
        <v>7.3700000000000002E-2</v>
      </c>
      <c r="BP58">
        <v>7.9187420041610904E-2</v>
      </c>
      <c r="BQ58" s="58">
        <f t="shared" si="20"/>
        <v>7.4456174241667603E-2</v>
      </c>
      <c r="BX58">
        <v>8.3926525000000002E-2</v>
      </c>
      <c r="BY58">
        <v>1.4999971461861217E-4</v>
      </c>
      <c r="BZ58">
        <f t="shared" si="24"/>
        <v>8.4076524714618614E-2</v>
      </c>
      <c r="CA58">
        <v>0.107439424129083</v>
      </c>
      <c r="CB58" s="58">
        <f t="shared" si="51"/>
        <v>0.27787660698114242</v>
      </c>
    </row>
    <row r="59" spans="1:91" x14ac:dyDescent="0.25">
      <c r="G59">
        <v>5.7087144999999999E-2</v>
      </c>
      <c r="H59">
        <v>-6.3347704824426969E-3</v>
      </c>
      <c r="I59">
        <f t="shared" si="33"/>
        <v>5.0752374517557305E-2</v>
      </c>
      <c r="W59">
        <v>0.115902915</v>
      </c>
      <c r="X59">
        <v>0</v>
      </c>
      <c r="Y59">
        <f t="shared" si="45"/>
        <v>0.115902915</v>
      </c>
      <c r="AF59">
        <v>0.134152244</v>
      </c>
      <c r="AG59">
        <v>0</v>
      </c>
      <c r="AH59">
        <f t="shared" si="46"/>
        <v>0.134152244</v>
      </c>
      <c r="AI59">
        <v>0.120382658212423</v>
      </c>
      <c r="AJ59" s="58">
        <f t="shared" si="47"/>
        <v>-0.10264148684368637</v>
      </c>
      <c r="AQ59">
        <v>0.140000262005257</v>
      </c>
      <c r="AR59">
        <v>0</v>
      </c>
      <c r="AS59">
        <f t="shared" si="36"/>
        <v>0.140000262005257</v>
      </c>
      <c r="AT59">
        <v>0.111574431163838</v>
      </c>
      <c r="AU59" s="58">
        <f t="shared" si="48"/>
        <v>-0.20304126888242263</v>
      </c>
      <c r="BB59">
        <v>0.117067086</v>
      </c>
      <c r="BC59">
        <v>0</v>
      </c>
      <c r="BD59">
        <f t="shared" si="49"/>
        <v>0.117067086</v>
      </c>
      <c r="BE59">
        <v>0.11008319699999999</v>
      </c>
      <c r="BF59" s="58">
        <f t="shared" si="50"/>
        <v>-5.9657152480928816E-2</v>
      </c>
      <c r="BM59">
        <v>0.112083197</v>
      </c>
      <c r="BN59">
        <v>0</v>
      </c>
      <c r="BO59">
        <f t="shared" si="19"/>
        <v>0.112083197</v>
      </c>
      <c r="BP59">
        <v>0.11008319699999999</v>
      </c>
      <c r="BQ59" s="58">
        <f t="shared" si="20"/>
        <v>-1.784388787553947E-2</v>
      </c>
      <c r="BX59">
        <v>0.11108319699999999</v>
      </c>
      <c r="BY59">
        <v>0</v>
      </c>
      <c r="BZ59">
        <f t="shared" si="24"/>
        <v>0.11108319699999999</v>
      </c>
      <c r="CA59">
        <v>0.113083197</v>
      </c>
      <c r="CB59" s="58">
        <f t="shared" si="51"/>
        <v>1.8004523222355601E-2</v>
      </c>
    </row>
    <row r="60" spans="1:91" x14ac:dyDescent="0.25">
      <c r="G60">
        <v>5.3270009E-2</v>
      </c>
      <c r="H60">
        <v>1.6346780113317971E-3</v>
      </c>
      <c r="I60">
        <f t="shared" si="33"/>
        <v>5.4904687011331797E-2</v>
      </c>
      <c r="W60">
        <v>8.7907722999999993E-2</v>
      </c>
      <c r="X60">
        <v>0</v>
      </c>
      <c r="Y60">
        <f t="shared" si="45"/>
        <v>8.7907722999999993E-2</v>
      </c>
      <c r="AF60">
        <v>9.3979867999999994E-2</v>
      </c>
      <c r="AG60">
        <v>0</v>
      </c>
      <c r="AH60">
        <f t="shared" si="46"/>
        <v>9.3979867999999994E-2</v>
      </c>
      <c r="AI60">
        <v>8.4568025659193996E-2</v>
      </c>
      <c r="AJ60" s="58">
        <f t="shared" si="47"/>
        <v>-0.10014743094559357</v>
      </c>
      <c r="AQ60">
        <v>9.3823231742667199E-2</v>
      </c>
      <c r="AR60">
        <v>0</v>
      </c>
      <c r="AS60">
        <f t="shared" si="36"/>
        <v>9.3823231742667199E-2</v>
      </c>
      <c r="AT60">
        <v>8.5670177691826596E-2</v>
      </c>
      <c r="AU60" s="58">
        <f t="shared" si="48"/>
        <v>-8.6898030470772061E-2</v>
      </c>
      <c r="BB60">
        <v>9.0878502999999999E-2</v>
      </c>
      <c r="BC60">
        <v>0</v>
      </c>
      <c r="BD60">
        <f t="shared" si="49"/>
        <v>9.0878502999999999E-2</v>
      </c>
      <c r="BE60">
        <v>8.4489068000000001E-2</v>
      </c>
      <c r="BF60" s="58">
        <f t="shared" si="50"/>
        <v>-7.0307441133795959E-2</v>
      </c>
      <c r="BM60">
        <v>8.6489068000000002E-2</v>
      </c>
      <c r="BN60">
        <v>0</v>
      </c>
      <c r="BO60">
        <f t="shared" si="19"/>
        <v>8.6489068000000002E-2</v>
      </c>
      <c r="BP60">
        <v>8.4489068003674297E-2</v>
      </c>
      <c r="BQ60" s="58">
        <f t="shared" si="20"/>
        <v>-2.3124309725776032E-2</v>
      </c>
      <c r="BX60">
        <v>8.5489068000000001E-2</v>
      </c>
      <c r="BY60">
        <v>0</v>
      </c>
      <c r="BZ60">
        <f t="shared" si="24"/>
        <v>8.5489068000000001E-2</v>
      </c>
      <c r="CA60">
        <v>8.7489068000000003E-2</v>
      </c>
      <c r="CB60" s="58">
        <f t="shared" si="51"/>
        <v>2.3394804116942787E-2</v>
      </c>
    </row>
    <row r="61" spans="1:91" x14ac:dyDescent="0.25">
      <c r="G61">
        <v>5.6657438999999997E-2</v>
      </c>
      <c r="H61">
        <v>-7.6253937459162015E-3</v>
      </c>
      <c r="I61">
        <f t="shared" si="33"/>
        <v>4.9032045254083792E-2</v>
      </c>
      <c r="W61">
        <v>0.118517185</v>
      </c>
      <c r="X61">
        <v>0</v>
      </c>
      <c r="Y61">
        <f t="shared" si="45"/>
        <v>0.118517185</v>
      </c>
      <c r="AF61">
        <v>0.14357212699999999</v>
      </c>
      <c r="AG61">
        <v>0</v>
      </c>
      <c r="AH61">
        <f t="shared" si="46"/>
        <v>0.14357212699999999</v>
      </c>
      <c r="AI61">
        <v>0.13105986476713799</v>
      </c>
      <c r="AJ61" s="58">
        <f t="shared" si="47"/>
        <v>-8.7149661249094706E-2</v>
      </c>
      <c r="AQ61">
        <v>0.15446838478654201</v>
      </c>
      <c r="AR61">
        <v>0</v>
      </c>
      <c r="AS61">
        <f t="shared" si="36"/>
        <v>0.15446838478654201</v>
      </c>
      <c r="AT61">
        <v>0.130344358718818</v>
      </c>
      <c r="AU61" s="58">
        <f t="shared" si="48"/>
        <v>-0.15617452141459698</v>
      </c>
      <c r="BB61">
        <v>0.141553338</v>
      </c>
      <c r="BC61">
        <v>0</v>
      </c>
      <c r="BD61">
        <f t="shared" si="49"/>
        <v>0.141553338</v>
      </c>
      <c r="BE61">
        <v>0.12292525999999999</v>
      </c>
      <c r="BF61" s="58">
        <f t="shared" si="50"/>
        <v>-0.13159758903036259</v>
      </c>
      <c r="BM61">
        <v>0.12492526</v>
      </c>
      <c r="BN61">
        <v>0</v>
      </c>
      <c r="BO61">
        <f t="shared" si="19"/>
        <v>0.12492526</v>
      </c>
      <c r="BP61">
        <v>0.12292525999999999</v>
      </c>
      <c r="BQ61" s="58">
        <f t="shared" si="20"/>
        <v>-1.6009572443555466E-2</v>
      </c>
      <c r="BX61">
        <v>0.12392526</v>
      </c>
      <c r="BY61">
        <v>0</v>
      </c>
      <c r="BZ61">
        <f t="shared" si="24"/>
        <v>0.12392526</v>
      </c>
      <c r="CA61">
        <v>0.12592525999999901</v>
      </c>
      <c r="CB61" s="58">
        <f t="shared" si="51"/>
        <v>1.6138759765353863E-2</v>
      </c>
    </row>
    <row r="62" spans="1:91" x14ac:dyDescent="0.25">
      <c r="G62">
        <v>5.8060568E-2</v>
      </c>
      <c r="H62">
        <v>1.9675779971270457E-4</v>
      </c>
      <c r="I62">
        <f t="shared" si="33"/>
        <v>5.8257325799712704E-2</v>
      </c>
      <c r="W62">
        <v>9.6564845999999996E-2</v>
      </c>
      <c r="X62">
        <v>3.5762045178370366E-4</v>
      </c>
      <c r="Y62">
        <f t="shared" si="45"/>
        <v>9.6922466451783706E-2</v>
      </c>
      <c r="AF62">
        <v>0.11241546500000001</v>
      </c>
      <c r="AG62">
        <v>1.2521790409088934E-3</v>
      </c>
      <c r="AH62">
        <f t="shared" si="46"/>
        <v>0.1136676440409089</v>
      </c>
      <c r="AI62">
        <v>0.102719645699849</v>
      </c>
      <c r="AJ62" s="58">
        <f t="shared" si="47"/>
        <v>-9.6315872766041727E-2</v>
      </c>
      <c r="AQ62">
        <v>0.11645455028014701</v>
      </c>
      <c r="AR62">
        <v>-1.1763500000010196E-4</v>
      </c>
      <c r="AS62">
        <f t="shared" si="36"/>
        <v>0.1163369152801469</v>
      </c>
      <c r="AT62">
        <v>9.2787599999999998E-2</v>
      </c>
      <c r="AU62" s="58">
        <f t="shared" si="48"/>
        <v>-0.20242341154945198</v>
      </c>
      <c r="BB62">
        <v>9.47876E-2</v>
      </c>
      <c r="BC62">
        <v>2.6239999999999597E-4</v>
      </c>
      <c r="BD62">
        <f t="shared" si="49"/>
        <v>9.5049999999999996E-2</v>
      </c>
      <c r="BE62">
        <v>9.5049999999999996E-2</v>
      </c>
      <c r="BF62" s="58">
        <f t="shared" si="50"/>
        <v>0</v>
      </c>
      <c r="BM62">
        <v>9.7049999999999997E-2</v>
      </c>
      <c r="BN62">
        <v>-2.9999999999999472E-4</v>
      </c>
      <c r="BO62">
        <f t="shared" si="19"/>
        <v>9.6750000000000003E-2</v>
      </c>
      <c r="BP62">
        <v>9.4750000000000001E-2</v>
      </c>
      <c r="BQ62" s="58">
        <f t="shared" si="20"/>
        <v>-2.0671834625323016E-2</v>
      </c>
      <c r="BX62">
        <v>9.5750000000000002E-2</v>
      </c>
      <c r="BY62">
        <v>-1.4999999999999736E-4</v>
      </c>
      <c r="BZ62">
        <f t="shared" si="24"/>
        <v>9.5600000000000004E-2</v>
      </c>
      <c r="CA62">
        <v>9.7600000000000006E-2</v>
      </c>
      <c r="CB62" s="58">
        <f t="shared" si="51"/>
        <v>2.0920502092050226E-2</v>
      </c>
    </row>
    <row r="63" spans="1:91" x14ac:dyDescent="0.25">
      <c r="G63">
        <v>6.1482973000000003E-2</v>
      </c>
      <c r="H63">
        <v>-6.8719389956589001E-3</v>
      </c>
      <c r="I63">
        <f t="shared" si="33"/>
        <v>5.46110340043411E-2</v>
      </c>
      <c r="W63">
        <v>0.13870344600000001</v>
      </c>
      <c r="X63">
        <v>0</v>
      </c>
      <c r="Y63">
        <f t="shared" si="45"/>
        <v>0.13870344600000001</v>
      </c>
      <c r="AF63">
        <v>0.175089151</v>
      </c>
      <c r="AG63">
        <v>0</v>
      </c>
      <c r="AH63">
        <f t="shared" si="46"/>
        <v>0.175089151</v>
      </c>
      <c r="AI63">
        <v>0.15982157220325899</v>
      </c>
      <c r="AJ63" s="58">
        <f t="shared" si="47"/>
        <v>-8.7198885308096621E-2</v>
      </c>
      <c r="AQ63">
        <v>0.189624274177663</v>
      </c>
      <c r="AR63">
        <v>0</v>
      </c>
      <c r="AS63">
        <f t="shared" si="36"/>
        <v>0.189624274177663</v>
      </c>
      <c r="AT63">
        <v>0.13380181828144699</v>
      </c>
      <c r="AU63" s="58">
        <f t="shared" si="48"/>
        <v>-0.29438454616793824</v>
      </c>
      <c r="BB63">
        <v>0.13580181799999999</v>
      </c>
      <c r="BC63">
        <v>0</v>
      </c>
      <c r="BD63">
        <f t="shared" si="49"/>
        <v>0.13580181799999999</v>
      </c>
      <c r="BE63">
        <v>0.13580181804958399</v>
      </c>
      <c r="BF63" s="58">
        <f t="shared" si="50"/>
        <v>3.6512032239282326E-10</v>
      </c>
      <c r="BM63">
        <v>0.13780181799999999</v>
      </c>
      <c r="BN63">
        <v>0</v>
      </c>
      <c r="BO63">
        <f t="shared" si="19"/>
        <v>0.13780181799999999</v>
      </c>
      <c r="BP63">
        <v>0.13580181883575099</v>
      </c>
      <c r="BQ63" s="58">
        <f t="shared" si="20"/>
        <v>-1.4513590555452656E-2</v>
      </c>
      <c r="BX63">
        <v>0.13680181899999999</v>
      </c>
      <c r="BY63">
        <v>0</v>
      </c>
      <c r="BZ63">
        <f t="shared" si="24"/>
        <v>0.13680181899999999</v>
      </c>
      <c r="CA63">
        <v>0.13880181799999999</v>
      </c>
      <c r="CB63" s="58">
        <f t="shared" si="51"/>
        <v>1.4619681336254764E-2</v>
      </c>
    </row>
    <row r="64" spans="1:91" x14ac:dyDescent="0.25">
      <c r="G64">
        <v>5.3571435000000001E-2</v>
      </c>
      <c r="H64">
        <v>1.3175274141610099E-4</v>
      </c>
      <c r="I64">
        <f t="shared" si="33"/>
        <v>5.3703187741416102E-2</v>
      </c>
      <c r="W64">
        <v>8.3212741000000007E-2</v>
      </c>
      <c r="X64">
        <v>1.1301554315279461E-4</v>
      </c>
      <c r="Y64">
        <f t="shared" si="45"/>
        <v>8.3325756543152801E-2</v>
      </c>
      <c r="AF64">
        <v>9.4460007999999998E-2</v>
      </c>
      <c r="AG64">
        <v>1.0069514686137926E-3</v>
      </c>
      <c r="AH64">
        <f t="shared" si="46"/>
        <v>9.5466959468613791E-2</v>
      </c>
      <c r="AI64">
        <v>8.4035711432255397E-2</v>
      </c>
      <c r="AJ64" s="58">
        <f t="shared" si="47"/>
        <v>-0.11974035938702531</v>
      </c>
      <c r="AQ64">
        <v>9.3473818460601196E-2</v>
      </c>
      <c r="AR64">
        <v>2.9912900000000908E-4</v>
      </c>
      <c r="AS64">
        <f t="shared" si="36"/>
        <v>9.3772947460601205E-2</v>
      </c>
      <c r="AT64">
        <v>7.8860059999999996E-2</v>
      </c>
      <c r="AU64" s="58">
        <f t="shared" si="48"/>
        <v>-0.15903187288494769</v>
      </c>
      <c r="BB64">
        <v>8.0860059999999997E-2</v>
      </c>
      <c r="BC64">
        <v>2.8994000000000242E-4</v>
      </c>
      <c r="BD64">
        <f t="shared" si="49"/>
        <v>8.115E-2</v>
      </c>
      <c r="BE64">
        <v>8.1150000004263007E-2</v>
      </c>
      <c r="BF64" s="58">
        <f t="shared" si="50"/>
        <v>5.2532429012693292E-11</v>
      </c>
      <c r="BM64">
        <v>8.3150000000000002E-2</v>
      </c>
      <c r="BN64">
        <v>-2.9999999765299712E-4</v>
      </c>
      <c r="BO64">
        <f t="shared" si="19"/>
        <v>8.2850000002347005E-2</v>
      </c>
      <c r="BP64">
        <v>8.0850000000000005E-2</v>
      </c>
      <c r="BQ64" s="58">
        <f t="shared" si="20"/>
        <v>-2.4140012097650484E-2</v>
      </c>
      <c r="BX64">
        <v>8.1850000000000006E-2</v>
      </c>
      <c r="BY64">
        <v>-1.4999999999999736E-4</v>
      </c>
      <c r="BZ64">
        <f t="shared" si="24"/>
        <v>8.1700000000000009E-2</v>
      </c>
      <c r="CA64">
        <v>8.5718815812746804E-2</v>
      </c>
      <c r="CB64" s="58">
        <f t="shared" si="51"/>
        <v>4.9189912028724539E-2</v>
      </c>
    </row>
    <row r="65" spans="7:80" x14ac:dyDescent="0.25">
      <c r="G65">
        <v>5.9215454000000001E-2</v>
      </c>
      <c r="H65">
        <v>-2.4754849214649946E-3</v>
      </c>
      <c r="I65">
        <f t="shared" si="33"/>
        <v>5.6739969078535006E-2</v>
      </c>
      <c r="W65">
        <v>0.103648541</v>
      </c>
      <c r="X65">
        <v>0</v>
      </c>
      <c r="Y65">
        <f t="shared" si="45"/>
        <v>0.103648541</v>
      </c>
      <c r="AF65">
        <v>0.13117337800000001</v>
      </c>
      <c r="AG65">
        <v>0</v>
      </c>
      <c r="AH65">
        <f t="shared" si="46"/>
        <v>0.13117337800000001</v>
      </c>
      <c r="AI65">
        <v>0.12361284510993301</v>
      </c>
      <c r="AJ65" s="58">
        <f t="shared" si="47"/>
        <v>-5.7637708240364141E-2</v>
      </c>
      <c r="AQ65">
        <v>0.144765973650862</v>
      </c>
      <c r="AR65">
        <v>0</v>
      </c>
      <c r="AS65">
        <f t="shared" si="36"/>
        <v>0.144765973650862</v>
      </c>
      <c r="AT65">
        <v>0.121847198988547</v>
      </c>
      <c r="AU65" s="58">
        <f t="shared" si="48"/>
        <v>-0.15831603300364727</v>
      </c>
      <c r="BB65">
        <v>0.13147536700000001</v>
      </c>
      <c r="BC65">
        <v>0</v>
      </c>
      <c r="BD65">
        <f t="shared" si="49"/>
        <v>0.13147536700000001</v>
      </c>
      <c r="BE65">
        <v>0.133077292024882</v>
      </c>
      <c r="BF65" s="58">
        <f t="shared" si="50"/>
        <v>1.2184221740046478E-2</v>
      </c>
      <c r="BM65">
        <v>0.14346861399999999</v>
      </c>
      <c r="BN65">
        <v>0</v>
      </c>
      <c r="BO65">
        <f t="shared" si="19"/>
        <v>0.14346861399999999</v>
      </c>
      <c r="BP65">
        <v>0.137628838227145</v>
      </c>
      <c r="BQ65" s="58">
        <f t="shared" si="20"/>
        <v>-4.0704204285788907E-2</v>
      </c>
      <c r="BX65">
        <v>0.14507198199999999</v>
      </c>
      <c r="BY65">
        <v>0</v>
      </c>
      <c r="BZ65">
        <f t="shared" si="24"/>
        <v>0.14507198199999999</v>
      </c>
      <c r="CA65">
        <v>0.134145809000526</v>
      </c>
      <c r="CB65" s="58">
        <f t="shared" si="51"/>
        <v>-7.5315528531718745E-2</v>
      </c>
    </row>
    <row r="66" spans="7:80" x14ac:dyDescent="0.25">
      <c r="G66">
        <v>6.1528596999999997E-2</v>
      </c>
      <c r="H66">
        <v>-7.9935107322019992E-3</v>
      </c>
      <c r="I66">
        <f t="shared" si="33"/>
        <v>5.3535086267798002E-2</v>
      </c>
      <c r="W66">
        <v>0.13408107699999999</v>
      </c>
      <c r="X66">
        <v>0</v>
      </c>
      <c r="Y66">
        <f t="shared" ref="Y66:Y97" si="52">W66+X66</f>
        <v>0.13408107699999999</v>
      </c>
      <c r="AF66">
        <v>0.166913222</v>
      </c>
      <c r="AG66">
        <v>0</v>
      </c>
      <c r="AH66">
        <f t="shared" ref="AH66:AH97" si="53">AF66+AG66</f>
        <v>0.166913222</v>
      </c>
      <c r="AI66">
        <v>0.15202546025858399</v>
      </c>
      <c r="AJ66" s="58">
        <f t="shared" ref="AJ66:AJ97" si="54">(AI66-AH66)/AH66</f>
        <v>-8.9194621989958423E-2</v>
      </c>
      <c r="AQ66">
        <v>0.17991383059329</v>
      </c>
      <c r="AR66">
        <v>0</v>
      </c>
      <c r="AS66">
        <f t="shared" si="36"/>
        <v>0.17991383059329</v>
      </c>
      <c r="AT66">
        <v>0.149047980572456</v>
      </c>
      <c r="AU66" s="58">
        <f t="shared" ref="AU66:AU97" si="55">(AT66-AS66)/AS66</f>
        <v>-0.17155907313545446</v>
      </c>
      <c r="BB66">
        <v>0.16144317799999999</v>
      </c>
      <c r="BC66">
        <v>0</v>
      </c>
      <c r="BD66">
        <f t="shared" ref="BD66:BD97" si="56">BB66+BC66</f>
        <v>0.16144317799999999</v>
      </c>
      <c r="BE66">
        <v>0.14052680901530701</v>
      </c>
      <c r="BF66" s="58">
        <f t="shared" ref="BF66:BF97" si="57">(BE66-BD66)/BD66</f>
        <v>-0.12955870445447368</v>
      </c>
      <c r="BM66">
        <v>0.142526809</v>
      </c>
      <c r="BN66">
        <v>0</v>
      </c>
      <c r="BO66">
        <f t="shared" ref="BO66:BO97" si="58">BM66+BN66</f>
        <v>0.142526809</v>
      </c>
      <c r="BP66">
        <v>0.14052680900042799</v>
      </c>
      <c r="BQ66" s="58">
        <f t="shared" ref="BQ66:BQ97" si="59">(BP66-BO66)/BO66</f>
        <v>-1.4032447745125695E-2</v>
      </c>
      <c r="BX66">
        <v>0.141526809</v>
      </c>
      <c r="BY66">
        <v>0</v>
      </c>
      <c r="BZ66">
        <f t="shared" ref="BZ66:BZ73" si="60">BX66+BY66</f>
        <v>0.141526809</v>
      </c>
      <c r="CA66">
        <v>0.14352680900000001</v>
      </c>
      <c r="CB66" s="58">
        <f t="shared" si="51"/>
        <v>1.4131598204832002E-2</v>
      </c>
    </row>
    <row r="67" spans="7:80" x14ac:dyDescent="0.25">
      <c r="G67">
        <v>5.6466398000000001E-2</v>
      </c>
      <c r="H67">
        <v>1.6875739881495877E-5</v>
      </c>
      <c r="I67">
        <f t="shared" ref="I67:I130" si="61">G67+H67</f>
        <v>5.6483273739881497E-2</v>
      </c>
      <c r="W67">
        <v>8.9236252000000002E-2</v>
      </c>
      <c r="X67">
        <v>1.3682125857719662E-4</v>
      </c>
      <c r="Y67">
        <f t="shared" si="52"/>
        <v>8.9373073258577199E-2</v>
      </c>
      <c r="AF67">
        <v>0.104887309</v>
      </c>
      <c r="AG67">
        <v>1.2207471100096068E-3</v>
      </c>
      <c r="AH67">
        <f t="shared" si="53"/>
        <v>0.1061080561100096</v>
      </c>
      <c r="AI67">
        <v>9.7755421924056604E-2</v>
      </c>
      <c r="AJ67" s="58">
        <f t="shared" si="54"/>
        <v>-7.8718190608385502E-2</v>
      </c>
      <c r="AQ67">
        <v>0.111235515045722</v>
      </c>
      <c r="AR67">
        <v>7.7937599999999829E-4</v>
      </c>
      <c r="AS67">
        <f t="shared" ref="AS67:AS130" si="62">AQ67+AR67</f>
        <v>0.112014891045722</v>
      </c>
      <c r="AT67">
        <v>8.8995008440719697E-2</v>
      </c>
      <c r="AU67" s="58">
        <f t="shared" si="55"/>
        <v>-0.20550734273004914</v>
      </c>
      <c r="BB67">
        <v>9.0995009000000002E-2</v>
      </c>
      <c r="BC67">
        <v>4.049926627049949E-4</v>
      </c>
      <c r="BD67">
        <f t="shared" si="56"/>
        <v>9.1400001662704997E-2</v>
      </c>
      <c r="BE67">
        <v>9.1400000999999995E-2</v>
      </c>
      <c r="BF67" s="58">
        <f t="shared" si="57"/>
        <v>-7.2506016403745081E-9</v>
      </c>
      <c r="BM67">
        <v>9.3400000999999996E-2</v>
      </c>
      <c r="BN67">
        <v>-2.500009999999997E-4</v>
      </c>
      <c r="BO67">
        <f t="shared" si="58"/>
        <v>9.3149999999999997E-2</v>
      </c>
      <c r="BP67">
        <v>9.1150000001613801E-2</v>
      </c>
      <c r="BQ67" s="58">
        <f t="shared" si="59"/>
        <v>-2.1470746091102475E-2</v>
      </c>
      <c r="BX67">
        <v>9.2149999999999996E-2</v>
      </c>
      <c r="BY67">
        <v>-1.499999992086859E-4</v>
      </c>
      <c r="BZ67">
        <f t="shared" si="60"/>
        <v>9.200000000079131E-2</v>
      </c>
      <c r="CA67">
        <v>9.4E-2</v>
      </c>
      <c r="CB67" s="58">
        <f t="shared" ref="CB67:CB73" si="63">(CA67-BZ67)/BZ67</f>
        <v>2.1739130425994433E-2</v>
      </c>
    </row>
    <row r="68" spans="7:80" x14ac:dyDescent="0.25">
      <c r="G68">
        <v>6.2828036000000004E-2</v>
      </c>
      <c r="H68">
        <v>-4.6576908168487023E-3</v>
      </c>
      <c r="I68">
        <f t="shared" si="61"/>
        <v>5.8170345183151298E-2</v>
      </c>
      <c r="W68">
        <v>0.134831283</v>
      </c>
      <c r="X68">
        <v>0</v>
      </c>
      <c r="Y68">
        <f t="shared" si="52"/>
        <v>0.134831283</v>
      </c>
      <c r="AF68">
        <v>0.16866595000000001</v>
      </c>
      <c r="AG68">
        <v>0</v>
      </c>
      <c r="AH68">
        <f t="shared" si="53"/>
        <v>0.16866595000000001</v>
      </c>
      <c r="AI68">
        <v>0.16126802131621701</v>
      </c>
      <c r="AJ68" s="58">
        <f t="shared" si="54"/>
        <v>-4.3861423623339509E-2</v>
      </c>
      <c r="AQ68">
        <v>0.19274371533492399</v>
      </c>
      <c r="AR68">
        <v>0</v>
      </c>
      <c r="AS68">
        <f t="shared" si="62"/>
        <v>0.19274371533492399</v>
      </c>
      <c r="AT68">
        <v>0.14422511965786899</v>
      </c>
      <c r="AU68" s="58">
        <f t="shared" si="55"/>
        <v>-0.25172595429503852</v>
      </c>
      <c r="BB68">
        <v>0.15147384899999999</v>
      </c>
      <c r="BC68">
        <v>0</v>
      </c>
      <c r="BD68">
        <f t="shared" si="56"/>
        <v>0.15147384899999999</v>
      </c>
      <c r="BE68">
        <v>0.140933664010302</v>
      </c>
      <c r="BF68" s="58">
        <f t="shared" si="57"/>
        <v>-6.9584189345436115E-2</v>
      </c>
      <c r="BM68">
        <v>0.14293366399999999</v>
      </c>
      <c r="BN68">
        <v>0</v>
      </c>
      <c r="BO68">
        <f t="shared" si="58"/>
        <v>0.14293366399999999</v>
      </c>
      <c r="BP68">
        <v>0.140933664008592</v>
      </c>
      <c r="BQ68" s="58">
        <f t="shared" si="59"/>
        <v>-1.3992504882600546E-2</v>
      </c>
      <c r="BX68">
        <v>0.14193366399999999</v>
      </c>
      <c r="BY68">
        <v>0</v>
      </c>
      <c r="BZ68">
        <f t="shared" si="60"/>
        <v>0.14193366399999999</v>
      </c>
      <c r="CA68">
        <v>0.14393366399999999</v>
      </c>
      <c r="CB68" s="58">
        <f t="shared" si="63"/>
        <v>1.4091089764300046E-2</v>
      </c>
    </row>
    <row r="69" spans="7:80" x14ac:dyDescent="0.25">
      <c r="G69">
        <v>6.0375674999999997E-2</v>
      </c>
      <c r="H69">
        <v>9.0577486759613191E-7</v>
      </c>
      <c r="I69">
        <f t="shared" si="61"/>
        <v>6.0376580774867593E-2</v>
      </c>
      <c r="W69">
        <v>9.8864855000000001E-2</v>
      </c>
      <c r="X69">
        <v>-1.7507421552973024E-6</v>
      </c>
      <c r="Y69">
        <f t="shared" si="52"/>
        <v>9.8863104257844697E-2</v>
      </c>
      <c r="AF69">
        <v>0.11941992</v>
      </c>
      <c r="AG69">
        <v>1.4318376785599912E-3</v>
      </c>
      <c r="AH69">
        <f t="shared" si="53"/>
        <v>0.12085175767855999</v>
      </c>
      <c r="AI69">
        <v>0.10622581996467501</v>
      </c>
      <c r="AJ69" s="58">
        <f t="shared" si="54"/>
        <v>-0.12102378976387644</v>
      </c>
      <c r="AQ69">
        <v>0.12004958211507299</v>
      </c>
      <c r="AR69">
        <v>7.7179500000000567E-4</v>
      </c>
      <c r="AS69">
        <f t="shared" si="62"/>
        <v>0.120821377115073</v>
      </c>
      <c r="AT69">
        <v>0.10469396479823199</v>
      </c>
      <c r="AU69" s="58">
        <f t="shared" si="55"/>
        <v>-0.13348144758754815</v>
      </c>
      <c r="BB69">
        <v>0.110488476</v>
      </c>
      <c r="BC69">
        <v>6.9665211338360011E-4</v>
      </c>
      <c r="BD69">
        <f t="shared" si="56"/>
        <v>0.1111851281133836</v>
      </c>
      <c r="BE69">
        <v>0.103578344</v>
      </c>
      <c r="BF69" s="58">
        <f t="shared" si="57"/>
        <v>-6.8415481840578593E-2</v>
      </c>
      <c r="BM69">
        <v>0.105578344</v>
      </c>
      <c r="BN69">
        <v>-1.1783439999999978E-3</v>
      </c>
      <c r="BO69">
        <f t="shared" si="58"/>
        <v>0.10440000000000001</v>
      </c>
      <c r="BP69">
        <v>0.102400000000602</v>
      </c>
      <c r="BQ69" s="58">
        <f t="shared" si="59"/>
        <v>-1.9157088116839187E-2</v>
      </c>
      <c r="BX69">
        <v>0.10340000000000001</v>
      </c>
      <c r="BY69">
        <v>-9.9999999704905584E-5</v>
      </c>
      <c r="BZ69">
        <f t="shared" si="60"/>
        <v>0.1033000000002951</v>
      </c>
      <c r="CA69">
        <v>0.107448249225315</v>
      </c>
      <c r="CB69" s="58">
        <f t="shared" si="63"/>
        <v>4.0157301306951089E-2</v>
      </c>
    </row>
    <row r="70" spans="7:80" x14ac:dyDescent="0.25">
      <c r="G70">
        <v>6.2970191999999994E-2</v>
      </c>
      <c r="H70">
        <v>-3.9420285785493024E-3</v>
      </c>
      <c r="I70">
        <f t="shared" si="61"/>
        <v>5.9028163421450688E-2</v>
      </c>
      <c r="W70">
        <v>9.6197765000000005E-2</v>
      </c>
      <c r="X70">
        <v>0</v>
      </c>
      <c r="Y70">
        <f t="shared" si="52"/>
        <v>9.6197765000000005E-2</v>
      </c>
      <c r="AF70">
        <v>0.13210340500000001</v>
      </c>
      <c r="AG70">
        <v>0</v>
      </c>
      <c r="AH70">
        <f t="shared" si="53"/>
        <v>0.13210340500000001</v>
      </c>
      <c r="AI70">
        <v>0.12469503668838</v>
      </c>
      <c r="AJ70" s="58">
        <f t="shared" si="54"/>
        <v>-5.608007084768183E-2</v>
      </c>
      <c r="AQ70">
        <v>0.14722717112790201</v>
      </c>
      <c r="AR70">
        <v>0</v>
      </c>
      <c r="AS70">
        <f t="shared" si="62"/>
        <v>0.14722717112790201</v>
      </c>
      <c r="AT70">
        <v>0.122513905202716</v>
      </c>
      <c r="AU70" s="58">
        <f t="shared" si="55"/>
        <v>-0.1678580504933877</v>
      </c>
      <c r="BB70">
        <v>0.132522521</v>
      </c>
      <c r="BC70">
        <v>0</v>
      </c>
      <c r="BD70">
        <f t="shared" si="56"/>
        <v>0.132522521</v>
      </c>
      <c r="BE70">
        <v>0.116286678016627</v>
      </c>
      <c r="BF70" s="58">
        <f t="shared" si="57"/>
        <v>-0.1225138403711246</v>
      </c>
      <c r="BM70">
        <v>0.11828667800000001</v>
      </c>
      <c r="BN70">
        <v>0</v>
      </c>
      <c r="BO70">
        <f t="shared" si="58"/>
        <v>0.11828667800000001</v>
      </c>
      <c r="BP70">
        <v>0.118212268808797</v>
      </c>
      <c r="BQ70" s="58">
        <f t="shared" si="59"/>
        <v>-6.2905808550147346E-4</v>
      </c>
      <c r="BX70">
        <v>0.120136352</v>
      </c>
      <c r="BY70">
        <v>0</v>
      </c>
      <c r="BZ70">
        <f t="shared" si="60"/>
        <v>0.120136352</v>
      </c>
      <c r="CA70">
        <v>0.145572246840206</v>
      </c>
      <c r="CB70" s="58">
        <f t="shared" si="63"/>
        <v>0.21172521403185277</v>
      </c>
    </row>
    <row r="71" spans="7:80" x14ac:dyDescent="0.25">
      <c r="G71">
        <v>5.7528973999999997E-2</v>
      </c>
      <c r="H71">
        <v>-1.1920755866646968E-3</v>
      </c>
      <c r="I71">
        <f t="shared" si="61"/>
        <v>5.63368984133353E-2</v>
      </c>
      <c r="W71">
        <v>8.7000754E-2</v>
      </c>
      <c r="X71">
        <v>0</v>
      </c>
      <c r="Y71">
        <f t="shared" si="52"/>
        <v>8.7000754E-2</v>
      </c>
      <c r="AF71">
        <v>9.7230222000000005E-2</v>
      </c>
      <c r="AG71">
        <v>0</v>
      </c>
      <c r="AH71">
        <f t="shared" si="53"/>
        <v>9.7230222000000005E-2</v>
      </c>
      <c r="AI71">
        <v>9.01066838032335E-2</v>
      </c>
      <c r="AJ71" s="58">
        <f t="shared" si="54"/>
        <v>-7.3264650128706935E-2</v>
      </c>
      <c r="AQ71">
        <v>0.10199207365622601</v>
      </c>
      <c r="AR71">
        <v>0</v>
      </c>
      <c r="AS71">
        <f t="shared" si="62"/>
        <v>0.10199207365622601</v>
      </c>
      <c r="AT71">
        <v>8.2443739453374201E-2</v>
      </c>
      <c r="AU71" s="58">
        <f t="shared" si="55"/>
        <v>-0.19166522948382564</v>
      </c>
      <c r="BB71">
        <v>8.4627568E-2</v>
      </c>
      <c r="BC71">
        <v>0</v>
      </c>
      <c r="BD71">
        <f t="shared" si="56"/>
        <v>8.4627568E-2</v>
      </c>
      <c r="BE71">
        <v>9.2989542089047597E-2</v>
      </c>
      <c r="BF71" s="58">
        <f t="shared" si="57"/>
        <v>9.880910306967107E-2</v>
      </c>
      <c r="BM71">
        <v>9.9332451000000002E-2</v>
      </c>
      <c r="BN71">
        <v>0</v>
      </c>
      <c r="BO71">
        <f t="shared" si="58"/>
        <v>9.9332451000000002E-2</v>
      </c>
      <c r="BP71">
        <v>9.4575012644156395E-2</v>
      </c>
      <c r="BQ71" s="58">
        <f t="shared" si="59"/>
        <v>-4.7894100145013108E-2</v>
      </c>
      <c r="BX71">
        <v>9.8540049000000005E-2</v>
      </c>
      <c r="BY71">
        <v>0</v>
      </c>
      <c r="BZ71">
        <f t="shared" si="60"/>
        <v>9.8540049000000005E-2</v>
      </c>
      <c r="CA71">
        <v>9.4604368000010097E-2</v>
      </c>
      <c r="CB71" s="58">
        <f t="shared" si="63"/>
        <v>-3.9939913161499516E-2</v>
      </c>
    </row>
    <row r="72" spans="7:80" x14ac:dyDescent="0.25">
      <c r="G72">
        <v>5.6671498000000001E-2</v>
      </c>
      <c r="H72">
        <v>-6.0503270650349994E-4</v>
      </c>
      <c r="I72">
        <f t="shared" si="61"/>
        <v>5.6066465293496501E-2</v>
      </c>
      <c r="W72">
        <v>9.0221093000000002E-2</v>
      </c>
      <c r="X72">
        <v>0</v>
      </c>
      <c r="Y72">
        <f t="shared" si="52"/>
        <v>9.0221093000000002E-2</v>
      </c>
      <c r="AF72">
        <v>0.10217894</v>
      </c>
      <c r="AG72">
        <v>0</v>
      </c>
      <c r="AH72">
        <f t="shared" si="53"/>
        <v>0.10217894</v>
      </c>
      <c r="AI72">
        <v>9.4996582817953798E-2</v>
      </c>
      <c r="AJ72" s="58">
        <f t="shared" si="54"/>
        <v>-7.0291952353843154E-2</v>
      </c>
      <c r="AQ72">
        <v>0.108068980235901</v>
      </c>
      <c r="AR72">
        <v>0</v>
      </c>
      <c r="AS72">
        <f t="shared" si="62"/>
        <v>0.108068980235901</v>
      </c>
      <c r="AT72">
        <v>8.6902231403916994E-2</v>
      </c>
      <c r="AU72" s="58">
        <f t="shared" si="55"/>
        <v>-0.1958633160577592</v>
      </c>
      <c r="BB72">
        <v>8.9461723000000007E-2</v>
      </c>
      <c r="BC72">
        <v>0</v>
      </c>
      <c r="BD72">
        <f t="shared" si="56"/>
        <v>8.9461723000000007E-2</v>
      </c>
      <c r="BE72">
        <v>9.1650818601239498E-2</v>
      </c>
      <c r="BF72" s="58">
        <f t="shared" si="57"/>
        <v>2.4469633803492589E-2</v>
      </c>
      <c r="BM72">
        <v>9.5329148000000002E-2</v>
      </c>
      <c r="BN72">
        <v>0</v>
      </c>
      <c r="BO72">
        <f t="shared" si="58"/>
        <v>9.5329148000000002E-2</v>
      </c>
      <c r="BP72">
        <v>9.5181982334210102E-2</v>
      </c>
      <c r="BQ72" s="58">
        <f t="shared" si="59"/>
        <v>-1.5437635694583161E-3</v>
      </c>
      <c r="BX72">
        <v>9.8785354000000006E-2</v>
      </c>
      <c r="BY72">
        <v>0</v>
      </c>
      <c r="BZ72">
        <f t="shared" si="60"/>
        <v>9.8785354000000006E-2</v>
      </c>
      <c r="CA72">
        <v>9.5584520000000006E-2</v>
      </c>
      <c r="CB72" s="58">
        <f t="shared" si="63"/>
        <v>-3.2401908485340851E-2</v>
      </c>
    </row>
    <row r="73" spans="7:80" x14ac:dyDescent="0.25">
      <c r="G73">
        <v>5.8866615999999997E-2</v>
      </c>
      <c r="H73">
        <v>-2.1658145890988967E-3</v>
      </c>
      <c r="I73">
        <f t="shared" si="61"/>
        <v>5.67008014109011E-2</v>
      </c>
      <c r="W73">
        <v>8.9471345999999993E-2</v>
      </c>
      <c r="X73">
        <v>0</v>
      </c>
      <c r="Y73">
        <f t="shared" si="52"/>
        <v>8.9471345999999993E-2</v>
      </c>
      <c r="AF73">
        <v>0.1086062</v>
      </c>
      <c r="AG73">
        <v>0</v>
      </c>
      <c r="AH73">
        <f t="shared" si="53"/>
        <v>0.1086062</v>
      </c>
      <c r="AI73">
        <v>0.100701886539666</v>
      </c>
      <c r="AJ73" s="58">
        <f t="shared" si="54"/>
        <v>-7.2779578517009183E-2</v>
      </c>
      <c r="AQ73">
        <v>0.11570487935528601</v>
      </c>
      <c r="AR73">
        <v>0</v>
      </c>
      <c r="AS73">
        <f t="shared" si="62"/>
        <v>0.11570487935528601</v>
      </c>
      <c r="AT73">
        <v>0.10127789376901</v>
      </c>
      <c r="AU73" s="58">
        <f t="shared" si="55"/>
        <v>-0.12468778902552741</v>
      </c>
      <c r="BB73">
        <v>0.109059736</v>
      </c>
      <c r="BC73">
        <v>0</v>
      </c>
      <c r="BD73">
        <f t="shared" si="56"/>
        <v>0.109059736</v>
      </c>
      <c r="BE73">
        <v>0.117993174236783</v>
      </c>
      <c r="BF73" s="58">
        <f t="shared" si="57"/>
        <v>8.1913257490216163E-2</v>
      </c>
      <c r="BM73">
        <v>0.130188522</v>
      </c>
      <c r="BN73">
        <v>0</v>
      </c>
      <c r="BO73">
        <f t="shared" si="58"/>
        <v>0.130188522</v>
      </c>
      <c r="BP73">
        <v>0.128052946959785</v>
      </c>
      <c r="BQ73" s="58">
        <f t="shared" si="59"/>
        <v>-1.6403712150714782E-2</v>
      </c>
      <c r="BX73">
        <v>0.139151263</v>
      </c>
      <c r="BY73">
        <v>0</v>
      </c>
      <c r="BZ73">
        <f t="shared" si="60"/>
        <v>0.139151263</v>
      </c>
      <c r="CA73">
        <v>0.13071715048118601</v>
      </c>
      <c r="CB73" s="58">
        <f t="shared" si="63"/>
        <v>-6.0611110075328496E-2</v>
      </c>
    </row>
    <row r="74" spans="7:80" x14ac:dyDescent="0.25">
      <c r="G74">
        <v>6.4044127000000006E-2</v>
      </c>
      <c r="H74">
        <v>-6.3749351291188978E-3</v>
      </c>
      <c r="I74">
        <f t="shared" si="61"/>
        <v>5.7669191870881112E-2</v>
      </c>
      <c r="W74">
        <v>0.104473923</v>
      </c>
      <c r="X74">
        <v>0</v>
      </c>
      <c r="Y74">
        <f t="shared" si="52"/>
        <v>0.104473923</v>
      </c>
      <c r="AF74">
        <v>0.114537853</v>
      </c>
      <c r="AG74">
        <v>0</v>
      </c>
      <c r="AH74">
        <f t="shared" si="53"/>
        <v>0.114537853</v>
      </c>
      <c r="AI74">
        <v>0.114342516449544</v>
      </c>
      <c r="AJ74" s="58">
        <f t="shared" si="54"/>
        <v>-1.705432268369747E-3</v>
      </c>
      <c r="AQ74">
        <v>0.123342516449544</v>
      </c>
      <c r="AR74">
        <v>0</v>
      </c>
      <c r="AS74">
        <f t="shared" si="62"/>
        <v>0.123342516449544</v>
      </c>
      <c r="AT74">
        <v>9.9920527388315403E-2</v>
      </c>
      <c r="AU74" s="58">
        <f t="shared" si="55"/>
        <v>-0.18989388035398064</v>
      </c>
      <c r="BB74">
        <v>0.108420527</v>
      </c>
      <c r="BC74">
        <v>0</v>
      </c>
      <c r="BD74">
        <f t="shared" si="56"/>
        <v>0.108420527</v>
      </c>
      <c r="BE74">
        <v>9.4209616016685704E-2</v>
      </c>
      <c r="BF74" s="58">
        <f t="shared" si="57"/>
        <v>-0.1310721445147956</v>
      </c>
      <c r="BM74">
        <v>0.101709616</v>
      </c>
      <c r="BN74">
        <v>0</v>
      </c>
      <c r="BO74">
        <f t="shared" si="58"/>
        <v>0.101709616</v>
      </c>
      <c r="BP74">
        <v>9.3209616002370904E-2</v>
      </c>
      <c r="BQ74" s="58">
        <f t="shared" si="59"/>
        <v>-8.3571252472618693E-2</v>
      </c>
    </row>
    <row r="75" spans="7:80" x14ac:dyDescent="0.25">
      <c r="G75">
        <v>6.9427911999999994E-2</v>
      </c>
      <c r="H75">
        <v>-8.4097121690800969E-3</v>
      </c>
      <c r="I75">
        <f t="shared" si="61"/>
        <v>6.1018199830919898E-2</v>
      </c>
      <c r="W75">
        <v>0.11260416600000001</v>
      </c>
      <c r="X75">
        <v>0</v>
      </c>
      <c r="Y75">
        <f t="shared" si="52"/>
        <v>0.11260416600000001</v>
      </c>
      <c r="AF75">
        <v>0.18689503299999999</v>
      </c>
      <c r="AG75">
        <v>0</v>
      </c>
      <c r="AH75">
        <f t="shared" si="53"/>
        <v>0.18689503299999999</v>
      </c>
      <c r="AI75">
        <v>0.150315013578213</v>
      </c>
      <c r="AJ75" s="58">
        <f t="shared" si="54"/>
        <v>-0.19572494161354725</v>
      </c>
      <c r="AQ75">
        <v>0.15931501357821301</v>
      </c>
      <c r="AR75">
        <v>0</v>
      </c>
      <c r="AS75">
        <f t="shared" si="62"/>
        <v>0.15931501357821301</v>
      </c>
      <c r="AT75">
        <v>0.14115856047404299</v>
      </c>
      <c r="AU75" s="58">
        <f t="shared" si="55"/>
        <v>-0.11396573804550077</v>
      </c>
      <c r="BB75">
        <v>0.14965856</v>
      </c>
      <c r="BC75">
        <v>0</v>
      </c>
      <c r="BD75">
        <f t="shared" si="56"/>
        <v>0.14965856</v>
      </c>
      <c r="BE75">
        <v>0.138856160203052</v>
      </c>
      <c r="BF75" s="58">
        <f t="shared" si="57"/>
        <v>-7.2180300257786781E-2</v>
      </c>
      <c r="BM75">
        <v>0.14635616000000001</v>
      </c>
      <c r="BN75">
        <v>0</v>
      </c>
      <c r="BO75">
        <f t="shared" si="58"/>
        <v>0.14635616000000001</v>
      </c>
      <c r="BP75">
        <v>0.132065219012653</v>
      </c>
      <c r="BQ75" s="58">
        <f t="shared" si="59"/>
        <v>-9.764495725596388E-2</v>
      </c>
    </row>
    <row r="76" spans="7:80" x14ac:dyDescent="0.25">
      <c r="G76">
        <v>7.3102702000000006E-2</v>
      </c>
      <c r="H76">
        <v>3.4330022935269433E-4</v>
      </c>
      <c r="I76">
        <f t="shared" si="61"/>
        <v>7.34460022293527E-2</v>
      </c>
      <c r="W76">
        <v>0.11507303100000001</v>
      </c>
      <c r="X76">
        <v>8.3054312697419114E-4</v>
      </c>
      <c r="Y76">
        <f t="shared" si="52"/>
        <v>0.11590357412697419</v>
      </c>
      <c r="AF76">
        <v>0.14020369299999999</v>
      </c>
      <c r="AG76">
        <v>1.7091076305970065E-3</v>
      </c>
      <c r="AH76">
        <f t="shared" si="53"/>
        <v>0.141912800630597</v>
      </c>
      <c r="AI76">
        <v>0.13665545211646599</v>
      </c>
      <c r="AJ76" s="58">
        <f t="shared" si="54"/>
        <v>-3.7046330498515329E-2</v>
      </c>
      <c r="AQ76">
        <v>0.14565545211646599</v>
      </c>
      <c r="AR76">
        <v>-7.0856999999799331E-5</v>
      </c>
      <c r="AS76">
        <f t="shared" si="62"/>
        <v>0.14558459511646621</v>
      </c>
      <c r="AT76">
        <v>0.10790353900000001</v>
      </c>
      <c r="AU76" s="58">
        <f t="shared" si="55"/>
        <v>-0.2588258468303033</v>
      </c>
      <c r="BB76">
        <v>0.116403539</v>
      </c>
      <c r="BC76">
        <v>-6.5353899999999465E-4</v>
      </c>
      <c r="BD76">
        <f t="shared" si="56"/>
        <v>0.11575000000000001</v>
      </c>
      <c r="BE76">
        <v>0.10925</v>
      </c>
      <c r="BF76" s="58">
        <f t="shared" si="57"/>
        <v>-5.6155507559395294E-2</v>
      </c>
      <c r="BM76">
        <v>0.11675000000000001</v>
      </c>
      <c r="BN76">
        <v>-2.4999999999998634E-4</v>
      </c>
      <c r="BO76">
        <f t="shared" si="58"/>
        <v>0.11650000000000002</v>
      </c>
      <c r="BP76">
        <v>0.108</v>
      </c>
      <c r="BQ76" s="58">
        <f t="shared" si="59"/>
        <v>-7.296137339055811E-2</v>
      </c>
    </row>
    <row r="77" spans="7:80" x14ac:dyDescent="0.25">
      <c r="G77">
        <v>6.3278244999999997E-2</v>
      </c>
      <c r="H77">
        <v>-2.9401066798204201E-5</v>
      </c>
      <c r="I77">
        <f t="shared" si="61"/>
        <v>6.3248843933201793E-2</v>
      </c>
      <c r="W77">
        <v>7.1013239000000006E-2</v>
      </c>
      <c r="X77">
        <v>0</v>
      </c>
      <c r="Y77">
        <f t="shared" si="52"/>
        <v>7.1013239000000006E-2</v>
      </c>
      <c r="AF77">
        <v>8.2025345999999999E-2</v>
      </c>
      <c r="AG77">
        <v>0</v>
      </c>
      <c r="AH77">
        <f t="shared" si="53"/>
        <v>8.2025345999999999E-2</v>
      </c>
      <c r="AI77">
        <v>7.8538500260996999E-2</v>
      </c>
      <c r="AJ77" s="58">
        <f t="shared" si="54"/>
        <v>-4.2509369469809981E-2</v>
      </c>
      <c r="AQ77">
        <v>8.7538500260996993E-2</v>
      </c>
      <c r="AR77">
        <v>0</v>
      </c>
      <c r="AS77">
        <f t="shared" si="62"/>
        <v>8.7538500260996993E-2</v>
      </c>
      <c r="AT77">
        <v>6.72081420833157E-2</v>
      </c>
      <c r="AU77" s="58">
        <f t="shared" si="55"/>
        <v>-0.23224476221395282</v>
      </c>
      <c r="BB77">
        <v>7.5708142000000006E-2</v>
      </c>
      <c r="BC77">
        <v>0</v>
      </c>
      <c r="BD77">
        <f t="shared" si="56"/>
        <v>7.5708142000000006E-2</v>
      </c>
      <c r="BE77">
        <v>6.9208142059829905E-2</v>
      </c>
      <c r="BF77" s="58">
        <f t="shared" si="57"/>
        <v>-8.5856022462816484E-2</v>
      </c>
      <c r="BM77">
        <v>7.6708142000000007E-2</v>
      </c>
      <c r="BN77">
        <v>0</v>
      </c>
      <c r="BO77">
        <f t="shared" si="58"/>
        <v>7.6708142000000007E-2</v>
      </c>
      <c r="BP77">
        <v>6.8208141999999999E-2</v>
      </c>
      <c r="BQ77" s="58">
        <f t="shared" si="59"/>
        <v>-0.11080961914056016</v>
      </c>
    </row>
    <row r="78" spans="7:80" x14ac:dyDescent="0.25">
      <c r="G78">
        <v>6.3384071E-2</v>
      </c>
      <c r="H78">
        <v>2.9763634334420419E-4</v>
      </c>
      <c r="I78">
        <f t="shared" si="61"/>
        <v>6.3681707343344204E-2</v>
      </c>
      <c r="W78">
        <v>6.8283166000000006E-2</v>
      </c>
      <c r="X78">
        <v>-3.1269733533020178E-4</v>
      </c>
      <c r="Y78">
        <f t="shared" si="52"/>
        <v>6.7970468664669798E-2</v>
      </c>
      <c r="AF78">
        <v>8.0773141000000007E-2</v>
      </c>
      <c r="AG78">
        <v>8.7379074452159644E-4</v>
      </c>
      <c r="AH78">
        <f t="shared" si="53"/>
        <v>8.1646931744521603E-2</v>
      </c>
      <c r="AI78">
        <v>7.8214815021531103E-2</v>
      </c>
      <c r="AJ78" s="58">
        <f t="shared" si="54"/>
        <v>-4.2036077163680928E-2</v>
      </c>
      <c r="AQ78">
        <v>8.7214815021531097E-2</v>
      </c>
      <c r="AR78">
        <v>5.914229999999937E-4</v>
      </c>
      <c r="AS78">
        <f t="shared" si="62"/>
        <v>8.7806238021531091E-2</v>
      </c>
      <c r="AT78">
        <v>9.4781369820828396E-2</v>
      </c>
      <c r="AU78" s="58">
        <f t="shared" si="55"/>
        <v>7.94377706694019E-2</v>
      </c>
      <c r="BB78">
        <v>0.10328137</v>
      </c>
      <c r="BC78">
        <v>8.2799105944039719E-4</v>
      </c>
      <c r="BD78">
        <f t="shared" si="56"/>
        <v>0.10410936105944039</v>
      </c>
      <c r="BE78">
        <v>0.101381645297293</v>
      </c>
      <c r="BF78" s="58">
        <f t="shared" si="57"/>
        <v>-2.6200485089808833E-2</v>
      </c>
      <c r="BM78">
        <v>0.108881645</v>
      </c>
      <c r="BN78">
        <v>-1.8998439987632926E-3</v>
      </c>
      <c r="BO78">
        <f t="shared" si="58"/>
        <v>0.10698180100123671</v>
      </c>
      <c r="BP78">
        <v>9.7600252307969398E-2</v>
      </c>
      <c r="BQ78" s="58">
        <f t="shared" si="59"/>
        <v>-8.7692940345609413E-2</v>
      </c>
    </row>
    <row r="79" spans="7:80" x14ac:dyDescent="0.25">
      <c r="G79">
        <v>7.2595124999999996E-2</v>
      </c>
      <c r="H79">
        <v>3.1306913745570569E-4</v>
      </c>
      <c r="I79">
        <f t="shared" si="61"/>
        <v>7.2908194137455695E-2</v>
      </c>
      <c r="W79">
        <v>0.12147896399999999</v>
      </c>
      <c r="X79">
        <v>9.301746106075981E-4</v>
      </c>
      <c r="Y79">
        <f t="shared" si="52"/>
        <v>0.12240913861060759</v>
      </c>
      <c r="AF79">
        <v>0.15311058</v>
      </c>
      <c r="AG79">
        <v>2.0479496993218993E-3</v>
      </c>
      <c r="AH79">
        <f t="shared" si="53"/>
        <v>0.1551585296993219</v>
      </c>
      <c r="AI79">
        <v>0.15294304031435699</v>
      </c>
      <c r="AJ79" s="58">
        <f t="shared" si="54"/>
        <v>-1.4278875864950857E-2</v>
      </c>
      <c r="AQ79">
        <v>0.161943040314357</v>
      </c>
      <c r="AR79">
        <v>7.4926600000048416E-4</v>
      </c>
      <c r="AS79">
        <f t="shared" si="62"/>
        <v>0.16269230631435749</v>
      </c>
      <c r="AT79">
        <v>0.118149959099104</v>
      </c>
      <c r="AU79" s="58">
        <f t="shared" si="55"/>
        <v>-0.27378275115965123</v>
      </c>
      <c r="BB79">
        <v>0.12664995900000001</v>
      </c>
      <c r="BC79">
        <v>-6.9995896732130691E-4</v>
      </c>
      <c r="BD79">
        <f t="shared" si="56"/>
        <v>0.1259500000326787</v>
      </c>
      <c r="BE79">
        <v>0.11945</v>
      </c>
      <c r="BF79" s="58">
        <f t="shared" si="57"/>
        <v>-5.1607781111490461E-2</v>
      </c>
      <c r="BM79">
        <v>0.12695000000000001</v>
      </c>
      <c r="BN79">
        <v>-2.9999999999999472E-4</v>
      </c>
      <c r="BO79">
        <f t="shared" si="58"/>
        <v>0.12665000000000001</v>
      </c>
      <c r="BP79">
        <v>0.118150000061679</v>
      </c>
      <c r="BQ79" s="58">
        <f t="shared" si="59"/>
        <v>-6.7114093472728079E-2</v>
      </c>
    </row>
    <row r="80" spans="7:80" x14ac:dyDescent="0.25">
      <c r="G80">
        <v>6.4406394000000006E-2</v>
      </c>
      <c r="H80">
        <v>-6.2011973977157998E-3</v>
      </c>
      <c r="I80">
        <f t="shared" si="61"/>
        <v>5.8205196602284209E-2</v>
      </c>
      <c r="W80">
        <v>0.118063211</v>
      </c>
      <c r="X80">
        <v>0</v>
      </c>
      <c r="Y80">
        <f t="shared" si="52"/>
        <v>0.118063211</v>
      </c>
      <c r="AF80">
        <v>0.12963902799999999</v>
      </c>
      <c r="AG80">
        <v>0</v>
      </c>
      <c r="AH80">
        <f t="shared" si="53"/>
        <v>0.12963902799999999</v>
      </c>
      <c r="AI80">
        <v>0.12842848642423699</v>
      </c>
      <c r="AJ80" s="58">
        <f t="shared" si="54"/>
        <v>-9.3377865789228409E-3</v>
      </c>
      <c r="AQ80">
        <v>0.137428486424237</v>
      </c>
      <c r="AR80">
        <v>0</v>
      </c>
      <c r="AS80">
        <f t="shared" si="62"/>
        <v>0.137428486424237</v>
      </c>
      <c r="AT80">
        <v>9.8213970999999997E-2</v>
      </c>
      <c r="AU80" s="58">
        <f t="shared" si="55"/>
        <v>-0.28534488332486718</v>
      </c>
      <c r="BB80">
        <v>0.106713971</v>
      </c>
      <c r="BC80">
        <v>0</v>
      </c>
      <c r="BD80">
        <f t="shared" si="56"/>
        <v>0.106713971</v>
      </c>
      <c r="BE80">
        <v>0.100213971</v>
      </c>
      <c r="BF80" s="58">
        <f t="shared" si="57"/>
        <v>-6.0910487531196877E-2</v>
      </c>
      <c r="BM80">
        <v>0.10771397100000001</v>
      </c>
      <c r="BN80">
        <v>0</v>
      </c>
      <c r="BO80">
        <f t="shared" si="58"/>
        <v>0.10771397100000001</v>
      </c>
      <c r="BP80">
        <v>9.9213971013911204E-2</v>
      </c>
      <c r="BQ80" s="58">
        <f t="shared" si="59"/>
        <v>-7.8912697277577867E-2</v>
      </c>
    </row>
    <row r="81" spans="7:69" x14ac:dyDescent="0.25">
      <c r="G81">
        <v>6.7553774999999996E-2</v>
      </c>
      <c r="H81">
        <v>-1.572238165443697E-3</v>
      </c>
      <c r="I81">
        <f t="shared" si="61"/>
        <v>6.5981536834556292E-2</v>
      </c>
      <c r="W81">
        <v>0.100077873</v>
      </c>
      <c r="X81">
        <v>0</v>
      </c>
      <c r="Y81">
        <f t="shared" si="52"/>
        <v>0.100077873</v>
      </c>
      <c r="AF81">
        <v>0.115500195</v>
      </c>
      <c r="AG81">
        <v>0</v>
      </c>
      <c r="AH81">
        <f t="shared" si="53"/>
        <v>0.115500195</v>
      </c>
      <c r="AI81">
        <v>0.113556397280177</v>
      </c>
      <c r="AJ81" s="58">
        <f t="shared" si="54"/>
        <v>-1.6829389074390775E-2</v>
      </c>
      <c r="AQ81">
        <v>0.122556397280177</v>
      </c>
      <c r="AR81">
        <v>0</v>
      </c>
      <c r="AS81">
        <f t="shared" si="62"/>
        <v>0.122556397280177</v>
      </c>
      <c r="AT81">
        <v>9.15597095343261E-2</v>
      </c>
      <c r="AU81" s="58">
        <f t="shared" si="55"/>
        <v>-0.25291774590100891</v>
      </c>
      <c r="BB81">
        <v>0.10005971</v>
      </c>
      <c r="BC81">
        <v>0</v>
      </c>
      <c r="BD81">
        <f t="shared" si="56"/>
        <v>0.10005971</v>
      </c>
      <c r="BE81">
        <v>0.101997654830475</v>
      </c>
      <c r="BF81" s="58">
        <f t="shared" si="57"/>
        <v>1.936788374136808E-2</v>
      </c>
      <c r="BM81">
        <v>0.109497655</v>
      </c>
      <c r="BN81">
        <v>0</v>
      </c>
      <c r="BO81">
        <f t="shared" si="58"/>
        <v>0.109497655</v>
      </c>
      <c r="BP81">
        <v>0.118006647559401</v>
      </c>
      <c r="BQ81" s="58">
        <f t="shared" si="59"/>
        <v>7.7709358793126709E-2</v>
      </c>
    </row>
    <row r="82" spans="7:69" x14ac:dyDescent="0.25">
      <c r="G82">
        <v>6.2686254999999996E-2</v>
      </c>
      <c r="H82">
        <v>2.3083910746430139E-4</v>
      </c>
      <c r="I82">
        <f t="shared" si="61"/>
        <v>6.2917094107464294E-2</v>
      </c>
      <c r="W82">
        <v>9.9992321999999995E-2</v>
      </c>
      <c r="X82">
        <v>6.3010846582290531E-4</v>
      </c>
      <c r="Y82">
        <f t="shared" si="52"/>
        <v>0.10062243046582289</v>
      </c>
      <c r="AF82">
        <v>8.1818091999999995E-2</v>
      </c>
      <c r="AG82">
        <v>-9.7831607981829771E-4</v>
      </c>
      <c r="AH82">
        <f t="shared" si="53"/>
        <v>8.0839775920181697E-2</v>
      </c>
      <c r="AI82">
        <v>7.1083181761685696E-2</v>
      </c>
      <c r="AJ82" s="58">
        <f t="shared" si="54"/>
        <v>-0.1206905146314274</v>
      </c>
      <c r="AQ82">
        <v>8.0083181761685704E-2</v>
      </c>
      <c r="AR82">
        <v>1.0774200000000095E-4</v>
      </c>
      <c r="AS82">
        <f t="shared" si="62"/>
        <v>8.0190923761685712E-2</v>
      </c>
      <c r="AT82">
        <v>8.2761401460680395E-2</v>
      </c>
      <c r="AU82" s="58">
        <f t="shared" si="55"/>
        <v>3.2054471733406163E-2</v>
      </c>
      <c r="BB82">
        <v>9.1261401000000006E-2</v>
      </c>
      <c r="BC82">
        <v>5.4711564550230518E-4</v>
      </c>
      <c r="BD82">
        <f t="shared" si="56"/>
        <v>9.1808516645502311E-2</v>
      </c>
      <c r="BE82">
        <v>7.5399987000000002E-2</v>
      </c>
      <c r="BF82" s="58">
        <f t="shared" si="57"/>
        <v>-0.17872557192989091</v>
      </c>
      <c r="BM82">
        <v>8.2899986999999994E-2</v>
      </c>
      <c r="BN82">
        <v>-1.699987E-3</v>
      </c>
      <c r="BO82">
        <f t="shared" si="58"/>
        <v>8.1199999999999994E-2</v>
      </c>
      <c r="BP82">
        <v>8.3926525466867394E-2</v>
      </c>
      <c r="BQ82" s="58">
        <f t="shared" si="59"/>
        <v>3.357789983826847E-2</v>
      </c>
    </row>
    <row r="83" spans="7:69" x14ac:dyDescent="0.25">
      <c r="G83">
        <v>6.7087145000000001E-2</v>
      </c>
      <c r="H83">
        <v>-6.3347704824426969E-3</v>
      </c>
      <c r="I83">
        <f t="shared" si="61"/>
        <v>6.07523745175573E-2</v>
      </c>
      <c r="W83">
        <v>0.125402915</v>
      </c>
      <c r="X83">
        <v>0</v>
      </c>
      <c r="Y83">
        <f t="shared" si="52"/>
        <v>0.125402915</v>
      </c>
      <c r="AF83">
        <v>0.14315224400000001</v>
      </c>
      <c r="AG83">
        <v>0</v>
      </c>
      <c r="AH83">
        <f t="shared" si="53"/>
        <v>0.14315224400000001</v>
      </c>
      <c r="AI83">
        <v>0.140000262005257</v>
      </c>
      <c r="AJ83" s="58">
        <f t="shared" si="54"/>
        <v>-2.2018390398008767E-2</v>
      </c>
      <c r="AQ83">
        <v>0.14900026200525701</v>
      </c>
      <c r="AR83">
        <v>0</v>
      </c>
      <c r="AS83">
        <f t="shared" si="62"/>
        <v>0.14900026200525701</v>
      </c>
      <c r="AT83">
        <v>0.11706708607616401</v>
      </c>
      <c r="AU83" s="58">
        <f t="shared" si="55"/>
        <v>-0.21431624011484182</v>
      </c>
      <c r="BB83">
        <v>0.12556708599999999</v>
      </c>
      <c r="BC83">
        <v>0</v>
      </c>
      <c r="BD83">
        <f t="shared" si="56"/>
        <v>0.12556708599999999</v>
      </c>
      <c r="BE83">
        <v>0.112083197</v>
      </c>
      <c r="BF83" s="58">
        <f t="shared" si="57"/>
        <v>-0.10738394454737923</v>
      </c>
      <c r="BM83">
        <v>0.119583197</v>
      </c>
      <c r="BN83">
        <v>0</v>
      </c>
      <c r="BO83">
        <f t="shared" si="58"/>
        <v>0.119583197</v>
      </c>
      <c r="BP83">
        <v>0.11108319699999999</v>
      </c>
      <c r="BQ83" s="58">
        <f t="shared" si="59"/>
        <v>-7.1080220409226957E-2</v>
      </c>
    </row>
    <row r="84" spans="7:69" x14ac:dyDescent="0.25">
      <c r="G84">
        <v>6.3270009000000002E-2</v>
      </c>
      <c r="H84">
        <v>1.6346780113317971E-3</v>
      </c>
      <c r="I84">
        <f t="shared" si="61"/>
        <v>6.4904687011331799E-2</v>
      </c>
      <c r="W84">
        <v>9.7407723000000002E-2</v>
      </c>
      <c r="X84">
        <v>0</v>
      </c>
      <c r="Y84">
        <f t="shared" si="52"/>
        <v>9.7407723000000002E-2</v>
      </c>
      <c r="AF84">
        <v>0.102979868</v>
      </c>
      <c r="AG84">
        <v>0</v>
      </c>
      <c r="AH84">
        <f t="shared" si="53"/>
        <v>0.102979868</v>
      </c>
      <c r="AI84">
        <v>9.3823231742667199E-2</v>
      </c>
      <c r="AJ84" s="58">
        <f t="shared" si="54"/>
        <v>-8.8916760481114659E-2</v>
      </c>
      <c r="AQ84">
        <v>0.102823231742667</v>
      </c>
      <c r="AR84">
        <v>0</v>
      </c>
      <c r="AS84">
        <f t="shared" si="62"/>
        <v>0.102823231742667</v>
      </c>
      <c r="AT84">
        <v>9.0878503298487998E-2</v>
      </c>
      <c r="AU84" s="58">
        <f t="shared" si="55"/>
        <v>-0.11616760377725492</v>
      </c>
      <c r="BB84">
        <v>9.9378503000000007E-2</v>
      </c>
      <c r="BC84">
        <v>0</v>
      </c>
      <c r="BD84">
        <f t="shared" si="56"/>
        <v>9.9378503000000007E-2</v>
      </c>
      <c r="BE84">
        <v>8.6489068000000002E-2</v>
      </c>
      <c r="BF84" s="58">
        <f t="shared" si="57"/>
        <v>-0.12970043430821254</v>
      </c>
      <c r="BM84">
        <v>9.3989067999999995E-2</v>
      </c>
      <c r="BN84">
        <v>0</v>
      </c>
      <c r="BO84">
        <f t="shared" si="58"/>
        <v>9.3989067999999995E-2</v>
      </c>
      <c r="BP84">
        <v>8.5489068005782501E-2</v>
      </c>
      <c r="BQ84" s="58">
        <f t="shared" si="59"/>
        <v>-9.0436049373502608E-2</v>
      </c>
    </row>
    <row r="85" spans="7:69" x14ac:dyDescent="0.25">
      <c r="G85">
        <v>6.6657438999999999E-2</v>
      </c>
      <c r="H85">
        <v>-7.6253937459162015E-3</v>
      </c>
      <c r="I85">
        <f t="shared" si="61"/>
        <v>5.9032045254083801E-2</v>
      </c>
      <c r="W85">
        <v>0.12801718500000001</v>
      </c>
      <c r="X85">
        <v>0</v>
      </c>
      <c r="Y85">
        <f t="shared" si="52"/>
        <v>0.12801718500000001</v>
      </c>
      <c r="AF85">
        <v>0.152572127</v>
      </c>
      <c r="AG85">
        <v>0</v>
      </c>
      <c r="AH85">
        <f t="shared" si="53"/>
        <v>0.152572127</v>
      </c>
      <c r="AI85">
        <v>0.15446838478654201</v>
      </c>
      <c r="AJ85" s="58">
        <f t="shared" si="54"/>
        <v>1.2428599009713029E-2</v>
      </c>
      <c r="AQ85">
        <v>0.16346838478654199</v>
      </c>
      <c r="AR85">
        <v>0</v>
      </c>
      <c r="AS85">
        <f t="shared" si="62"/>
        <v>0.16346838478654199</v>
      </c>
      <c r="AT85">
        <v>0.14155333758317701</v>
      </c>
      <c r="AU85" s="58">
        <f t="shared" si="55"/>
        <v>-0.13406290905719651</v>
      </c>
      <c r="BB85">
        <v>0.15005333800000001</v>
      </c>
      <c r="BC85">
        <v>0</v>
      </c>
      <c r="BD85">
        <f t="shared" si="56"/>
        <v>0.15005333800000001</v>
      </c>
      <c r="BE85">
        <v>0.12492526</v>
      </c>
      <c r="BF85" s="58">
        <f t="shared" si="57"/>
        <v>-0.16746097311077485</v>
      </c>
      <c r="BM85">
        <v>0.13242525999999999</v>
      </c>
      <c r="BN85">
        <v>0</v>
      </c>
      <c r="BO85">
        <f t="shared" si="58"/>
        <v>0.13242525999999999</v>
      </c>
      <c r="BP85">
        <v>0.12392526</v>
      </c>
      <c r="BQ85" s="58">
        <f t="shared" si="59"/>
        <v>-6.4187149793022827E-2</v>
      </c>
    </row>
    <row r="86" spans="7:69" x14ac:dyDescent="0.25">
      <c r="G86">
        <v>6.8060568000000002E-2</v>
      </c>
      <c r="H86">
        <v>1.9675779971270457E-4</v>
      </c>
      <c r="I86">
        <f t="shared" si="61"/>
        <v>6.8257325799712706E-2</v>
      </c>
      <c r="W86">
        <v>0.106064846</v>
      </c>
      <c r="X86">
        <v>3.5762045178370366E-4</v>
      </c>
      <c r="Y86">
        <f t="shared" si="52"/>
        <v>0.10642246645178371</v>
      </c>
      <c r="AF86">
        <v>0.121415465</v>
      </c>
      <c r="AG86">
        <v>1.2521790409088934E-3</v>
      </c>
      <c r="AH86">
        <f t="shared" si="53"/>
        <v>0.12266764404090889</v>
      </c>
      <c r="AI86">
        <v>0.11645455028014701</v>
      </c>
      <c r="AJ86" s="58">
        <f t="shared" si="54"/>
        <v>-5.0649817311970699E-2</v>
      </c>
      <c r="AQ86">
        <v>0.12545455028014699</v>
      </c>
      <c r="AR86">
        <v>-1.1763500000010196E-4</v>
      </c>
      <c r="AS86">
        <f t="shared" si="62"/>
        <v>0.1253369152801469</v>
      </c>
      <c r="AT86">
        <v>9.47876E-2</v>
      </c>
      <c r="AU86" s="58">
        <f t="shared" si="55"/>
        <v>-0.2437375709451966</v>
      </c>
      <c r="BB86">
        <v>0.10328759999999999</v>
      </c>
      <c r="BC86">
        <v>2.6239999999999597E-4</v>
      </c>
      <c r="BD86">
        <f t="shared" si="56"/>
        <v>0.10354999999999999</v>
      </c>
      <c r="BE86">
        <v>9.7049999999999997E-2</v>
      </c>
      <c r="BF86" s="58">
        <f t="shared" si="57"/>
        <v>-6.2771607918879702E-2</v>
      </c>
      <c r="BM86">
        <v>0.10455</v>
      </c>
      <c r="BN86">
        <v>-2.9999999999999472E-4</v>
      </c>
      <c r="BO86">
        <f t="shared" si="58"/>
        <v>0.10425000000000001</v>
      </c>
      <c r="BP86">
        <v>9.5750000000000002E-2</v>
      </c>
      <c r="BQ86" s="58">
        <f t="shared" si="59"/>
        <v>-8.1534772182254259E-2</v>
      </c>
    </row>
    <row r="87" spans="7:69" x14ac:dyDescent="0.25">
      <c r="G87">
        <v>7.1482973000000005E-2</v>
      </c>
      <c r="H87">
        <v>-6.8719389956589001E-3</v>
      </c>
      <c r="I87">
        <f t="shared" si="61"/>
        <v>6.4611034004341109E-2</v>
      </c>
      <c r="W87">
        <v>0.14820344599999999</v>
      </c>
      <c r="X87">
        <v>0</v>
      </c>
      <c r="Y87">
        <f t="shared" si="52"/>
        <v>0.14820344599999999</v>
      </c>
      <c r="AF87">
        <v>0.18408915100000001</v>
      </c>
      <c r="AG87">
        <v>0</v>
      </c>
      <c r="AH87">
        <f t="shared" si="53"/>
        <v>0.18408915100000001</v>
      </c>
      <c r="AI87">
        <v>0.189624274177663</v>
      </c>
      <c r="AJ87" s="58">
        <f t="shared" si="54"/>
        <v>3.0067622929408795E-2</v>
      </c>
      <c r="AQ87">
        <v>0.19862427417766301</v>
      </c>
      <c r="AR87">
        <v>0</v>
      </c>
      <c r="AS87">
        <f t="shared" si="62"/>
        <v>0.19862427417766301</v>
      </c>
      <c r="AT87">
        <v>0.135801818407388</v>
      </c>
      <c r="AU87" s="58">
        <f t="shared" si="55"/>
        <v>-0.31628790604960172</v>
      </c>
      <c r="BB87">
        <v>0.144301818</v>
      </c>
      <c r="BC87">
        <v>0</v>
      </c>
      <c r="BD87">
        <f t="shared" si="56"/>
        <v>0.144301818</v>
      </c>
      <c r="BE87">
        <v>0.137801818073087</v>
      </c>
      <c r="BF87" s="58">
        <f t="shared" si="57"/>
        <v>-4.5044477034329511E-2</v>
      </c>
      <c r="BM87">
        <v>0.145301818</v>
      </c>
      <c r="BN87">
        <v>0</v>
      </c>
      <c r="BO87">
        <f t="shared" si="58"/>
        <v>0.145301818</v>
      </c>
      <c r="BP87">
        <v>0.13680181919297399</v>
      </c>
      <c r="BQ87" s="58">
        <f t="shared" si="59"/>
        <v>-5.8498915732947063E-2</v>
      </c>
    </row>
    <row r="88" spans="7:69" x14ac:dyDescent="0.25">
      <c r="G88">
        <v>6.3571434999999996E-2</v>
      </c>
      <c r="H88">
        <v>1.3175274141610099E-4</v>
      </c>
      <c r="I88">
        <f t="shared" si="61"/>
        <v>6.370318774141609E-2</v>
      </c>
      <c r="W88">
        <v>9.2712741000000001E-2</v>
      </c>
      <c r="X88">
        <v>1.1301554315279461E-4</v>
      </c>
      <c r="Y88">
        <f t="shared" si="52"/>
        <v>9.2825756543152796E-2</v>
      </c>
      <c r="AF88">
        <v>0.10346000800000001</v>
      </c>
      <c r="AG88">
        <v>1.0069514686137926E-3</v>
      </c>
      <c r="AH88">
        <f t="shared" si="53"/>
        <v>0.1044669594686138</v>
      </c>
      <c r="AI88">
        <v>9.3473818460601196E-2</v>
      </c>
      <c r="AJ88" s="58">
        <f t="shared" si="54"/>
        <v>-0.10523079319940767</v>
      </c>
      <c r="AQ88">
        <v>0.102473818460601</v>
      </c>
      <c r="AR88">
        <v>2.9912900000000908E-4</v>
      </c>
      <c r="AS88">
        <f t="shared" si="62"/>
        <v>0.10277294746060101</v>
      </c>
      <c r="AT88">
        <v>8.0860059999999997E-2</v>
      </c>
      <c r="AU88" s="58">
        <f t="shared" si="55"/>
        <v>-0.21321649327028908</v>
      </c>
      <c r="BB88">
        <v>8.9360060000000005E-2</v>
      </c>
      <c r="BC88">
        <v>2.8994000000000242E-4</v>
      </c>
      <c r="BD88">
        <f t="shared" si="56"/>
        <v>8.9650000000000007E-2</v>
      </c>
      <c r="BE88">
        <v>8.31500000060411E-2</v>
      </c>
      <c r="BF88" s="58">
        <f t="shared" si="57"/>
        <v>-7.2504182866245478E-2</v>
      </c>
      <c r="BM88">
        <v>9.0649999999999994E-2</v>
      </c>
      <c r="BN88">
        <v>-2.9999999765299712E-4</v>
      </c>
      <c r="BO88">
        <f t="shared" si="58"/>
        <v>9.0350000002346997E-2</v>
      </c>
      <c r="BP88">
        <v>8.1850000000000006E-2</v>
      </c>
      <c r="BQ88" s="58">
        <f t="shared" si="59"/>
        <v>-9.4078583310749184E-2</v>
      </c>
    </row>
    <row r="89" spans="7:69" x14ac:dyDescent="0.25">
      <c r="G89">
        <v>6.9215453999999996E-2</v>
      </c>
      <c r="H89">
        <v>-2.4754849214649946E-3</v>
      </c>
      <c r="I89">
        <f t="shared" si="61"/>
        <v>6.6739969078534994E-2</v>
      </c>
      <c r="W89">
        <v>0.11314854100000001</v>
      </c>
      <c r="X89">
        <v>0</v>
      </c>
      <c r="Y89">
        <f t="shared" si="52"/>
        <v>0.11314854100000001</v>
      </c>
      <c r="AF89">
        <v>0.14017337799999999</v>
      </c>
      <c r="AG89">
        <v>0</v>
      </c>
      <c r="AH89">
        <f t="shared" si="53"/>
        <v>0.14017337799999999</v>
      </c>
      <c r="AI89">
        <v>0.144765973650862</v>
      </c>
      <c r="AJ89" s="58">
        <f t="shared" si="54"/>
        <v>3.2763679640095487E-2</v>
      </c>
      <c r="AQ89">
        <v>0.153765973650862</v>
      </c>
      <c r="AR89">
        <v>0</v>
      </c>
      <c r="AS89">
        <f t="shared" si="62"/>
        <v>0.153765973650862</v>
      </c>
      <c r="AT89">
        <v>0.13147536660227699</v>
      </c>
      <c r="AU89" s="58">
        <f t="shared" si="55"/>
        <v>-0.1449644971467981</v>
      </c>
      <c r="BB89">
        <v>0.13997536699999999</v>
      </c>
      <c r="BC89">
        <v>0</v>
      </c>
      <c r="BD89">
        <f t="shared" si="56"/>
        <v>0.13997536699999999</v>
      </c>
      <c r="BE89">
        <v>0.143468613798061</v>
      </c>
      <c r="BF89" s="58">
        <f t="shared" si="57"/>
        <v>2.4956153878567876E-2</v>
      </c>
      <c r="BM89">
        <v>0.150968614</v>
      </c>
      <c r="BN89">
        <v>0</v>
      </c>
      <c r="BO89">
        <f t="shared" si="58"/>
        <v>0.150968614</v>
      </c>
      <c r="BP89">
        <v>0.14507198150098</v>
      </c>
      <c r="BQ89" s="58">
        <f t="shared" si="59"/>
        <v>-3.9058664862750905E-2</v>
      </c>
    </row>
    <row r="90" spans="7:69" x14ac:dyDescent="0.25">
      <c r="G90">
        <v>7.1528596999999999E-2</v>
      </c>
      <c r="H90">
        <v>-7.9935107322019992E-3</v>
      </c>
      <c r="I90">
        <f t="shared" si="61"/>
        <v>6.3535086267797997E-2</v>
      </c>
      <c r="W90">
        <v>0.143581077</v>
      </c>
      <c r="X90">
        <v>0</v>
      </c>
      <c r="Y90">
        <f t="shared" si="52"/>
        <v>0.143581077</v>
      </c>
      <c r="AF90">
        <v>0.17591322200000001</v>
      </c>
      <c r="AG90">
        <v>0</v>
      </c>
      <c r="AH90">
        <f t="shared" si="53"/>
        <v>0.17591322200000001</v>
      </c>
      <c r="AI90">
        <v>0.17991383059329</v>
      </c>
      <c r="AJ90" s="58">
        <f t="shared" si="54"/>
        <v>2.2741943714100064E-2</v>
      </c>
      <c r="AQ90">
        <v>0.18891383059329001</v>
      </c>
      <c r="AR90">
        <v>0</v>
      </c>
      <c r="AS90">
        <f t="shared" si="62"/>
        <v>0.18891383059329001</v>
      </c>
      <c r="AT90">
        <v>0.16144317829856999</v>
      </c>
      <c r="AU90" s="58">
        <f t="shared" si="55"/>
        <v>-0.1454136640416826</v>
      </c>
      <c r="BB90">
        <v>0.169943178</v>
      </c>
      <c r="BC90">
        <v>0</v>
      </c>
      <c r="BD90">
        <f t="shared" si="56"/>
        <v>0.169943178</v>
      </c>
      <c r="BE90">
        <v>0.142526809020732</v>
      </c>
      <c r="BF90" s="58">
        <f t="shared" si="57"/>
        <v>-0.16132668167043454</v>
      </c>
      <c r="BM90">
        <v>0.15002680900000001</v>
      </c>
      <c r="BN90">
        <v>0</v>
      </c>
      <c r="BO90">
        <f t="shared" si="58"/>
        <v>0.15002680900000001</v>
      </c>
      <c r="BP90">
        <v>0.141526809000665</v>
      </c>
      <c r="BQ90" s="58">
        <f t="shared" si="59"/>
        <v>-5.6656540627582172E-2</v>
      </c>
    </row>
    <row r="91" spans="7:69" x14ac:dyDescent="0.25">
      <c r="G91">
        <v>6.6466397999999996E-2</v>
      </c>
      <c r="H91">
        <v>1.6875739881495877E-5</v>
      </c>
      <c r="I91">
        <f t="shared" si="61"/>
        <v>6.6483273739881499E-2</v>
      </c>
      <c r="W91">
        <v>9.8736251999999997E-2</v>
      </c>
      <c r="X91">
        <v>1.3682125857719662E-4</v>
      </c>
      <c r="Y91">
        <f t="shared" si="52"/>
        <v>9.8873073258577193E-2</v>
      </c>
      <c r="AF91">
        <v>0.11388730900000001</v>
      </c>
      <c r="AG91">
        <v>1.2207471100096068E-3</v>
      </c>
      <c r="AH91">
        <f t="shared" si="53"/>
        <v>0.11510805611000961</v>
      </c>
      <c r="AI91">
        <v>0.111235515045722</v>
      </c>
      <c r="AJ91" s="58">
        <f t="shared" si="54"/>
        <v>-3.3642658864698353E-2</v>
      </c>
      <c r="AQ91">
        <v>0.120235515045722</v>
      </c>
      <c r="AR91">
        <v>7.7937599999999829E-4</v>
      </c>
      <c r="AS91">
        <f t="shared" si="62"/>
        <v>0.121014891045722</v>
      </c>
      <c r="AT91">
        <v>9.0995009144860806E-2</v>
      </c>
      <c r="AU91" s="58">
        <f t="shared" si="55"/>
        <v>-0.24806766870962219</v>
      </c>
      <c r="BB91">
        <v>9.9495008999999995E-2</v>
      </c>
      <c r="BC91">
        <v>4.049926627049949E-4</v>
      </c>
      <c r="BD91">
        <f t="shared" si="56"/>
        <v>9.990000166270499E-2</v>
      </c>
      <c r="BE91">
        <v>9.3400000999999996E-2</v>
      </c>
      <c r="BF91" s="58">
        <f t="shared" si="57"/>
        <v>-6.5065070615825588E-2</v>
      </c>
      <c r="BM91">
        <v>0.100900001</v>
      </c>
      <c r="BN91">
        <v>-2.500009999999997E-4</v>
      </c>
      <c r="BO91">
        <f t="shared" si="58"/>
        <v>0.10065</v>
      </c>
      <c r="BP91">
        <v>9.2150000002532304E-2</v>
      </c>
      <c r="BQ91" s="58">
        <f t="shared" si="59"/>
        <v>-8.4451068032465965E-2</v>
      </c>
    </row>
    <row r="92" spans="7:69" x14ac:dyDescent="0.25">
      <c r="G92">
        <v>7.2828035999999999E-2</v>
      </c>
      <c r="H92">
        <v>-4.6576908168487023E-3</v>
      </c>
      <c r="I92">
        <f t="shared" si="61"/>
        <v>6.8170345183151293E-2</v>
      </c>
      <c r="W92">
        <v>0.144331283</v>
      </c>
      <c r="X92">
        <v>0</v>
      </c>
      <c r="Y92">
        <f t="shared" si="52"/>
        <v>0.144331283</v>
      </c>
      <c r="AF92">
        <v>0.17766594999999999</v>
      </c>
      <c r="AG92">
        <v>0</v>
      </c>
      <c r="AH92">
        <f t="shared" si="53"/>
        <v>0.17766594999999999</v>
      </c>
      <c r="AI92">
        <v>0.19274371533492399</v>
      </c>
      <c r="AJ92" s="58">
        <f t="shared" si="54"/>
        <v>8.4865813257543152E-2</v>
      </c>
      <c r="AQ92">
        <v>0.201743715334924</v>
      </c>
      <c r="AR92">
        <v>0</v>
      </c>
      <c r="AS92">
        <f t="shared" si="62"/>
        <v>0.201743715334924</v>
      </c>
      <c r="AT92">
        <v>0.15147384909825701</v>
      </c>
      <c r="AU92" s="58">
        <f t="shared" si="55"/>
        <v>-0.24917686359256186</v>
      </c>
      <c r="BB92">
        <v>0.159973849</v>
      </c>
      <c r="BC92">
        <v>0</v>
      </c>
      <c r="BD92">
        <f t="shared" si="56"/>
        <v>0.159973849</v>
      </c>
      <c r="BE92">
        <v>0.14293366402118399</v>
      </c>
      <c r="BF92" s="58">
        <f t="shared" si="57"/>
        <v>-0.10651856591145728</v>
      </c>
      <c r="BM92">
        <v>0.15043366399999999</v>
      </c>
      <c r="BN92">
        <v>0</v>
      </c>
      <c r="BO92">
        <f t="shared" si="58"/>
        <v>0.15043366399999999</v>
      </c>
      <c r="BP92">
        <v>0.14193366401334401</v>
      </c>
      <c r="BQ92" s="58">
        <f t="shared" si="59"/>
        <v>-5.650331023417729E-2</v>
      </c>
    </row>
    <row r="93" spans="7:69" x14ac:dyDescent="0.25">
      <c r="G93">
        <v>7.0375674999999999E-2</v>
      </c>
      <c r="H93">
        <v>9.0577486759613191E-7</v>
      </c>
      <c r="I93">
        <f t="shared" si="61"/>
        <v>7.0376580774867595E-2</v>
      </c>
      <c r="W93">
        <v>0.108364855</v>
      </c>
      <c r="X93">
        <v>-1.7507421552973024E-6</v>
      </c>
      <c r="Y93">
        <f t="shared" si="52"/>
        <v>0.10836310425784471</v>
      </c>
      <c r="AF93">
        <v>0.12841991999999999</v>
      </c>
      <c r="AG93">
        <v>1.4318376785599912E-3</v>
      </c>
      <c r="AH93">
        <f t="shared" si="53"/>
        <v>0.12985175767856</v>
      </c>
      <c r="AI93">
        <v>0.12004958211507299</v>
      </c>
      <c r="AJ93" s="58">
        <f t="shared" si="54"/>
        <v>-7.5487430734296895E-2</v>
      </c>
      <c r="AQ93">
        <v>0.129049582115073</v>
      </c>
      <c r="AR93">
        <v>7.7179500000000567E-4</v>
      </c>
      <c r="AS93">
        <f t="shared" si="62"/>
        <v>0.12982137711507302</v>
      </c>
      <c r="AT93">
        <v>0.110488476005906</v>
      </c>
      <c r="AU93" s="58">
        <f t="shared" si="55"/>
        <v>-0.14891924226031306</v>
      </c>
      <c r="BB93">
        <v>0.118988476</v>
      </c>
      <c r="BC93">
        <v>6.9665211338360011E-4</v>
      </c>
      <c r="BD93">
        <f t="shared" si="56"/>
        <v>0.1196851281133836</v>
      </c>
      <c r="BE93">
        <v>0.105578344</v>
      </c>
      <c r="BF93" s="58">
        <f t="shared" si="57"/>
        <v>-0.11786580618453733</v>
      </c>
      <c r="BM93">
        <v>0.113078344</v>
      </c>
      <c r="BN93">
        <v>-1.1783439999999978E-3</v>
      </c>
      <c r="BO93">
        <f t="shared" si="58"/>
        <v>0.1119</v>
      </c>
      <c r="BP93">
        <v>0.10340000000094</v>
      </c>
      <c r="BQ93" s="58">
        <f t="shared" si="59"/>
        <v>-7.5960679169436954E-2</v>
      </c>
    </row>
    <row r="94" spans="7:69" x14ac:dyDescent="0.25">
      <c r="G94">
        <v>7.2970192000000003E-2</v>
      </c>
      <c r="H94">
        <v>-3.9420285785493024E-3</v>
      </c>
      <c r="I94">
        <f t="shared" si="61"/>
        <v>6.9028163421450697E-2</v>
      </c>
      <c r="W94">
        <v>0.105697765</v>
      </c>
      <c r="X94">
        <v>0</v>
      </c>
      <c r="Y94">
        <f t="shared" si="52"/>
        <v>0.105697765</v>
      </c>
      <c r="AF94">
        <v>0.14110340499999999</v>
      </c>
      <c r="AG94">
        <v>0</v>
      </c>
      <c r="AH94">
        <f t="shared" si="53"/>
        <v>0.14110340499999999</v>
      </c>
      <c r="AI94">
        <v>0.14722717112790201</v>
      </c>
      <c r="AJ94" s="58">
        <f t="shared" si="54"/>
        <v>4.3399137872697155E-2</v>
      </c>
      <c r="AQ94">
        <v>0.15622717112790199</v>
      </c>
      <c r="AR94">
        <v>0</v>
      </c>
      <c r="AS94">
        <f t="shared" si="62"/>
        <v>0.15622717112790199</v>
      </c>
      <c r="AT94">
        <v>0.13252252127407599</v>
      </c>
      <c r="AU94" s="58">
        <f t="shared" si="55"/>
        <v>-0.15173192782463679</v>
      </c>
      <c r="BB94">
        <v>0.14102252100000001</v>
      </c>
      <c r="BC94">
        <v>0</v>
      </c>
      <c r="BD94">
        <f t="shared" si="56"/>
        <v>0.14102252100000001</v>
      </c>
      <c r="BE94">
        <v>0.118286678022707</v>
      </c>
      <c r="BF94" s="58">
        <f t="shared" si="57"/>
        <v>-0.16122136248927937</v>
      </c>
      <c r="BM94">
        <v>0.12578667800000001</v>
      </c>
      <c r="BN94">
        <v>0</v>
      </c>
      <c r="BO94">
        <f t="shared" si="58"/>
        <v>0.12578667800000001</v>
      </c>
      <c r="BP94">
        <v>0.120136351573114</v>
      </c>
      <c r="BQ94" s="58">
        <f t="shared" si="59"/>
        <v>-4.4919911366814294E-2</v>
      </c>
    </row>
    <row r="95" spans="7:69" x14ac:dyDescent="0.25">
      <c r="G95">
        <v>6.7528974000000005E-2</v>
      </c>
      <c r="H95">
        <v>-1.1920755866646968E-3</v>
      </c>
      <c r="I95">
        <f t="shared" si="61"/>
        <v>6.6336898413335316E-2</v>
      </c>
      <c r="W95">
        <v>9.6500753999999994E-2</v>
      </c>
      <c r="X95">
        <v>0</v>
      </c>
      <c r="Y95">
        <f t="shared" si="52"/>
        <v>9.6500753999999994E-2</v>
      </c>
      <c r="AF95">
        <v>0.106230222</v>
      </c>
      <c r="AG95">
        <v>0</v>
      </c>
      <c r="AH95">
        <f t="shared" si="53"/>
        <v>0.106230222</v>
      </c>
      <c r="AI95">
        <v>0.10199207365622601</v>
      </c>
      <c r="AJ95" s="58">
        <f t="shared" si="54"/>
        <v>-3.9895881454281371E-2</v>
      </c>
      <c r="AQ95">
        <v>0.110992073656226</v>
      </c>
      <c r="AR95">
        <v>0</v>
      </c>
      <c r="AS95">
        <f t="shared" si="62"/>
        <v>0.110992073656226</v>
      </c>
      <c r="AT95">
        <v>8.4627567778050403E-2</v>
      </c>
      <c r="AU95" s="58">
        <f t="shared" si="55"/>
        <v>-0.23753503299554496</v>
      </c>
      <c r="BB95">
        <v>9.3127567999999994E-2</v>
      </c>
      <c r="BC95">
        <v>0</v>
      </c>
      <c r="BD95">
        <f t="shared" si="56"/>
        <v>9.3127567999999994E-2</v>
      </c>
      <c r="BE95">
        <v>9.9332450761149202E-2</v>
      </c>
      <c r="BF95" s="58">
        <f t="shared" si="57"/>
        <v>6.6627776225716626E-2</v>
      </c>
      <c r="BM95">
        <v>0.10683245099999999</v>
      </c>
      <c r="BN95">
        <v>0</v>
      </c>
      <c r="BO95">
        <f t="shared" si="58"/>
        <v>0.10683245099999999</v>
      </c>
      <c r="BP95">
        <v>9.8540048901578303E-2</v>
      </c>
      <c r="BQ95" s="58">
        <f t="shared" si="59"/>
        <v>-7.7620629507243008E-2</v>
      </c>
    </row>
    <row r="96" spans="7:69" x14ac:dyDescent="0.25">
      <c r="G96">
        <v>6.6671497999999996E-2</v>
      </c>
      <c r="H96">
        <v>-6.0503270650349994E-4</v>
      </c>
      <c r="I96">
        <f t="shared" si="61"/>
        <v>6.6066465293496496E-2</v>
      </c>
      <c r="W96">
        <v>9.9721092999999997E-2</v>
      </c>
      <c r="X96">
        <v>0</v>
      </c>
      <c r="Y96">
        <f t="shared" si="52"/>
        <v>9.9721092999999997E-2</v>
      </c>
      <c r="AF96">
        <v>0.11117894</v>
      </c>
      <c r="AG96">
        <v>0</v>
      </c>
      <c r="AH96">
        <f t="shared" si="53"/>
        <v>0.11117894</v>
      </c>
      <c r="AI96">
        <v>0.108068980235901</v>
      </c>
      <c r="AJ96" s="58">
        <f t="shared" si="54"/>
        <v>-2.7972561746847036E-2</v>
      </c>
      <c r="AQ96">
        <v>0.117068980235901</v>
      </c>
      <c r="AR96">
        <v>0</v>
      </c>
      <c r="AS96">
        <f t="shared" si="62"/>
        <v>0.117068980235901</v>
      </c>
      <c r="AT96">
        <v>8.9461723017310493E-2</v>
      </c>
      <c r="AU96" s="58">
        <f t="shared" si="55"/>
        <v>-0.23582042965574851</v>
      </c>
      <c r="BB96">
        <v>9.7961723000000001E-2</v>
      </c>
      <c r="BC96">
        <v>0</v>
      </c>
      <c r="BD96">
        <f t="shared" si="56"/>
        <v>9.7961723000000001E-2</v>
      </c>
      <c r="BE96">
        <v>9.53291482710414E-2</v>
      </c>
      <c r="BF96" s="58">
        <f t="shared" si="57"/>
        <v>-2.6873503735317113E-2</v>
      </c>
      <c r="BM96">
        <v>0.102829148</v>
      </c>
      <c r="BN96">
        <v>0</v>
      </c>
      <c r="BO96">
        <f t="shared" si="58"/>
        <v>0.102829148</v>
      </c>
      <c r="BP96">
        <v>9.8785353573918294E-2</v>
      </c>
      <c r="BQ96" s="58">
        <f t="shared" si="59"/>
        <v>-3.9325371305047679E-2</v>
      </c>
    </row>
    <row r="97" spans="7:69" x14ac:dyDescent="0.25">
      <c r="G97">
        <v>6.8866616000000005E-2</v>
      </c>
      <c r="H97">
        <v>-2.1658145890988967E-3</v>
      </c>
      <c r="I97">
        <f t="shared" si="61"/>
        <v>6.6700801410901109E-2</v>
      </c>
      <c r="W97">
        <v>9.8971346000000002E-2</v>
      </c>
      <c r="X97">
        <v>0</v>
      </c>
      <c r="Y97">
        <f t="shared" si="52"/>
        <v>9.8971346000000002E-2</v>
      </c>
      <c r="AF97">
        <v>0.11760619999999999</v>
      </c>
      <c r="AG97">
        <v>0</v>
      </c>
      <c r="AH97">
        <f t="shared" si="53"/>
        <v>0.11760619999999999</v>
      </c>
      <c r="AI97">
        <v>0.11570487935528601</v>
      </c>
      <c r="AJ97" s="58">
        <f t="shared" si="54"/>
        <v>-1.6166840223678588E-2</v>
      </c>
      <c r="AQ97">
        <v>0.124704879355286</v>
      </c>
      <c r="AR97">
        <v>0</v>
      </c>
      <c r="AS97">
        <f t="shared" si="62"/>
        <v>0.124704879355286</v>
      </c>
      <c r="AT97">
        <v>0.109059736039171</v>
      </c>
      <c r="AU97" s="58">
        <f t="shared" si="55"/>
        <v>-0.12545734695385702</v>
      </c>
      <c r="BB97">
        <v>0.117559736</v>
      </c>
      <c r="BC97">
        <v>0</v>
      </c>
      <c r="BD97">
        <f t="shared" si="56"/>
        <v>0.117559736</v>
      </c>
      <c r="BE97">
        <v>0.13018852236143599</v>
      </c>
      <c r="BF97" s="58">
        <f t="shared" si="57"/>
        <v>0.10742441920281273</v>
      </c>
      <c r="BM97">
        <v>0.13768852200000001</v>
      </c>
      <c r="BN97">
        <v>0</v>
      </c>
      <c r="BO97">
        <f t="shared" si="58"/>
        <v>0.13768852200000001</v>
      </c>
      <c r="BP97">
        <v>0.13915126293623001</v>
      </c>
      <c r="BQ97" s="58">
        <f t="shared" si="59"/>
        <v>1.062355027843207E-2</v>
      </c>
    </row>
    <row r="98" spans="7:69" x14ac:dyDescent="0.25">
      <c r="G98">
        <v>7.3544127000000001E-2</v>
      </c>
      <c r="H98">
        <v>-6.3749351291188978E-3</v>
      </c>
      <c r="I98">
        <f t="shared" si="61"/>
        <v>6.7169191870881106E-2</v>
      </c>
      <c r="W98">
        <v>0.113473923</v>
      </c>
      <c r="X98">
        <v>0</v>
      </c>
      <c r="Y98">
        <f t="shared" ref="Y98:Y129" si="64">W98+X98</f>
        <v>0.113473923</v>
      </c>
      <c r="AF98">
        <v>0.123537853</v>
      </c>
      <c r="AG98">
        <v>0</v>
      </c>
      <c r="AH98">
        <f t="shared" ref="AH98:AH129" si="65">AF98+AG98</f>
        <v>0.123537853</v>
      </c>
      <c r="AI98">
        <v>0.123342516449544</v>
      </c>
      <c r="AJ98" s="58">
        <f t="shared" ref="AJ98:AJ129" si="66">(AI98-AH98)/AH98</f>
        <v>-1.5811878360554356E-3</v>
      </c>
      <c r="AQ98">
        <v>0.13184251644954401</v>
      </c>
      <c r="AR98">
        <v>0</v>
      </c>
      <c r="AS98">
        <f t="shared" si="62"/>
        <v>0.13184251644954401</v>
      </c>
      <c r="AT98">
        <v>0.10842052738831499</v>
      </c>
      <c r="AU98" s="58">
        <f t="shared" ref="AU98:AU129" si="67">(AT98-AS98)/AS98</f>
        <v>-0.17765125918385047</v>
      </c>
      <c r="BB98">
        <v>0.115920527</v>
      </c>
      <c r="BC98">
        <v>0</v>
      </c>
      <c r="BD98">
        <f t="shared" ref="BD98:BD121" si="68">BB98+BC98</f>
        <v>0.115920527</v>
      </c>
      <c r="BE98">
        <v>0.101709616016685</v>
      </c>
      <c r="BF98" s="58">
        <f t="shared" ref="BF98:BF121" si="69">(BE98-BD98)/BD98</f>
        <v>-0.12259184245526242</v>
      </c>
    </row>
    <row r="99" spans="7:69" x14ac:dyDescent="0.25">
      <c r="G99">
        <v>7.8927912000000003E-2</v>
      </c>
      <c r="H99">
        <v>-8.4097121690800969E-3</v>
      </c>
      <c r="I99">
        <f t="shared" si="61"/>
        <v>7.0518199830919906E-2</v>
      </c>
      <c r="W99">
        <v>0.121604166</v>
      </c>
      <c r="X99">
        <v>0</v>
      </c>
      <c r="Y99">
        <f t="shared" si="64"/>
        <v>0.121604166</v>
      </c>
      <c r="AF99">
        <v>0.195895033</v>
      </c>
      <c r="AG99">
        <v>0</v>
      </c>
      <c r="AH99">
        <f t="shared" si="65"/>
        <v>0.195895033</v>
      </c>
      <c r="AI99">
        <v>0.15931501357821301</v>
      </c>
      <c r="AJ99" s="58">
        <f t="shared" si="66"/>
        <v>-0.18673275611733856</v>
      </c>
      <c r="AQ99">
        <v>0.16781501357821299</v>
      </c>
      <c r="AR99">
        <v>0</v>
      </c>
      <c r="AS99">
        <f t="shared" si="62"/>
        <v>0.16781501357821299</v>
      </c>
      <c r="AT99">
        <v>0.149658560474043</v>
      </c>
      <c r="AU99" s="58">
        <f t="shared" si="67"/>
        <v>-0.10819325826117385</v>
      </c>
      <c r="BB99">
        <v>0.15715856</v>
      </c>
      <c r="BC99">
        <v>0</v>
      </c>
      <c r="BD99">
        <f t="shared" si="68"/>
        <v>0.15715856</v>
      </c>
      <c r="BE99">
        <v>0.146356160203052</v>
      </c>
      <c r="BF99" s="58">
        <f t="shared" si="69"/>
        <v>-6.873567559379519E-2</v>
      </c>
    </row>
    <row r="100" spans="7:69" x14ac:dyDescent="0.25">
      <c r="G100">
        <v>8.2602702E-2</v>
      </c>
      <c r="H100">
        <v>3.4330022935269433E-4</v>
      </c>
      <c r="I100">
        <f t="shared" si="61"/>
        <v>8.2946002229352694E-2</v>
      </c>
      <c r="W100">
        <v>0.124073031</v>
      </c>
      <c r="X100">
        <v>8.3054312697419114E-4</v>
      </c>
      <c r="Y100">
        <f t="shared" si="64"/>
        <v>0.1249035741269742</v>
      </c>
      <c r="AF100">
        <v>0.149203693</v>
      </c>
      <c r="AG100">
        <v>1.7091076305970065E-3</v>
      </c>
      <c r="AH100">
        <f t="shared" si="65"/>
        <v>0.150912800630597</v>
      </c>
      <c r="AI100">
        <v>0.14565545211646599</v>
      </c>
      <c r="AJ100" s="58">
        <f t="shared" si="66"/>
        <v>-3.4836995219510246E-2</v>
      </c>
      <c r="AQ100">
        <v>0.154155452116466</v>
      </c>
      <c r="AR100">
        <v>-7.0856999999799331E-5</v>
      </c>
      <c r="AS100">
        <f t="shared" si="62"/>
        <v>0.15408459511646622</v>
      </c>
      <c r="AT100">
        <v>0.116403538999999</v>
      </c>
      <c r="AU100" s="58">
        <f t="shared" si="67"/>
        <v>-0.24454784781039046</v>
      </c>
      <c r="BB100">
        <v>0.12390353899999999</v>
      </c>
      <c r="BC100">
        <v>-6.5353899999999465E-4</v>
      </c>
      <c r="BD100">
        <f t="shared" si="68"/>
        <v>0.12325</v>
      </c>
      <c r="BE100">
        <v>0.11674999999999899</v>
      </c>
      <c r="BF100" s="58">
        <f t="shared" si="69"/>
        <v>-5.2738336714004096E-2</v>
      </c>
    </row>
    <row r="101" spans="7:69" x14ac:dyDescent="0.25">
      <c r="G101">
        <v>7.2778245000000005E-2</v>
      </c>
      <c r="H101">
        <v>-2.9401066798204201E-5</v>
      </c>
      <c r="I101">
        <f t="shared" si="61"/>
        <v>7.2748843933201801E-2</v>
      </c>
      <c r="W101">
        <v>8.0013239E-2</v>
      </c>
      <c r="X101">
        <v>0</v>
      </c>
      <c r="Y101">
        <f t="shared" si="64"/>
        <v>8.0013239E-2</v>
      </c>
      <c r="AF101">
        <v>9.1025345999999993E-2</v>
      </c>
      <c r="AG101">
        <v>0</v>
      </c>
      <c r="AH101">
        <f t="shared" si="65"/>
        <v>9.1025345999999993E-2</v>
      </c>
      <c r="AI101">
        <v>8.7538500260996993E-2</v>
      </c>
      <c r="AJ101" s="58">
        <f t="shared" si="66"/>
        <v>-3.8306316781295181E-2</v>
      </c>
      <c r="AQ101">
        <v>9.6038500260997001E-2</v>
      </c>
      <c r="AR101">
        <v>0</v>
      </c>
      <c r="AS101">
        <f t="shared" si="62"/>
        <v>9.6038500260997001E-2</v>
      </c>
      <c r="AT101">
        <v>7.5708142083315694E-2</v>
      </c>
      <c r="AU101" s="58">
        <f t="shared" si="67"/>
        <v>-0.21168966739829276</v>
      </c>
      <c r="BB101">
        <v>8.3208141999999999E-2</v>
      </c>
      <c r="BC101">
        <v>0</v>
      </c>
      <c r="BD101">
        <f t="shared" si="68"/>
        <v>8.3208141999999999E-2</v>
      </c>
      <c r="BE101">
        <v>7.6708142059829898E-2</v>
      </c>
      <c r="BF101" s="58">
        <f t="shared" si="69"/>
        <v>-7.8117354671494776E-2</v>
      </c>
    </row>
    <row r="102" spans="7:69" x14ac:dyDescent="0.25">
      <c r="G102">
        <v>7.2884070999999995E-2</v>
      </c>
      <c r="H102">
        <v>2.9763634334420419E-4</v>
      </c>
      <c r="I102">
        <f t="shared" si="61"/>
        <v>7.3181707343344199E-2</v>
      </c>
      <c r="W102">
        <v>7.7283166E-2</v>
      </c>
      <c r="X102">
        <v>-3.1269733533020178E-4</v>
      </c>
      <c r="Y102">
        <f t="shared" si="64"/>
        <v>7.6970468664669806E-2</v>
      </c>
      <c r="AF102">
        <v>8.9773141000000001E-2</v>
      </c>
      <c r="AG102">
        <v>8.7379074452159644E-4</v>
      </c>
      <c r="AH102">
        <f t="shared" si="65"/>
        <v>9.0646931744521597E-2</v>
      </c>
      <c r="AI102">
        <v>8.7214815021531097E-2</v>
      </c>
      <c r="AJ102" s="58">
        <f t="shared" si="66"/>
        <v>-3.7862469881093638E-2</v>
      </c>
      <c r="AQ102">
        <v>9.5714815021531105E-2</v>
      </c>
      <c r="AR102">
        <v>5.914229999999937E-4</v>
      </c>
      <c r="AS102">
        <f t="shared" si="62"/>
        <v>9.6306238021531099E-2</v>
      </c>
      <c r="AT102">
        <v>0.103281369820828</v>
      </c>
      <c r="AU102" s="58">
        <f t="shared" si="67"/>
        <v>7.2426583600300923E-2</v>
      </c>
      <c r="BB102">
        <v>0.11078137</v>
      </c>
      <c r="BC102">
        <v>8.2799105944039719E-4</v>
      </c>
      <c r="BD102">
        <f t="shared" si="68"/>
        <v>0.1116093610594404</v>
      </c>
      <c r="BE102">
        <v>0.10888164529729299</v>
      </c>
      <c r="BF102" s="58">
        <f t="shared" si="69"/>
        <v>-2.4439847484609215E-2</v>
      </c>
    </row>
    <row r="103" spans="7:69" x14ac:dyDescent="0.25">
      <c r="G103">
        <v>8.2095125000000005E-2</v>
      </c>
      <c r="H103">
        <v>3.1306913745570569E-4</v>
      </c>
      <c r="I103">
        <f t="shared" si="61"/>
        <v>8.2408194137455704E-2</v>
      </c>
      <c r="W103">
        <v>0.130478964</v>
      </c>
      <c r="X103">
        <v>9.301746106075981E-4</v>
      </c>
      <c r="Y103">
        <f t="shared" si="64"/>
        <v>0.1314091386106076</v>
      </c>
      <c r="AF103">
        <v>0.16211058</v>
      </c>
      <c r="AG103">
        <v>2.0479496993218993E-3</v>
      </c>
      <c r="AH103">
        <f t="shared" si="65"/>
        <v>0.1641585296993219</v>
      </c>
      <c r="AI103">
        <v>0.161943040314357</v>
      </c>
      <c r="AJ103" s="58">
        <f t="shared" si="66"/>
        <v>-1.349603574680445E-2</v>
      </c>
      <c r="AQ103">
        <v>0.170443040314357</v>
      </c>
      <c r="AR103">
        <v>7.4926600000048416E-4</v>
      </c>
      <c r="AS103">
        <f t="shared" si="62"/>
        <v>0.1711923063143575</v>
      </c>
      <c r="AT103">
        <v>0.12664995909910401</v>
      </c>
      <c r="AU103" s="58">
        <f t="shared" si="67"/>
        <v>-0.26018895459858543</v>
      </c>
      <c r="BB103">
        <v>0.13414995900000001</v>
      </c>
      <c r="BC103">
        <v>-6.9995896732130691E-4</v>
      </c>
      <c r="BD103">
        <f t="shared" si="68"/>
        <v>0.13345000003267871</v>
      </c>
      <c r="BE103">
        <v>0.12695000000000001</v>
      </c>
      <c r="BF103" s="58">
        <f t="shared" si="69"/>
        <v>-4.8707381274537317E-2</v>
      </c>
    </row>
    <row r="104" spans="7:69" x14ac:dyDescent="0.25">
      <c r="G104">
        <v>7.3906394E-2</v>
      </c>
      <c r="H104">
        <v>-6.2011973977157998E-3</v>
      </c>
      <c r="I104">
        <f t="shared" si="61"/>
        <v>6.7705196602284204E-2</v>
      </c>
      <c r="W104">
        <v>0.12706321100000001</v>
      </c>
      <c r="X104">
        <v>0</v>
      </c>
      <c r="Y104">
        <f t="shared" si="64"/>
        <v>0.12706321100000001</v>
      </c>
      <c r="AF104">
        <v>0.138639028</v>
      </c>
      <c r="AG104">
        <v>0</v>
      </c>
      <c r="AH104">
        <f t="shared" si="65"/>
        <v>0.138639028</v>
      </c>
      <c r="AI104">
        <v>0.137428486424237</v>
      </c>
      <c r="AJ104" s="58">
        <f t="shared" si="66"/>
        <v>-8.7316074934036779E-3</v>
      </c>
      <c r="AQ104">
        <v>0.145928486424237</v>
      </c>
      <c r="AR104">
        <v>0</v>
      </c>
      <c r="AS104">
        <f t="shared" si="62"/>
        <v>0.145928486424237</v>
      </c>
      <c r="AT104">
        <v>0.106713971</v>
      </c>
      <c r="AU104" s="58">
        <f t="shared" si="67"/>
        <v>-0.26872419761988248</v>
      </c>
      <c r="BB104">
        <v>0.114213971</v>
      </c>
      <c r="BC104">
        <v>0</v>
      </c>
      <c r="BD104">
        <f t="shared" si="68"/>
        <v>0.114213971</v>
      </c>
      <c r="BE104">
        <v>0.10771397099999901</v>
      </c>
      <c r="BF104" s="58">
        <f t="shared" si="69"/>
        <v>-5.6910725921621191E-2</v>
      </c>
    </row>
    <row r="105" spans="7:69" x14ac:dyDescent="0.25">
      <c r="G105">
        <v>7.7053775000000005E-2</v>
      </c>
      <c r="H105">
        <v>-1.572238165443697E-3</v>
      </c>
      <c r="I105">
        <f t="shared" si="61"/>
        <v>7.5481536834556301E-2</v>
      </c>
      <c r="W105">
        <v>0.10907787300000001</v>
      </c>
      <c r="X105">
        <v>0</v>
      </c>
      <c r="Y105">
        <f t="shared" si="64"/>
        <v>0.10907787300000001</v>
      </c>
      <c r="AF105">
        <v>0.12450019499999999</v>
      </c>
      <c r="AG105">
        <v>0</v>
      </c>
      <c r="AH105">
        <f t="shared" si="65"/>
        <v>0.12450019499999999</v>
      </c>
      <c r="AI105">
        <v>0.122556397280177</v>
      </c>
      <c r="AJ105" s="58">
        <f t="shared" si="66"/>
        <v>-1.5612808637151051E-2</v>
      </c>
      <c r="AQ105">
        <v>0.13105639728017701</v>
      </c>
      <c r="AR105">
        <v>0</v>
      </c>
      <c r="AS105">
        <f t="shared" si="62"/>
        <v>0.13105639728017701</v>
      </c>
      <c r="AT105">
        <v>0.100059709534326</v>
      </c>
      <c r="AU105" s="58">
        <f t="shared" si="67"/>
        <v>-0.23651411445093518</v>
      </c>
      <c r="BB105">
        <v>0.10755971</v>
      </c>
      <c r="BC105">
        <v>0</v>
      </c>
      <c r="BD105">
        <f t="shared" si="68"/>
        <v>0.10755971</v>
      </c>
      <c r="BE105">
        <v>0.10949765483047499</v>
      </c>
      <c r="BF105" s="58">
        <f t="shared" si="69"/>
        <v>1.8017386161370195E-2</v>
      </c>
    </row>
    <row r="106" spans="7:69" x14ac:dyDescent="0.25">
      <c r="G106">
        <v>7.2186255000000005E-2</v>
      </c>
      <c r="H106">
        <v>2.3083910746430139E-4</v>
      </c>
      <c r="I106">
        <f t="shared" si="61"/>
        <v>7.2417094107464303E-2</v>
      </c>
      <c r="W106">
        <v>0.108992322</v>
      </c>
      <c r="X106">
        <v>6.3010846582290531E-4</v>
      </c>
      <c r="Y106">
        <f t="shared" si="64"/>
        <v>0.1096224304658229</v>
      </c>
      <c r="AF106">
        <v>9.0818092000000003E-2</v>
      </c>
      <c r="AG106">
        <v>-9.7831607981829771E-4</v>
      </c>
      <c r="AH106">
        <f t="shared" si="65"/>
        <v>8.9839775920181705E-2</v>
      </c>
      <c r="AI106">
        <v>8.0083181761685704E-2</v>
      </c>
      <c r="AJ106" s="58">
        <f t="shared" si="66"/>
        <v>-0.10859993870826506</v>
      </c>
      <c r="AQ106">
        <v>8.8583181761685698E-2</v>
      </c>
      <c r="AR106">
        <v>1.0774200000000095E-4</v>
      </c>
      <c r="AS106">
        <f t="shared" si="62"/>
        <v>8.8690923761685692E-2</v>
      </c>
      <c r="AT106">
        <v>9.1261401460680402E-2</v>
      </c>
      <c r="AU106" s="58">
        <f t="shared" si="67"/>
        <v>2.8982421086306831E-2</v>
      </c>
      <c r="BB106">
        <v>9.8761400999999999E-2</v>
      </c>
      <c r="BC106">
        <v>5.4711564550230518E-4</v>
      </c>
      <c r="BD106">
        <f t="shared" si="68"/>
        <v>9.9308516645502304E-2</v>
      </c>
      <c r="BE106">
        <v>8.2899986999999994E-2</v>
      </c>
      <c r="BF106" s="58">
        <f t="shared" si="69"/>
        <v>-0.16522781932263866</v>
      </c>
    </row>
    <row r="107" spans="7:69" x14ac:dyDescent="0.25">
      <c r="G107">
        <v>7.6587144999999995E-2</v>
      </c>
      <c r="H107">
        <v>-6.3347704824426969E-3</v>
      </c>
      <c r="I107">
        <f t="shared" si="61"/>
        <v>7.0252374517557295E-2</v>
      </c>
      <c r="W107">
        <v>0.13440291500000001</v>
      </c>
      <c r="X107">
        <v>0</v>
      </c>
      <c r="Y107">
        <f t="shared" si="64"/>
        <v>0.13440291500000001</v>
      </c>
      <c r="AF107">
        <v>0.15215224399999999</v>
      </c>
      <c r="AG107">
        <v>0</v>
      </c>
      <c r="AH107">
        <f t="shared" si="65"/>
        <v>0.15215224399999999</v>
      </c>
      <c r="AI107">
        <v>0.14900026200525701</v>
      </c>
      <c r="AJ107" s="58">
        <f t="shared" si="66"/>
        <v>-2.0715974420613743E-2</v>
      </c>
      <c r="AQ107">
        <v>0.15750026200525699</v>
      </c>
      <c r="AR107">
        <v>0</v>
      </c>
      <c r="AS107">
        <f t="shared" si="62"/>
        <v>0.15750026200525699</v>
      </c>
      <c r="AT107">
        <v>0.12556708607616501</v>
      </c>
      <c r="AU107" s="58">
        <f t="shared" si="67"/>
        <v>-0.20274998607955411</v>
      </c>
      <c r="BB107">
        <v>0.133067086</v>
      </c>
      <c r="BC107">
        <v>0</v>
      </c>
      <c r="BD107">
        <f t="shared" si="68"/>
        <v>0.133067086</v>
      </c>
      <c r="BE107">
        <v>0.119583197</v>
      </c>
      <c r="BF107" s="58">
        <f t="shared" si="69"/>
        <v>-0.10133151183606739</v>
      </c>
    </row>
    <row r="108" spans="7:69" x14ac:dyDescent="0.25">
      <c r="G108">
        <v>7.2770008999999997E-2</v>
      </c>
      <c r="H108">
        <v>1.6346780113317971E-3</v>
      </c>
      <c r="I108">
        <f t="shared" si="61"/>
        <v>7.4404687011331794E-2</v>
      </c>
      <c r="W108">
        <v>0.106407723</v>
      </c>
      <c r="X108">
        <v>0</v>
      </c>
      <c r="Y108">
        <f t="shared" si="64"/>
        <v>0.106407723</v>
      </c>
      <c r="AF108">
        <v>0.111979868</v>
      </c>
      <c r="AG108">
        <v>0</v>
      </c>
      <c r="AH108">
        <f t="shared" si="65"/>
        <v>0.111979868</v>
      </c>
      <c r="AI108">
        <v>0.102823231742667</v>
      </c>
      <c r="AJ108" s="58">
        <f t="shared" si="66"/>
        <v>-8.1770379094686901E-2</v>
      </c>
      <c r="AQ108">
        <v>0.11132323174266701</v>
      </c>
      <c r="AR108">
        <v>0</v>
      </c>
      <c r="AS108">
        <f t="shared" si="62"/>
        <v>0.11132323174266701</v>
      </c>
      <c r="AT108">
        <v>9.9378503298487894E-2</v>
      </c>
      <c r="AU108" s="58">
        <f t="shared" si="67"/>
        <v>-0.10729771546509137</v>
      </c>
      <c r="BB108">
        <v>0.106878503</v>
      </c>
      <c r="BC108">
        <v>0</v>
      </c>
      <c r="BD108">
        <f t="shared" si="68"/>
        <v>0.106878503</v>
      </c>
      <c r="BE108">
        <v>9.3989067999999995E-2</v>
      </c>
      <c r="BF108" s="58">
        <f t="shared" si="69"/>
        <v>-0.12059894776033685</v>
      </c>
    </row>
    <row r="109" spans="7:69" x14ac:dyDescent="0.25">
      <c r="G109">
        <v>7.6157438999999993E-2</v>
      </c>
      <c r="H109">
        <v>-7.6253937459162015E-3</v>
      </c>
      <c r="I109">
        <f t="shared" si="61"/>
        <v>6.8532045254083795E-2</v>
      </c>
      <c r="W109">
        <v>0.13701718500000001</v>
      </c>
      <c r="X109">
        <v>0</v>
      </c>
      <c r="Y109">
        <f t="shared" si="64"/>
        <v>0.13701718500000001</v>
      </c>
      <c r="AF109">
        <v>0.16157212700000001</v>
      </c>
      <c r="AG109">
        <v>0</v>
      </c>
      <c r="AH109">
        <f t="shared" si="65"/>
        <v>0.16157212700000001</v>
      </c>
      <c r="AI109">
        <v>0.16346838478654199</v>
      </c>
      <c r="AJ109" s="58">
        <f t="shared" si="66"/>
        <v>1.1736292773703366E-2</v>
      </c>
      <c r="AQ109">
        <v>0.171968384786542</v>
      </c>
      <c r="AR109">
        <v>0</v>
      </c>
      <c r="AS109">
        <f t="shared" si="62"/>
        <v>0.171968384786542</v>
      </c>
      <c r="AT109">
        <v>0.15005333758317699</v>
      </c>
      <c r="AU109" s="58">
        <f t="shared" si="67"/>
        <v>-0.1274364891579772</v>
      </c>
      <c r="BB109">
        <v>0.15755333799999999</v>
      </c>
      <c r="BC109">
        <v>0</v>
      </c>
      <c r="BD109">
        <f t="shared" si="68"/>
        <v>0.15755333799999999</v>
      </c>
      <c r="BE109">
        <v>0.13242525999999999</v>
      </c>
      <c r="BF109" s="58">
        <f t="shared" si="69"/>
        <v>-0.15948934068283593</v>
      </c>
    </row>
    <row r="110" spans="7:69" x14ac:dyDescent="0.25">
      <c r="G110">
        <v>7.7560567999999996E-2</v>
      </c>
      <c r="H110">
        <v>1.9675779971270457E-4</v>
      </c>
      <c r="I110">
        <f t="shared" si="61"/>
        <v>7.7757325799712701E-2</v>
      </c>
      <c r="W110">
        <v>0.115064846</v>
      </c>
      <c r="X110">
        <v>3.5762045178370366E-4</v>
      </c>
      <c r="Y110">
        <f t="shared" si="64"/>
        <v>0.1154224664517837</v>
      </c>
      <c r="AF110">
        <v>0.13041546500000001</v>
      </c>
      <c r="AG110">
        <v>1.2521790409088934E-3</v>
      </c>
      <c r="AH110">
        <f t="shared" si="65"/>
        <v>0.13166764404090892</v>
      </c>
      <c r="AI110">
        <v>0.12545455028014699</v>
      </c>
      <c r="AJ110" s="58">
        <f t="shared" si="66"/>
        <v>-4.7187703600373762E-2</v>
      </c>
      <c r="AQ110">
        <v>0.13395455028014699</v>
      </c>
      <c r="AR110">
        <v>-1.1763500000010196E-4</v>
      </c>
      <c r="AS110">
        <f t="shared" si="62"/>
        <v>0.13383691528014691</v>
      </c>
      <c r="AT110">
        <v>0.10328759999999999</v>
      </c>
      <c r="AU110" s="58">
        <f t="shared" si="67"/>
        <v>-0.22825776592505292</v>
      </c>
      <c r="BB110">
        <v>0.1107876</v>
      </c>
      <c r="BC110">
        <v>2.6239999999999597E-4</v>
      </c>
      <c r="BD110">
        <f t="shared" si="68"/>
        <v>0.11105</v>
      </c>
      <c r="BE110">
        <v>0.10455</v>
      </c>
      <c r="BF110" s="58">
        <f t="shared" si="69"/>
        <v>-5.8532192705988223E-2</v>
      </c>
    </row>
    <row r="111" spans="7:69" x14ac:dyDescent="0.25">
      <c r="G111">
        <v>8.0982973E-2</v>
      </c>
      <c r="H111">
        <v>-6.8719389956589001E-3</v>
      </c>
      <c r="I111">
        <f t="shared" si="61"/>
        <v>7.4111034004341103E-2</v>
      </c>
      <c r="W111">
        <v>0.157203446</v>
      </c>
      <c r="X111">
        <v>0</v>
      </c>
      <c r="Y111">
        <f t="shared" si="64"/>
        <v>0.157203446</v>
      </c>
      <c r="AF111">
        <v>0.19308915099999999</v>
      </c>
      <c r="AG111">
        <v>0</v>
      </c>
      <c r="AH111">
        <f t="shared" si="65"/>
        <v>0.19308915099999999</v>
      </c>
      <c r="AI111">
        <v>0.19862427417766301</v>
      </c>
      <c r="AJ111" s="58">
        <f t="shared" si="66"/>
        <v>2.8666153168092942E-2</v>
      </c>
      <c r="AQ111">
        <v>0.20712427417766299</v>
      </c>
      <c r="AR111">
        <v>0</v>
      </c>
      <c r="AS111">
        <f t="shared" si="62"/>
        <v>0.20712427417766299</v>
      </c>
      <c r="AT111">
        <v>0.14430181840738801</v>
      </c>
      <c r="AU111" s="58">
        <f t="shared" si="67"/>
        <v>-0.30330803098621056</v>
      </c>
      <c r="BB111">
        <v>0.15180181800000001</v>
      </c>
      <c r="BC111">
        <v>0</v>
      </c>
      <c r="BD111">
        <f t="shared" si="68"/>
        <v>0.15180181800000001</v>
      </c>
      <c r="BE111">
        <v>0.14530181807308701</v>
      </c>
      <c r="BF111" s="58">
        <f t="shared" si="69"/>
        <v>-4.2818986047406866E-2</v>
      </c>
    </row>
    <row r="112" spans="7:69" x14ac:dyDescent="0.25">
      <c r="G112">
        <v>7.3071435000000004E-2</v>
      </c>
      <c r="H112">
        <v>1.3175274141610099E-4</v>
      </c>
      <c r="I112">
        <f t="shared" si="61"/>
        <v>7.3203187741416098E-2</v>
      </c>
      <c r="W112">
        <v>0.101712741</v>
      </c>
      <c r="X112">
        <v>1.1301554315279461E-4</v>
      </c>
      <c r="Y112">
        <f t="shared" si="64"/>
        <v>0.10182575654315279</v>
      </c>
      <c r="AF112">
        <v>0.112460008</v>
      </c>
      <c r="AG112">
        <v>1.0069514686137926E-3</v>
      </c>
      <c r="AH112">
        <f t="shared" si="65"/>
        <v>0.11346695946861379</v>
      </c>
      <c r="AI112">
        <v>0.102473818460601</v>
      </c>
      <c r="AJ112" s="58">
        <f t="shared" si="66"/>
        <v>-9.688407144683929E-2</v>
      </c>
      <c r="AQ112">
        <v>0.110973818460601</v>
      </c>
      <c r="AR112">
        <v>2.9912900000000908E-4</v>
      </c>
      <c r="AS112">
        <f t="shared" si="62"/>
        <v>0.11127294746060101</v>
      </c>
      <c r="AT112">
        <v>8.9360060000000005E-2</v>
      </c>
      <c r="AU112" s="58">
        <f t="shared" si="67"/>
        <v>-0.19692915448617748</v>
      </c>
      <c r="BB112">
        <v>9.6860059999999998E-2</v>
      </c>
      <c r="BC112">
        <v>2.8994000000000242E-4</v>
      </c>
      <c r="BD112">
        <f t="shared" si="68"/>
        <v>9.715E-2</v>
      </c>
      <c r="BE112">
        <v>9.0650000006041107E-2</v>
      </c>
      <c r="BF112" s="58">
        <f t="shared" si="69"/>
        <v>-6.6906845022736944E-2</v>
      </c>
    </row>
    <row r="113" spans="7:58" x14ac:dyDescent="0.25">
      <c r="G113">
        <v>7.8715454000000004E-2</v>
      </c>
      <c r="H113">
        <v>-2.4754849214649946E-3</v>
      </c>
      <c r="I113">
        <f t="shared" si="61"/>
        <v>7.6239969078535003E-2</v>
      </c>
      <c r="W113">
        <v>0.122148541</v>
      </c>
      <c r="X113">
        <v>0</v>
      </c>
      <c r="Y113">
        <f t="shared" si="64"/>
        <v>0.122148541</v>
      </c>
      <c r="AF113">
        <v>0.149173378</v>
      </c>
      <c r="AG113">
        <v>0</v>
      </c>
      <c r="AH113">
        <f t="shared" si="65"/>
        <v>0.149173378</v>
      </c>
      <c r="AI113">
        <v>0.153765973650862</v>
      </c>
      <c r="AJ113" s="58">
        <f t="shared" si="66"/>
        <v>3.0786965559377547E-2</v>
      </c>
      <c r="AQ113">
        <v>0.16226597365086201</v>
      </c>
      <c r="AR113">
        <v>0</v>
      </c>
      <c r="AS113">
        <f t="shared" si="62"/>
        <v>0.16226597365086201</v>
      </c>
      <c r="AT113">
        <v>0.139975366602277</v>
      </c>
      <c r="AU113" s="58">
        <f t="shared" si="67"/>
        <v>-0.13737080268316992</v>
      </c>
      <c r="BB113">
        <v>0.147475367</v>
      </c>
      <c r="BC113">
        <v>0</v>
      </c>
      <c r="BD113">
        <f t="shared" si="68"/>
        <v>0.147475367</v>
      </c>
      <c r="BE113">
        <v>0.15096861379806101</v>
      </c>
      <c r="BF113" s="58">
        <f t="shared" si="69"/>
        <v>2.3686984946177565E-2</v>
      </c>
    </row>
    <row r="114" spans="7:58" x14ac:dyDescent="0.25">
      <c r="G114">
        <v>8.1028596999999994E-2</v>
      </c>
      <c r="H114">
        <v>-7.9935107322019992E-3</v>
      </c>
      <c r="I114">
        <f t="shared" si="61"/>
        <v>7.3035086267797991E-2</v>
      </c>
      <c r="W114">
        <v>0.15258107700000001</v>
      </c>
      <c r="X114">
        <v>0</v>
      </c>
      <c r="Y114">
        <f t="shared" si="64"/>
        <v>0.15258107700000001</v>
      </c>
      <c r="AF114">
        <v>0.18491322199999999</v>
      </c>
      <c r="AG114">
        <v>0</v>
      </c>
      <c r="AH114">
        <f t="shared" si="65"/>
        <v>0.18491322199999999</v>
      </c>
      <c r="AI114">
        <v>0.18891383059329001</v>
      </c>
      <c r="AJ114" s="58">
        <f t="shared" si="66"/>
        <v>2.1635059678371822E-2</v>
      </c>
      <c r="AQ114">
        <v>0.19741383059329001</v>
      </c>
      <c r="AR114">
        <v>0</v>
      </c>
      <c r="AS114">
        <f t="shared" si="62"/>
        <v>0.19741383059329001</v>
      </c>
      <c r="AT114">
        <v>0.16994317829857</v>
      </c>
      <c r="AU114" s="58">
        <f t="shared" si="67"/>
        <v>-0.13915262275273294</v>
      </c>
      <c r="BB114">
        <v>0.17744317800000001</v>
      </c>
      <c r="BC114">
        <v>0</v>
      </c>
      <c r="BD114">
        <f t="shared" si="68"/>
        <v>0.17744317800000001</v>
      </c>
      <c r="BE114">
        <v>0.15002680902073201</v>
      </c>
      <c r="BF114" s="58">
        <f t="shared" si="69"/>
        <v>-0.1545078784559866</v>
      </c>
    </row>
    <row r="115" spans="7:58" x14ac:dyDescent="0.25">
      <c r="G115">
        <v>7.5966398000000004E-2</v>
      </c>
      <c r="H115">
        <v>1.6875739881495877E-5</v>
      </c>
      <c r="I115">
        <f t="shared" si="61"/>
        <v>7.5983273739881507E-2</v>
      </c>
      <c r="W115">
        <v>0.107736252</v>
      </c>
      <c r="X115">
        <v>1.3682125857719662E-4</v>
      </c>
      <c r="Y115">
        <f t="shared" si="64"/>
        <v>0.1078730732585772</v>
      </c>
      <c r="AF115">
        <v>0.122887309</v>
      </c>
      <c r="AG115">
        <v>1.2207471100096068E-3</v>
      </c>
      <c r="AH115">
        <f t="shared" si="65"/>
        <v>0.12410805611000961</v>
      </c>
      <c r="AI115">
        <v>0.120235515045722</v>
      </c>
      <c r="AJ115" s="58">
        <f t="shared" si="66"/>
        <v>-3.1202978965805272E-2</v>
      </c>
      <c r="AQ115">
        <v>0.128735515045722</v>
      </c>
      <c r="AR115">
        <v>7.7937599999999829E-4</v>
      </c>
      <c r="AS115">
        <f t="shared" si="62"/>
        <v>0.129514891045722</v>
      </c>
      <c r="AT115">
        <v>9.9495009144860799E-2</v>
      </c>
      <c r="AU115" s="58">
        <f t="shared" si="67"/>
        <v>-0.23178710693786889</v>
      </c>
      <c r="BB115">
        <v>0.106995009</v>
      </c>
      <c r="BC115">
        <v>4.049926627049949E-4</v>
      </c>
      <c r="BD115">
        <f t="shared" si="68"/>
        <v>0.107400001662705</v>
      </c>
      <c r="BE115">
        <v>0.100900001</v>
      </c>
      <c r="BF115" s="58">
        <f t="shared" si="69"/>
        <v>-6.0521420503498374E-2</v>
      </c>
    </row>
    <row r="116" spans="7:58" x14ac:dyDescent="0.25">
      <c r="G116">
        <v>8.2328035999999993E-2</v>
      </c>
      <c r="H116">
        <v>-4.6576908168487023E-3</v>
      </c>
      <c r="I116">
        <f t="shared" si="61"/>
        <v>7.7670345183151288E-2</v>
      </c>
      <c r="W116">
        <v>0.15333128300000001</v>
      </c>
      <c r="X116">
        <v>0</v>
      </c>
      <c r="Y116">
        <f t="shared" si="64"/>
        <v>0.15333128300000001</v>
      </c>
      <c r="AF116">
        <v>0.18666595</v>
      </c>
      <c r="AG116">
        <v>0</v>
      </c>
      <c r="AH116">
        <f t="shared" si="65"/>
        <v>0.18666595</v>
      </c>
      <c r="AI116">
        <v>0.201743715334924</v>
      </c>
      <c r="AJ116" s="58">
        <f t="shared" si="66"/>
        <v>8.0774052980331967E-2</v>
      </c>
      <c r="AQ116">
        <v>0.210243715334924</v>
      </c>
      <c r="AR116">
        <v>0</v>
      </c>
      <c r="AS116">
        <f t="shared" si="62"/>
        <v>0.210243715334924</v>
      </c>
      <c r="AT116">
        <v>0.15997384909825699</v>
      </c>
      <c r="AU116" s="58">
        <f t="shared" si="67"/>
        <v>-0.23910282481731138</v>
      </c>
      <c r="BB116">
        <v>0.16747384900000001</v>
      </c>
      <c r="BC116">
        <v>0</v>
      </c>
      <c r="BD116">
        <f t="shared" si="68"/>
        <v>0.16747384900000001</v>
      </c>
      <c r="BE116">
        <v>0.15043366402118399</v>
      </c>
      <c r="BF116" s="58">
        <f t="shared" si="69"/>
        <v>-0.10174833313119837</v>
      </c>
    </row>
    <row r="117" spans="7:58" x14ac:dyDescent="0.25">
      <c r="G117">
        <v>7.9875674999999993E-2</v>
      </c>
      <c r="H117">
        <v>9.0577486759613191E-7</v>
      </c>
      <c r="I117">
        <f t="shared" si="61"/>
        <v>7.9876580774867589E-2</v>
      </c>
      <c r="W117">
        <v>0.117364855</v>
      </c>
      <c r="X117">
        <v>-1.7507421552973024E-6</v>
      </c>
      <c r="Y117">
        <f t="shared" si="64"/>
        <v>0.11736310425784471</v>
      </c>
      <c r="AF117">
        <v>0.13741992</v>
      </c>
      <c r="AG117">
        <v>1.4318376785599912E-3</v>
      </c>
      <c r="AH117">
        <f t="shared" si="65"/>
        <v>0.13885175767856001</v>
      </c>
      <c r="AI117">
        <v>0.129049582115073</v>
      </c>
      <c r="AJ117" s="58">
        <f t="shared" si="66"/>
        <v>-7.0594537133472315E-2</v>
      </c>
      <c r="AQ117">
        <v>0.13754958211507301</v>
      </c>
      <c r="AR117">
        <v>7.7179500000000567E-4</v>
      </c>
      <c r="AS117">
        <f t="shared" si="62"/>
        <v>0.13832137711507303</v>
      </c>
      <c r="AT117">
        <v>0.11898847600590599</v>
      </c>
      <c r="AU117" s="58">
        <f t="shared" si="67"/>
        <v>-0.13976799184903654</v>
      </c>
      <c r="BB117">
        <v>0.12648847599999999</v>
      </c>
      <c r="BC117">
        <v>6.9665211338360011E-4</v>
      </c>
      <c r="BD117">
        <f t="shared" si="68"/>
        <v>0.12718512811338359</v>
      </c>
      <c r="BE117">
        <v>0.113078344</v>
      </c>
      <c r="BF117" s="58">
        <f t="shared" si="69"/>
        <v>-0.11091535875804293</v>
      </c>
    </row>
    <row r="118" spans="7:58" x14ac:dyDescent="0.25">
      <c r="G118">
        <v>8.2470191999999998E-2</v>
      </c>
      <c r="H118">
        <v>-3.9420285785493024E-3</v>
      </c>
      <c r="I118">
        <f t="shared" si="61"/>
        <v>7.8528163421450692E-2</v>
      </c>
      <c r="W118">
        <v>0.11469776499999999</v>
      </c>
      <c r="X118">
        <v>0</v>
      </c>
      <c r="Y118">
        <f t="shared" si="64"/>
        <v>0.11469776499999999</v>
      </c>
      <c r="AF118">
        <v>0.150103405</v>
      </c>
      <c r="AG118">
        <v>0</v>
      </c>
      <c r="AH118">
        <f t="shared" si="65"/>
        <v>0.150103405</v>
      </c>
      <c r="AI118">
        <v>0.15622717112790199</v>
      </c>
      <c r="AJ118" s="58">
        <f t="shared" si="66"/>
        <v>4.0796983438863343E-2</v>
      </c>
      <c r="AQ118">
        <v>0.164727171127902</v>
      </c>
      <c r="AR118">
        <v>0</v>
      </c>
      <c r="AS118">
        <f t="shared" si="62"/>
        <v>0.164727171127902</v>
      </c>
      <c r="AT118">
        <v>0.141022521274076</v>
      </c>
      <c r="AU118" s="58">
        <f t="shared" si="67"/>
        <v>-0.14390248853008342</v>
      </c>
      <c r="BB118">
        <v>0.14852252099999999</v>
      </c>
      <c r="BC118">
        <v>0</v>
      </c>
      <c r="BD118">
        <f t="shared" si="68"/>
        <v>0.14852252099999999</v>
      </c>
      <c r="BE118">
        <v>0.12578667802270699</v>
      </c>
      <c r="BF118" s="58">
        <f t="shared" si="69"/>
        <v>-0.1530801041095512</v>
      </c>
    </row>
    <row r="119" spans="7:58" x14ac:dyDescent="0.25">
      <c r="G119">
        <v>7.7028974E-2</v>
      </c>
      <c r="H119">
        <v>-1.1920755866646968E-3</v>
      </c>
      <c r="I119">
        <f t="shared" si="61"/>
        <v>7.5836898413335296E-2</v>
      </c>
      <c r="W119">
        <v>0.105500754</v>
      </c>
      <c r="X119">
        <v>0</v>
      </c>
      <c r="Y119">
        <f t="shared" si="64"/>
        <v>0.105500754</v>
      </c>
      <c r="AF119">
        <v>0.11523022199999999</v>
      </c>
      <c r="AG119">
        <v>0</v>
      </c>
      <c r="AH119">
        <f t="shared" si="65"/>
        <v>0.11523022199999999</v>
      </c>
      <c r="AI119">
        <v>0.110992073656226</v>
      </c>
      <c r="AJ119" s="58">
        <f t="shared" si="66"/>
        <v>-3.6779833191452088E-2</v>
      </c>
      <c r="AQ119">
        <v>0.11949207365622599</v>
      </c>
      <c r="AR119">
        <v>0</v>
      </c>
      <c r="AS119">
        <f t="shared" si="62"/>
        <v>0.11949207365622599</v>
      </c>
      <c r="AT119">
        <v>9.3127567778050396E-2</v>
      </c>
      <c r="AU119" s="58">
        <f t="shared" si="67"/>
        <v>-0.22063811490982446</v>
      </c>
      <c r="BB119">
        <v>0.100627568</v>
      </c>
      <c r="BC119">
        <v>0</v>
      </c>
      <c r="BD119">
        <f t="shared" si="68"/>
        <v>0.100627568</v>
      </c>
      <c r="BE119">
        <v>0.106832450761149</v>
      </c>
      <c r="BF119" s="58">
        <f t="shared" si="69"/>
        <v>6.1661857525454652E-2</v>
      </c>
    </row>
    <row r="120" spans="7:58" x14ac:dyDescent="0.25">
      <c r="G120">
        <v>7.6171498000000004E-2</v>
      </c>
      <c r="H120">
        <v>-6.0503270650349994E-4</v>
      </c>
      <c r="I120">
        <f t="shared" si="61"/>
        <v>7.5566465293496504E-2</v>
      </c>
      <c r="W120">
        <v>0.108721093</v>
      </c>
      <c r="X120">
        <v>0</v>
      </c>
      <c r="Y120">
        <f t="shared" si="64"/>
        <v>0.108721093</v>
      </c>
      <c r="AF120">
        <v>0.12017894</v>
      </c>
      <c r="AG120">
        <v>0</v>
      </c>
      <c r="AH120">
        <f t="shared" si="65"/>
        <v>0.12017894</v>
      </c>
      <c r="AI120">
        <v>0.117068980235901</v>
      </c>
      <c r="AJ120" s="58">
        <f t="shared" si="66"/>
        <v>-2.5877743339215688E-2</v>
      </c>
      <c r="AQ120">
        <v>0.12556898023590099</v>
      </c>
      <c r="AR120">
        <v>0</v>
      </c>
      <c r="AS120">
        <f t="shared" si="62"/>
        <v>0.12556898023590099</v>
      </c>
      <c r="AT120">
        <v>9.7961723017310501E-2</v>
      </c>
      <c r="AU120" s="58">
        <f t="shared" si="67"/>
        <v>-0.21985730207194432</v>
      </c>
      <c r="BB120">
        <v>0.10546172299999999</v>
      </c>
      <c r="BC120">
        <v>0</v>
      </c>
      <c r="BD120">
        <f t="shared" si="68"/>
        <v>0.10546172299999999</v>
      </c>
      <c r="BE120">
        <v>0.102829148271041</v>
      </c>
      <c r="BF120" s="58">
        <f t="shared" si="69"/>
        <v>-2.4962371693462559E-2</v>
      </c>
    </row>
    <row r="121" spans="7:58" x14ac:dyDescent="0.25">
      <c r="G121">
        <v>7.8366616E-2</v>
      </c>
      <c r="H121">
        <v>-2.1658145890988967E-3</v>
      </c>
      <c r="I121">
        <f t="shared" si="61"/>
        <v>7.6200801410901103E-2</v>
      </c>
      <c r="W121">
        <v>0.107971346</v>
      </c>
      <c r="X121">
        <v>0</v>
      </c>
      <c r="Y121">
        <f t="shared" si="64"/>
        <v>0.107971346</v>
      </c>
      <c r="AF121">
        <v>0.1266062</v>
      </c>
      <c r="AG121">
        <v>0</v>
      </c>
      <c r="AH121">
        <f t="shared" si="65"/>
        <v>0.1266062</v>
      </c>
      <c r="AI121">
        <v>0.124704879355286</v>
      </c>
      <c r="AJ121" s="58">
        <f t="shared" si="66"/>
        <v>-1.5017595068124645E-2</v>
      </c>
      <c r="AQ121">
        <v>0.13320487935528599</v>
      </c>
      <c r="AR121">
        <v>0</v>
      </c>
      <c r="AS121">
        <f t="shared" si="62"/>
        <v>0.13320487935528599</v>
      </c>
      <c r="AT121">
        <v>0.117559736039171</v>
      </c>
      <c r="AU121" s="58">
        <f t="shared" si="67"/>
        <v>-0.11745172843395654</v>
      </c>
      <c r="BB121">
        <v>0.125059736</v>
      </c>
      <c r="BC121">
        <v>0</v>
      </c>
      <c r="BD121">
        <f t="shared" si="68"/>
        <v>0.125059736</v>
      </c>
      <c r="BE121">
        <v>0.137688522361436</v>
      </c>
      <c r="BF121" s="58">
        <f t="shared" si="69"/>
        <v>0.1009820327898021</v>
      </c>
    </row>
    <row r="122" spans="7:58" x14ac:dyDescent="0.25">
      <c r="G122">
        <v>8.2544126999999995E-2</v>
      </c>
      <c r="H122">
        <v>-6.3749351291188978E-3</v>
      </c>
      <c r="I122">
        <f t="shared" si="61"/>
        <v>7.6169191870881101E-2</v>
      </c>
      <c r="W122">
        <v>0.122473923</v>
      </c>
      <c r="X122">
        <v>0</v>
      </c>
      <c r="Y122">
        <f t="shared" si="64"/>
        <v>0.122473923</v>
      </c>
      <c r="AF122">
        <v>0.13203785300000001</v>
      </c>
      <c r="AG122">
        <v>0</v>
      </c>
      <c r="AH122">
        <f t="shared" si="65"/>
        <v>0.13203785300000001</v>
      </c>
      <c r="AI122">
        <v>0.13184251644954401</v>
      </c>
      <c r="AJ122" s="58">
        <f t="shared" si="66"/>
        <v>-1.479398112115656E-3</v>
      </c>
      <c r="AQ122">
        <v>0.13934251644954401</v>
      </c>
      <c r="AR122">
        <v>0</v>
      </c>
      <c r="AS122">
        <f t="shared" si="62"/>
        <v>0.13934251644954401</v>
      </c>
      <c r="AT122">
        <v>0.115920527388315</v>
      </c>
      <c r="AU122" s="58">
        <f t="shared" si="67"/>
        <v>-0.16808932160852805</v>
      </c>
    </row>
    <row r="123" spans="7:58" x14ac:dyDescent="0.25">
      <c r="G123">
        <v>8.7927911999999997E-2</v>
      </c>
      <c r="H123">
        <v>-8.4097121690800969E-3</v>
      </c>
      <c r="I123">
        <f t="shared" si="61"/>
        <v>7.95181998309199E-2</v>
      </c>
      <c r="W123">
        <v>0.13060416599999999</v>
      </c>
      <c r="X123">
        <v>0</v>
      </c>
      <c r="Y123">
        <f t="shared" si="64"/>
        <v>0.13060416599999999</v>
      </c>
      <c r="AF123">
        <v>0.204395033</v>
      </c>
      <c r="AG123">
        <v>0</v>
      </c>
      <c r="AH123">
        <f t="shared" si="65"/>
        <v>0.204395033</v>
      </c>
      <c r="AI123">
        <v>0.16781501357821299</v>
      </c>
      <c r="AJ123" s="58">
        <f t="shared" si="66"/>
        <v>-0.17896726199695379</v>
      </c>
      <c r="AQ123">
        <v>0.175315013578213</v>
      </c>
      <c r="AR123">
        <v>0</v>
      </c>
      <c r="AS123">
        <f t="shared" si="62"/>
        <v>0.175315013578213</v>
      </c>
      <c r="AT123">
        <v>0.157158560474043</v>
      </c>
      <c r="AU123" s="58">
        <f t="shared" si="67"/>
        <v>-0.10356473603482845</v>
      </c>
    </row>
    <row r="124" spans="7:58" x14ac:dyDescent="0.25">
      <c r="G124">
        <v>9.1602701999999994E-2</v>
      </c>
      <c r="H124">
        <v>3.4330022935269433E-4</v>
      </c>
      <c r="I124">
        <f t="shared" si="61"/>
        <v>9.1946002229352689E-2</v>
      </c>
      <c r="W124">
        <v>0.13307303100000001</v>
      </c>
      <c r="X124">
        <v>8.3054312697419114E-4</v>
      </c>
      <c r="Y124">
        <f t="shared" si="64"/>
        <v>0.13390357412697421</v>
      </c>
      <c r="AF124">
        <v>0.15770369300000001</v>
      </c>
      <c r="AG124">
        <v>1.7091076305970065E-3</v>
      </c>
      <c r="AH124">
        <f t="shared" si="65"/>
        <v>0.15941280063059701</v>
      </c>
      <c r="AI124">
        <v>0.154155452116466</v>
      </c>
      <c r="AJ124" s="58">
        <f t="shared" si="66"/>
        <v>-3.2979462711490291E-2</v>
      </c>
      <c r="AQ124">
        <v>0.16165545211646601</v>
      </c>
      <c r="AR124">
        <v>-7.0856999999799331E-5</v>
      </c>
      <c r="AS124">
        <f t="shared" si="62"/>
        <v>0.16158459511646622</v>
      </c>
      <c r="AT124">
        <v>0.12390353899999999</v>
      </c>
      <c r="AU124" s="58">
        <f t="shared" si="67"/>
        <v>-0.233197082242318</v>
      </c>
    </row>
    <row r="125" spans="7:58" x14ac:dyDescent="0.25">
      <c r="G125">
        <v>8.1778244999999999E-2</v>
      </c>
      <c r="H125">
        <v>-2.9401066798204201E-5</v>
      </c>
      <c r="I125">
        <f t="shared" si="61"/>
        <v>8.1748843933201795E-2</v>
      </c>
      <c r="W125">
        <v>8.9013238999999994E-2</v>
      </c>
      <c r="X125">
        <v>0</v>
      </c>
      <c r="Y125">
        <f t="shared" si="64"/>
        <v>8.9013238999999994E-2</v>
      </c>
      <c r="AF125">
        <v>9.9525346000000001E-2</v>
      </c>
      <c r="AG125">
        <v>0</v>
      </c>
      <c r="AH125">
        <f t="shared" si="65"/>
        <v>9.9525346000000001E-2</v>
      </c>
      <c r="AI125">
        <v>9.6038500260997001E-2</v>
      </c>
      <c r="AJ125" s="58">
        <f t="shared" si="66"/>
        <v>-3.5034751238172034E-2</v>
      </c>
      <c r="AQ125">
        <v>0.10353850026099699</v>
      </c>
      <c r="AR125">
        <v>0</v>
      </c>
      <c r="AS125">
        <f t="shared" si="62"/>
        <v>0.10353850026099699</v>
      </c>
      <c r="AT125">
        <v>8.32081420833157E-2</v>
      </c>
      <c r="AU125" s="58">
        <f t="shared" si="67"/>
        <v>-0.19635554046497763</v>
      </c>
    </row>
    <row r="126" spans="7:58" x14ac:dyDescent="0.25">
      <c r="G126">
        <v>8.1884071000000003E-2</v>
      </c>
      <c r="H126">
        <v>2.9763634334420419E-4</v>
      </c>
      <c r="I126">
        <f t="shared" si="61"/>
        <v>8.2181707343344207E-2</v>
      </c>
      <c r="W126">
        <v>8.6283165999999994E-2</v>
      </c>
      <c r="X126">
        <v>-3.1269733533020178E-4</v>
      </c>
      <c r="Y126">
        <f t="shared" si="64"/>
        <v>8.5970468664669786E-2</v>
      </c>
      <c r="AF126">
        <v>9.8273140999999994E-2</v>
      </c>
      <c r="AG126">
        <v>8.7379074452159644E-4</v>
      </c>
      <c r="AH126">
        <f t="shared" si="65"/>
        <v>9.9146931744521591E-2</v>
      </c>
      <c r="AI126">
        <v>9.5714815021531105E-2</v>
      </c>
      <c r="AJ126" s="58">
        <f t="shared" si="66"/>
        <v>-3.4616469341020521E-2</v>
      </c>
      <c r="AQ126">
        <v>0.103214815021531</v>
      </c>
      <c r="AR126">
        <v>5.914229999999937E-4</v>
      </c>
      <c r="AS126">
        <f t="shared" si="62"/>
        <v>0.10380623802153099</v>
      </c>
      <c r="AT126">
        <v>0.11078136982082799</v>
      </c>
      <c r="AU126" s="58">
        <f t="shared" si="67"/>
        <v>6.7193763421522418E-2</v>
      </c>
    </row>
    <row r="127" spans="7:58" x14ac:dyDescent="0.25">
      <c r="G127">
        <v>9.1095124999999999E-2</v>
      </c>
      <c r="H127">
        <v>3.1306913745570569E-4</v>
      </c>
      <c r="I127">
        <f t="shared" si="61"/>
        <v>9.1408194137455712E-2</v>
      </c>
      <c r="W127">
        <v>0.13947896400000001</v>
      </c>
      <c r="X127">
        <v>9.301746106075981E-4</v>
      </c>
      <c r="Y127">
        <f t="shared" si="64"/>
        <v>0.14040913861060761</v>
      </c>
      <c r="AF127">
        <v>0.17061058000000001</v>
      </c>
      <c r="AG127">
        <v>2.0479496993218993E-3</v>
      </c>
      <c r="AH127">
        <f t="shared" si="65"/>
        <v>0.17265852969932191</v>
      </c>
      <c r="AI127">
        <v>0.170443040314357</v>
      </c>
      <c r="AJ127" s="58">
        <f t="shared" si="66"/>
        <v>-1.2831624298105032E-2</v>
      </c>
      <c r="AQ127">
        <v>0.17794304031435701</v>
      </c>
      <c r="AR127">
        <v>7.4926600000048416E-4</v>
      </c>
      <c r="AS127">
        <f t="shared" si="62"/>
        <v>0.17869230631435751</v>
      </c>
      <c r="AT127">
        <v>0.13414995909910399</v>
      </c>
      <c r="AU127" s="58">
        <f t="shared" si="67"/>
        <v>-0.24926841078929343</v>
      </c>
    </row>
    <row r="128" spans="7:58" x14ac:dyDescent="0.25">
      <c r="G128">
        <v>8.2906393999999994E-2</v>
      </c>
      <c r="H128">
        <v>-6.2011973977157998E-3</v>
      </c>
      <c r="I128">
        <f t="shared" si="61"/>
        <v>7.6705196602284198E-2</v>
      </c>
      <c r="W128">
        <v>0.13606321099999999</v>
      </c>
      <c r="X128">
        <v>0</v>
      </c>
      <c r="Y128">
        <f t="shared" si="64"/>
        <v>0.13606321099999999</v>
      </c>
      <c r="AF128">
        <v>0.14713902800000001</v>
      </c>
      <c r="AG128">
        <v>0</v>
      </c>
      <c r="AH128">
        <f t="shared" si="65"/>
        <v>0.14713902800000001</v>
      </c>
      <c r="AI128">
        <v>0.145928486424237</v>
      </c>
      <c r="AJ128" s="58">
        <f t="shared" si="66"/>
        <v>-8.2271956816447247E-3</v>
      </c>
      <c r="AQ128">
        <v>0.15342848642423701</v>
      </c>
      <c r="AR128">
        <v>0</v>
      </c>
      <c r="AS128">
        <f t="shared" si="62"/>
        <v>0.15342848642423701</v>
      </c>
      <c r="AT128">
        <v>0.114213971</v>
      </c>
      <c r="AU128" s="58">
        <f t="shared" si="67"/>
        <v>-0.25558823096127681</v>
      </c>
    </row>
    <row r="129" spans="7:47" x14ac:dyDescent="0.25">
      <c r="G129">
        <v>8.6053774999999999E-2</v>
      </c>
      <c r="H129">
        <v>-1.572238165443697E-3</v>
      </c>
      <c r="I129">
        <f t="shared" si="61"/>
        <v>8.4481536834556309E-2</v>
      </c>
      <c r="W129">
        <v>0.118077873</v>
      </c>
      <c r="X129">
        <v>0</v>
      </c>
      <c r="Y129">
        <f t="shared" si="64"/>
        <v>0.118077873</v>
      </c>
      <c r="AF129">
        <v>0.13300019499999999</v>
      </c>
      <c r="AG129">
        <v>0</v>
      </c>
      <c r="AH129">
        <f t="shared" si="65"/>
        <v>0.13300019499999999</v>
      </c>
      <c r="AI129">
        <v>0.13105639728017701</v>
      </c>
      <c r="AJ129" s="58">
        <f t="shared" si="66"/>
        <v>-1.4614999021790729E-2</v>
      </c>
      <c r="AQ129">
        <v>0.13855639728017699</v>
      </c>
      <c r="AR129">
        <v>0</v>
      </c>
      <c r="AS129">
        <f t="shared" si="62"/>
        <v>0.13855639728017699</v>
      </c>
      <c r="AT129">
        <v>0.107559709534326</v>
      </c>
      <c r="AU129" s="58">
        <f t="shared" si="67"/>
        <v>-0.22371170407362798</v>
      </c>
    </row>
    <row r="130" spans="7:47" x14ac:dyDescent="0.25">
      <c r="G130">
        <v>8.1186254999999999E-2</v>
      </c>
      <c r="H130">
        <v>2.3083910746430139E-4</v>
      </c>
      <c r="I130">
        <f t="shared" si="61"/>
        <v>8.1417094107464297E-2</v>
      </c>
      <c r="W130">
        <v>0.117992322</v>
      </c>
      <c r="X130">
        <v>6.3010846582290531E-4</v>
      </c>
      <c r="Y130">
        <f t="shared" ref="Y130:Y161" si="70">W130+X130</f>
        <v>0.11862243046582291</v>
      </c>
      <c r="AF130">
        <v>9.9318091999999997E-2</v>
      </c>
      <c r="AG130">
        <v>-9.7831607981829771E-4</v>
      </c>
      <c r="AH130">
        <f t="shared" ref="AH130:AH161" si="71">AF130+AG130</f>
        <v>9.8339775920181699E-2</v>
      </c>
      <c r="AI130">
        <v>8.8583181761685698E-2</v>
      </c>
      <c r="AJ130" s="58">
        <f t="shared" ref="AJ130:AJ161" si="72">(AI130-AH130)/AH130</f>
        <v>-9.9213101384479696E-2</v>
      </c>
      <c r="AQ130">
        <v>9.6083181761685704E-2</v>
      </c>
      <c r="AR130">
        <v>1.0774200000000095E-4</v>
      </c>
      <c r="AS130">
        <f t="shared" si="62"/>
        <v>9.6190923761685698E-2</v>
      </c>
      <c r="AT130">
        <v>9.8761401460680395E-2</v>
      </c>
      <c r="AU130" s="58">
        <f t="shared" ref="AU130:AU145" si="73">(AT130-AS130)/AS130</f>
        <v>2.6722663620146636E-2</v>
      </c>
    </row>
    <row r="131" spans="7:47" x14ac:dyDescent="0.25">
      <c r="G131">
        <v>8.5587145000000003E-2</v>
      </c>
      <c r="H131">
        <v>-6.3347704824426969E-3</v>
      </c>
      <c r="I131">
        <f t="shared" ref="I131:I194" si="74">G131+H131</f>
        <v>7.9252374517557303E-2</v>
      </c>
      <c r="W131">
        <v>0.14340291499999999</v>
      </c>
      <c r="X131">
        <v>0</v>
      </c>
      <c r="Y131">
        <f t="shared" si="70"/>
        <v>0.14340291499999999</v>
      </c>
      <c r="AF131">
        <v>0.160652244</v>
      </c>
      <c r="AG131">
        <v>0</v>
      </c>
      <c r="AH131">
        <f t="shared" si="71"/>
        <v>0.160652244</v>
      </c>
      <c r="AI131">
        <v>0.15750026200525699</v>
      </c>
      <c r="AJ131" s="58">
        <f t="shared" si="72"/>
        <v>-1.9619906428092023E-2</v>
      </c>
      <c r="AQ131">
        <v>0.165000262005257</v>
      </c>
      <c r="AR131">
        <v>0</v>
      </c>
      <c r="AS131">
        <f t="shared" ref="AS131:AS145" si="75">AQ131+AR131</f>
        <v>0.165000262005257</v>
      </c>
      <c r="AT131">
        <v>0.13306708607616499</v>
      </c>
      <c r="AU131" s="58">
        <f t="shared" si="73"/>
        <v>-0.19353409225540866</v>
      </c>
    </row>
    <row r="132" spans="7:47" x14ac:dyDescent="0.25">
      <c r="G132">
        <v>8.1770009000000005E-2</v>
      </c>
      <c r="H132">
        <v>1.6346780113317971E-3</v>
      </c>
      <c r="I132">
        <f t="shared" si="74"/>
        <v>8.3404687011331802E-2</v>
      </c>
      <c r="W132">
        <v>0.115407723</v>
      </c>
      <c r="X132">
        <v>0</v>
      </c>
      <c r="Y132">
        <f t="shared" si="70"/>
        <v>0.115407723</v>
      </c>
      <c r="AF132">
        <v>0.120479868</v>
      </c>
      <c r="AG132">
        <v>0</v>
      </c>
      <c r="AH132">
        <f t="shared" si="71"/>
        <v>0.120479868</v>
      </c>
      <c r="AI132">
        <v>0.11132323174266701</v>
      </c>
      <c r="AJ132" s="58">
        <f t="shared" si="72"/>
        <v>-7.6001380225059659E-2</v>
      </c>
      <c r="AQ132">
        <v>0.118823231742667</v>
      </c>
      <c r="AR132">
        <v>0</v>
      </c>
      <c r="AS132">
        <f t="shared" si="75"/>
        <v>0.118823231742667</v>
      </c>
      <c r="AT132">
        <v>0.106878503298488</v>
      </c>
      <c r="AU132" s="58">
        <f t="shared" si="73"/>
        <v>-0.1005251941812814</v>
      </c>
    </row>
    <row r="133" spans="7:47" x14ac:dyDescent="0.25">
      <c r="G133">
        <v>8.5157439000000001E-2</v>
      </c>
      <c r="H133">
        <v>-7.6253937459162015E-3</v>
      </c>
      <c r="I133">
        <f t="shared" si="74"/>
        <v>7.7532045254083803E-2</v>
      </c>
      <c r="W133">
        <v>0.14601718499999999</v>
      </c>
      <c r="X133">
        <v>0</v>
      </c>
      <c r="Y133">
        <f t="shared" si="70"/>
        <v>0.14601718499999999</v>
      </c>
      <c r="AF133">
        <v>0.17007212699999999</v>
      </c>
      <c r="AG133">
        <v>0</v>
      </c>
      <c r="AH133">
        <f t="shared" si="71"/>
        <v>0.17007212699999999</v>
      </c>
      <c r="AI133">
        <v>0.171968384786542</v>
      </c>
      <c r="AJ133" s="58">
        <f t="shared" si="72"/>
        <v>1.1149727001074142E-2</v>
      </c>
      <c r="AQ133">
        <v>0.17946838478654201</v>
      </c>
      <c r="AR133">
        <v>0</v>
      </c>
      <c r="AS133">
        <f t="shared" si="75"/>
        <v>0.17946838478654201</v>
      </c>
      <c r="AT133">
        <v>0.15755333758317699</v>
      </c>
      <c r="AU133" s="58">
        <f t="shared" si="73"/>
        <v>-0.12211090677297042</v>
      </c>
    </row>
    <row r="134" spans="7:47" x14ac:dyDescent="0.25">
      <c r="G134">
        <v>8.6560568000000004E-2</v>
      </c>
      <c r="H134">
        <v>1.9675779971270457E-4</v>
      </c>
      <c r="I134">
        <f t="shared" si="74"/>
        <v>8.6757325799712709E-2</v>
      </c>
      <c r="W134">
        <v>0.12406484600000001</v>
      </c>
      <c r="X134">
        <v>3.5762045178370366E-4</v>
      </c>
      <c r="Y134">
        <f t="shared" si="70"/>
        <v>0.1244224664517837</v>
      </c>
      <c r="AF134">
        <v>0.13891546499999999</v>
      </c>
      <c r="AG134">
        <v>1.2521790409088934E-3</v>
      </c>
      <c r="AH134">
        <f t="shared" si="71"/>
        <v>0.14016764404090887</v>
      </c>
      <c r="AI134">
        <v>0.13395455028014699</v>
      </c>
      <c r="AJ134" s="58">
        <f t="shared" si="72"/>
        <v>-4.4326162455498933E-2</v>
      </c>
      <c r="AQ134">
        <v>0.141454550280147</v>
      </c>
      <c r="AR134">
        <v>-1.1763500000010196E-4</v>
      </c>
      <c r="AS134">
        <f t="shared" si="75"/>
        <v>0.14133691528014691</v>
      </c>
      <c r="AT134">
        <v>0.1107876</v>
      </c>
      <c r="AU134" s="58">
        <f t="shared" si="73"/>
        <v>-0.21614533768191038</v>
      </c>
    </row>
    <row r="135" spans="7:47" x14ac:dyDescent="0.25">
      <c r="G135">
        <v>8.9982972999999994E-2</v>
      </c>
      <c r="H135">
        <v>-6.8719389956589001E-3</v>
      </c>
      <c r="I135">
        <f t="shared" si="74"/>
        <v>8.3111034004341097E-2</v>
      </c>
      <c r="W135">
        <v>0.166203446</v>
      </c>
      <c r="X135">
        <v>0</v>
      </c>
      <c r="Y135">
        <f t="shared" si="70"/>
        <v>0.166203446</v>
      </c>
      <c r="AF135">
        <v>0.20158915099999999</v>
      </c>
      <c r="AG135">
        <v>0</v>
      </c>
      <c r="AH135">
        <f t="shared" si="71"/>
        <v>0.20158915099999999</v>
      </c>
      <c r="AI135">
        <v>0.20712427417766299</v>
      </c>
      <c r="AJ135" s="58">
        <f t="shared" si="72"/>
        <v>2.7457445751448196E-2</v>
      </c>
      <c r="AQ135">
        <v>0.214624274177663</v>
      </c>
      <c r="AR135">
        <v>0</v>
      </c>
      <c r="AS135">
        <f t="shared" si="75"/>
        <v>0.214624274177663</v>
      </c>
      <c r="AT135">
        <v>0.15180181840738799</v>
      </c>
      <c r="AU135" s="58">
        <f t="shared" si="73"/>
        <v>-0.29270899580665072</v>
      </c>
    </row>
    <row r="136" spans="7:47" x14ac:dyDescent="0.25">
      <c r="G136">
        <v>8.2071434999999998E-2</v>
      </c>
      <c r="H136">
        <v>1.3175274141610099E-4</v>
      </c>
      <c r="I136">
        <f t="shared" si="74"/>
        <v>8.2203187741416106E-2</v>
      </c>
      <c r="W136">
        <v>0.110712741</v>
      </c>
      <c r="X136">
        <v>1.1301554315279461E-4</v>
      </c>
      <c r="Y136">
        <f t="shared" si="70"/>
        <v>0.1108257565431528</v>
      </c>
      <c r="AF136">
        <v>0.12096000799999999</v>
      </c>
      <c r="AG136">
        <v>1.0069514686137926E-3</v>
      </c>
      <c r="AH136">
        <f t="shared" si="71"/>
        <v>0.12196695946861379</v>
      </c>
      <c r="AI136">
        <v>0.110973818460601</v>
      </c>
      <c r="AJ136" s="58">
        <f t="shared" si="72"/>
        <v>-9.0132123125047564E-2</v>
      </c>
      <c r="AQ136">
        <v>0.118473818460601</v>
      </c>
      <c r="AR136">
        <v>2.9912900000000908E-4</v>
      </c>
      <c r="AS136">
        <f t="shared" si="75"/>
        <v>0.11877294746060101</v>
      </c>
      <c r="AT136">
        <v>9.6860059999999998E-2</v>
      </c>
      <c r="AU136" s="58">
        <f t="shared" si="73"/>
        <v>-0.18449392668199871</v>
      </c>
    </row>
    <row r="137" spans="7:47" x14ac:dyDescent="0.25">
      <c r="G137">
        <v>8.7715453999999998E-2</v>
      </c>
      <c r="H137">
        <v>-2.4754849214649946E-3</v>
      </c>
      <c r="I137">
        <f t="shared" si="74"/>
        <v>8.5239969078535011E-2</v>
      </c>
      <c r="W137">
        <v>0.13114854100000001</v>
      </c>
      <c r="X137">
        <v>0</v>
      </c>
      <c r="Y137">
        <f t="shared" si="70"/>
        <v>0.13114854100000001</v>
      </c>
      <c r="AF137">
        <v>0.157673378</v>
      </c>
      <c r="AG137">
        <v>0</v>
      </c>
      <c r="AH137">
        <f t="shared" si="71"/>
        <v>0.157673378</v>
      </c>
      <c r="AI137">
        <v>0.16226597365086201</v>
      </c>
      <c r="AJ137" s="58">
        <f t="shared" si="72"/>
        <v>2.9127273792929127E-2</v>
      </c>
      <c r="AQ137">
        <v>0.16976597365086199</v>
      </c>
      <c r="AR137">
        <v>0</v>
      </c>
      <c r="AS137">
        <f t="shared" si="75"/>
        <v>0.16976597365086199</v>
      </c>
      <c r="AT137">
        <v>0.147475366602277</v>
      </c>
      <c r="AU137" s="58">
        <f t="shared" si="73"/>
        <v>-0.13130197158605822</v>
      </c>
    </row>
    <row r="138" spans="7:47" x14ac:dyDescent="0.25">
      <c r="G138">
        <v>9.0028597000000002E-2</v>
      </c>
      <c r="H138">
        <v>-7.9935107322019992E-3</v>
      </c>
      <c r="I138">
        <f t="shared" si="74"/>
        <v>8.2035086267797999E-2</v>
      </c>
      <c r="W138">
        <v>0.16158107699999999</v>
      </c>
      <c r="X138">
        <v>0</v>
      </c>
      <c r="Y138">
        <f t="shared" si="70"/>
        <v>0.16158107699999999</v>
      </c>
      <c r="AF138">
        <v>0.193413222</v>
      </c>
      <c r="AG138">
        <v>0</v>
      </c>
      <c r="AH138">
        <f t="shared" si="71"/>
        <v>0.193413222</v>
      </c>
      <c r="AI138">
        <v>0.19741383059329001</v>
      </c>
      <c r="AJ138" s="58">
        <f t="shared" si="72"/>
        <v>2.0684255977546442E-2</v>
      </c>
      <c r="AQ138">
        <v>0.20491383059328999</v>
      </c>
      <c r="AR138">
        <v>0</v>
      </c>
      <c r="AS138">
        <f t="shared" si="75"/>
        <v>0.20491383059328999</v>
      </c>
      <c r="AT138">
        <v>0.17744317829857001</v>
      </c>
      <c r="AU138" s="58">
        <f t="shared" si="73"/>
        <v>-0.13405953231748099</v>
      </c>
    </row>
    <row r="139" spans="7:47" x14ac:dyDescent="0.25">
      <c r="G139">
        <v>8.4966397999999999E-2</v>
      </c>
      <c r="H139">
        <v>1.6875739881495877E-5</v>
      </c>
      <c r="I139">
        <f t="shared" si="74"/>
        <v>8.4983273739881487E-2</v>
      </c>
      <c r="W139">
        <v>0.116736252</v>
      </c>
      <c r="X139">
        <v>1.3682125857719662E-4</v>
      </c>
      <c r="Y139">
        <f t="shared" si="70"/>
        <v>0.1168730732585772</v>
      </c>
      <c r="AF139">
        <v>0.13138730900000001</v>
      </c>
      <c r="AG139">
        <v>1.2207471100096068E-3</v>
      </c>
      <c r="AH139">
        <f t="shared" si="71"/>
        <v>0.13260805611000961</v>
      </c>
      <c r="AI139">
        <v>0.128735515045722</v>
      </c>
      <c r="AJ139" s="58">
        <f t="shared" si="72"/>
        <v>-2.9202909520632814E-2</v>
      </c>
      <c r="AQ139">
        <v>0.13623551504572201</v>
      </c>
      <c r="AR139">
        <v>7.7937599999999829E-4</v>
      </c>
      <c r="AS139">
        <f t="shared" si="75"/>
        <v>0.13701489104572201</v>
      </c>
      <c r="AT139">
        <v>0.10699500914486</v>
      </c>
      <c r="AU139" s="58">
        <f t="shared" si="73"/>
        <v>-0.21909941081399936</v>
      </c>
    </row>
    <row r="140" spans="7:47" x14ac:dyDescent="0.25">
      <c r="G140">
        <v>9.1328036000000001E-2</v>
      </c>
      <c r="H140">
        <v>-4.6576908168487023E-3</v>
      </c>
      <c r="I140">
        <f t="shared" si="74"/>
        <v>8.6670345183151296E-2</v>
      </c>
      <c r="W140">
        <v>0.16233128299999999</v>
      </c>
      <c r="X140">
        <v>0</v>
      </c>
      <c r="Y140">
        <f t="shared" si="70"/>
        <v>0.16233128299999999</v>
      </c>
      <c r="AF140">
        <v>0.19516595</v>
      </c>
      <c r="AG140">
        <v>0</v>
      </c>
      <c r="AH140">
        <f t="shared" si="71"/>
        <v>0.19516595</v>
      </c>
      <c r="AI140">
        <v>0.210243715334924</v>
      </c>
      <c r="AJ140" s="58">
        <f t="shared" si="72"/>
        <v>7.7256126567795236E-2</v>
      </c>
      <c r="AQ140">
        <v>0.21774371533492401</v>
      </c>
      <c r="AR140">
        <v>0</v>
      </c>
      <c r="AS140">
        <f t="shared" si="75"/>
        <v>0.21774371533492401</v>
      </c>
      <c r="AT140">
        <v>0.16747384909825699</v>
      </c>
      <c r="AU140" s="58">
        <f t="shared" si="73"/>
        <v>-0.23086712817104307</v>
      </c>
    </row>
    <row r="141" spans="7:47" x14ac:dyDescent="0.25">
      <c r="G141">
        <v>8.8875675000000001E-2</v>
      </c>
      <c r="H141">
        <v>9.0577486759613191E-7</v>
      </c>
      <c r="I141">
        <f t="shared" si="74"/>
        <v>8.8876580774867597E-2</v>
      </c>
      <c r="W141">
        <v>0.126364855</v>
      </c>
      <c r="X141">
        <v>-1.7507421552973024E-6</v>
      </c>
      <c r="Y141">
        <f t="shared" si="70"/>
        <v>0.12636310425784469</v>
      </c>
      <c r="AF141">
        <v>0.14591992000000001</v>
      </c>
      <c r="AG141">
        <v>1.4318376785599912E-3</v>
      </c>
      <c r="AH141">
        <f t="shared" si="71"/>
        <v>0.14735175767856001</v>
      </c>
      <c r="AI141">
        <v>0.13754958211507301</v>
      </c>
      <c r="AJ141" s="58">
        <f t="shared" si="72"/>
        <v>-6.6522284619569494E-2</v>
      </c>
      <c r="AQ141">
        <v>0.14504958211507299</v>
      </c>
      <c r="AR141">
        <v>7.7179500000000567E-4</v>
      </c>
      <c r="AS141">
        <f t="shared" si="75"/>
        <v>0.14582137711507298</v>
      </c>
      <c r="AT141">
        <v>0.12648847600590599</v>
      </c>
      <c r="AU141" s="58">
        <f t="shared" si="73"/>
        <v>-0.13257933433114333</v>
      </c>
    </row>
    <row r="142" spans="7:47" x14ac:dyDescent="0.25">
      <c r="G142">
        <v>9.1470192000000006E-2</v>
      </c>
      <c r="H142">
        <v>-3.9420285785493024E-3</v>
      </c>
      <c r="I142">
        <f t="shared" si="74"/>
        <v>8.75281634214507E-2</v>
      </c>
      <c r="W142">
        <v>0.123697765</v>
      </c>
      <c r="X142">
        <v>0</v>
      </c>
      <c r="Y142">
        <f t="shared" si="70"/>
        <v>0.123697765</v>
      </c>
      <c r="AF142">
        <v>0.158603405</v>
      </c>
      <c r="AG142">
        <v>0</v>
      </c>
      <c r="AH142">
        <f t="shared" si="71"/>
        <v>0.158603405</v>
      </c>
      <c r="AI142">
        <v>0.164727171127902</v>
      </c>
      <c r="AJ142" s="58">
        <f t="shared" si="72"/>
        <v>3.8610559009763991E-2</v>
      </c>
      <c r="AQ142">
        <v>0.17222717112790201</v>
      </c>
      <c r="AR142">
        <v>0</v>
      </c>
      <c r="AS142">
        <f t="shared" si="75"/>
        <v>0.17222717112790201</v>
      </c>
      <c r="AT142">
        <v>0.148522521274076</v>
      </c>
      <c r="AU142" s="58">
        <f t="shared" si="73"/>
        <v>-0.13763594732809081</v>
      </c>
    </row>
    <row r="143" spans="7:47" x14ac:dyDescent="0.25">
      <c r="G143">
        <v>8.6028973999999994E-2</v>
      </c>
      <c r="H143">
        <v>-1.1920755866646968E-3</v>
      </c>
      <c r="I143">
        <f t="shared" si="74"/>
        <v>8.4836898413335304E-2</v>
      </c>
      <c r="W143">
        <v>0.114500754</v>
      </c>
      <c r="X143">
        <v>0</v>
      </c>
      <c r="Y143">
        <f t="shared" si="70"/>
        <v>0.114500754</v>
      </c>
      <c r="AF143">
        <v>0.123730222</v>
      </c>
      <c r="AG143">
        <v>0</v>
      </c>
      <c r="AH143">
        <f t="shared" si="71"/>
        <v>0.123730222</v>
      </c>
      <c r="AI143">
        <v>0.11949207365622599</v>
      </c>
      <c r="AJ143" s="58">
        <f t="shared" si="72"/>
        <v>-3.4253137796633117E-2</v>
      </c>
      <c r="AQ143">
        <v>0.126992073656226</v>
      </c>
      <c r="AR143">
        <v>0</v>
      </c>
      <c r="AS143">
        <f t="shared" si="75"/>
        <v>0.126992073656226</v>
      </c>
      <c r="AT143">
        <v>0.10062756777805</v>
      </c>
      <c r="AU143" s="58">
        <f t="shared" si="73"/>
        <v>-0.20760749170492371</v>
      </c>
    </row>
    <row r="144" spans="7:47" x14ac:dyDescent="0.25">
      <c r="G144">
        <v>8.5171497999999998E-2</v>
      </c>
      <c r="H144">
        <v>-6.0503270650349994E-4</v>
      </c>
      <c r="I144">
        <f t="shared" si="74"/>
        <v>8.4566465293496498E-2</v>
      </c>
      <c r="W144">
        <v>0.117721093</v>
      </c>
      <c r="X144">
        <v>0</v>
      </c>
      <c r="Y144">
        <f t="shared" si="70"/>
        <v>0.117721093</v>
      </c>
      <c r="AF144">
        <v>0.12867893999999999</v>
      </c>
      <c r="AG144">
        <v>0</v>
      </c>
      <c r="AH144">
        <f t="shared" si="71"/>
        <v>0.12867893999999999</v>
      </c>
      <c r="AI144">
        <v>0.12556898023590099</v>
      </c>
      <c r="AJ144" s="58">
        <f t="shared" si="72"/>
        <v>-2.4168366355046149E-2</v>
      </c>
      <c r="AQ144">
        <v>0.133068980235901</v>
      </c>
      <c r="AR144">
        <v>0</v>
      </c>
      <c r="AS144">
        <f t="shared" si="75"/>
        <v>0.133068980235901</v>
      </c>
      <c r="AT144">
        <v>0.10546172301730999</v>
      </c>
      <c r="AU144" s="58">
        <f t="shared" si="73"/>
        <v>-0.20746576076294884</v>
      </c>
    </row>
    <row r="145" spans="7:47" x14ac:dyDescent="0.25">
      <c r="G145">
        <v>8.7366615999999994E-2</v>
      </c>
      <c r="H145">
        <v>-2.1658145890988967E-3</v>
      </c>
      <c r="I145">
        <f t="shared" si="74"/>
        <v>8.5200801410901097E-2</v>
      </c>
      <c r="W145">
        <v>0.116971346</v>
      </c>
      <c r="X145">
        <v>0</v>
      </c>
      <c r="Y145">
        <f t="shared" si="70"/>
        <v>0.116971346</v>
      </c>
      <c r="AF145">
        <v>0.13510620000000001</v>
      </c>
      <c r="AG145">
        <v>0</v>
      </c>
      <c r="AH145">
        <f t="shared" si="71"/>
        <v>0.13510620000000001</v>
      </c>
      <c r="AI145">
        <v>0.13320487935528599</v>
      </c>
      <c r="AJ145" s="58">
        <f t="shared" si="72"/>
        <v>-1.4072786035829711E-2</v>
      </c>
      <c r="AQ145">
        <v>0.140704879355286</v>
      </c>
      <c r="AR145">
        <v>0</v>
      </c>
      <c r="AS145">
        <f t="shared" si="75"/>
        <v>0.140704879355286</v>
      </c>
      <c r="AT145">
        <v>0.125059736039171</v>
      </c>
      <c r="AU145" s="58">
        <f t="shared" si="73"/>
        <v>-0.1111911924291575</v>
      </c>
    </row>
    <row r="146" spans="7:47" x14ac:dyDescent="0.25">
      <c r="G146">
        <v>9.1544127000000003E-2</v>
      </c>
      <c r="H146">
        <v>-6.3749351291188978E-3</v>
      </c>
      <c r="I146">
        <f t="shared" si="74"/>
        <v>8.5169191870881109E-2</v>
      </c>
      <c r="W146">
        <v>0.13097392299999999</v>
      </c>
      <c r="X146">
        <v>0</v>
      </c>
      <c r="Y146">
        <f t="shared" si="70"/>
        <v>0.13097392299999999</v>
      </c>
      <c r="AF146">
        <v>0.13953785299999999</v>
      </c>
      <c r="AG146">
        <v>0</v>
      </c>
      <c r="AH146">
        <f t="shared" si="71"/>
        <v>0.13953785299999999</v>
      </c>
      <c r="AI146">
        <v>0.13934251644954401</v>
      </c>
      <c r="AJ146" s="58">
        <f t="shared" si="72"/>
        <v>-1.3998821556755411E-3</v>
      </c>
    </row>
    <row r="147" spans="7:47" x14ac:dyDescent="0.25">
      <c r="G147">
        <v>9.6927912000000005E-2</v>
      </c>
      <c r="H147">
        <v>-8.4097121690800969E-3</v>
      </c>
      <c r="I147">
        <f t="shared" si="74"/>
        <v>8.8518199830919908E-2</v>
      </c>
      <c r="W147">
        <v>0.139104166</v>
      </c>
      <c r="X147">
        <v>0</v>
      </c>
      <c r="Y147">
        <f t="shared" si="70"/>
        <v>0.139104166</v>
      </c>
      <c r="AF147">
        <v>0.21189503300000001</v>
      </c>
      <c r="AG147">
        <v>0</v>
      </c>
      <c r="AH147">
        <f t="shared" si="71"/>
        <v>0.21189503300000001</v>
      </c>
      <c r="AI147">
        <v>0.175315013578213</v>
      </c>
      <c r="AJ147" s="58">
        <f t="shared" si="72"/>
        <v>-0.17263273661439252</v>
      </c>
    </row>
    <row r="148" spans="7:47" x14ac:dyDescent="0.25">
      <c r="G148">
        <v>0.100602702</v>
      </c>
      <c r="H148">
        <v>3.4330022935269433E-4</v>
      </c>
      <c r="I148">
        <f t="shared" si="74"/>
        <v>0.1009460022293527</v>
      </c>
      <c r="W148">
        <v>0.14157303099999999</v>
      </c>
      <c r="X148">
        <v>8.3054312697419114E-4</v>
      </c>
      <c r="Y148">
        <f t="shared" si="70"/>
        <v>0.14240357412697419</v>
      </c>
      <c r="AF148">
        <v>0.16520369300000001</v>
      </c>
      <c r="AG148">
        <v>1.7091076305970065E-3</v>
      </c>
      <c r="AH148">
        <f t="shared" si="71"/>
        <v>0.16691280063059702</v>
      </c>
      <c r="AI148">
        <v>0.16165545211646601</v>
      </c>
      <c r="AJ148" s="58">
        <f t="shared" si="72"/>
        <v>-3.1497575346340921E-2</v>
      </c>
    </row>
    <row r="149" spans="7:47" x14ac:dyDescent="0.25">
      <c r="G149">
        <v>9.0778244999999994E-2</v>
      </c>
      <c r="H149">
        <v>-2.9401066798204201E-5</v>
      </c>
      <c r="I149">
        <f t="shared" si="74"/>
        <v>9.0748843933201789E-2</v>
      </c>
      <c r="W149">
        <v>9.7513239000000002E-2</v>
      </c>
      <c r="X149">
        <v>0</v>
      </c>
      <c r="Y149">
        <f t="shared" si="70"/>
        <v>9.7513239000000002E-2</v>
      </c>
      <c r="AF149">
        <v>0.10702534599999999</v>
      </c>
      <c r="AG149">
        <v>0</v>
      </c>
      <c r="AH149">
        <f t="shared" si="71"/>
        <v>0.10702534599999999</v>
      </c>
      <c r="AI149">
        <v>0.10353850026099699</v>
      </c>
      <c r="AJ149" s="58">
        <f t="shared" si="72"/>
        <v>-3.2579625942092259E-2</v>
      </c>
    </row>
    <row r="150" spans="7:47" x14ac:dyDescent="0.25">
      <c r="G150">
        <v>9.0884070999999997E-2</v>
      </c>
      <c r="H150">
        <v>2.9763634334420419E-4</v>
      </c>
      <c r="I150">
        <f t="shared" si="74"/>
        <v>9.1181707343344201E-2</v>
      </c>
      <c r="W150">
        <v>9.4783166000000002E-2</v>
      </c>
      <c r="X150">
        <v>-3.1269733533020178E-4</v>
      </c>
      <c r="Y150">
        <f t="shared" si="70"/>
        <v>9.4470468664669793E-2</v>
      </c>
      <c r="AF150">
        <v>0.105773141</v>
      </c>
      <c r="AG150">
        <v>8.7379074452159644E-4</v>
      </c>
      <c r="AH150">
        <f t="shared" si="71"/>
        <v>0.1066469317445216</v>
      </c>
      <c r="AI150">
        <v>0.103214815021531</v>
      </c>
      <c r="AJ150" s="58">
        <f t="shared" si="72"/>
        <v>-3.2182048436352723E-2</v>
      </c>
    </row>
    <row r="151" spans="7:47" x14ac:dyDescent="0.25">
      <c r="G151">
        <v>0.10009512499999999</v>
      </c>
      <c r="H151">
        <v>3.1306913745570569E-4</v>
      </c>
      <c r="I151">
        <f t="shared" si="74"/>
        <v>0.10040819413745569</v>
      </c>
      <c r="W151">
        <v>0.14797896399999999</v>
      </c>
      <c r="X151">
        <v>9.301746106075981E-4</v>
      </c>
      <c r="Y151">
        <f t="shared" si="70"/>
        <v>0.14890913861060759</v>
      </c>
      <c r="AF151">
        <v>0.17811057999999999</v>
      </c>
      <c r="AG151">
        <v>2.0479496993218993E-3</v>
      </c>
      <c r="AH151">
        <f t="shared" si="71"/>
        <v>0.18015852969932189</v>
      </c>
      <c r="AI151">
        <v>0.17794304031435701</v>
      </c>
      <c r="AJ151" s="58">
        <f t="shared" si="72"/>
        <v>-1.2297443749471382E-2</v>
      </c>
    </row>
    <row r="152" spans="7:47" x14ac:dyDescent="0.25">
      <c r="G152">
        <v>9.1906394000000002E-2</v>
      </c>
      <c r="H152">
        <v>-6.2011973977157998E-3</v>
      </c>
      <c r="I152">
        <f t="shared" si="74"/>
        <v>8.5705196602284206E-2</v>
      </c>
      <c r="W152">
        <v>0.144563211</v>
      </c>
      <c r="X152">
        <v>0</v>
      </c>
      <c r="Y152">
        <f t="shared" si="70"/>
        <v>0.144563211</v>
      </c>
      <c r="AF152">
        <v>0.15463902800000001</v>
      </c>
      <c r="AG152">
        <v>0</v>
      </c>
      <c r="AH152">
        <f t="shared" si="71"/>
        <v>0.15463902800000001</v>
      </c>
      <c r="AI152">
        <v>0.15342848642423701</v>
      </c>
      <c r="AJ152" s="58">
        <f t="shared" si="72"/>
        <v>-7.8281763111121092E-3</v>
      </c>
    </row>
    <row r="153" spans="7:47" x14ac:dyDescent="0.25">
      <c r="G153">
        <v>9.5053774999999993E-2</v>
      </c>
      <c r="H153">
        <v>-1.572238165443697E-3</v>
      </c>
      <c r="I153">
        <f t="shared" si="74"/>
        <v>9.3481536834556289E-2</v>
      </c>
      <c r="W153">
        <v>0.12657787300000001</v>
      </c>
      <c r="X153">
        <v>0</v>
      </c>
      <c r="Y153">
        <f t="shared" si="70"/>
        <v>0.12657787300000001</v>
      </c>
      <c r="AF153">
        <v>0.14050019499999999</v>
      </c>
      <c r="AG153">
        <v>0</v>
      </c>
      <c r="AH153">
        <f t="shared" si="71"/>
        <v>0.14050019499999999</v>
      </c>
      <c r="AI153">
        <v>0.13855639728017699</v>
      </c>
      <c r="AJ153" s="58">
        <f t="shared" si="72"/>
        <v>-1.3834840014442712E-2</v>
      </c>
    </row>
    <row r="154" spans="7:47" x14ac:dyDescent="0.25">
      <c r="G154">
        <v>9.0186255000000007E-2</v>
      </c>
      <c r="H154">
        <v>2.3083910746430139E-4</v>
      </c>
      <c r="I154">
        <f t="shared" si="74"/>
        <v>9.0417094107464305E-2</v>
      </c>
      <c r="W154">
        <v>0.12649232199999999</v>
      </c>
      <c r="X154">
        <v>6.3010846582290531E-4</v>
      </c>
      <c r="Y154">
        <f t="shared" si="70"/>
        <v>0.12712243046582289</v>
      </c>
      <c r="AF154">
        <v>0.106818092</v>
      </c>
      <c r="AG154">
        <v>-9.7831607981829771E-4</v>
      </c>
      <c r="AH154">
        <f t="shared" si="71"/>
        <v>0.10583977592018171</v>
      </c>
      <c r="AI154">
        <v>9.6083181761685704E-2</v>
      </c>
      <c r="AJ154" s="58">
        <f t="shared" si="72"/>
        <v>-9.2182679655840025E-2</v>
      </c>
    </row>
    <row r="155" spans="7:47" x14ac:dyDescent="0.25">
      <c r="G155">
        <v>9.4587144999999997E-2</v>
      </c>
      <c r="H155">
        <v>-6.3347704824426969E-3</v>
      </c>
      <c r="I155">
        <f t="shared" si="74"/>
        <v>8.8252374517557297E-2</v>
      </c>
      <c r="W155">
        <v>0.151902915</v>
      </c>
      <c r="X155">
        <v>0</v>
      </c>
      <c r="Y155">
        <f t="shared" si="70"/>
        <v>0.151902915</v>
      </c>
      <c r="AF155">
        <v>0.16815224400000001</v>
      </c>
      <c r="AG155">
        <v>0</v>
      </c>
      <c r="AH155">
        <f t="shared" si="71"/>
        <v>0.16815224400000001</v>
      </c>
      <c r="AI155">
        <v>0.165000262005257</v>
      </c>
      <c r="AJ155" s="58">
        <f t="shared" si="72"/>
        <v>-1.8744810772450996E-2</v>
      </c>
    </row>
    <row r="156" spans="7:47" x14ac:dyDescent="0.25">
      <c r="G156">
        <v>9.0770008999999999E-2</v>
      </c>
      <c r="H156">
        <v>1.6346780113317971E-3</v>
      </c>
      <c r="I156">
        <f t="shared" si="74"/>
        <v>9.2404687011331796E-2</v>
      </c>
      <c r="W156">
        <v>0.123907723</v>
      </c>
      <c r="X156">
        <v>0</v>
      </c>
      <c r="Y156">
        <f t="shared" si="70"/>
        <v>0.123907723</v>
      </c>
      <c r="AF156">
        <v>0.127979868</v>
      </c>
      <c r="AG156">
        <v>0</v>
      </c>
      <c r="AH156">
        <f t="shared" si="71"/>
        <v>0.127979868</v>
      </c>
      <c r="AI156">
        <v>0.118823231742667</v>
      </c>
      <c r="AJ156" s="58">
        <f t="shared" si="72"/>
        <v>-7.1547473836533398E-2</v>
      </c>
    </row>
    <row r="157" spans="7:47" x14ac:dyDescent="0.25">
      <c r="G157">
        <v>9.4157438999999996E-2</v>
      </c>
      <c r="H157">
        <v>-7.6253937459162015E-3</v>
      </c>
      <c r="I157">
        <f t="shared" si="74"/>
        <v>8.6532045254083798E-2</v>
      </c>
      <c r="W157">
        <v>0.154517185</v>
      </c>
      <c r="X157">
        <v>0</v>
      </c>
      <c r="Y157">
        <f t="shared" si="70"/>
        <v>0.154517185</v>
      </c>
      <c r="AF157">
        <v>0.177572127</v>
      </c>
      <c r="AG157">
        <v>0</v>
      </c>
      <c r="AH157">
        <f t="shared" si="71"/>
        <v>0.177572127</v>
      </c>
      <c r="AI157">
        <v>0.17946838478654201</v>
      </c>
      <c r="AJ157" s="58">
        <f t="shared" si="72"/>
        <v>1.067880313525788E-2</v>
      </c>
    </row>
    <row r="158" spans="7:47" x14ac:dyDescent="0.25">
      <c r="G158">
        <v>9.5560567999999999E-2</v>
      </c>
      <c r="H158">
        <v>1.9675779971270457E-4</v>
      </c>
      <c r="I158">
        <f t="shared" si="74"/>
        <v>9.5757325799712703E-2</v>
      </c>
      <c r="W158">
        <v>0.13256484599999999</v>
      </c>
      <c r="X158">
        <v>3.5762045178370366E-4</v>
      </c>
      <c r="Y158">
        <f t="shared" si="70"/>
        <v>0.13292246645178368</v>
      </c>
      <c r="AF158">
        <v>0.14641546499999999</v>
      </c>
      <c r="AG158">
        <v>1.2521790409088934E-3</v>
      </c>
      <c r="AH158">
        <f t="shared" si="71"/>
        <v>0.14766764404090887</v>
      </c>
      <c r="AI158">
        <v>0.141454550280147</v>
      </c>
      <c r="AJ158" s="58">
        <f t="shared" si="72"/>
        <v>-4.2074848563579972E-2</v>
      </c>
    </row>
    <row r="159" spans="7:47" x14ac:dyDescent="0.25">
      <c r="G159">
        <v>9.8982973000000002E-2</v>
      </c>
      <c r="H159">
        <v>-6.8719389956589001E-3</v>
      </c>
      <c r="I159">
        <f t="shared" si="74"/>
        <v>9.2111034004341105E-2</v>
      </c>
      <c r="W159">
        <v>0.17470344600000001</v>
      </c>
      <c r="X159">
        <v>0</v>
      </c>
      <c r="Y159">
        <f t="shared" si="70"/>
        <v>0.17470344600000001</v>
      </c>
      <c r="AF159">
        <v>0.209089151</v>
      </c>
      <c r="AG159">
        <v>0</v>
      </c>
      <c r="AH159">
        <f t="shared" si="71"/>
        <v>0.209089151</v>
      </c>
      <c r="AI159">
        <v>0.214624274177663</v>
      </c>
      <c r="AJ159" s="58">
        <f t="shared" si="72"/>
        <v>2.6472550829110202E-2</v>
      </c>
    </row>
    <row r="160" spans="7:47" x14ac:dyDescent="0.25">
      <c r="G160">
        <v>9.1071435000000006E-2</v>
      </c>
      <c r="H160">
        <v>1.3175274141610099E-4</v>
      </c>
      <c r="I160">
        <f t="shared" si="74"/>
        <v>9.1203187741416114E-2</v>
      </c>
      <c r="W160">
        <v>0.119212741</v>
      </c>
      <c r="X160">
        <v>1.1301554315279461E-4</v>
      </c>
      <c r="Y160">
        <f t="shared" si="70"/>
        <v>0.11932575654315279</v>
      </c>
      <c r="AF160">
        <v>0.12846000799999999</v>
      </c>
      <c r="AG160">
        <v>1.0069514686137926E-3</v>
      </c>
      <c r="AH160">
        <f t="shared" si="71"/>
        <v>0.12946695946861378</v>
      </c>
      <c r="AI160">
        <v>0.118473818460601</v>
      </c>
      <c r="AJ160" s="58">
        <f t="shared" si="72"/>
        <v>-8.4910783825720509E-2</v>
      </c>
    </row>
    <row r="161" spans="7:36" x14ac:dyDescent="0.25">
      <c r="G161">
        <v>9.6715454000000006E-2</v>
      </c>
      <c r="H161">
        <v>-2.4754849214649946E-3</v>
      </c>
      <c r="I161">
        <f t="shared" si="74"/>
        <v>9.4239969078535019E-2</v>
      </c>
      <c r="W161">
        <v>0.13964854099999999</v>
      </c>
      <c r="X161">
        <v>0</v>
      </c>
      <c r="Y161">
        <f t="shared" si="70"/>
        <v>0.13964854099999999</v>
      </c>
      <c r="AF161">
        <v>0.16517337800000001</v>
      </c>
      <c r="AG161">
        <v>0</v>
      </c>
      <c r="AH161">
        <f t="shared" si="71"/>
        <v>0.16517337800000001</v>
      </c>
      <c r="AI161">
        <v>0.16976597365086199</v>
      </c>
      <c r="AJ161" s="58">
        <f t="shared" si="72"/>
        <v>2.7804696534461989E-2</v>
      </c>
    </row>
    <row r="162" spans="7:36" x14ac:dyDescent="0.25">
      <c r="G162">
        <v>9.9028596999999996E-2</v>
      </c>
      <c r="H162">
        <v>-7.9935107322019992E-3</v>
      </c>
      <c r="I162">
        <f t="shared" si="74"/>
        <v>9.1035086267797993E-2</v>
      </c>
      <c r="W162">
        <v>0.170081077</v>
      </c>
      <c r="X162">
        <v>0</v>
      </c>
      <c r="Y162">
        <f t="shared" ref="Y162:Y193" si="76">W162+X162</f>
        <v>0.170081077</v>
      </c>
      <c r="AF162">
        <v>0.200913222</v>
      </c>
      <c r="AG162">
        <v>0</v>
      </c>
      <c r="AH162">
        <f t="shared" ref="AH162:AH169" si="77">AF162+AG162</f>
        <v>0.200913222</v>
      </c>
      <c r="AI162">
        <v>0.20491383059328999</v>
      </c>
      <c r="AJ162" s="58">
        <f t="shared" ref="AJ162:AJ169" si="78">(AI162-AH162)/AH162</f>
        <v>1.9912122026941509E-2</v>
      </c>
    </row>
    <row r="163" spans="7:36" x14ac:dyDescent="0.25">
      <c r="G163">
        <v>9.3966398000000007E-2</v>
      </c>
      <c r="H163">
        <v>1.6875739881495877E-5</v>
      </c>
      <c r="I163">
        <f t="shared" si="74"/>
        <v>9.3983273739881495E-2</v>
      </c>
      <c r="W163">
        <v>0.12523625199999999</v>
      </c>
      <c r="X163">
        <v>1.3682125857719662E-4</v>
      </c>
      <c r="Y163">
        <f t="shared" si="76"/>
        <v>0.12537307325857719</v>
      </c>
      <c r="AF163">
        <v>0.13888730899999999</v>
      </c>
      <c r="AG163">
        <v>1.2207471100096068E-3</v>
      </c>
      <c r="AH163">
        <f t="shared" si="77"/>
        <v>0.14010805611000959</v>
      </c>
      <c r="AI163">
        <v>0.13623551504572201</v>
      </c>
      <c r="AJ163" s="58">
        <f t="shared" si="78"/>
        <v>-2.7639674489859122E-2</v>
      </c>
    </row>
    <row r="164" spans="7:36" x14ac:dyDescent="0.25">
      <c r="G164">
        <v>0.100328036</v>
      </c>
      <c r="H164">
        <v>-4.6576908168487023E-3</v>
      </c>
      <c r="I164">
        <f t="shared" si="74"/>
        <v>9.567034518315129E-2</v>
      </c>
      <c r="W164">
        <v>0.170831283</v>
      </c>
      <c r="X164">
        <v>0</v>
      </c>
      <c r="Y164">
        <f t="shared" si="76"/>
        <v>0.170831283</v>
      </c>
      <c r="AF164">
        <v>0.20266595000000001</v>
      </c>
      <c r="AG164">
        <v>0</v>
      </c>
      <c r="AH164">
        <f t="shared" si="77"/>
        <v>0.20266595000000001</v>
      </c>
      <c r="AI164">
        <v>0.21774371533492401</v>
      </c>
      <c r="AJ164" s="58">
        <f t="shared" si="78"/>
        <v>7.4397131510863065E-2</v>
      </c>
    </row>
    <row r="165" spans="7:36" x14ac:dyDescent="0.25">
      <c r="G165">
        <v>9.7875674999999995E-2</v>
      </c>
      <c r="H165">
        <v>9.0577486759613191E-7</v>
      </c>
      <c r="I165">
        <f t="shared" si="74"/>
        <v>9.7876580774867591E-2</v>
      </c>
      <c r="W165">
        <v>0.13486485500000001</v>
      </c>
      <c r="X165">
        <v>-1.7507421552973024E-6</v>
      </c>
      <c r="Y165">
        <f t="shared" si="76"/>
        <v>0.1348631042578447</v>
      </c>
      <c r="AF165">
        <v>0.15341991999999999</v>
      </c>
      <c r="AG165">
        <v>1.4318376785599912E-3</v>
      </c>
      <c r="AH165">
        <f t="shared" si="77"/>
        <v>0.15485175767855996</v>
      </c>
      <c r="AI165">
        <v>0.14504958211507299</v>
      </c>
      <c r="AJ165" s="58">
        <f t="shared" si="78"/>
        <v>-6.3300382962615462E-2</v>
      </c>
    </row>
    <row r="166" spans="7:36" x14ac:dyDescent="0.25">
      <c r="G166">
        <v>0.100470192</v>
      </c>
      <c r="H166">
        <v>-3.9420285785493024E-3</v>
      </c>
      <c r="I166">
        <f t="shared" si="74"/>
        <v>9.6528163421450694E-2</v>
      </c>
      <c r="W166">
        <v>0.13219776499999999</v>
      </c>
      <c r="X166">
        <v>0</v>
      </c>
      <c r="Y166">
        <f t="shared" si="76"/>
        <v>0.13219776499999999</v>
      </c>
      <c r="AF166">
        <v>0.16610340500000001</v>
      </c>
      <c r="AG166">
        <v>0</v>
      </c>
      <c r="AH166">
        <f t="shared" si="77"/>
        <v>0.16610340500000001</v>
      </c>
      <c r="AI166">
        <v>0.17222717112790201</v>
      </c>
      <c r="AJ166" s="58">
        <f t="shared" si="78"/>
        <v>3.6867192023559044E-2</v>
      </c>
    </row>
    <row r="167" spans="7:36" x14ac:dyDescent="0.25">
      <c r="G167">
        <v>9.5028974000000002E-2</v>
      </c>
      <c r="H167">
        <v>-1.1920755866646968E-3</v>
      </c>
      <c r="I167">
        <f t="shared" si="74"/>
        <v>9.3836898413335312E-2</v>
      </c>
      <c r="W167">
        <v>0.123000754</v>
      </c>
      <c r="X167">
        <v>0</v>
      </c>
      <c r="Y167">
        <f t="shared" si="76"/>
        <v>0.123000754</v>
      </c>
      <c r="AF167">
        <v>0.13123022200000001</v>
      </c>
      <c r="AG167">
        <v>0</v>
      </c>
      <c r="AH167">
        <f t="shared" si="77"/>
        <v>0.13123022200000001</v>
      </c>
      <c r="AI167">
        <v>0.126992073656226</v>
      </c>
      <c r="AJ167" s="58">
        <f t="shared" si="78"/>
        <v>-3.2295520644429039E-2</v>
      </c>
    </row>
    <row r="168" spans="7:36" x14ac:dyDescent="0.25">
      <c r="G168">
        <v>9.4171498000000006E-2</v>
      </c>
      <c r="H168">
        <v>-6.0503270650349994E-4</v>
      </c>
      <c r="I168">
        <f t="shared" si="74"/>
        <v>9.3566465293496506E-2</v>
      </c>
      <c r="W168">
        <v>0.12622109300000001</v>
      </c>
      <c r="X168">
        <v>0</v>
      </c>
      <c r="Y168">
        <f t="shared" si="76"/>
        <v>0.12622109300000001</v>
      </c>
      <c r="AF168">
        <v>0.13617894</v>
      </c>
      <c r="AG168">
        <v>0</v>
      </c>
      <c r="AH168">
        <f t="shared" si="77"/>
        <v>0.13617894</v>
      </c>
      <c r="AI168">
        <v>0.133068980235901</v>
      </c>
      <c r="AJ168" s="58">
        <f t="shared" si="78"/>
        <v>-2.2837303360556352E-2</v>
      </c>
    </row>
    <row r="169" spans="7:36" x14ac:dyDescent="0.25">
      <c r="G169">
        <v>9.6366616000000002E-2</v>
      </c>
      <c r="H169">
        <v>-2.1658145890988967E-3</v>
      </c>
      <c r="I169">
        <f t="shared" si="74"/>
        <v>9.4200801410901105E-2</v>
      </c>
      <c r="W169">
        <v>0.12547134600000001</v>
      </c>
      <c r="X169">
        <v>0</v>
      </c>
      <c r="Y169">
        <f t="shared" si="76"/>
        <v>0.12547134600000001</v>
      </c>
      <c r="AF169">
        <v>0.14260619999999999</v>
      </c>
      <c r="AG169">
        <v>0</v>
      </c>
      <c r="AH169">
        <f t="shared" si="77"/>
        <v>0.14260619999999999</v>
      </c>
      <c r="AI169">
        <v>0.140704879355286</v>
      </c>
      <c r="AJ169" s="58">
        <f t="shared" si="78"/>
        <v>-1.3332664671760336E-2</v>
      </c>
    </row>
    <row r="170" spans="7:36" x14ac:dyDescent="0.25">
      <c r="G170">
        <v>0.100044127</v>
      </c>
      <c r="H170">
        <v>-6.3749351291188978E-3</v>
      </c>
      <c r="I170">
        <f t="shared" si="74"/>
        <v>9.3669191870881102E-2</v>
      </c>
      <c r="W170">
        <v>0.138473923</v>
      </c>
      <c r="X170">
        <v>0</v>
      </c>
      <c r="Y170">
        <f t="shared" si="76"/>
        <v>0.138473923</v>
      </c>
    </row>
    <row r="171" spans="7:36" x14ac:dyDescent="0.25">
      <c r="G171">
        <v>0.105427912</v>
      </c>
      <c r="H171">
        <v>-8.4097121690800969E-3</v>
      </c>
      <c r="I171">
        <f t="shared" si="74"/>
        <v>9.7018199830919902E-2</v>
      </c>
      <c r="W171">
        <v>0.14660416600000001</v>
      </c>
      <c r="X171">
        <v>0</v>
      </c>
      <c r="Y171">
        <f t="shared" si="76"/>
        <v>0.14660416600000001</v>
      </c>
    </row>
    <row r="172" spans="7:36" x14ac:dyDescent="0.25">
      <c r="G172">
        <v>0.109102702</v>
      </c>
      <c r="H172">
        <v>3.4330022935269433E-4</v>
      </c>
      <c r="I172">
        <f t="shared" si="74"/>
        <v>0.10944600222935269</v>
      </c>
      <c r="W172">
        <v>0.14907303099999999</v>
      </c>
      <c r="X172">
        <v>8.3054312697419114E-4</v>
      </c>
      <c r="Y172">
        <f t="shared" si="76"/>
        <v>0.14990357412697419</v>
      </c>
    </row>
    <row r="173" spans="7:36" x14ac:dyDescent="0.25">
      <c r="G173">
        <v>9.9278245000000001E-2</v>
      </c>
      <c r="H173">
        <v>-2.9401066798204201E-5</v>
      </c>
      <c r="I173">
        <f t="shared" si="74"/>
        <v>9.9248843933201797E-2</v>
      </c>
      <c r="W173">
        <v>0.10501323899999999</v>
      </c>
      <c r="X173">
        <v>0</v>
      </c>
      <c r="Y173">
        <f t="shared" si="76"/>
        <v>0.10501323899999999</v>
      </c>
    </row>
    <row r="174" spans="7:36" x14ac:dyDescent="0.25">
      <c r="G174">
        <v>9.9384071000000004E-2</v>
      </c>
      <c r="H174">
        <v>2.9763634334420419E-4</v>
      </c>
      <c r="I174">
        <f t="shared" si="74"/>
        <v>9.9681707343344209E-2</v>
      </c>
      <c r="W174">
        <v>0.10228316599999999</v>
      </c>
      <c r="X174">
        <v>-3.1269733533020178E-4</v>
      </c>
      <c r="Y174">
        <f t="shared" si="76"/>
        <v>0.1019704686646698</v>
      </c>
    </row>
    <row r="175" spans="7:36" x14ac:dyDescent="0.25">
      <c r="G175">
        <v>0.108595125</v>
      </c>
      <c r="H175">
        <v>3.1306913745570569E-4</v>
      </c>
      <c r="I175">
        <f t="shared" si="74"/>
        <v>0.1089081941374557</v>
      </c>
      <c r="W175">
        <v>0.155478964</v>
      </c>
      <c r="X175">
        <v>9.301746106075981E-4</v>
      </c>
      <c r="Y175">
        <f t="shared" si="76"/>
        <v>0.1564091386106076</v>
      </c>
    </row>
    <row r="176" spans="7:36" x14ac:dyDescent="0.25">
      <c r="G176">
        <v>0.100406394</v>
      </c>
      <c r="H176">
        <v>-6.2011973977157998E-3</v>
      </c>
      <c r="I176">
        <f t="shared" si="74"/>
        <v>9.42051966022842E-2</v>
      </c>
      <c r="W176">
        <v>0.152063211</v>
      </c>
      <c r="X176">
        <v>0</v>
      </c>
      <c r="Y176">
        <f t="shared" si="76"/>
        <v>0.152063211</v>
      </c>
    </row>
    <row r="177" spans="7:25" x14ac:dyDescent="0.25">
      <c r="G177">
        <v>0.103553775</v>
      </c>
      <c r="H177">
        <v>-1.572238165443697E-3</v>
      </c>
      <c r="I177">
        <f t="shared" si="74"/>
        <v>0.1019815368345563</v>
      </c>
      <c r="W177">
        <v>0.13407787299999999</v>
      </c>
      <c r="X177">
        <v>0</v>
      </c>
      <c r="Y177">
        <f t="shared" si="76"/>
        <v>0.13407787299999999</v>
      </c>
    </row>
    <row r="178" spans="7:25" x14ac:dyDescent="0.25">
      <c r="G178">
        <v>9.8686255000000001E-2</v>
      </c>
      <c r="H178">
        <v>2.3083910746430139E-4</v>
      </c>
      <c r="I178">
        <f t="shared" si="74"/>
        <v>9.8917094107464298E-2</v>
      </c>
      <c r="W178">
        <v>0.133992322</v>
      </c>
      <c r="X178">
        <v>6.3010846582290531E-4</v>
      </c>
      <c r="Y178">
        <f t="shared" si="76"/>
        <v>0.1346224304658229</v>
      </c>
    </row>
    <row r="179" spans="7:25" x14ac:dyDescent="0.25">
      <c r="G179">
        <v>0.10308714500000001</v>
      </c>
      <c r="H179">
        <v>-6.3347704824426969E-3</v>
      </c>
      <c r="I179">
        <f t="shared" si="74"/>
        <v>9.6752374517557305E-2</v>
      </c>
      <c r="W179">
        <v>0.15940291500000001</v>
      </c>
      <c r="X179">
        <v>0</v>
      </c>
      <c r="Y179">
        <f t="shared" si="76"/>
        <v>0.15940291500000001</v>
      </c>
    </row>
    <row r="180" spans="7:25" x14ac:dyDescent="0.25">
      <c r="G180">
        <v>9.9270009000000006E-2</v>
      </c>
      <c r="H180">
        <v>1.6346780113317971E-3</v>
      </c>
      <c r="I180">
        <f t="shared" si="74"/>
        <v>0.1009046870113318</v>
      </c>
      <c r="W180">
        <v>0.131407723</v>
      </c>
      <c r="X180">
        <v>0</v>
      </c>
      <c r="Y180">
        <f t="shared" si="76"/>
        <v>0.131407723</v>
      </c>
    </row>
    <row r="181" spans="7:25" x14ac:dyDescent="0.25">
      <c r="G181">
        <v>0.102657439</v>
      </c>
      <c r="H181">
        <v>-7.6253937459162015E-3</v>
      </c>
      <c r="I181">
        <f t="shared" si="74"/>
        <v>9.5032045254083805E-2</v>
      </c>
      <c r="W181">
        <v>0.16201718500000001</v>
      </c>
      <c r="X181">
        <v>0</v>
      </c>
      <c r="Y181">
        <f t="shared" si="76"/>
        <v>0.16201718500000001</v>
      </c>
    </row>
    <row r="182" spans="7:25" x14ac:dyDescent="0.25">
      <c r="G182">
        <v>0.10406056800000001</v>
      </c>
      <c r="H182">
        <v>1.9675779971270457E-4</v>
      </c>
      <c r="I182">
        <f t="shared" si="74"/>
        <v>0.10425732579971271</v>
      </c>
      <c r="W182">
        <v>0.14006484599999999</v>
      </c>
      <c r="X182">
        <v>3.5762045178370366E-4</v>
      </c>
      <c r="Y182">
        <f t="shared" si="76"/>
        <v>0.14042246645178369</v>
      </c>
    </row>
    <row r="183" spans="7:25" x14ac:dyDescent="0.25">
      <c r="G183">
        <v>0.107482973</v>
      </c>
      <c r="H183">
        <v>-6.8719389956589001E-3</v>
      </c>
      <c r="I183">
        <f t="shared" si="74"/>
        <v>0.1006110340043411</v>
      </c>
      <c r="W183">
        <v>0.18220344599999999</v>
      </c>
      <c r="X183">
        <v>0</v>
      </c>
      <c r="Y183">
        <f t="shared" si="76"/>
        <v>0.18220344599999999</v>
      </c>
    </row>
    <row r="184" spans="7:25" x14ac:dyDescent="0.25">
      <c r="G184">
        <v>9.9571435E-2</v>
      </c>
      <c r="H184">
        <v>1.3175274141610099E-4</v>
      </c>
      <c r="I184">
        <f t="shared" si="74"/>
        <v>9.9703187741416094E-2</v>
      </c>
      <c r="W184">
        <v>0.12671274099999999</v>
      </c>
      <c r="X184">
        <v>1.1301554315279461E-4</v>
      </c>
      <c r="Y184">
        <f t="shared" si="76"/>
        <v>0.12682575654315278</v>
      </c>
    </row>
    <row r="185" spans="7:25" x14ac:dyDescent="0.25">
      <c r="G185">
        <v>0.105215454</v>
      </c>
      <c r="H185">
        <v>-2.4754849214649946E-3</v>
      </c>
      <c r="I185">
        <f t="shared" si="74"/>
        <v>0.102739969078535</v>
      </c>
      <c r="W185">
        <v>0.14714854099999999</v>
      </c>
      <c r="X185">
        <v>0</v>
      </c>
      <c r="Y185">
        <f t="shared" si="76"/>
        <v>0.14714854099999999</v>
      </c>
    </row>
    <row r="186" spans="7:25" x14ac:dyDescent="0.25">
      <c r="G186">
        <v>0.107528597</v>
      </c>
      <c r="H186">
        <v>-7.9935107322019992E-3</v>
      </c>
      <c r="I186">
        <f t="shared" si="74"/>
        <v>9.9535086267798001E-2</v>
      </c>
      <c r="W186">
        <v>0.177581077</v>
      </c>
      <c r="X186">
        <v>0</v>
      </c>
      <c r="Y186">
        <f t="shared" si="76"/>
        <v>0.177581077</v>
      </c>
    </row>
    <row r="187" spans="7:25" x14ac:dyDescent="0.25">
      <c r="G187">
        <v>0.102466398</v>
      </c>
      <c r="H187">
        <v>1.6875739881495877E-5</v>
      </c>
      <c r="I187">
        <f t="shared" si="74"/>
        <v>0.1024832737398815</v>
      </c>
      <c r="W187">
        <v>0.132736252</v>
      </c>
      <c r="X187">
        <v>1.3682125857719662E-4</v>
      </c>
      <c r="Y187">
        <f t="shared" si="76"/>
        <v>0.1328730732585772</v>
      </c>
    </row>
    <row r="188" spans="7:25" x14ac:dyDescent="0.25">
      <c r="G188">
        <v>0.108828036</v>
      </c>
      <c r="H188">
        <v>-4.6576908168487023E-3</v>
      </c>
      <c r="I188">
        <f t="shared" si="74"/>
        <v>0.1041703451831513</v>
      </c>
      <c r="W188">
        <v>0.17833128300000001</v>
      </c>
      <c r="X188">
        <v>0</v>
      </c>
      <c r="Y188">
        <f t="shared" si="76"/>
        <v>0.17833128300000001</v>
      </c>
    </row>
    <row r="189" spans="7:25" x14ac:dyDescent="0.25">
      <c r="G189">
        <v>0.106375675</v>
      </c>
      <c r="H189">
        <v>9.0577486759613191E-7</v>
      </c>
      <c r="I189">
        <f t="shared" si="74"/>
        <v>0.1063765807748676</v>
      </c>
      <c r="W189">
        <v>0.14236485500000001</v>
      </c>
      <c r="X189">
        <v>-1.7507421552973024E-6</v>
      </c>
      <c r="Y189">
        <f t="shared" si="76"/>
        <v>0.14236310425784471</v>
      </c>
    </row>
    <row r="190" spans="7:25" x14ac:dyDescent="0.25">
      <c r="G190">
        <v>0.10897019199999999</v>
      </c>
      <c r="H190">
        <v>-3.9420285785493024E-3</v>
      </c>
      <c r="I190">
        <f t="shared" si="74"/>
        <v>0.10502816342145069</v>
      </c>
      <c r="W190">
        <v>0.139697765</v>
      </c>
      <c r="X190">
        <v>0</v>
      </c>
      <c r="Y190">
        <f t="shared" si="76"/>
        <v>0.139697765</v>
      </c>
    </row>
    <row r="191" spans="7:25" x14ac:dyDescent="0.25">
      <c r="G191">
        <v>0.103528974</v>
      </c>
      <c r="H191">
        <v>-1.1920755866646968E-3</v>
      </c>
      <c r="I191">
        <f t="shared" si="74"/>
        <v>0.10233689841333529</v>
      </c>
      <c r="W191">
        <v>0.130500754</v>
      </c>
      <c r="X191">
        <v>0</v>
      </c>
      <c r="Y191">
        <f t="shared" si="76"/>
        <v>0.130500754</v>
      </c>
    </row>
    <row r="192" spans="7:25" x14ac:dyDescent="0.25">
      <c r="G192">
        <v>0.102671498</v>
      </c>
      <c r="H192">
        <v>-6.0503270650349994E-4</v>
      </c>
      <c r="I192">
        <f t="shared" si="74"/>
        <v>0.1020664652934965</v>
      </c>
      <c r="W192">
        <v>0.13372109300000001</v>
      </c>
      <c r="X192">
        <v>0</v>
      </c>
      <c r="Y192">
        <f t="shared" si="76"/>
        <v>0.13372109300000001</v>
      </c>
    </row>
    <row r="193" spans="7:25" x14ac:dyDescent="0.25">
      <c r="G193">
        <v>0.104866616</v>
      </c>
      <c r="H193">
        <v>-2.1658145890988967E-3</v>
      </c>
      <c r="I193">
        <f t="shared" si="74"/>
        <v>0.1027008014109011</v>
      </c>
      <c r="W193">
        <v>0.13297134599999999</v>
      </c>
      <c r="X193">
        <v>0</v>
      </c>
      <c r="Y193">
        <f t="shared" si="76"/>
        <v>0.13297134599999999</v>
      </c>
    </row>
    <row r="194" spans="7:25" x14ac:dyDescent="0.25">
      <c r="G194">
        <v>0.107544127</v>
      </c>
      <c r="H194">
        <v>-6.3749351291188978E-3</v>
      </c>
      <c r="I194">
        <f t="shared" si="74"/>
        <v>0.10116919187088111</v>
      </c>
    </row>
    <row r="195" spans="7:25" x14ac:dyDescent="0.25">
      <c r="G195">
        <v>0.11292791200000001</v>
      </c>
      <c r="H195">
        <v>-8.4097121690800969E-3</v>
      </c>
      <c r="I195">
        <f t="shared" ref="I195:I217" si="79">G195+H195</f>
        <v>0.10451819983091991</v>
      </c>
    </row>
    <row r="196" spans="7:25" x14ac:dyDescent="0.25">
      <c r="G196">
        <v>0.116602702</v>
      </c>
      <c r="H196">
        <v>3.4330022935269433E-4</v>
      </c>
      <c r="I196">
        <f t="shared" si="79"/>
        <v>0.1169460022293527</v>
      </c>
    </row>
    <row r="197" spans="7:25" x14ac:dyDescent="0.25">
      <c r="G197">
        <v>0.10677824499999999</v>
      </c>
      <c r="H197">
        <v>-2.9401066798204201E-5</v>
      </c>
      <c r="I197">
        <f t="shared" si="79"/>
        <v>0.10674884393320179</v>
      </c>
    </row>
    <row r="198" spans="7:25" x14ac:dyDescent="0.25">
      <c r="G198">
        <v>0.106884071</v>
      </c>
      <c r="H198">
        <v>2.9763634334420419E-4</v>
      </c>
      <c r="I198">
        <f t="shared" si="79"/>
        <v>0.1071817073433442</v>
      </c>
    </row>
    <row r="199" spans="7:25" x14ac:dyDescent="0.25">
      <c r="G199">
        <v>0.11609512499999999</v>
      </c>
      <c r="H199">
        <v>3.1306913745570569E-4</v>
      </c>
      <c r="I199">
        <f t="shared" si="79"/>
        <v>0.11640819413745571</v>
      </c>
    </row>
    <row r="200" spans="7:25" x14ac:dyDescent="0.25">
      <c r="G200">
        <v>0.107906394</v>
      </c>
      <c r="H200">
        <v>-6.2011973977157998E-3</v>
      </c>
      <c r="I200">
        <f t="shared" si="79"/>
        <v>0.10170519660228421</v>
      </c>
    </row>
    <row r="201" spans="7:25" x14ac:dyDescent="0.25">
      <c r="G201">
        <v>0.11105377499999999</v>
      </c>
      <c r="H201">
        <v>-1.572238165443697E-3</v>
      </c>
      <c r="I201">
        <f t="shared" si="79"/>
        <v>0.1094815368345563</v>
      </c>
    </row>
    <row r="202" spans="7:25" x14ac:dyDescent="0.25">
      <c r="G202">
        <v>0.10618625499999999</v>
      </c>
      <c r="H202">
        <v>2.3083910746430139E-4</v>
      </c>
      <c r="I202">
        <f t="shared" si="79"/>
        <v>0.10641709410746429</v>
      </c>
    </row>
    <row r="203" spans="7:25" x14ac:dyDescent="0.25">
      <c r="G203">
        <v>0.110587145</v>
      </c>
      <c r="H203">
        <v>-6.3347704824426969E-3</v>
      </c>
      <c r="I203">
        <f t="shared" si="79"/>
        <v>0.1042523745175573</v>
      </c>
    </row>
    <row r="204" spans="7:25" x14ac:dyDescent="0.25">
      <c r="G204">
        <v>0.106770009</v>
      </c>
      <c r="H204">
        <v>1.6346780113317971E-3</v>
      </c>
      <c r="I204">
        <f t="shared" si="79"/>
        <v>0.1084046870113318</v>
      </c>
    </row>
    <row r="205" spans="7:25" x14ac:dyDescent="0.25">
      <c r="G205">
        <v>0.110157439</v>
      </c>
      <c r="H205">
        <v>-7.6253937459162015E-3</v>
      </c>
      <c r="I205">
        <f t="shared" si="79"/>
        <v>0.1025320452540838</v>
      </c>
    </row>
    <row r="206" spans="7:25" x14ac:dyDescent="0.25">
      <c r="G206">
        <v>0.111560568</v>
      </c>
      <c r="H206">
        <v>1.9675779971270457E-4</v>
      </c>
      <c r="I206">
        <f t="shared" si="79"/>
        <v>0.1117573257997127</v>
      </c>
    </row>
    <row r="207" spans="7:25" x14ac:dyDescent="0.25">
      <c r="G207">
        <v>0.114982973</v>
      </c>
      <c r="H207">
        <v>-6.8719389956589001E-3</v>
      </c>
      <c r="I207">
        <f t="shared" si="79"/>
        <v>0.10811103400434111</v>
      </c>
    </row>
    <row r="208" spans="7:25" x14ac:dyDescent="0.25">
      <c r="G208">
        <v>0.10707143500000001</v>
      </c>
      <c r="H208">
        <v>1.3175274141610099E-4</v>
      </c>
      <c r="I208">
        <f t="shared" si="79"/>
        <v>0.1072031877414161</v>
      </c>
    </row>
    <row r="209" spans="7:9" x14ac:dyDescent="0.25">
      <c r="G209">
        <v>0.11271545400000001</v>
      </c>
      <c r="H209">
        <v>-2.4754849214649946E-3</v>
      </c>
      <c r="I209">
        <f t="shared" si="79"/>
        <v>0.11023996907853501</v>
      </c>
    </row>
    <row r="210" spans="7:9" x14ac:dyDescent="0.25">
      <c r="G210">
        <v>0.115028597</v>
      </c>
      <c r="H210">
        <v>-7.9935107322019992E-3</v>
      </c>
      <c r="I210">
        <f t="shared" si="79"/>
        <v>0.10703508626779799</v>
      </c>
    </row>
    <row r="211" spans="7:9" x14ac:dyDescent="0.25">
      <c r="G211">
        <v>0.10996639800000001</v>
      </c>
      <c r="H211">
        <v>1.6875739881495877E-5</v>
      </c>
      <c r="I211">
        <f t="shared" si="79"/>
        <v>0.10998327373988151</v>
      </c>
    </row>
    <row r="212" spans="7:9" x14ac:dyDescent="0.25">
      <c r="G212">
        <v>0.116328036</v>
      </c>
      <c r="H212">
        <v>-4.6576908168487023E-3</v>
      </c>
      <c r="I212">
        <f t="shared" si="79"/>
        <v>0.11167034518315129</v>
      </c>
    </row>
    <row r="213" spans="7:9" x14ac:dyDescent="0.25">
      <c r="G213">
        <v>0.113875675</v>
      </c>
      <c r="H213">
        <v>9.0577486759613191E-7</v>
      </c>
      <c r="I213">
        <f t="shared" si="79"/>
        <v>0.11387658077486759</v>
      </c>
    </row>
    <row r="214" spans="7:9" x14ac:dyDescent="0.25">
      <c r="G214">
        <v>0.116470192</v>
      </c>
      <c r="H214">
        <v>-3.9420285785493024E-3</v>
      </c>
      <c r="I214">
        <f t="shared" si="79"/>
        <v>0.11252816342145069</v>
      </c>
    </row>
    <row r="215" spans="7:9" x14ac:dyDescent="0.25">
      <c r="G215">
        <v>0.111028974</v>
      </c>
      <c r="H215">
        <v>-1.1920755866646968E-3</v>
      </c>
      <c r="I215">
        <f t="shared" si="79"/>
        <v>0.1098368984133353</v>
      </c>
    </row>
    <row r="216" spans="7:9" x14ac:dyDescent="0.25">
      <c r="G216">
        <v>0.11017149800000001</v>
      </c>
      <c r="H216">
        <v>-6.0503270650349994E-4</v>
      </c>
      <c r="I216">
        <f t="shared" si="79"/>
        <v>0.10956646529349651</v>
      </c>
    </row>
    <row r="217" spans="7:9" x14ac:dyDescent="0.25">
      <c r="G217">
        <v>0.112366616</v>
      </c>
      <c r="H217">
        <v>-2.1658145890988967E-3</v>
      </c>
      <c r="I217">
        <f t="shared" si="79"/>
        <v>0.11020080141090111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84AE-EE02-468F-A64F-9755EB50AF2E}">
  <dimension ref="A1:L169"/>
  <sheetViews>
    <sheetView workbookViewId="0">
      <selection activeCell="E2" sqref="E2"/>
    </sheetView>
  </sheetViews>
  <sheetFormatPr defaultRowHeight="15" x14ac:dyDescent="0.25"/>
  <sheetData>
    <row r="1" spans="1:12" x14ac:dyDescent="0.25">
      <c r="A1" t="s">
        <v>6</v>
      </c>
      <c r="B1" t="s">
        <v>38</v>
      </c>
      <c r="D1" t="s">
        <v>415</v>
      </c>
      <c r="E1">
        <f>MIN(C:C)</f>
        <v>2E-3</v>
      </c>
      <c r="F1" t="s">
        <v>416</v>
      </c>
      <c r="G1">
        <f>MAX(C:C)</f>
        <v>2.8100733699321898E-2</v>
      </c>
    </row>
    <row r="2" spans="1:12" x14ac:dyDescent="0.25">
      <c r="A2" t="s">
        <v>46</v>
      </c>
      <c r="B2">
        <v>4.3192622934591996E-3</v>
      </c>
      <c r="C2" t="str">
        <f t="shared" ref="C2:C33" si="0">IF(A2="Python",B2,"")</f>
        <v/>
      </c>
      <c r="J2">
        <v>9.1209615999999993E-2</v>
      </c>
      <c r="K2">
        <v>9.3209615999999995E-2</v>
      </c>
      <c r="L2">
        <f t="shared" ref="L2:L25" si="1">K2-J2</f>
        <v>2.0000000000000018E-3</v>
      </c>
    </row>
    <row r="3" spans="1:12" x14ac:dyDescent="0.25">
      <c r="A3" t="s">
        <v>46</v>
      </c>
      <c r="B3">
        <v>2.1494601329139001E-3</v>
      </c>
      <c r="C3" t="str">
        <f t="shared" si="0"/>
        <v/>
      </c>
      <c r="J3">
        <v>0.13006521900000001</v>
      </c>
      <c r="K3">
        <v>0.13206521900000001</v>
      </c>
      <c r="L3">
        <f t="shared" si="1"/>
        <v>2.0000000000000018E-3</v>
      </c>
    </row>
    <row r="4" spans="1:12" x14ac:dyDescent="0.25">
      <c r="A4" t="s">
        <v>49</v>
      </c>
      <c r="B4">
        <v>2.3167468980121002E-3</v>
      </c>
      <c r="C4">
        <f t="shared" si="0"/>
        <v>2.3167468980121002E-3</v>
      </c>
      <c r="J4">
        <v>0.10580000000000001</v>
      </c>
      <c r="K4">
        <v>0.10780000000000001</v>
      </c>
      <c r="L4">
        <f t="shared" si="1"/>
        <v>2.0000000000000018E-3</v>
      </c>
    </row>
    <row r="5" spans="1:12" x14ac:dyDescent="0.25">
      <c r="A5" t="s">
        <v>51</v>
      </c>
      <c r="B5">
        <v>4.5571495036696996E-3</v>
      </c>
      <c r="C5" t="str">
        <f t="shared" si="0"/>
        <v/>
      </c>
      <c r="J5">
        <v>6.6208141999999998E-2</v>
      </c>
      <c r="K5">
        <v>6.8208141999999999E-2</v>
      </c>
      <c r="L5">
        <f t="shared" si="1"/>
        <v>2.0000000000000018E-3</v>
      </c>
    </row>
    <row r="6" spans="1:12" x14ac:dyDescent="0.25">
      <c r="A6" t="s">
        <v>49</v>
      </c>
      <c r="B6">
        <v>4.6320973997467001E-3</v>
      </c>
      <c r="C6">
        <f t="shared" si="0"/>
        <v>4.6320973997467001E-3</v>
      </c>
      <c r="J6">
        <v>8.5263816000000006E-2</v>
      </c>
      <c r="K6">
        <v>8.7263815999999994E-2</v>
      </c>
      <c r="L6">
        <f t="shared" si="1"/>
        <v>1.9999999999999879E-3</v>
      </c>
    </row>
    <row r="7" spans="1:12" x14ac:dyDescent="0.25">
      <c r="A7" t="s">
        <v>49</v>
      </c>
      <c r="B7">
        <v>2.7068542113845E-3</v>
      </c>
      <c r="C7">
        <f t="shared" si="0"/>
        <v>2.7068542113845E-3</v>
      </c>
      <c r="J7">
        <v>0.11595</v>
      </c>
      <c r="K7">
        <v>0.11795</v>
      </c>
      <c r="L7">
        <f t="shared" si="1"/>
        <v>2.0000000000000018E-3</v>
      </c>
    </row>
    <row r="8" spans="1:12" x14ac:dyDescent="0.25">
      <c r="A8" t="s">
        <v>46</v>
      </c>
      <c r="B8">
        <v>5.0078741380993001E-3</v>
      </c>
      <c r="C8" t="str">
        <f t="shared" si="0"/>
        <v/>
      </c>
      <c r="J8">
        <v>9.7213970999999996E-2</v>
      </c>
      <c r="K8">
        <v>9.9213970999999998E-2</v>
      </c>
      <c r="L8">
        <f t="shared" si="1"/>
        <v>2.0000000000000018E-3</v>
      </c>
    </row>
    <row r="9" spans="1:12" x14ac:dyDescent="0.25">
      <c r="A9" t="s">
        <v>51</v>
      </c>
      <c r="B9">
        <v>4.1324567222609998E-3</v>
      </c>
      <c r="C9" t="str">
        <f t="shared" si="0"/>
        <v/>
      </c>
      <c r="J9">
        <v>0.100650381</v>
      </c>
      <c r="K9">
        <v>0.109546483</v>
      </c>
      <c r="L9">
        <f t="shared" si="1"/>
        <v>8.896102000000003E-3</v>
      </c>
    </row>
    <row r="10" spans="1:12" x14ac:dyDescent="0.25">
      <c r="A10" t="s">
        <v>49</v>
      </c>
      <c r="B10">
        <v>4.4978755922213997E-3</v>
      </c>
      <c r="C10">
        <f t="shared" si="0"/>
        <v>4.4978755922213997E-3</v>
      </c>
      <c r="J10">
        <v>7.4590804999999996E-2</v>
      </c>
      <c r="K10">
        <v>9.1023919999999994E-2</v>
      </c>
      <c r="L10">
        <f t="shared" si="1"/>
        <v>1.6433114999999998E-2</v>
      </c>
    </row>
    <row r="11" spans="1:12" x14ac:dyDescent="0.25">
      <c r="A11" t="s">
        <v>46</v>
      </c>
      <c r="B11">
        <v>4.8980335412377998E-3</v>
      </c>
      <c r="C11" t="str">
        <f t="shared" si="0"/>
        <v/>
      </c>
      <c r="J11">
        <v>0.10908319700000001</v>
      </c>
      <c r="K11">
        <v>0.11108319699999999</v>
      </c>
      <c r="L11">
        <f t="shared" si="1"/>
        <v>1.9999999999999879E-3</v>
      </c>
    </row>
    <row r="12" spans="1:12" x14ac:dyDescent="0.25">
      <c r="A12" t="s">
        <v>51</v>
      </c>
      <c r="B12">
        <v>5.1847870673230999E-3</v>
      </c>
      <c r="C12" t="str">
        <f t="shared" si="0"/>
        <v/>
      </c>
      <c r="J12">
        <v>8.3489068E-2</v>
      </c>
      <c r="K12">
        <v>8.5489068000000001E-2</v>
      </c>
      <c r="L12">
        <f t="shared" si="1"/>
        <v>2.0000000000000018E-3</v>
      </c>
    </row>
    <row r="13" spans="1:12" x14ac:dyDescent="0.25">
      <c r="A13" t="s">
        <v>46</v>
      </c>
      <c r="B13">
        <v>4.3581694877125E-3</v>
      </c>
      <c r="C13" t="str">
        <f t="shared" si="0"/>
        <v/>
      </c>
      <c r="J13">
        <v>0.12192525999999999</v>
      </c>
      <c r="K13">
        <v>0.12392526</v>
      </c>
      <c r="L13">
        <f t="shared" si="1"/>
        <v>2.0000000000000018E-3</v>
      </c>
    </row>
    <row r="14" spans="1:12" x14ac:dyDescent="0.25">
      <c r="A14" t="s">
        <v>49</v>
      </c>
      <c r="B14">
        <v>5.3027539903110999E-3</v>
      </c>
      <c r="C14">
        <f t="shared" si="0"/>
        <v>5.3027539903110999E-3</v>
      </c>
      <c r="J14">
        <v>9.3600000000000003E-2</v>
      </c>
      <c r="K14">
        <v>9.5600000000000004E-2</v>
      </c>
      <c r="L14">
        <f t="shared" si="1"/>
        <v>2.0000000000000018E-3</v>
      </c>
    </row>
    <row r="15" spans="1:12" x14ac:dyDescent="0.25">
      <c r="A15" t="s">
        <v>46</v>
      </c>
      <c r="B15">
        <v>5.8980635151682998E-3</v>
      </c>
      <c r="C15" t="str">
        <f t="shared" si="0"/>
        <v/>
      </c>
      <c r="J15">
        <v>0.13480181799999999</v>
      </c>
      <c r="K15">
        <v>0.13680181799999999</v>
      </c>
      <c r="L15">
        <f t="shared" si="1"/>
        <v>2.0000000000000018E-3</v>
      </c>
    </row>
    <row r="16" spans="1:12" x14ac:dyDescent="0.25">
      <c r="A16" t="s">
        <v>49</v>
      </c>
      <c r="B16">
        <v>5.8250680884825001E-3</v>
      </c>
      <c r="C16">
        <f t="shared" si="0"/>
        <v>5.8250680884825001E-3</v>
      </c>
      <c r="J16">
        <v>7.9699999999999993E-2</v>
      </c>
      <c r="K16">
        <v>8.2710418999999993E-2</v>
      </c>
      <c r="L16">
        <f t="shared" si="1"/>
        <v>3.0104190000000003E-3</v>
      </c>
    </row>
    <row r="17" spans="1:12" x14ac:dyDescent="0.25">
      <c r="A17" t="s">
        <v>51</v>
      </c>
      <c r="B17">
        <v>5.0785567248770999E-3</v>
      </c>
      <c r="C17" t="str">
        <f t="shared" si="0"/>
        <v/>
      </c>
      <c r="J17">
        <v>0.130145809</v>
      </c>
      <c r="K17">
        <v>0.132145809</v>
      </c>
      <c r="L17">
        <f t="shared" si="1"/>
        <v>2.0000000000000018E-3</v>
      </c>
    </row>
    <row r="18" spans="1:12" x14ac:dyDescent="0.25">
      <c r="A18" t="s">
        <v>46</v>
      </c>
      <c r="B18">
        <v>4.9041757562187996E-3</v>
      </c>
      <c r="C18" t="str">
        <f t="shared" si="0"/>
        <v/>
      </c>
      <c r="J18">
        <v>0.139526809</v>
      </c>
      <c r="K18">
        <v>0.141526809</v>
      </c>
      <c r="L18">
        <f t="shared" si="1"/>
        <v>2.0000000000000018E-3</v>
      </c>
    </row>
    <row r="19" spans="1:12" x14ac:dyDescent="0.25">
      <c r="A19" t="s">
        <v>49</v>
      </c>
      <c r="B19">
        <v>5.7776026962747E-3</v>
      </c>
      <c r="C19">
        <f t="shared" si="0"/>
        <v>5.7776026962747E-3</v>
      </c>
      <c r="J19">
        <v>0.09</v>
      </c>
      <c r="K19">
        <v>9.1999999999999998E-2</v>
      </c>
      <c r="L19">
        <f t="shared" si="1"/>
        <v>2.0000000000000018E-3</v>
      </c>
    </row>
    <row r="20" spans="1:12" x14ac:dyDescent="0.25">
      <c r="A20" t="s">
        <v>46</v>
      </c>
      <c r="B20">
        <v>5.5540865631498E-3</v>
      </c>
      <c r="C20" t="str">
        <f t="shared" si="0"/>
        <v/>
      </c>
      <c r="J20">
        <v>0.13993366400000001</v>
      </c>
      <c r="K20">
        <v>0.14193366399999999</v>
      </c>
      <c r="L20">
        <f t="shared" si="1"/>
        <v>1.999999999999974E-3</v>
      </c>
    </row>
    <row r="21" spans="1:12" x14ac:dyDescent="0.25">
      <c r="A21" t="s">
        <v>49</v>
      </c>
      <c r="B21">
        <v>5.0861492049608997E-3</v>
      </c>
      <c r="C21">
        <f t="shared" si="0"/>
        <v>5.0861492049608997E-3</v>
      </c>
      <c r="J21">
        <v>0.1013</v>
      </c>
      <c r="K21">
        <v>0.104377786</v>
      </c>
      <c r="L21">
        <f t="shared" si="1"/>
        <v>3.077785999999999E-3</v>
      </c>
    </row>
    <row r="22" spans="1:12" x14ac:dyDescent="0.25">
      <c r="A22" t="s">
        <v>51</v>
      </c>
      <c r="B22">
        <v>5.6517979921942999E-3</v>
      </c>
      <c r="C22" t="str">
        <f t="shared" si="0"/>
        <v/>
      </c>
      <c r="J22">
        <v>0.11626243</v>
      </c>
      <c r="K22">
        <v>0.13093047699999999</v>
      </c>
      <c r="L22">
        <f t="shared" si="1"/>
        <v>1.466804699999999E-2</v>
      </c>
    </row>
    <row r="23" spans="1:12" x14ac:dyDescent="0.25">
      <c r="A23" t="s">
        <v>51</v>
      </c>
      <c r="B23">
        <v>5.2436999271545E-3</v>
      </c>
      <c r="C23" t="str">
        <f t="shared" si="0"/>
        <v/>
      </c>
      <c r="J23">
        <v>9.0604368000000005E-2</v>
      </c>
      <c r="K23">
        <v>9.2604368000000006E-2</v>
      </c>
      <c r="L23">
        <f t="shared" si="1"/>
        <v>2.0000000000000018E-3</v>
      </c>
    </row>
    <row r="24" spans="1:12" x14ac:dyDescent="0.25">
      <c r="A24" t="s">
        <v>51</v>
      </c>
      <c r="B24">
        <v>5.7999995012502003E-3</v>
      </c>
      <c r="C24" t="str">
        <f t="shared" si="0"/>
        <v/>
      </c>
      <c r="J24">
        <v>9.1584520000000003E-2</v>
      </c>
      <c r="K24">
        <v>9.3584520000000004E-2</v>
      </c>
      <c r="L24">
        <f t="shared" si="1"/>
        <v>2.0000000000000018E-3</v>
      </c>
    </row>
    <row r="25" spans="1:12" x14ac:dyDescent="0.25">
      <c r="A25" t="s">
        <v>51</v>
      </c>
      <c r="B25">
        <v>5.8561237651311698E-3</v>
      </c>
      <c r="C25" t="str">
        <f t="shared" si="0"/>
        <v/>
      </c>
      <c r="J25">
        <v>0.116917312</v>
      </c>
      <c r="K25">
        <v>0.12382391700000001</v>
      </c>
      <c r="L25">
        <f t="shared" si="1"/>
        <v>6.9066050000000101E-3</v>
      </c>
    </row>
    <row r="26" spans="1:12" x14ac:dyDescent="0.25">
      <c r="A26" t="s">
        <v>46</v>
      </c>
      <c r="B26">
        <v>9.5249345973893E-3</v>
      </c>
      <c r="C26" t="str">
        <f t="shared" si="0"/>
        <v/>
      </c>
    </row>
    <row r="27" spans="1:12" x14ac:dyDescent="0.25">
      <c r="A27" t="s">
        <v>46</v>
      </c>
      <c r="B27">
        <v>1.1509712324845199E-2</v>
      </c>
      <c r="C27" t="str">
        <f t="shared" si="0"/>
        <v/>
      </c>
    </row>
    <row r="28" spans="1:12" x14ac:dyDescent="0.25">
      <c r="A28" t="s">
        <v>49</v>
      </c>
      <c r="B28">
        <v>1.14567000896637E-2</v>
      </c>
      <c r="C28">
        <f t="shared" si="0"/>
        <v>1.14567000896637E-2</v>
      </c>
    </row>
    <row r="29" spans="1:12" x14ac:dyDescent="0.25">
      <c r="A29" t="s">
        <v>51</v>
      </c>
      <c r="B29">
        <v>9.8294010988234995E-3</v>
      </c>
      <c r="C29" t="str">
        <f t="shared" si="0"/>
        <v/>
      </c>
    </row>
    <row r="30" spans="1:12" x14ac:dyDescent="0.25">
      <c r="A30" t="s">
        <v>49</v>
      </c>
      <c r="B30">
        <v>8.7523644889133997E-3</v>
      </c>
      <c r="C30">
        <f t="shared" si="0"/>
        <v>8.7523644889133997E-3</v>
      </c>
    </row>
    <row r="31" spans="1:12" x14ac:dyDescent="0.25">
      <c r="A31" t="s">
        <v>49</v>
      </c>
      <c r="B31">
        <v>1.10869313908408E-2</v>
      </c>
      <c r="C31">
        <f t="shared" si="0"/>
        <v>1.10869313908408E-2</v>
      </c>
    </row>
    <row r="32" spans="1:12" x14ac:dyDescent="0.25">
      <c r="A32" t="s">
        <v>46</v>
      </c>
      <c r="B32">
        <v>8.6511974469279992E-3</v>
      </c>
      <c r="C32" t="str">
        <f t="shared" si="0"/>
        <v/>
      </c>
    </row>
    <row r="33" spans="1:3" x14ac:dyDescent="0.25">
      <c r="A33" t="s">
        <v>51</v>
      </c>
      <c r="B33">
        <v>1.0622238469192601E-2</v>
      </c>
      <c r="C33" t="str">
        <f t="shared" si="0"/>
        <v/>
      </c>
    </row>
    <row r="34" spans="1:3" x14ac:dyDescent="0.25">
      <c r="A34" t="s">
        <v>49</v>
      </c>
      <c r="B34">
        <v>8.4191606790610992E-3</v>
      </c>
      <c r="C34">
        <f t="shared" ref="C34:C65" si="2">IF(A34="Python",B34,"")</f>
        <v>8.4191606790610992E-3</v>
      </c>
    </row>
    <row r="35" spans="1:3" x14ac:dyDescent="0.25">
      <c r="A35" t="s">
        <v>46</v>
      </c>
      <c r="B35">
        <v>9.1347702144707991E-3</v>
      </c>
      <c r="C35" t="str">
        <f t="shared" si="2"/>
        <v/>
      </c>
    </row>
    <row r="36" spans="1:3" x14ac:dyDescent="0.25">
      <c r="A36" t="s">
        <v>51</v>
      </c>
      <c r="B36">
        <v>9.0153224721133997E-3</v>
      </c>
      <c r="C36" t="str">
        <f t="shared" si="2"/>
        <v/>
      </c>
    </row>
    <row r="37" spans="1:3" x14ac:dyDescent="0.25">
      <c r="A37" t="s">
        <v>46</v>
      </c>
      <c r="B37">
        <v>9.6253938650755991E-3</v>
      </c>
      <c r="C37" t="str">
        <f t="shared" si="2"/>
        <v/>
      </c>
    </row>
    <row r="38" spans="1:3" x14ac:dyDescent="0.25">
      <c r="A38" t="s">
        <v>49</v>
      </c>
      <c r="B38">
        <v>1.00032422815105E-2</v>
      </c>
      <c r="C38">
        <f t="shared" si="2"/>
        <v>1.00032422815105E-2</v>
      </c>
    </row>
    <row r="39" spans="1:3" x14ac:dyDescent="0.25">
      <c r="A39" t="s">
        <v>46</v>
      </c>
      <c r="B39">
        <v>9.8719387327341999E-3</v>
      </c>
      <c r="C39" t="str">
        <f t="shared" si="2"/>
        <v/>
      </c>
    </row>
    <row r="40" spans="1:3" x14ac:dyDescent="0.25">
      <c r="A40" t="s">
        <v>49</v>
      </c>
      <c r="B40">
        <v>9.3682472152877005E-3</v>
      </c>
      <c r="C40">
        <f t="shared" si="2"/>
        <v>9.3682472152877005E-3</v>
      </c>
    </row>
    <row r="41" spans="1:3" x14ac:dyDescent="0.25">
      <c r="A41" t="s">
        <v>51</v>
      </c>
      <c r="B41">
        <v>1.0425484860195299E-2</v>
      </c>
      <c r="C41" t="str">
        <f t="shared" si="2"/>
        <v/>
      </c>
    </row>
    <row r="42" spans="1:3" x14ac:dyDescent="0.25">
      <c r="A42" t="s">
        <v>46</v>
      </c>
      <c r="B42">
        <v>1.11935106158015E-2</v>
      </c>
      <c r="C42" t="str">
        <f t="shared" si="2"/>
        <v/>
      </c>
    </row>
    <row r="43" spans="1:3" x14ac:dyDescent="0.25">
      <c r="A43" t="s">
        <v>49</v>
      </c>
      <c r="B43">
        <v>1.02831235314468E-2</v>
      </c>
      <c r="C43">
        <f t="shared" si="2"/>
        <v>1.02831235314468E-2</v>
      </c>
    </row>
    <row r="44" spans="1:3" x14ac:dyDescent="0.25">
      <c r="A44" t="s">
        <v>46</v>
      </c>
      <c r="B44">
        <v>1.02576914817915E-2</v>
      </c>
      <c r="C44" t="str">
        <f t="shared" si="2"/>
        <v/>
      </c>
    </row>
    <row r="45" spans="1:3" x14ac:dyDescent="0.25">
      <c r="A45" t="s">
        <v>49</v>
      </c>
      <c r="B45">
        <v>1.09490942681209E-2</v>
      </c>
      <c r="C45">
        <f t="shared" si="2"/>
        <v>1.09490942681209E-2</v>
      </c>
    </row>
    <row r="46" spans="1:3" x14ac:dyDescent="0.25">
      <c r="A46" t="s">
        <v>51</v>
      </c>
      <c r="B46">
        <v>1.12420291890568E-2</v>
      </c>
      <c r="C46" t="str">
        <f t="shared" si="2"/>
        <v/>
      </c>
    </row>
    <row r="47" spans="1:3" x14ac:dyDescent="0.25">
      <c r="A47" t="s">
        <v>51</v>
      </c>
      <c r="B47">
        <v>9.3420763129475996E-3</v>
      </c>
      <c r="C47" t="str">
        <f t="shared" si="2"/>
        <v/>
      </c>
    </row>
    <row r="48" spans="1:3" x14ac:dyDescent="0.25">
      <c r="A48" t="s">
        <v>51</v>
      </c>
      <c r="B48">
        <v>9.5050327063128E-3</v>
      </c>
      <c r="C48" t="str">
        <f t="shared" si="2"/>
        <v/>
      </c>
    </row>
    <row r="49" spans="1:3" x14ac:dyDescent="0.25">
      <c r="A49" t="s">
        <v>51</v>
      </c>
      <c r="B49">
        <v>1.0015814503821999E-2</v>
      </c>
      <c r="C49" t="str">
        <f t="shared" si="2"/>
        <v/>
      </c>
    </row>
    <row r="50" spans="1:3" x14ac:dyDescent="0.25">
      <c r="A50" t="s">
        <v>46</v>
      </c>
      <c r="B50">
        <v>1.30008988708811E-2</v>
      </c>
      <c r="C50" t="str">
        <f t="shared" si="2"/>
        <v/>
      </c>
    </row>
    <row r="51" spans="1:3" x14ac:dyDescent="0.25">
      <c r="A51" t="s">
        <v>46</v>
      </c>
      <c r="B51">
        <v>7.7636178309199002E-3</v>
      </c>
      <c r="C51" t="str">
        <f t="shared" si="2"/>
        <v/>
      </c>
    </row>
    <row r="52" spans="1:3" x14ac:dyDescent="0.25">
      <c r="A52" t="s">
        <v>49</v>
      </c>
      <c r="B52">
        <v>1.49694572293527E-2</v>
      </c>
      <c r="C52">
        <f t="shared" si="2"/>
        <v>1.49694572293527E-2</v>
      </c>
    </row>
    <row r="53" spans="1:3" x14ac:dyDescent="0.25">
      <c r="A53" t="s">
        <v>51</v>
      </c>
      <c r="B53">
        <v>9.9784039332018008E-3</v>
      </c>
      <c r="C53" t="str">
        <f t="shared" si="2"/>
        <v/>
      </c>
    </row>
    <row r="54" spans="1:3" x14ac:dyDescent="0.25">
      <c r="A54" t="s">
        <v>49</v>
      </c>
      <c r="B54">
        <v>1.13626973433442E-2</v>
      </c>
      <c r="C54">
        <f t="shared" si="2"/>
        <v>1.13626973433442E-2</v>
      </c>
    </row>
    <row r="55" spans="1:3" x14ac:dyDescent="0.25">
      <c r="A55" t="s">
        <v>49</v>
      </c>
      <c r="B55">
        <v>1.4869825137455699E-2</v>
      </c>
      <c r="C55">
        <f t="shared" si="2"/>
        <v>1.4869825137455699E-2</v>
      </c>
    </row>
    <row r="56" spans="1:3" x14ac:dyDescent="0.25">
      <c r="A56" t="s">
        <v>46</v>
      </c>
      <c r="B56">
        <v>1.34916986022842E-2</v>
      </c>
      <c r="C56" t="str">
        <f t="shared" si="2"/>
        <v/>
      </c>
    </row>
    <row r="57" spans="1:3" x14ac:dyDescent="0.25">
      <c r="A57" t="s">
        <v>51</v>
      </c>
      <c r="B57">
        <v>1.18337268345563E-2</v>
      </c>
      <c r="C57" t="str">
        <f t="shared" si="2"/>
        <v/>
      </c>
    </row>
    <row r="58" spans="1:3" x14ac:dyDescent="0.25">
      <c r="A58" t="s">
        <v>49</v>
      </c>
      <c r="B58">
        <v>1.1369892107464301E-2</v>
      </c>
      <c r="C58">
        <f t="shared" si="2"/>
        <v>1.1369892107464301E-2</v>
      </c>
    </row>
    <row r="59" spans="1:3" x14ac:dyDescent="0.25">
      <c r="A59" t="s">
        <v>46</v>
      </c>
      <c r="B59">
        <v>1.41999245175573E-2</v>
      </c>
      <c r="C59" t="str">
        <f t="shared" si="2"/>
        <v/>
      </c>
    </row>
    <row r="60" spans="1:3" x14ac:dyDescent="0.25">
      <c r="A60" t="s">
        <v>51</v>
      </c>
      <c r="B60">
        <v>1.0040137011331799E-2</v>
      </c>
      <c r="C60" t="str">
        <f t="shared" si="2"/>
        <v/>
      </c>
    </row>
    <row r="61" spans="1:3" x14ac:dyDescent="0.25">
      <c r="A61" t="s">
        <v>46</v>
      </c>
      <c r="B61">
        <v>1.4195918254083799E-2</v>
      </c>
      <c r="C61" t="str">
        <f t="shared" si="2"/>
        <v/>
      </c>
    </row>
    <row r="62" spans="1:3" x14ac:dyDescent="0.25">
      <c r="A62" t="s">
        <v>49</v>
      </c>
      <c r="B62">
        <v>1.2642379799712699E-2</v>
      </c>
      <c r="C62">
        <f t="shared" si="2"/>
        <v>1.2642379799712699E-2</v>
      </c>
    </row>
    <row r="63" spans="1:3" x14ac:dyDescent="0.25">
      <c r="A63" t="s">
        <v>46</v>
      </c>
      <c r="B63">
        <v>1.5752474004341099E-2</v>
      </c>
      <c r="C63" t="str">
        <f t="shared" si="2"/>
        <v/>
      </c>
    </row>
    <row r="64" spans="1:3" x14ac:dyDescent="0.25">
      <c r="A64" t="s">
        <v>49</v>
      </c>
      <c r="B64">
        <v>1.0936983741416099E-2</v>
      </c>
      <c r="C64">
        <f t="shared" si="2"/>
        <v>1.0936983741416099E-2</v>
      </c>
    </row>
    <row r="65" spans="1:3" x14ac:dyDescent="0.25">
      <c r="A65" t="s">
        <v>51</v>
      </c>
      <c r="B65">
        <v>1.2824712078535E-2</v>
      </c>
      <c r="C65" t="str">
        <f t="shared" si="2"/>
        <v/>
      </c>
    </row>
    <row r="66" spans="1:3" x14ac:dyDescent="0.25">
      <c r="A66" t="s">
        <v>46</v>
      </c>
      <c r="B66">
        <v>1.5546829267798001E-2</v>
      </c>
      <c r="C66" t="str">
        <f t="shared" ref="C66:C97" si="3">IF(A66="Python",B66,"")</f>
        <v/>
      </c>
    </row>
    <row r="67" spans="1:3" x14ac:dyDescent="0.25">
      <c r="A67" t="s">
        <v>49</v>
      </c>
      <c r="B67">
        <v>1.18631787398815E-2</v>
      </c>
      <c r="C67">
        <f t="shared" si="3"/>
        <v>1.18631787398815E-2</v>
      </c>
    </row>
    <row r="68" spans="1:3" x14ac:dyDescent="0.25">
      <c r="A68" t="s">
        <v>46</v>
      </c>
      <c r="B68">
        <v>1.6254195183151299E-2</v>
      </c>
      <c r="C68" t="str">
        <f t="shared" si="3"/>
        <v/>
      </c>
    </row>
    <row r="69" spans="1:3" x14ac:dyDescent="0.25">
      <c r="A69" t="s">
        <v>49</v>
      </c>
      <c r="B69">
        <v>1.3451750774867601E-2</v>
      </c>
      <c r="C69">
        <f t="shared" si="3"/>
        <v>1.3451750774867601E-2</v>
      </c>
    </row>
    <row r="70" spans="1:3" x14ac:dyDescent="0.25">
      <c r="A70" t="s">
        <v>51</v>
      </c>
      <c r="B70">
        <v>1.43281874214507E-2</v>
      </c>
      <c r="C70" t="str">
        <f t="shared" si="3"/>
        <v/>
      </c>
    </row>
    <row r="71" spans="1:3" x14ac:dyDescent="0.25">
      <c r="A71" t="s">
        <v>51</v>
      </c>
      <c r="B71">
        <v>1.1978715413335299E-2</v>
      </c>
      <c r="C71" t="str">
        <f t="shared" si="3"/>
        <v/>
      </c>
    </row>
    <row r="72" spans="1:3" x14ac:dyDescent="0.25">
      <c r="A72" t="s">
        <v>51</v>
      </c>
      <c r="B72">
        <v>1.1664902293496499E-2</v>
      </c>
      <c r="C72" t="str">
        <f t="shared" si="3"/>
        <v/>
      </c>
    </row>
    <row r="73" spans="1:3" x14ac:dyDescent="0.25">
      <c r="A73" t="s">
        <v>51</v>
      </c>
      <c r="B73">
        <v>1.2439713410901099E-2</v>
      </c>
      <c r="C73" t="str">
        <f t="shared" si="3"/>
        <v/>
      </c>
    </row>
    <row r="74" spans="1:3" x14ac:dyDescent="0.25">
      <c r="A74" t="s">
        <v>46</v>
      </c>
      <c r="B74">
        <v>2.4756717639650198E-2</v>
      </c>
      <c r="C74" t="str">
        <f t="shared" si="3"/>
        <v/>
      </c>
    </row>
    <row r="75" spans="1:3" x14ac:dyDescent="0.25">
      <c r="A75" t="s">
        <v>46</v>
      </c>
      <c r="B75">
        <v>2.27729749370915E-2</v>
      </c>
      <c r="C75" t="str">
        <f t="shared" si="3"/>
        <v/>
      </c>
    </row>
    <row r="76" spans="1:3" x14ac:dyDescent="0.25">
      <c r="A76" t="s">
        <v>49</v>
      </c>
      <c r="B76">
        <v>2.4240892126974199E-2</v>
      </c>
      <c r="C76">
        <f t="shared" si="3"/>
        <v>2.4240892126974199E-2</v>
      </c>
    </row>
    <row r="77" spans="1:3" x14ac:dyDescent="0.25">
      <c r="A77" t="s">
        <v>51</v>
      </c>
      <c r="B77">
        <v>9.5599441512663995E-3</v>
      </c>
      <c r="C77" t="str">
        <f t="shared" si="3"/>
        <v/>
      </c>
    </row>
    <row r="78" spans="1:3" x14ac:dyDescent="0.25">
      <c r="A78" t="s">
        <v>49</v>
      </c>
      <c r="B78">
        <v>9.4762086646698E-3</v>
      </c>
      <c r="C78">
        <f t="shared" si="3"/>
        <v>9.4762086646698E-3</v>
      </c>
    </row>
    <row r="79" spans="1:3" x14ac:dyDescent="0.25">
      <c r="A79" t="s">
        <v>49</v>
      </c>
      <c r="B79">
        <v>2.6502049610607599E-2</v>
      </c>
      <c r="C79">
        <f t="shared" si="3"/>
        <v>2.6502049610607599E-2</v>
      </c>
    </row>
    <row r="80" spans="1:3" x14ac:dyDescent="0.25">
      <c r="A80" t="s">
        <v>46</v>
      </c>
      <c r="B80">
        <v>2.9498553674693399E-2</v>
      </c>
      <c r="C80" t="str">
        <f t="shared" si="3"/>
        <v/>
      </c>
    </row>
    <row r="81" spans="1:3" x14ac:dyDescent="0.25">
      <c r="A81" t="s">
        <v>51</v>
      </c>
      <c r="B81">
        <v>1.9626052311631E-2</v>
      </c>
      <c r="C81" t="str">
        <f t="shared" si="3"/>
        <v/>
      </c>
    </row>
    <row r="82" spans="1:3" x14ac:dyDescent="0.25">
      <c r="A82" t="s">
        <v>49</v>
      </c>
      <c r="B82">
        <v>2.0378316465822902E-2</v>
      </c>
      <c r="C82">
        <f t="shared" si="3"/>
        <v>2.0378316465822902E-2</v>
      </c>
    </row>
    <row r="83" spans="1:3" x14ac:dyDescent="0.25">
      <c r="A83" t="s">
        <v>46</v>
      </c>
      <c r="B83">
        <v>3.1620498387879399E-2</v>
      </c>
      <c r="C83" t="str">
        <f t="shared" si="3"/>
        <v/>
      </c>
    </row>
    <row r="84" spans="1:3" x14ac:dyDescent="0.25">
      <c r="A84" t="s">
        <v>51</v>
      </c>
      <c r="B84">
        <v>1.7943828061342201E-2</v>
      </c>
      <c r="C84" t="str">
        <f t="shared" si="3"/>
        <v/>
      </c>
    </row>
    <row r="85" spans="1:3" x14ac:dyDescent="0.25">
      <c r="A85" t="s">
        <v>46</v>
      </c>
      <c r="B85">
        <v>3.3031256232418198E-2</v>
      </c>
      <c r="C85" t="str">
        <f t="shared" si="3"/>
        <v/>
      </c>
    </row>
    <row r="86" spans="1:3" x14ac:dyDescent="0.25">
      <c r="A86" t="s">
        <v>49</v>
      </c>
      <c r="B86">
        <v>2.1397821451783702E-2</v>
      </c>
      <c r="C86">
        <f t="shared" si="3"/>
        <v>2.1397821451783702E-2</v>
      </c>
    </row>
    <row r="87" spans="1:3" x14ac:dyDescent="0.25">
      <c r="A87" t="s">
        <v>46</v>
      </c>
      <c r="B87">
        <v>3.8934382769874501E-2</v>
      </c>
      <c r="C87" t="str">
        <f t="shared" si="3"/>
        <v/>
      </c>
    </row>
    <row r="88" spans="1:3" x14ac:dyDescent="0.25">
      <c r="A88" t="s">
        <v>49</v>
      </c>
      <c r="B88">
        <v>1.7293048543152799E-2</v>
      </c>
      <c r="C88">
        <f t="shared" si="3"/>
        <v>1.7293048543152799E-2</v>
      </c>
    </row>
    <row r="89" spans="1:3" x14ac:dyDescent="0.25">
      <c r="A89" t="s">
        <v>51</v>
      </c>
      <c r="B89">
        <v>2.4395586577529701E-2</v>
      </c>
      <c r="C89" t="str">
        <f t="shared" si="3"/>
        <v/>
      </c>
    </row>
    <row r="90" spans="1:3" x14ac:dyDescent="0.25">
      <c r="A90" t="s">
        <v>46</v>
      </c>
      <c r="B90">
        <v>3.7572622913954898E-2</v>
      </c>
      <c r="C90" t="str">
        <f t="shared" si="3"/>
        <v/>
      </c>
    </row>
    <row r="91" spans="1:3" x14ac:dyDescent="0.25">
      <c r="A91" t="s">
        <v>49</v>
      </c>
      <c r="B91">
        <v>1.9029253258577201E-2</v>
      </c>
      <c r="C91">
        <f t="shared" si="3"/>
        <v>1.9029253258577201E-2</v>
      </c>
    </row>
    <row r="92" spans="1:3" x14ac:dyDescent="0.25">
      <c r="A92" t="s">
        <v>46</v>
      </c>
      <c r="B92">
        <v>3.6787348990887397E-2</v>
      </c>
      <c r="C92" t="str">
        <f t="shared" si="3"/>
        <v/>
      </c>
    </row>
    <row r="93" spans="1:3" x14ac:dyDescent="0.25">
      <c r="A93" t="s">
        <v>49</v>
      </c>
      <c r="B93">
        <v>2.19681622578447E-2</v>
      </c>
      <c r="C93">
        <f t="shared" si="3"/>
        <v>2.19681622578447E-2</v>
      </c>
    </row>
    <row r="94" spans="1:3" x14ac:dyDescent="0.25">
      <c r="A94" t="s">
        <v>51</v>
      </c>
      <c r="B94">
        <v>2.21144562171646E-2</v>
      </c>
      <c r="C94" t="str">
        <f t="shared" si="3"/>
        <v/>
      </c>
    </row>
    <row r="95" spans="1:3" x14ac:dyDescent="0.25">
      <c r="A95" t="s">
        <v>51</v>
      </c>
      <c r="B95">
        <v>1.8414759162862001E-2</v>
      </c>
      <c r="C95" t="str">
        <f t="shared" si="3"/>
        <v/>
      </c>
    </row>
    <row r="96" spans="1:3" x14ac:dyDescent="0.25">
      <c r="A96" t="s">
        <v>51</v>
      </c>
      <c r="B96">
        <v>1.9381105891888899E-2</v>
      </c>
      <c r="C96" t="str">
        <f t="shared" si="3"/>
        <v/>
      </c>
    </row>
    <row r="97" spans="1:3" x14ac:dyDescent="0.25">
      <c r="A97" t="s">
        <v>51</v>
      </c>
      <c r="B97">
        <v>1.9443067374959499E-2</v>
      </c>
      <c r="C97" t="str">
        <f t="shared" si="3"/>
        <v/>
      </c>
    </row>
    <row r="98" spans="1:3" x14ac:dyDescent="0.25">
      <c r="A98" t="s">
        <v>46</v>
      </c>
      <c r="B98">
        <v>2.00581709237748E-2</v>
      </c>
      <c r="C98" t="str">
        <f t="shared" ref="C98:C129" si="4">IF(A98="Python",B98,"")</f>
        <v/>
      </c>
    </row>
    <row r="99" spans="1:3" x14ac:dyDescent="0.25">
      <c r="A99" t="s">
        <v>46</v>
      </c>
      <c r="B99">
        <v>4.02300584636551E-2</v>
      </c>
      <c r="C99" t="str">
        <f t="shared" si="4"/>
        <v/>
      </c>
    </row>
    <row r="100" spans="1:3" x14ac:dyDescent="0.25">
      <c r="A100" t="s">
        <v>49</v>
      </c>
      <c r="B100">
        <v>2.4470856630597001E-2</v>
      </c>
      <c r="C100">
        <f t="shared" si="4"/>
        <v>2.4470856630597001E-2</v>
      </c>
    </row>
    <row r="101" spans="1:3" x14ac:dyDescent="0.25">
      <c r="A101" t="s">
        <v>51</v>
      </c>
      <c r="B101">
        <v>1.0254543023204899E-2</v>
      </c>
      <c r="C101" t="str">
        <f t="shared" si="4"/>
        <v/>
      </c>
    </row>
    <row r="102" spans="1:3" x14ac:dyDescent="0.25">
      <c r="A102" t="s">
        <v>49</v>
      </c>
      <c r="B102">
        <v>1.0808576744521599E-2</v>
      </c>
      <c r="C102">
        <f t="shared" si="4"/>
        <v>1.0808576744521599E-2</v>
      </c>
    </row>
    <row r="103" spans="1:3" x14ac:dyDescent="0.25">
      <c r="A103" t="s">
        <v>49</v>
      </c>
      <c r="B103">
        <v>2.8100733699321898E-2</v>
      </c>
      <c r="C103">
        <f t="shared" si="4"/>
        <v>2.8100733699321898E-2</v>
      </c>
    </row>
    <row r="104" spans="1:3" x14ac:dyDescent="0.25">
      <c r="A104" t="s">
        <v>46</v>
      </c>
      <c r="B104">
        <v>2.3693444036416701E-2</v>
      </c>
      <c r="C104" t="str">
        <f t="shared" si="4"/>
        <v/>
      </c>
    </row>
    <row r="105" spans="1:3" x14ac:dyDescent="0.25">
      <c r="A105" t="s">
        <v>51</v>
      </c>
      <c r="B105">
        <v>1.84436370012101E-2</v>
      </c>
      <c r="C105" t="str">
        <f t="shared" si="4"/>
        <v/>
      </c>
    </row>
    <row r="106" spans="1:3" x14ac:dyDescent="0.25">
      <c r="A106" t="s">
        <v>49</v>
      </c>
      <c r="B106">
        <v>7.4922579201817004E-3</v>
      </c>
      <c r="C106">
        <f t="shared" si="4"/>
        <v>7.4922579201817004E-3</v>
      </c>
    </row>
    <row r="107" spans="1:3" x14ac:dyDescent="0.25">
      <c r="A107" t="s">
        <v>46</v>
      </c>
      <c r="B107">
        <v>2.71813056437217E-2</v>
      </c>
      <c r="C107" t="str">
        <f t="shared" si="4"/>
        <v/>
      </c>
    </row>
    <row r="108" spans="1:3" x14ac:dyDescent="0.25">
      <c r="A108" t="s">
        <v>51</v>
      </c>
      <c r="B108">
        <v>1.4033229101838299E-2</v>
      </c>
      <c r="C108" t="str">
        <f t="shared" si="4"/>
        <v/>
      </c>
    </row>
    <row r="109" spans="1:3" x14ac:dyDescent="0.25">
      <c r="A109" t="s">
        <v>46</v>
      </c>
      <c r="B109">
        <v>3.0444988201659601E-2</v>
      </c>
      <c r="C109" t="str">
        <f t="shared" si="4"/>
        <v/>
      </c>
    </row>
    <row r="110" spans="1:3" x14ac:dyDescent="0.25">
      <c r="A110" t="s">
        <v>49</v>
      </c>
      <c r="B110">
        <v>1.9467635040908898E-2</v>
      </c>
      <c r="C110">
        <f t="shared" si="4"/>
        <v>1.9467635040908898E-2</v>
      </c>
    </row>
    <row r="111" spans="1:3" x14ac:dyDescent="0.25">
      <c r="A111" t="s">
        <v>46</v>
      </c>
      <c r="B111">
        <v>3.80980494564521E-2</v>
      </c>
      <c r="C111" t="str">
        <f t="shared" si="4"/>
        <v/>
      </c>
    </row>
    <row r="112" spans="1:3" x14ac:dyDescent="0.25">
      <c r="A112" t="s">
        <v>49</v>
      </c>
      <c r="B112">
        <v>1.5300871468613799E-2</v>
      </c>
      <c r="C112">
        <f t="shared" si="4"/>
        <v>1.5300871468613799E-2</v>
      </c>
    </row>
    <row r="113" spans="1:3" x14ac:dyDescent="0.25">
      <c r="A113" t="s">
        <v>51</v>
      </c>
      <c r="B113">
        <v>2.55206923212613E-2</v>
      </c>
      <c r="C113" t="str">
        <f t="shared" si="4"/>
        <v/>
      </c>
    </row>
    <row r="114" spans="1:3" x14ac:dyDescent="0.25">
      <c r="A114" t="s">
        <v>46</v>
      </c>
      <c r="B114">
        <v>3.6041244330877201E-2</v>
      </c>
      <c r="C114" t="str">
        <f t="shared" si="4"/>
        <v/>
      </c>
    </row>
    <row r="115" spans="1:3" x14ac:dyDescent="0.25">
      <c r="A115" t="s">
        <v>49</v>
      </c>
      <c r="B115">
        <v>1.78706241100096E-2</v>
      </c>
      <c r="C115">
        <f t="shared" si="4"/>
        <v>1.78706241100096E-2</v>
      </c>
    </row>
    <row r="116" spans="1:3" x14ac:dyDescent="0.25">
      <c r="A116" t="s">
        <v>46</v>
      </c>
      <c r="B116">
        <v>3.5775301099818198E-2</v>
      </c>
      <c r="C116" t="str">
        <f t="shared" si="4"/>
        <v/>
      </c>
    </row>
    <row r="117" spans="1:3" x14ac:dyDescent="0.25">
      <c r="A117" t="s">
        <v>49</v>
      </c>
      <c r="B117">
        <v>2.157820467856E-2</v>
      </c>
      <c r="C117">
        <f t="shared" si="4"/>
        <v>2.157820467856E-2</v>
      </c>
    </row>
    <row r="118" spans="1:3" x14ac:dyDescent="0.25">
      <c r="A118" t="s">
        <v>51</v>
      </c>
      <c r="B118">
        <v>2.6793043156187898E-2</v>
      </c>
      <c r="C118" t="str">
        <f t="shared" si="4"/>
        <v/>
      </c>
    </row>
    <row r="119" spans="1:3" x14ac:dyDescent="0.25">
      <c r="A119" t="s">
        <v>51</v>
      </c>
      <c r="B119">
        <v>1.5687663566245499E-2</v>
      </c>
      <c r="C119" t="str">
        <f t="shared" si="4"/>
        <v/>
      </c>
    </row>
    <row r="120" spans="1:3" x14ac:dyDescent="0.25">
      <c r="A120" t="s">
        <v>51</v>
      </c>
      <c r="B120">
        <v>1.6936765095686701E-2</v>
      </c>
      <c r="C120" t="str">
        <f t="shared" si="4"/>
        <v/>
      </c>
    </row>
    <row r="121" spans="1:3" x14ac:dyDescent="0.25">
      <c r="A121" t="s">
        <v>51</v>
      </c>
      <c r="B121">
        <v>1.93941233080938E-2</v>
      </c>
      <c r="C121" t="str">
        <f t="shared" si="4"/>
        <v/>
      </c>
    </row>
    <row r="122" spans="1:3" x14ac:dyDescent="0.25">
      <c r="A122" t="s">
        <v>46</v>
      </c>
      <c r="B122">
        <v>1.6244986003526501E-2</v>
      </c>
      <c r="C122" t="str">
        <f t="shared" si="4"/>
        <v/>
      </c>
    </row>
    <row r="123" spans="1:3" x14ac:dyDescent="0.25">
      <c r="A123" t="s">
        <v>46</v>
      </c>
      <c r="B123">
        <v>1.75266135060985E-2</v>
      </c>
      <c r="C123" t="str">
        <f t="shared" si="4"/>
        <v/>
      </c>
    </row>
    <row r="124" spans="1:3" x14ac:dyDescent="0.25">
      <c r="A124" t="s">
        <v>49</v>
      </c>
      <c r="B124">
        <v>1.7503538825366202E-2</v>
      </c>
      <c r="C124">
        <f t="shared" si="4"/>
        <v>1.7503538825366202E-2</v>
      </c>
    </row>
    <row r="125" spans="1:3" x14ac:dyDescent="0.25">
      <c r="A125" t="s">
        <v>51</v>
      </c>
      <c r="B125">
        <v>8.6652505771028007E-3</v>
      </c>
      <c r="C125" t="str">
        <f t="shared" si="4"/>
        <v/>
      </c>
    </row>
    <row r="126" spans="1:3" x14ac:dyDescent="0.25">
      <c r="A126" t="s">
        <v>49</v>
      </c>
      <c r="B126">
        <v>9.0720085633823003E-3</v>
      </c>
      <c r="C126">
        <f t="shared" si="4"/>
        <v>9.0720085633823003E-3</v>
      </c>
    </row>
    <row r="127" spans="1:3" x14ac:dyDescent="0.25">
      <c r="A127" t="s">
        <v>49</v>
      </c>
      <c r="B127">
        <v>2.0949958699216498E-2</v>
      </c>
      <c r="C127">
        <f t="shared" si="4"/>
        <v>2.0949958699216498E-2</v>
      </c>
    </row>
    <row r="128" spans="1:3" x14ac:dyDescent="0.25">
      <c r="A128" t="s">
        <v>46</v>
      </c>
      <c r="B128">
        <v>1.8330274373920898E-2</v>
      </c>
      <c r="C128" t="str">
        <f t="shared" si="4"/>
        <v/>
      </c>
    </row>
    <row r="129" spans="1:3" x14ac:dyDescent="0.25">
      <c r="A129" t="s">
        <v>51</v>
      </c>
      <c r="B129">
        <v>1.46499478152295E-2</v>
      </c>
      <c r="C129" t="str">
        <f t="shared" si="4"/>
        <v/>
      </c>
    </row>
    <row r="130" spans="1:3" x14ac:dyDescent="0.25">
      <c r="A130" t="s">
        <v>49</v>
      </c>
      <c r="B130">
        <v>4.7028840942344996E-3</v>
      </c>
      <c r="C130">
        <f t="shared" ref="C130:C161" si="5">IF(A130="Python",B130,"")</f>
        <v>4.7028840942344996E-3</v>
      </c>
    </row>
    <row r="131" spans="1:3" x14ac:dyDescent="0.25">
      <c r="A131" t="s">
        <v>46</v>
      </c>
      <c r="B131">
        <v>1.99427982095755E-2</v>
      </c>
      <c r="C131" t="str">
        <f t="shared" si="5"/>
        <v/>
      </c>
    </row>
    <row r="132" spans="1:3" x14ac:dyDescent="0.25">
      <c r="A132" t="s">
        <v>51</v>
      </c>
      <c r="B132">
        <v>9.2168515111025005E-3</v>
      </c>
      <c r="C132" t="str">
        <f t="shared" si="5"/>
        <v/>
      </c>
    </row>
    <row r="133" spans="1:3" x14ac:dyDescent="0.25">
      <c r="A133" t="s">
        <v>46</v>
      </c>
      <c r="B133">
        <v>2.3849140055574598E-2</v>
      </c>
      <c r="C133" t="str">
        <f t="shared" si="5"/>
        <v/>
      </c>
    </row>
    <row r="134" spans="1:3" x14ac:dyDescent="0.25">
      <c r="A134" t="s">
        <v>49</v>
      </c>
      <c r="B134">
        <v>1.38875999652251E-2</v>
      </c>
      <c r="C134">
        <f t="shared" si="5"/>
        <v>1.38875999652251E-2</v>
      </c>
    </row>
    <row r="135" spans="1:3" x14ac:dyDescent="0.25">
      <c r="A135" t="s">
        <v>46</v>
      </c>
      <c r="B135">
        <v>3.0216911531463501E-2</v>
      </c>
      <c r="C135" t="str">
        <f t="shared" si="5"/>
        <v/>
      </c>
    </row>
    <row r="136" spans="1:3" x14ac:dyDescent="0.25">
      <c r="A136" t="s">
        <v>49</v>
      </c>
      <c r="B136">
        <v>9.5100602621331996E-3</v>
      </c>
      <c r="C136">
        <f t="shared" si="5"/>
        <v>9.5100602621331996E-3</v>
      </c>
    </row>
    <row r="137" spans="1:3" x14ac:dyDescent="0.25">
      <c r="A137" t="s">
        <v>51</v>
      </c>
      <c r="B137">
        <v>2.15245357049366E-2</v>
      </c>
      <c r="C137" t="str">
        <f t="shared" si="5"/>
        <v/>
      </c>
    </row>
    <row r="138" spans="1:3" x14ac:dyDescent="0.25">
      <c r="A138" t="s">
        <v>46</v>
      </c>
      <c r="B138">
        <v>2.8306534985264701E-2</v>
      </c>
      <c r="C138" t="str">
        <f t="shared" si="5"/>
        <v/>
      </c>
    </row>
    <row r="139" spans="1:3" x14ac:dyDescent="0.25">
      <c r="A139" t="s">
        <v>49</v>
      </c>
      <c r="B139">
        <v>1.35950065895033E-2</v>
      </c>
      <c r="C139">
        <f t="shared" si="5"/>
        <v>1.35950065895033E-2</v>
      </c>
    </row>
    <row r="140" spans="1:3" x14ac:dyDescent="0.25">
      <c r="A140" t="s">
        <v>46</v>
      </c>
      <c r="B140">
        <v>3.1835948330355898E-2</v>
      </c>
      <c r="C140" t="str">
        <f t="shared" si="5"/>
        <v/>
      </c>
    </row>
    <row r="141" spans="1:3" x14ac:dyDescent="0.25">
      <c r="A141" t="s">
        <v>49</v>
      </c>
      <c r="B141">
        <v>1.40533484386441E-2</v>
      </c>
      <c r="C141">
        <f t="shared" si="5"/>
        <v>1.40533484386441E-2</v>
      </c>
    </row>
    <row r="142" spans="1:3" x14ac:dyDescent="0.25">
      <c r="A142" t="s">
        <v>51</v>
      </c>
      <c r="B142">
        <v>2.2889441660438901E-2</v>
      </c>
      <c r="C142" t="str">
        <f t="shared" si="5"/>
        <v/>
      </c>
    </row>
    <row r="143" spans="1:3" x14ac:dyDescent="0.25">
      <c r="A143" t="s">
        <v>51</v>
      </c>
      <c r="B143">
        <v>1.2053138168873901E-2</v>
      </c>
      <c r="C143" t="str">
        <f t="shared" si="5"/>
        <v/>
      </c>
    </row>
    <row r="144" spans="1:3" x14ac:dyDescent="0.25">
      <c r="A144" t="s">
        <v>51</v>
      </c>
      <c r="B144">
        <v>1.32161526172781E-2</v>
      </c>
      <c r="C144" t="str">
        <f t="shared" si="5"/>
        <v/>
      </c>
    </row>
    <row r="145" spans="1:3" x14ac:dyDescent="0.25">
      <c r="A145" t="s">
        <v>51</v>
      </c>
      <c r="B145">
        <v>1.52424912645904E-2</v>
      </c>
      <c r="C145" t="str">
        <f t="shared" si="5"/>
        <v/>
      </c>
    </row>
    <row r="146" spans="1:3" x14ac:dyDescent="0.25">
      <c r="A146" t="s">
        <v>46</v>
      </c>
      <c r="B146">
        <v>5.8988416823447997E-3</v>
      </c>
      <c r="C146" t="str">
        <f t="shared" si="5"/>
        <v/>
      </c>
    </row>
    <row r="147" spans="1:3" x14ac:dyDescent="0.25">
      <c r="A147" t="s">
        <v>46</v>
      </c>
      <c r="B147">
        <v>8.5517220013679E-3</v>
      </c>
      <c r="C147" t="str">
        <f t="shared" si="5"/>
        <v/>
      </c>
    </row>
    <row r="148" spans="1:3" x14ac:dyDescent="0.25">
      <c r="A148" t="s">
        <v>49</v>
      </c>
      <c r="B148">
        <v>2E-3</v>
      </c>
      <c r="C148">
        <f t="shared" si="5"/>
        <v>2E-3</v>
      </c>
    </row>
    <row r="149" spans="1:3" x14ac:dyDescent="0.25">
      <c r="A149" t="s">
        <v>51</v>
      </c>
      <c r="B149">
        <v>2.0000000343268999E-3</v>
      </c>
      <c r="C149" t="str">
        <f t="shared" si="5"/>
        <v/>
      </c>
    </row>
    <row r="150" spans="1:3" x14ac:dyDescent="0.25">
      <c r="A150" t="s">
        <v>49</v>
      </c>
      <c r="B150">
        <v>1.12998440594404E-2</v>
      </c>
      <c r="C150">
        <f t="shared" si="5"/>
        <v>1.12998440594404E-2</v>
      </c>
    </row>
    <row r="151" spans="1:3" x14ac:dyDescent="0.25">
      <c r="A151" t="s">
        <v>49</v>
      </c>
      <c r="B151">
        <v>2.0000000326787001E-3</v>
      </c>
      <c r="C151">
        <f t="shared" si="5"/>
        <v>2.0000000326787001E-3</v>
      </c>
    </row>
    <row r="152" spans="1:3" x14ac:dyDescent="0.25">
      <c r="A152" t="s">
        <v>46</v>
      </c>
      <c r="B152">
        <v>2E-3</v>
      </c>
      <c r="C152" t="str">
        <f t="shared" si="5"/>
        <v/>
      </c>
    </row>
    <row r="153" spans="1:3" x14ac:dyDescent="0.25">
      <c r="A153" t="s">
        <v>51</v>
      </c>
      <c r="B153">
        <v>2.3146548762429E-3</v>
      </c>
      <c r="C153" t="str">
        <f t="shared" si="5"/>
        <v/>
      </c>
    </row>
    <row r="154" spans="1:3" x14ac:dyDescent="0.25">
      <c r="A154" t="s">
        <v>49</v>
      </c>
      <c r="B154">
        <v>6.9499866455023001E-3</v>
      </c>
      <c r="C154">
        <f t="shared" si="5"/>
        <v>6.9499866455023001E-3</v>
      </c>
    </row>
    <row r="155" spans="1:3" x14ac:dyDescent="0.25">
      <c r="A155" t="s">
        <v>46</v>
      </c>
      <c r="B155">
        <v>5.4886702615738999E-3</v>
      </c>
      <c r="C155" t="str">
        <f t="shared" si="5"/>
        <v/>
      </c>
    </row>
    <row r="156" spans="1:3" x14ac:dyDescent="0.25">
      <c r="A156" t="s">
        <v>51</v>
      </c>
      <c r="B156">
        <v>5.1550218089927002E-3</v>
      </c>
      <c r="C156" t="str">
        <f t="shared" si="5"/>
        <v/>
      </c>
    </row>
    <row r="157" spans="1:3" x14ac:dyDescent="0.25">
      <c r="A157" t="s">
        <v>46</v>
      </c>
      <c r="B157">
        <v>1.15039579208423E-2</v>
      </c>
      <c r="C157" t="str">
        <f t="shared" si="5"/>
        <v/>
      </c>
    </row>
    <row r="158" spans="1:3" x14ac:dyDescent="0.25">
      <c r="A158" t="s">
        <v>49</v>
      </c>
      <c r="B158">
        <v>2E-3</v>
      </c>
      <c r="C158">
        <f t="shared" si="5"/>
        <v>2E-3</v>
      </c>
    </row>
    <row r="159" spans="1:3" x14ac:dyDescent="0.25">
      <c r="A159" t="s">
        <v>46</v>
      </c>
      <c r="B159">
        <v>2.0000001534516E-3</v>
      </c>
      <c r="C159" t="str">
        <f t="shared" si="5"/>
        <v/>
      </c>
    </row>
    <row r="160" spans="1:3" x14ac:dyDescent="0.25">
      <c r="A160" t="s">
        <v>49</v>
      </c>
      <c r="B160">
        <v>2E-3</v>
      </c>
      <c r="C160">
        <f t="shared" si="5"/>
        <v>2E-3</v>
      </c>
    </row>
    <row r="161" spans="1:3" x14ac:dyDescent="0.25">
      <c r="A161" t="s">
        <v>51</v>
      </c>
      <c r="B161">
        <v>9.8420551885688001E-3</v>
      </c>
      <c r="C161" t="str">
        <f t="shared" si="5"/>
        <v/>
      </c>
    </row>
    <row r="162" spans="1:3" x14ac:dyDescent="0.25">
      <c r="A162" t="s">
        <v>46</v>
      </c>
      <c r="B162">
        <v>1.2609577687708999E-2</v>
      </c>
      <c r="C162" t="str">
        <f t="shared" ref="C162:C169" si="6">IF(A162="Python",B162,"")</f>
        <v/>
      </c>
    </row>
    <row r="163" spans="1:3" x14ac:dyDescent="0.25">
      <c r="A163" t="s">
        <v>49</v>
      </c>
      <c r="B163">
        <v>2.0000006627049999E-3</v>
      </c>
      <c r="C163">
        <f t="shared" si="6"/>
        <v>2.0000006627049999E-3</v>
      </c>
    </row>
    <row r="164" spans="1:3" x14ac:dyDescent="0.25">
      <c r="A164" t="s">
        <v>46</v>
      </c>
      <c r="B164">
        <v>7.3308706165030003E-3</v>
      </c>
      <c r="C164" t="str">
        <f t="shared" si="6"/>
        <v/>
      </c>
    </row>
    <row r="165" spans="1:3" x14ac:dyDescent="0.25">
      <c r="A165" t="s">
        <v>49</v>
      </c>
      <c r="B165">
        <v>5.8283441133836003E-3</v>
      </c>
      <c r="C165">
        <f t="shared" si="6"/>
        <v>5.8283441133836003E-3</v>
      </c>
    </row>
    <row r="166" spans="1:3" x14ac:dyDescent="0.25">
      <c r="A166" t="s">
        <v>51</v>
      </c>
      <c r="B166">
        <v>1.0311549896525E-2</v>
      </c>
      <c r="C166" t="str">
        <f t="shared" si="6"/>
        <v/>
      </c>
    </row>
    <row r="167" spans="1:3" x14ac:dyDescent="0.25">
      <c r="A167" t="s">
        <v>51</v>
      </c>
      <c r="B167">
        <v>2.1457651519994E-3</v>
      </c>
      <c r="C167" t="str">
        <f t="shared" si="6"/>
        <v/>
      </c>
    </row>
    <row r="168" spans="1:3" x14ac:dyDescent="0.25">
      <c r="A168" t="s">
        <v>51</v>
      </c>
      <c r="B168">
        <v>2.5161359276455E-3</v>
      </c>
      <c r="C168" t="str">
        <f t="shared" si="6"/>
        <v/>
      </c>
    </row>
    <row r="169" spans="1:3" x14ac:dyDescent="0.25">
      <c r="A169" t="s">
        <v>51</v>
      </c>
      <c r="B169">
        <v>7.8767728684031903E-3</v>
      </c>
      <c r="C169" t="str">
        <f t="shared" si="6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3FBD-6C5E-4FD9-957E-5F17CDAED148}">
  <dimension ref="A1:K14"/>
  <sheetViews>
    <sheetView workbookViewId="0"/>
  </sheetViews>
  <sheetFormatPr defaultRowHeight="15" x14ac:dyDescent="0.25"/>
  <cols>
    <col min="1" max="1" width="4.140625" bestFit="1" customWidth="1"/>
    <col min="2" max="4" width="13.7109375" bestFit="1" customWidth="1"/>
  </cols>
  <sheetData>
    <row r="1" spans="1:11" x14ac:dyDescent="0.25">
      <c r="A1" t="s">
        <v>10</v>
      </c>
      <c r="B1" t="s">
        <v>417</v>
      </c>
      <c r="C1" t="s">
        <v>418</v>
      </c>
      <c r="D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</row>
    <row r="2" spans="1:11" x14ac:dyDescent="0.25">
      <c r="A2">
        <v>0</v>
      </c>
      <c r="B2">
        <v>5.0499999999999998E-3</v>
      </c>
      <c r="C2">
        <v>5.0499999999999998E-3</v>
      </c>
      <c r="D2">
        <v>5.0499999999999998E-3</v>
      </c>
      <c r="F2">
        <v>0</v>
      </c>
      <c r="G2">
        <f t="shared" ref="G2:G13" si="0">F3-F2</f>
        <v>5.0499999999999998E-3</v>
      </c>
      <c r="H2">
        <v>0</v>
      </c>
      <c r="I2">
        <f t="shared" ref="I2:I13" si="1">H3-H2</f>
        <v>5.0499999999999998E-3</v>
      </c>
      <c r="J2">
        <v>0</v>
      </c>
      <c r="K2">
        <f t="shared" ref="K2:K13" si="2">J3-J2</f>
        <v>5.0499999999999998E-3</v>
      </c>
    </row>
    <row r="3" spans="1:11" x14ac:dyDescent="0.25">
      <c r="A3">
        <v>1</v>
      </c>
      <c r="B3">
        <v>4.9500000000000004E-3</v>
      </c>
      <c r="C3">
        <v>4.9500000000000004E-3</v>
      </c>
      <c r="D3">
        <v>4.9500000000000004E-3</v>
      </c>
      <c r="F3">
        <v>5.0499999999999998E-3</v>
      </c>
      <c r="G3">
        <f t="shared" si="0"/>
        <v>4.9500000000000004E-3</v>
      </c>
      <c r="H3">
        <v>5.0499999999999998E-3</v>
      </c>
      <c r="I3">
        <f t="shared" si="1"/>
        <v>4.9500000000000004E-3</v>
      </c>
      <c r="J3">
        <v>5.0499999999999998E-3</v>
      </c>
      <c r="K3">
        <f t="shared" si="2"/>
        <v>4.9500000000000004E-3</v>
      </c>
    </row>
    <row r="4" spans="1:11" x14ac:dyDescent="0.25">
      <c r="A4">
        <v>2</v>
      </c>
      <c r="B4">
        <v>8.7523640000000003E-3</v>
      </c>
      <c r="C4">
        <v>8.7523640000000003E-3</v>
      </c>
      <c r="D4">
        <v>8.7523640000000003E-3</v>
      </c>
      <c r="F4">
        <v>0.01</v>
      </c>
      <c r="G4">
        <f t="shared" si="0"/>
        <v>8.7523640000000003E-3</v>
      </c>
      <c r="H4">
        <v>0.01</v>
      </c>
      <c r="I4">
        <f t="shared" si="1"/>
        <v>8.7523640000000003E-3</v>
      </c>
      <c r="J4">
        <v>0.01</v>
      </c>
      <c r="K4">
        <f t="shared" si="2"/>
        <v>8.7523640000000003E-3</v>
      </c>
    </row>
    <row r="5" spans="1:11" s="59" customFormat="1" x14ac:dyDescent="0.25">
      <c r="A5" s="59">
        <v>3</v>
      </c>
      <c r="B5" s="59">
        <v>1.16603329999999E-2</v>
      </c>
      <c r="C5" s="59">
        <v>1.1347635999999901E-2</v>
      </c>
      <c r="D5" s="59">
        <v>1.1347635999999901E-2</v>
      </c>
      <c r="F5" s="59">
        <v>1.8752364000000001E-2</v>
      </c>
      <c r="G5" s="59">
        <f t="shared" si="0"/>
        <v>1.1660332999999998E-2</v>
      </c>
      <c r="H5" s="59">
        <v>1.8752364000000001E-2</v>
      </c>
      <c r="I5" s="59">
        <f t="shared" si="1"/>
        <v>1.1347635999999998E-2</v>
      </c>
      <c r="J5" s="59">
        <v>1.8752364000000001E-2</v>
      </c>
      <c r="K5" s="59">
        <f t="shared" si="2"/>
        <v>1.1347635999999998E-2</v>
      </c>
    </row>
    <row r="6" spans="1:11" x14ac:dyDescent="0.25">
      <c r="A6">
        <v>4</v>
      </c>
      <c r="B6">
        <v>9.4762086646698E-3</v>
      </c>
      <c r="C6">
        <v>9.4762089999999993E-3</v>
      </c>
      <c r="D6">
        <v>1.035E-2</v>
      </c>
      <c r="F6">
        <v>3.0412696999999999E-2</v>
      </c>
      <c r="G6">
        <f t="shared" si="0"/>
        <v>9.4762086646698017E-3</v>
      </c>
      <c r="H6">
        <v>3.0099999999999998E-2</v>
      </c>
      <c r="I6">
        <f t="shared" si="1"/>
        <v>9.4762090000000028E-3</v>
      </c>
      <c r="J6">
        <v>3.0099999999999998E-2</v>
      </c>
      <c r="K6">
        <f t="shared" si="2"/>
        <v>1.0350000000000002E-2</v>
      </c>
    </row>
    <row r="7" spans="1:11" x14ac:dyDescent="0.25">
      <c r="A7">
        <v>5</v>
      </c>
      <c r="B7">
        <v>9.4595218377766001E-3</v>
      </c>
      <c r="C7">
        <v>1.0808576744521599E-2</v>
      </c>
      <c r="D7">
        <v>1.0808577E-2</v>
      </c>
      <c r="F7">
        <v>3.9888905664669801E-2</v>
      </c>
      <c r="G7">
        <f t="shared" si="0"/>
        <v>9.4595218377767007E-3</v>
      </c>
      <c r="H7">
        <v>3.9576209000000001E-2</v>
      </c>
      <c r="I7">
        <f t="shared" si="1"/>
        <v>1.0808576744521597E-2</v>
      </c>
      <c r="J7">
        <v>4.045E-2</v>
      </c>
      <c r="K7">
        <f t="shared" si="2"/>
        <v>1.0808577E-2</v>
      </c>
    </row>
    <row r="8" spans="1:11" x14ac:dyDescent="0.25">
      <c r="A8">
        <v>6</v>
      </c>
      <c r="B8">
        <v>9.4347383980650998E-3</v>
      </c>
      <c r="C8">
        <v>1.07366883507574E-2</v>
      </c>
      <c r="D8">
        <v>9.0720085633823003E-3</v>
      </c>
      <c r="F8">
        <v>4.9348427502446501E-2</v>
      </c>
      <c r="G8">
        <f t="shared" si="0"/>
        <v>9.4347383980651969E-3</v>
      </c>
      <c r="H8">
        <v>5.0384785744521599E-2</v>
      </c>
      <c r="I8">
        <f t="shared" si="1"/>
        <v>1.0736688350757501E-2</v>
      </c>
      <c r="J8">
        <v>5.1258577E-2</v>
      </c>
      <c r="K8">
        <f t="shared" si="2"/>
        <v>9.0720085633822986E-3</v>
      </c>
    </row>
    <row r="9" spans="1:11" x14ac:dyDescent="0.25">
      <c r="A9">
        <v>7</v>
      </c>
      <c r="B9">
        <v>9.4999999999998992E-3</v>
      </c>
      <c r="C9">
        <v>1.0651666910991901E-2</v>
      </c>
      <c r="D9">
        <v>8.9969852669799007E-3</v>
      </c>
      <c r="F9">
        <v>5.8783165900511698E-2</v>
      </c>
      <c r="G9">
        <f t="shared" si="0"/>
        <v>9.5000000000000015E-3</v>
      </c>
      <c r="H9">
        <v>6.1121474095279099E-2</v>
      </c>
      <c r="I9">
        <f t="shared" si="1"/>
        <v>1.0651666910991897E-2</v>
      </c>
      <c r="J9">
        <v>6.0330585563382298E-2</v>
      </c>
      <c r="K9">
        <f t="shared" si="2"/>
        <v>8.9969852669799025E-3</v>
      </c>
    </row>
    <row r="10" spans="1:11" x14ac:dyDescent="0.25">
      <c r="A10">
        <v>8</v>
      </c>
      <c r="B10">
        <v>8.9999999999999993E-3</v>
      </c>
      <c r="C10">
        <v>8.9999999999999004E-3</v>
      </c>
      <c r="D10">
        <v>8.8872441911688992E-3</v>
      </c>
      <c r="F10">
        <v>6.82831659005117E-2</v>
      </c>
      <c r="G10">
        <f t="shared" si="0"/>
        <v>8.9999999999999941E-3</v>
      </c>
      <c r="H10">
        <v>7.1773141006270996E-2</v>
      </c>
      <c r="I10">
        <f t="shared" si="1"/>
        <v>9.000000000000008E-3</v>
      </c>
      <c r="J10">
        <v>6.9327570830362201E-2</v>
      </c>
      <c r="K10">
        <f t="shared" si="2"/>
        <v>8.8872441911689026E-3</v>
      </c>
    </row>
    <row r="11" spans="1:11" x14ac:dyDescent="0.25">
      <c r="A11">
        <v>9</v>
      </c>
      <c r="B11">
        <v>8.9999999999999004E-3</v>
      </c>
      <c r="C11">
        <v>8.9999999999999004E-3</v>
      </c>
      <c r="D11">
        <v>8.9999999999999004E-3</v>
      </c>
      <c r="F11">
        <v>7.7283165900511694E-2</v>
      </c>
      <c r="G11">
        <f t="shared" si="0"/>
        <v>9.000000000000008E-3</v>
      </c>
      <c r="H11">
        <v>8.0773141006271004E-2</v>
      </c>
      <c r="I11">
        <f t="shared" si="1"/>
        <v>8.9999999999999941E-3</v>
      </c>
      <c r="J11">
        <v>7.8214815021531103E-2</v>
      </c>
      <c r="K11">
        <f t="shared" si="2"/>
        <v>8.9999999999999941E-3</v>
      </c>
    </row>
    <row r="12" spans="1:11" x14ac:dyDescent="0.25">
      <c r="A12">
        <v>10</v>
      </c>
      <c r="B12">
        <v>8.4999999999999E-3</v>
      </c>
      <c r="C12">
        <v>8.5000000000000006E-3</v>
      </c>
      <c r="D12">
        <v>8.4999999999999E-3</v>
      </c>
      <c r="F12">
        <v>8.6283165900511702E-2</v>
      </c>
      <c r="G12">
        <f t="shared" si="0"/>
        <v>8.4999999999999937E-3</v>
      </c>
      <c r="H12">
        <v>8.9773141006270998E-2</v>
      </c>
      <c r="I12">
        <f t="shared" si="1"/>
        <v>8.5000000000000075E-3</v>
      </c>
      <c r="J12">
        <v>8.7214815021531097E-2</v>
      </c>
      <c r="K12">
        <f t="shared" si="2"/>
        <v>8.5000000000000075E-3</v>
      </c>
    </row>
    <row r="13" spans="1:11" x14ac:dyDescent="0.25">
      <c r="A13">
        <v>11</v>
      </c>
      <c r="B13">
        <v>7.4999999999999997E-3</v>
      </c>
      <c r="C13">
        <v>7.4999999999999E-3</v>
      </c>
      <c r="D13">
        <v>7.4999999999999997E-3</v>
      </c>
      <c r="F13">
        <v>9.4783165900511696E-2</v>
      </c>
      <c r="G13">
        <f t="shared" si="0"/>
        <v>7.4999999999992989E-3</v>
      </c>
      <c r="H13">
        <v>9.8273141006271006E-2</v>
      </c>
      <c r="I13">
        <f t="shared" si="1"/>
        <v>7.4999999999999928E-3</v>
      </c>
      <c r="J13">
        <v>9.5714815021531105E-2</v>
      </c>
      <c r="K13">
        <f t="shared" si="2"/>
        <v>7.4999999999998956E-3</v>
      </c>
    </row>
    <row r="14" spans="1:11" x14ac:dyDescent="0.25">
      <c r="A14">
        <v>12</v>
      </c>
      <c r="B14">
        <v>0</v>
      </c>
      <c r="C14">
        <v>0</v>
      </c>
      <c r="D14">
        <v>0</v>
      </c>
      <c r="F14">
        <v>0.10228316590051099</v>
      </c>
      <c r="H14">
        <v>0.105773141006271</v>
      </c>
      <c r="J14">
        <v>0.103214815021531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CE47-CAAC-47CA-9DFB-8A135A0AC7F1}">
  <dimension ref="A1:AM728"/>
  <sheetViews>
    <sheetView zoomScaleNormal="100" workbookViewId="0">
      <pane xSplit="7" ySplit="2" topLeftCell="AE239" activePane="bottomRight" state="frozen"/>
      <selection pane="topRight" activeCell="H1" sqref="H1"/>
      <selection pane="bottomLeft" activeCell="A3" sqref="A3"/>
      <selection pane="bottomRight" activeCell="A262" sqref="A262"/>
    </sheetView>
  </sheetViews>
  <sheetFormatPr defaultColWidth="14.7109375" defaultRowHeight="15" x14ac:dyDescent="0.25"/>
  <cols>
    <col min="2" max="6" width="10.7109375" customWidth="1"/>
    <col min="8" max="8" width="10.7109375" style="2" customWidth="1"/>
    <col min="9" max="15" width="10.7109375" customWidth="1"/>
    <col min="16" max="16" width="10.7109375" style="2" customWidth="1"/>
    <col min="17" max="17" width="10.7109375" customWidth="1"/>
    <col min="18" max="18" width="20.5703125" bestFit="1" customWidth="1"/>
    <col min="19" max="24" width="10.7109375" customWidth="1"/>
    <col min="25" max="25" width="10.7109375" style="3" customWidth="1"/>
    <col min="26" max="28" width="10.7109375" customWidth="1"/>
    <col min="29" max="31" width="10.7109375" style="31" customWidth="1"/>
    <col min="32" max="32" width="10.7109375" customWidth="1"/>
    <col min="33" max="33" width="10.7109375" style="2" customWidth="1"/>
    <col min="34" max="37" width="10.7109375" customWidth="1"/>
    <col min="38" max="39" width="10.7109375" style="3" customWidth="1"/>
  </cols>
  <sheetData>
    <row r="1" spans="1:39" ht="21" x14ac:dyDescent="0.35">
      <c r="A1" s="106" t="s">
        <v>0</v>
      </c>
      <c r="B1" s="106"/>
      <c r="C1" s="106"/>
      <c r="D1" s="106"/>
      <c r="E1" s="106"/>
      <c r="F1" s="106"/>
      <c r="G1" s="106"/>
      <c r="H1" s="116" t="s">
        <v>1</v>
      </c>
      <c r="I1" s="117"/>
      <c r="J1" s="117"/>
      <c r="K1" s="117"/>
      <c r="L1" s="117"/>
      <c r="M1" s="117"/>
      <c r="N1" s="117"/>
      <c r="O1" s="118"/>
      <c r="P1" s="113" t="s">
        <v>2</v>
      </c>
      <c r="Q1" s="114"/>
      <c r="R1" s="114"/>
      <c r="S1" s="114"/>
      <c r="T1" s="114"/>
      <c r="U1" s="114"/>
      <c r="V1" s="114"/>
      <c r="W1" s="114"/>
      <c r="X1" s="114"/>
      <c r="Y1" s="115"/>
      <c r="Z1" s="110" t="s">
        <v>3</v>
      </c>
      <c r="AA1" s="111"/>
      <c r="AB1" s="111"/>
      <c r="AC1" s="111"/>
      <c r="AD1" s="111"/>
      <c r="AE1" s="111"/>
      <c r="AF1" s="112"/>
      <c r="AG1" s="107" t="s">
        <v>4</v>
      </c>
      <c r="AH1" s="108"/>
      <c r="AI1" s="108"/>
      <c r="AJ1" s="108"/>
      <c r="AK1" s="108"/>
      <c r="AL1" s="108"/>
      <c r="AM1" s="109"/>
    </row>
    <row r="2" spans="1:39" s="63" customFormat="1" ht="60.75" thickBot="1" x14ac:dyDescent="0.3">
      <c r="A2" s="63" t="s">
        <v>5</v>
      </c>
      <c r="B2" s="63" t="s">
        <v>6</v>
      </c>
      <c r="C2" s="63" t="s">
        <v>7</v>
      </c>
      <c r="D2" s="63" t="s">
        <v>8</v>
      </c>
      <c r="E2" s="63" t="s">
        <v>9</v>
      </c>
      <c r="F2" s="63" t="s">
        <v>10</v>
      </c>
      <c r="G2" s="63" t="s">
        <v>11</v>
      </c>
      <c r="H2" s="64" t="s">
        <v>13</v>
      </c>
      <c r="I2" s="63" t="s">
        <v>14</v>
      </c>
      <c r="J2" s="63" t="s">
        <v>15</v>
      </c>
      <c r="K2" s="63" t="s">
        <v>16</v>
      </c>
      <c r="L2" s="63" t="s">
        <v>17</v>
      </c>
      <c r="M2" s="63" t="s">
        <v>18</v>
      </c>
      <c r="N2" s="63" t="s">
        <v>19</v>
      </c>
      <c r="O2" s="63" t="s">
        <v>20</v>
      </c>
      <c r="P2" s="64" t="s">
        <v>21</v>
      </c>
      <c r="Q2" s="63" t="s">
        <v>22</v>
      </c>
      <c r="R2" s="63" t="s">
        <v>23</v>
      </c>
      <c r="S2" s="63" t="s">
        <v>24</v>
      </c>
      <c r="T2" s="63" t="s">
        <v>25</v>
      </c>
      <c r="U2" s="63" t="s">
        <v>26</v>
      </c>
      <c r="V2" s="63" t="s">
        <v>27</v>
      </c>
      <c r="W2" s="63" t="s">
        <v>28</v>
      </c>
      <c r="X2" s="63" t="s">
        <v>29</v>
      </c>
      <c r="Y2" s="65" t="s">
        <v>30</v>
      </c>
      <c r="Z2" s="63" t="s">
        <v>31</v>
      </c>
      <c r="AA2" s="63" t="s">
        <v>32</v>
      </c>
      <c r="AB2" s="63" t="s">
        <v>33</v>
      </c>
      <c r="AC2" s="63" t="s">
        <v>34</v>
      </c>
      <c r="AD2" s="63" t="s">
        <v>35</v>
      </c>
      <c r="AE2" s="63" t="s">
        <v>36</v>
      </c>
      <c r="AF2" s="63" t="s">
        <v>37</v>
      </c>
      <c r="AG2" s="64" t="s">
        <v>38</v>
      </c>
      <c r="AH2" s="63" t="s">
        <v>39</v>
      </c>
      <c r="AI2" s="63" t="s">
        <v>40</v>
      </c>
      <c r="AJ2" s="63" t="s">
        <v>41</v>
      </c>
      <c r="AK2" s="63" t="s">
        <v>42</v>
      </c>
      <c r="AL2" s="66" t="s">
        <v>43</v>
      </c>
      <c r="AM2" s="66" t="s">
        <v>44</v>
      </c>
    </row>
    <row r="3" spans="1:39" x14ac:dyDescent="0.25">
      <c r="A3" s="7" t="s">
        <v>45</v>
      </c>
      <c r="B3" s="8" t="s">
        <v>46</v>
      </c>
      <c r="C3" s="8">
        <v>18</v>
      </c>
      <c r="D3" s="8">
        <v>7.1</v>
      </c>
      <c r="E3" s="8">
        <v>32.999999999999993</v>
      </c>
      <c r="F3" s="8">
        <v>0</v>
      </c>
      <c r="G3" s="9">
        <v>45344.511666666665</v>
      </c>
      <c r="H3" s="17"/>
      <c r="I3" s="18">
        <v>17.45</v>
      </c>
      <c r="J3" s="18">
        <v>98.38</v>
      </c>
      <c r="K3" s="18">
        <v>0.85</v>
      </c>
      <c r="L3" s="18">
        <v>313</v>
      </c>
      <c r="M3" s="18">
        <v>29.6</v>
      </c>
      <c r="N3" s="18">
        <v>5.69</v>
      </c>
      <c r="O3" s="18">
        <v>7.38</v>
      </c>
      <c r="P3" s="25">
        <v>0</v>
      </c>
      <c r="Q3" s="26">
        <v>0</v>
      </c>
      <c r="R3" s="26">
        <v>0.06</v>
      </c>
      <c r="S3" s="26">
        <v>197.36</v>
      </c>
      <c r="T3" s="26">
        <v>14.58</v>
      </c>
      <c r="U3" s="27">
        <f t="shared" ref="U3:U26" si="0">AF3-S3</f>
        <v>2.6399999999999864</v>
      </c>
      <c r="V3" s="27">
        <f t="shared" ref="V3:V66" si="1">P3/AF3</f>
        <v>0</v>
      </c>
      <c r="W3" s="27">
        <f>P3/S3</f>
        <v>0</v>
      </c>
      <c r="X3" s="27">
        <f>Q3/S3</f>
        <v>0</v>
      </c>
      <c r="Y3" s="28">
        <f>R3*12</f>
        <v>0.72</v>
      </c>
      <c r="Z3" s="18">
        <v>34</v>
      </c>
      <c r="AA3" s="18">
        <v>7.2</v>
      </c>
      <c r="AB3" s="18">
        <v>50</v>
      </c>
      <c r="AC3" s="26">
        <v>2.9999999999999997E-4</v>
      </c>
      <c r="AD3" s="26">
        <f t="shared" ref="AD3:AD66" si="2">AC3*I3*S3*0.06</f>
        <v>6.1990775999999997E-2</v>
      </c>
      <c r="AE3" s="26">
        <v>0</v>
      </c>
      <c r="AF3" s="60">
        <v>200</v>
      </c>
      <c r="AG3" s="25">
        <v>4.3192622934591996E-3</v>
      </c>
      <c r="AH3" s="26">
        <v>9.9999999999999995E-8</v>
      </c>
      <c r="AI3" s="26">
        <v>1.24670643525984E-2</v>
      </c>
      <c r="AJ3" s="27">
        <f t="shared" ref="AJ3:AJ66" si="3">IF(B3="Python",AG3*AF3/24,0)</f>
        <v>0</v>
      </c>
      <c r="AK3" s="27">
        <f t="shared" ref="AK3:AK66" si="4">IF(B3="Julia",AH3*S3/24,0)</f>
        <v>8.2233333333333346E-7</v>
      </c>
      <c r="AL3" s="28">
        <f t="shared" ref="AL3:AL66" si="5">AI3*S3</f>
        <v>2.4604998206288204</v>
      </c>
      <c r="AM3" s="29">
        <f t="shared" ref="AM3:AM66" si="6">IF(IF(AND(AK3=0, AJ3=0),0, IF(AK3&gt;0,AK3,AJ3))=0,0,IF(AND(AK3=0, AJ3=0),0, IF(AK3&gt;0,AK3,AJ3)))</f>
        <v>8.2233333333333346E-7</v>
      </c>
    </row>
    <row r="4" spans="1:39" x14ac:dyDescent="0.25">
      <c r="A4" s="2" t="s">
        <v>47</v>
      </c>
      <c r="B4" t="s">
        <v>46</v>
      </c>
      <c r="C4">
        <v>12</v>
      </c>
      <c r="D4">
        <v>7.3</v>
      </c>
      <c r="E4">
        <v>35</v>
      </c>
      <c r="F4">
        <v>0</v>
      </c>
      <c r="G4" s="1">
        <v>45344.515509259261</v>
      </c>
      <c r="H4" s="19"/>
      <c r="I4" s="20">
        <v>10.8</v>
      </c>
      <c r="J4" s="20">
        <v>98.45</v>
      </c>
      <c r="K4" s="20">
        <v>0.63</v>
      </c>
      <c r="L4" s="20">
        <v>318</v>
      </c>
      <c r="M4" s="20">
        <v>21.6</v>
      </c>
      <c r="N4" s="20">
        <v>6.65</v>
      </c>
      <c r="O4" s="20">
        <v>7.49</v>
      </c>
      <c r="P4" s="30">
        <v>0</v>
      </c>
      <c r="Q4" s="31">
        <v>0</v>
      </c>
      <c r="R4" s="31">
        <v>0.04</v>
      </c>
      <c r="S4" s="31">
        <v>197.51</v>
      </c>
      <c r="T4" s="31">
        <v>2.58</v>
      </c>
      <c r="U4" s="32">
        <f t="shared" si="0"/>
        <v>2.4900000000000091</v>
      </c>
      <c r="V4" s="32">
        <f t="shared" si="1"/>
        <v>0</v>
      </c>
      <c r="W4" s="32">
        <f t="shared" ref="W4:W67" si="7">P4/S4</f>
        <v>0</v>
      </c>
      <c r="X4" s="32">
        <f t="shared" ref="X4:X67" si="8">Q4/S4</f>
        <v>0</v>
      </c>
      <c r="Y4" s="33">
        <f t="shared" ref="Y4:Y67" si="9">R4*12</f>
        <v>0.48</v>
      </c>
      <c r="Z4" s="20">
        <v>34</v>
      </c>
      <c r="AA4" s="20">
        <v>7.2</v>
      </c>
      <c r="AB4" s="20">
        <v>50</v>
      </c>
      <c r="AC4" s="31">
        <v>2.9999999999999997E-4</v>
      </c>
      <c r="AD4" s="31">
        <f t="shared" si="2"/>
        <v>3.8395943999999994E-2</v>
      </c>
      <c r="AE4" s="31">
        <v>0</v>
      </c>
      <c r="AF4" s="61">
        <v>200</v>
      </c>
      <c r="AG4" s="30">
        <v>2.1494601329139001E-3</v>
      </c>
      <c r="AH4" s="31">
        <v>2.4E-2</v>
      </c>
      <c r="AI4" s="31">
        <v>0</v>
      </c>
      <c r="AJ4" s="32">
        <f t="shared" si="3"/>
        <v>0</v>
      </c>
      <c r="AK4" s="32">
        <f t="shared" si="4"/>
        <v>0.19750999999999999</v>
      </c>
      <c r="AL4" s="33">
        <f t="shared" si="5"/>
        <v>0</v>
      </c>
      <c r="AM4" s="34">
        <f t="shared" si="6"/>
        <v>0.19750999999999999</v>
      </c>
    </row>
    <row r="5" spans="1:39" x14ac:dyDescent="0.25">
      <c r="A5" s="2" t="s">
        <v>48</v>
      </c>
      <c r="B5" t="s">
        <v>49</v>
      </c>
      <c r="C5">
        <v>12</v>
      </c>
      <c r="D5">
        <v>7.2</v>
      </c>
      <c r="E5">
        <v>34</v>
      </c>
      <c r="F5">
        <v>0</v>
      </c>
      <c r="G5" s="1">
        <v>45344.519490740742</v>
      </c>
      <c r="H5" s="19"/>
      <c r="I5" s="20">
        <v>10.029999999999999</v>
      </c>
      <c r="J5" s="20">
        <v>98.72</v>
      </c>
      <c r="K5" s="20">
        <v>0.66</v>
      </c>
      <c r="L5" s="20">
        <v>316</v>
      </c>
      <c r="M5" s="20">
        <v>21.9</v>
      </c>
      <c r="N5" s="20">
        <v>6.55</v>
      </c>
      <c r="O5" s="20">
        <v>7.48</v>
      </c>
      <c r="P5" s="30">
        <v>0</v>
      </c>
      <c r="Q5" s="31">
        <v>0</v>
      </c>
      <c r="R5" s="31">
        <v>0.04</v>
      </c>
      <c r="S5" s="31">
        <v>197.44</v>
      </c>
      <c r="T5" s="31">
        <v>2.58</v>
      </c>
      <c r="U5" s="32">
        <f t="shared" si="0"/>
        <v>2.5600000000000023</v>
      </c>
      <c r="V5" s="32">
        <f t="shared" si="1"/>
        <v>0</v>
      </c>
      <c r="W5" s="32">
        <f t="shared" si="7"/>
        <v>0</v>
      </c>
      <c r="X5" s="32">
        <f t="shared" si="8"/>
        <v>0</v>
      </c>
      <c r="Y5" s="33">
        <f t="shared" si="9"/>
        <v>0.48</v>
      </c>
      <c r="Z5" s="20">
        <v>34</v>
      </c>
      <c r="AA5" s="20">
        <v>7.2</v>
      </c>
      <c r="AB5" s="20">
        <v>50</v>
      </c>
      <c r="AC5" s="31">
        <v>2.9999999999999997E-4</v>
      </c>
      <c r="AD5" s="31">
        <f t="shared" si="2"/>
        <v>3.564581759999999E-2</v>
      </c>
      <c r="AE5" s="31">
        <v>0</v>
      </c>
      <c r="AF5" s="61">
        <v>200</v>
      </c>
      <c r="AG5" s="30">
        <v>2.3167468980121002E-3</v>
      </c>
      <c r="AH5" s="31"/>
      <c r="AI5" s="31"/>
      <c r="AJ5" s="32">
        <f t="shared" si="3"/>
        <v>1.9306224150100835E-2</v>
      </c>
      <c r="AK5" s="32">
        <f t="shared" si="4"/>
        <v>0</v>
      </c>
      <c r="AL5" s="33">
        <f t="shared" si="5"/>
        <v>0</v>
      </c>
      <c r="AM5" s="34">
        <f t="shared" si="6"/>
        <v>1.9306224150100835E-2</v>
      </c>
    </row>
    <row r="6" spans="1:39" x14ac:dyDescent="0.25">
      <c r="A6" s="2" t="s">
        <v>50</v>
      </c>
      <c r="B6" t="s">
        <v>51</v>
      </c>
      <c r="C6">
        <v>18</v>
      </c>
      <c r="D6">
        <v>7.3</v>
      </c>
      <c r="E6">
        <v>35</v>
      </c>
      <c r="F6">
        <v>0</v>
      </c>
      <c r="G6" s="1">
        <v>45344.524212962962</v>
      </c>
      <c r="H6" s="19"/>
      <c r="I6" s="20">
        <v>16.52</v>
      </c>
      <c r="J6" s="20">
        <v>98.17</v>
      </c>
      <c r="K6" s="20">
        <v>0.94</v>
      </c>
      <c r="L6" s="20">
        <v>315</v>
      </c>
      <c r="M6" s="20">
        <v>31.3</v>
      </c>
      <c r="N6" s="20">
        <v>5.61</v>
      </c>
      <c r="O6" s="20">
        <v>7.34</v>
      </c>
      <c r="P6" s="30">
        <v>0</v>
      </c>
      <c r="Q6" s="31">
        <v>0</v>
      </c>
      <c r="R6" s="31">
        <v>0.06</v>
      </c>
      <c r="S6" s="31">
        <v>197.33</v>
      </c>
      <c r="T6" s="31">
        <v>14.58</v>
      </c>
      <c r="U6" s="32">
        <f t="shared" si="0"/>
        <v>2.6699999999999875</v>
      </c>
      <c r="V6" s="32">
        <f t="shared" si="1"/>
        <v>0</v>
      </c>
      <c r="W6" s="32">
        <f t="shared" si="7"/>
        <v>0</v>
      </c>
      <c r="X6" s="32">
        <f t="shared" si="8"/>
        <v>0</v>
      </c>
      <c r="Y6" s="33">
        <f t="shared" si="9"/>
        <v>0.72</v>
      </c>
      <c r="Z6" s="20">
        <v>34</v>
      </c>
      <c r="AA6" s="20">
        <v>7.2</v>
      </c>
      <c r="AB6" s="20">
        <v>50</v>
      </c>
      <c r="AC6" s="31">
        <v>2.9999999999999997E-4</v>
      </c>
      <c r="AD6" s="31">
        <f t="shared" si="2"/>
        <v>5.86780488E-2</v>
      </c>
      <c r="AE6" s="31">
        <v>0</v>
      </c>
      <c r="AF6" s="61">
        <v>200</v>
      </c>
      <c r="AG6" s="30">
        <v>4.5571495036696996E-3</v>
      </c>
      <c r="AH6" s="31"/>
      <c r="AI6" s="31"/>
      <c r="AJ6" s="32">
        <f t="shared" si="3"/>
        <v>0</v>
      </c>
      <c r="AK6" s="32">
        <f t="shared" si="4"/>
        <v>0</v>
      </c>
      <c r="AL6" s="33">
        <f t="shared" si="5"/>
        <v>0</v>
      </c>
      <c r="AM6" s="34">
        <f t="shared" si="6"/>
        <v>0</v>
      </c>
    </row>
    <row r="7" spans="1:39" x14ac:dyDescent="0.25">
      <c r="A7" s="2" t="s">
        <v>52</v>
      </c>
      <c r="B7" t="s">
        <v>49</v>
      </c>
      <c r="C7">
        <v>18</v>
      </c>
      <c r="D7">
        <v>7.3</v>
      </c>
      <c r="E7">
        <v>35</v>
      </c>
      <c r="F7">
        <v>0</v>
      </c>
      <c r="G7" s="1">
        <v>45344.528032407405</v>
      </c>
      <c r="H7" s="19"/>
      <c r="I7" s="20">
        <v>16.07</v>
      </c>
      <c r="J7" s="20">
        <v>98.34</v>
      </c>
      <c r="K7" s="20">
        <v>0.93</v>
      </c>
      <c r="L7" s="20">
        <v>315</v>
      </c>
      <c r="M7" s="20">
        <v>32.6</v>
      </c>
      <c r="N7" s="20">
        <v>5.56</v>
      </c>
      <c r="O7" s="20">
        <v>7.32</v>
      </c>
      <c r="P7" s="30">
        <v>0</v>
      </c>
      <c r="Q7" s="31">
        <v>0</v>
      </c>
      <c r="R7" s="31">
        <v>0.06</v>
      </c>
      <c r="S7" s="31">
        <v>197.36</v>
      </c>
      <c r="T7" s="31">
        <v>14.58</v>
      </c>
      <c r="U7" s="32">
        <f t="shared" si="0"/>
        <v>2.6399999999999864</v>
      </c>
      <c r="V7" s="32">
        <f t="shared" si="1"/>
        <v>0</v>
      </c>
      <c r="W7" s="32">
        <f t="shared" si="7"/>
        <v>0</v>
      </c>
      <c r="X7" s="32">
        <f t="shared" si="8"/>
        <v>0</v>
      </c>
      <c r="Y7" s="33">
        <f t="shared" si="9"/>
        <v>0.72</v>
      </c>
      <c r="Z7" s="20">
        <v>34</v>
      </c>
      <c r="AA7" s="20">
        <v>7.2</v>
      </c>
      <c r="AB7" s="20">
        <v>50</v>
      </c>
      <c r="AC7" s="31">
        <v>2.9999999999999997E-4</v>
      </c>
      <c r="AD7" s="31">
        <f t="shared" si="2"/>
        <v>5.7088353600000002E-2</v>
      </c>
      <c r="AE7" s="31">
        <v>0</v>
      </c>
      <c r="AF7" s="61">
        <v>200</v>
      </c>
      <c r="AG7" s="30">
        <v>4.6320973997467001E-3</v>
      </c>
      <c r="AH7" s="31"/>
      <c r="AI7" s="31"/>
      <c r="AJ7" s="32">
        <f t="shared" si="3"/>
        <v>3.8600811664555833E-2</v>
      </c>
      <c r="AK7" s="32">
        <f t="shared" si="4"/>
        <v>0</v>
      </c>
      <c r="AL7" s="33">
        <f t="shared" si="5"/>
        <v>0</v>
      </c>
      <c r="AM7" s="34">
        <f t="shared" si="6"/>
        <v>3.8600811664555833E-2</v>
      </c>
    </row>
    <row r="8" spans="1:39" x14ac:dyDescent="0.25">
      <c r="A8" s="2" t="s">
        <v>53</v>
      </c>
      <c r="B8" t="s">
        <v>49</v>
      </c>
      <c r="C8">
        <v>12</v>
      </c>
      <c r="D8">
        <v>7.3</v>
      </c>
      <c r="E8">
        <v>35</v>
      </c>
      <c r="F8">
        <v>0</v>
      </c>
      <c r="G8" s="1">
        <v>45344.531851851854</v>
      </c>
      <c r="H8" s="19"/>
      <c r="I8" s="20">
        <v>9.9499999999999993</v>
      </c>
      <c r="J8" s="20">
        <v>98.71</v>
      </c>
      <c r="K8" s="20">
        <v>0.71</v>
      </c>
      <c r="L8" s="20">
        <v>318</v>
      </c>
      <c r="M8" s="20">
        <v>25.5</v>
      </c>
      <c r="N8" s="20">
        <v>6.47</v>
      </c>
      <c r="O8" s="20">
        <v>7.42</v>
      </c>
      <c r="P8" s="30">
        <v>0</v>
      </c>
      <c r="Q8" s="31">
        <v>0</v>
      </c>
      <c r="R8" s="31">
        <v>0.04</v>
      </c>
      <c r="S8" s="31">
        <v>197.4</v>
      </c>
      <c r="T8" s="31">
        <v>2.58</v>
      </c>
      <c r="U8" s="32">
        <f t="shared" si="0"/>
        <v>2.5999999999999943</v>
      </c>
      <c r="V8" s="32">
        <f t="shared" si="1"/>
        <v>0</v>
      </c>
      <c r="W8" s="32">
        <f t="shared" si="7"/>
        <v>0</v>
      </c>
      <c r="X8" s="32">
        <f t="shared" si="8"/>
        <v>0</v>
      </c>
      <c r="Y8" s="33">
        <f t="shared" si="9"/>
        <v>0.48</v>
      </c>
      <c r="Z8" s="20">
        <v>34</v>
      </c>
      <c r="AA8" s="20">
        <v>7.2</v>
      </c>
      <c r="AB8" s="20">
        <v>50</v>
      </c>
      <c r="AC8" s="31">
        <v>2.9999999999999997E-4</v>
      </c>
      <c r="AD8" s="31">
        <f t="shared" si="2"/>
        <v>3.5354339999999991E-2</v>
      </c>
      <c r="AE8" s="31">
        <v>0</v>
      </c>
      <c r="AF8" s="61">
        <v>200</v>
      </c>
      <c r="AG8" s="30">
        <v>2.7068542113845E-3</v>
      </c>
      <c r="AH8" s="31"/>
      <c r="AI8" s="31"/>
      <c r="AJ8" s="32">
        <f t="shared" si="3"/>
        <v>2.2557118428204168E-2</v>
      </c>
      <c r="AK8" s="32">
        <f t="shared" si="4"/>
        <v>0</v>
      </c>
      <c r="AL8" s="33">
        <f t="shared" si="5"/>
        <v>0</v>
      </c>
      <c r="AM8" s="34">
        <f t="shared" si="6"/>
        <v>2.2557118428204168E-2</v>
      </c>
    </row>
    <row r="9" spans="1:39" x14ac:dyDescent="0.25">
      <c r="A9" s="2" t="s">
        <v>54</v>
      </c>
      <c r="B9" t="s">
        <v>46</v>
      </c>
      <c r="C9">
        <v>18</v>
      </c>
      <c r="D9">
        <v>7.3</v>
      </c>
      <c r="E9">
        <v>35</v>
      </c>
      <c r="F9">
        <v>0</v>
      </c>
      <c r="G9" s="1">
        <v>45344.536157407405</v>
      </c>
      <c r="H9" s="19"/>
      <c r="I9" s="20">
        <v>16.07</v>
      </c>
      <c r="J9" s="20">
        <v>98.58</v>
      </c>
      <c r="K9" s="20">
        <v>1</v>
      </c>
      <c r="L9" s="20">
        <v>314</v>
      </c>
      <c r="M9" s="20">
        <v>34.5</v>
      </c>
      <c r="N9" s="20">
        <v>5.48</v>
      </c>
      <c r="O9" s="20">
        <v>7.29</v>
      </c>
      <c r="P9" s="30">
        <v>0</v>
      </c>
      <c r="Q9" s="31">
        <v>0</v>
      </c>
      <c r="R9" s="31">
        <v>0.06</v>
      </c>
      <c r="S9" s="31">
        <v>197.38</v>
      </c>
      <c r="T9" s="31">
        <v>14.58</v>
      </c>
      <c r="U9" s="32">
        <f t="shared" si="0"/>
        <v>2.6200000000000045</v>
      </c>
      <c r="V9" s="32">
        <f t="shared" si="1"/>
        <v>0</v>
      </c>
      <c r="W9" s="32">
        <f t="shared" si="7"/>
        <v>0</v>
      </c>
      <c r="X9" s="32">
        <f t="shared" si="8"/>
        <v>0</v>
      </c>
      <c r="Y9" s="33">
        <f t="shared" si="9"/>
        <v>0.72</v>
      </c>
      <c r="Z9" s="20">
        <v>34</v>
      </c>
      <c r="AA9" s="20">
        <v>7.2</v>
      </c>
      <c r="AB9" s="20">
        <v>50</v>
      </c>
      <c r="AC9" s="31">
        <v>2.9999999999999997E-4</v>
      </c>
      <c r="AD9" s="31">
        <f t="shared" si="2"/>
        <v>5.7094138799999992E-2</v>
      </c>
      <c r="AE9" s="31">
        <v>0</v>
      </c>
      <c r="AF9" s="61">
        <v>200</v>
      </c>
      <c r="AG9" s="30">
        <v>5.0078741380993001E-3</v>
      </c>
      <c r="AH9" s="31">
        <v>9.9999999999999995E-8</v>
      </c>
      <c r="AI9" s="31">
        <v>7.1379117386933602E-3</v>
      </c>
      <c r="AJ9" s="32">
        <f t="shared" si="3"/>
        <v>0</v>
      </c>
      <c r="AK9" s="32">
        <f t="shared" si="4"/>
        <v>8.2241666666666666E-7</v>
      </c>
      <c r="AL9" s="33">
        <f t="shared" si="5"/>
        <v>1.4088810189832954</v>
      </c>
      <c r="AM9" s="34">
        <f t="shared" si="6"/>
        <v>8.2241666666666666E-7</v>
      </c>
    </row>
    <row r="10" spans="1:39" x14ac:dyDescent="0.25">
      <c r="A10" s="2" t="s">
        <v>55</v>
      </c>
      <c r="B10" t="s">
        <v>51</v>
      </c>
      <c r="C10">
        <v>15</v>
      </c>
      <c r="D10">
        <v>7.2</v>
      </c>
      <c r="E10">
        <v>34</v>
      </c>
      <c r="F10">
        <v>0</v>
      </c>
      <c r="G10" s="1">
        <v>45344.541574074072</v>
      </c>
      <c r="H10" s="19"/>
      <c r="I10" s="20">
        <v>13.48</v>
      </c>
      <c r="J10" s="20">
        <v>98.58</v>
      </c>
      <c r="K10" s="20">
        <v>0.87</v>
      </c>
      <c r="L10" s="20">
        <v>317</v>
      </c>
      <c r="M10" s="20">
        <v>32</v>
      </c>
      <c r="N10" s="20">
        <v>5.81</v>
      </c>
      <c r="O10" s="20">
        <v>7.32</v>
      </c>
      <c r="P10" s="30">
        <v>0</v>
      </c>
      <c r="Q10" s="31">
        <v>0</v>
      </c>
      <c r="R10" s="31">
        <v>0.05</v>
      </c>
      <c r="S10" s="31">
        <v>197.37</v>
      </c>
      <c r="T10" s="31">
        <v>2.58</v>
      </c>
      <c r="U10" s="32">
        <f t="shared" si="0"/>
        <v>2.6299999999999955</v>
      </c>
      <c r="V10" s="32">
        <f t="shared" si="1"/>
        <v>0</v>
      </c>
      <c r="W10" s="32">
        <f t="shared" si="7"/>
        <v>0</v>
      </c>
      <c r="X10" s="32">
        <f t="shared" si="8"/>
        <v>0</v>
      </c>
      <c r="Y10" s="33">
        <f t="shared" si="9"/>
        <v>0.60000000000000009</v>
      </c>
      <c r="Z10" s="20">
        <v>34</v>
      </c>
      <c r="AA10" s="20">
        <v>7.2</v>
      </c>
      <c r="AB10" s="20">
        <v>50</v>
      </c>
      <c r="AC10" s="31">
        <v>2.9999999999999997E-4</v>
      </c>
      <c r="AD10" s="31">
        <f t="shared" si="2"/>
        <v>4.7889856799999998E-2</v>
      </c>
      <c r="AE10" s="31">
        <v>0</v>
      </c>
      <c r="AF10" s="61">
        <v>200</v>
      </c>
      <c r="AG10" s="30">
        <v>4.1324567222609998E-3</v>
      </c>
      <c r="AH10" s="31"/>
      <c r="AI10" s="31"/>
      <c r="AJ10" s="32">
        <f t="shared" si="3"/>
        <v>0</v>
      </c>
      <c r="AK10" s="32">
        <f t="shared" si="4"/>
        <v>0</v>
      </c>
      <c r="AL10" s="33">
        <f t="shared" si="5"/>
        <v>0</v>
      </c>
      <c r="AM10" s="34">
        <f t="shared" si="6"/>
        <v>0</v>
      </c>
    </row>
    <row r="11" spans="1:39" x14ac:dyDescent="0.25">
      <c r="A11" s="2" t="s">
        <v>56</v>
      </c>
      <c r="B11" t="s">
        <v>49</v>
      </c>
      <c r="C11">
        <v>18</v>
      </c>
      <c r="D11">
        <v>7.1</v>
      </c>
      <c r="E11">
        <v>32.999999999999993</v>
      </c>
      <c r="F11">
        <v>0</v>
      </c>
      <c r="G11" s="1">
        <v>45344.545393518521</v>
      </c>
      <c r="H11" s="19"/>
      <c r="I11" s="20">
        <v>15.5</v>
      </c>
      <c r="J11" s="20">
        <v>98.86</v>
      </c>
      <c r="K11" s="20">
        <v>1</v>
      </c>
      <c r="L11" s="20">
        <v>317</v>
      </c>
      <c r="M11" s="20">
        <v>35.6</v>
      </c>
      <c r="N11" s="20">
        <v>5.35</v>
      </c>
      <c r="O11" s="20">
        <v>7.26</v>
      </c>
      <c r="P11" s="30">
        <v>0</v>
      </c>
      <c r="Q11" s="31">
        <v>0</v>
      </c>
      <c r="R11" s="31">
        <v>0.06</v>
      </c>
      <c r="S11" s="31">
        <v>198.23</v>
      </c>
      <c r="T11" s="31">
        <v>13.78</v>
      </c>
      <c r="U11" s="32">
        <f t="shared" si="0"/>
        <v>1.7700000000000102</v>
      </c>
      <c r="V11" s="32">
        <f t="shared" si="1"/>
        <v>0</v>
      </c>
      <c r="W11" s="32">
        <f t="shared" si="7"/>
        <v>0</v>
      </c>
      <c r="X11" s="32">
        <f t="shared" si="8"/>
        <v>0</v>
      </c>
      <c r="Y11" s="33">
        <f t="shared" si="9"/>
        <v>0.72</v>
      </c>
      <c r="Z11" s="20">
        <v>34</v>
      </c>
      <c r="AA11" s="20">
        <v>7.2</v>
      </c>
      <c r="AB11" s="20">
        <v>50</v>
      </c>
      <c r="AC11" s="31">
        <v>2.9999999999999997E-4</v>
      </c>
      <c r="AD11" s="31">
        <f t="shared" si="2"/>
        <v>5.5306169999999995E-2</v>
      </c>
      <c r="AE11" s="31">
        <v>0</v>
      </c>
      <c r="AF11" s="61">
        <v>200</v>
      </c>
      <c r="AG11" s="30">
        <v>4.4978755922213997E-3</v>
      </c>
      <c r="AH11" s="31"/>
      <c r="AI11" s="31"/>
      <c r="AJ11" s="32">
        <f t="shared" si="3"/>
        <v>3.7482296601844996E-2</v>
      </c>
      <c r="AK11" s="32">
        <f t="shared" si="4"/>
        <v>0</v>
      </c>
      <c r="AL11" s="33">
        <f t="shared" si="5"/>
        <v>0</v>
      </c>
      <c r="AM11" s="34">
        <f t="shared" si="6"/>
        <v>3.7482296601844996E-2</v>
      </c>
    </row>
    <row r="12" spans="1:39" x14ac:dyDescent="0.25">
      <c r="A12" s="2" t="s">
        <v>57</v>
      </c>
      <c r="B12" t="s">
        <v>46</v>
      </c>
      <c r="C12">
        <v>18</v>
      </c>
      <c r="D12">
        <v>7.2</v>
      </c>
      <c r="E12">
        <v>34</v>
      </c>
      <c r="F12">
        <v>0</v>
      </c>
      <c r="G12" s="1">
        <v>45344.549224537041</v>
      </c>
      <c r="H12" s="19"/>
      <c r="I12" s="20">
        <v>16.39</v>
      </c>
      <c r="J12" s="20">
        <v>98.9</v>
      </c>
      <c r="K12" s="20">
        <v>1.03</v>
      </c>
      <c r="L12" s="20">
        <v>315</v>
      </c>
      <c r="M12" s="20">
        <v>36</v>
      </c>
      <c r="N12" s="20">
        <v>5.33</v>
      </c>
      <c r="O12" s="20">
        <v>7.25</v>
      </c>
      <c r="P12" s="30">
        <v>0</v>
      </c>
      <c r="Q12" s="31">
        <v>0</v>
      </c>
      <c r="R12" s="31">
        <v>0.06</v>
      </c>
      <c r="S12" s="31">
        <v>198.21</v>
      </c>
      <c r="T12" s="31">
        <v>13.78</v>
      </c>
      <c r="U12" s="32">
        <f t="shared" si="0"/>
        <v>1.789999999999992</v>
      </c>
      <c r="V12" s="32">
        <f t="shared" si="1"/>
        <v>0</v>
      </c>
      <c r="W12" s="32">
        <f t="shared" si="7"/>
        <v>0</v>
      </c>
      <c r="X12" s="32">
        <f t="shared" si="8"/>
        <v>0</v>
      </c>
      <c r="Y12" s="33">
        <f t="shared" si="9"/>
        <v>0.72</v>
      </c>
      <c r="Z12" s="20">
        <v>34</v>
      </c>
      <c r="AA12" s="20">
        <v>7.2</v>
      </c>
      <c r="AB12" s="20">
        <v>50</v>
      </c>
      <c r="AC12" s="31">
        <v>2.9999999999999997E-4</v>
      </c>
      <c r="AD12" s="31">
        <f t="shared" si="2"/>
        <v>5.8475914199999993E-2</v>
      </c>
      <c r="AE12" s="31">
        <v>0</v>
      </c>
      <c r="AF12" s="61">
        <v>200</v>
      </c>
      <c r="AG12" s="30">
        <v>4.8980335412377998E-3</v>
      </c>
      <c r="AH12" s="31">
        <v>9.9999999999999995E-8</v>
      </c>
      <c r="AI12" s="31">
        <v>2.99345330333329E-3</v>
      </c>
      <c r="AJ12" s="32">
        <f t="shared" si="3"/>
        <v>0</v>
      </c>
      <c r="AK12" s="32">
        <f t="shared" si="4"/>
        <v>8.2587499999999995E-7</v>
      </c>
      <c r="AL12" s="33">
        <f t="shared" si="5"/>
        <v>0.59333237925369142</v>
      </c>
      <c r="AM12" s="34">
        <f t="shared" si="6"/>
        <v>8.2587499999999995E-7</v>
      </c>
    </row>
    <row r="13" spans="1:39" x14ac:dyDescent="0.25">
      <c r="A13" s="2" t="s">
        <v>58</v>
      </c>
      <c r="B13" t="s">
        <v>51</v>
      </c>
      <c r="C13">
        <v>18</v>
      </c>
      <c r="D13">
        <v>7.1</v>
      </c>
      <c r="E13">
        <v>32.999999999999993</v>
      </c>
      <c r="F13">
        <v>0</v>
      </c>
      <c r="G13" s="1">
        <v>45344.553541666668</v>
      </c>
      <c r="H13" s="19"/>
      <c r="I13" s="20">
        <v>15.23</v>
      </c>
      <c r="J13" s="20">
        <v>98.71</v>
      </c>
      <c r="K13" s="20">
        <v>1.03</v>
      </c>
      <c r="L13" s="20">
        <v>315</v>
      </c>
      <c r="M13" s="20">
        <v>35.6</v>
      </c>
      <c r="N13" s="20">
        <v>5.29</v>
      </c>
      <c r="O13" s="20">
        <v>7.25</v>
      </c>
      <c r="P13" s="30">
        <v>0</v>
      </c>
      <c r="Q13" s="31">
        <v>0</v>
      </c>
      <c r="R13" s="31">
        <v>0.05</v>
      </c>
      <c r="S13" s="31">
        <v>198.44</v>
      </c>
      <c r="T13" s="31">
        <v>13.78</v>
      </c>
      <c r="U13" s="32">
        <f t="shared" si="0"/>
        <v>1.5600000000000023</v>
      </c>
      <c r="V13" s="32">
        <f t="shared" si="1"/>
        <v>0</v>
      </c>
      <c r="W13" s="32">
        <f t="shared" si="7"/>
        <v>0</v>
      </c>
      <c r="X13" s="32">
        <f t="shared" si="8"/>
        <v>0</v>
      </c>
      <c r="Y13" s="33">
        <f t="shared" si="9"/>
        <v>0.60000000000000009</v>
      </c>
      <c r="Z13" s="20">
        <v>34</v>
      </c>
      <c r="AA13" s="20">
        <v>7.2</v>
      </c>
      <c r="AB13" s="20">
        <v>50</v>
      </c>
      <c r="AC13" s="31">
        <v>2.9999999999999997E-4</v>
      </c>
      <c r="AD13" s="31">
        <f t="shared" si="2"/>
        <v>5.4400341599999999E-2</v>
      </c>
      <c r="AE13" s="31">
        <v>0</v>
      </c>
      <c r="AF13" s="61">
        <v>200</v>
      </c>
      <c r="AG13" s="30">
        <v>5.1847870673230999E-3</v>
      </c>
      <c r="AH13" s="31"/>
      <c r="AI13" s="31"/>
      <c r="AJ13" s="32">
        <f t="shared" si="3"/>
        <v>0</v>
      </c>
      <c r="AK13" s="32">
        <f t="shared" si="4"/>
        <v>0</v>
      </c>
      <c r="AL13" s="33">
        <f t="shared" si="5"/>
        <v>0</v>
      </c>
      <c r="AM13" s="34">
        <f t="shared" si="6"/>
        <v>0</v>
      </c>
    </row>
    <row r="14" spans="1:39" x14ac:dyDescent="0.25">
      <c r="A14" s="2" t="s">
        <v>59</v>
      </c>
      <c r="B14" t="s">
        <v>46</v>
      </c>
      <c r="C14">
        <v>15</v>
      </c>
      <c r="D14">
        <v>7.1</v>
      </c>
      <c r="E14">
        <v>32.999999999999993</v>
      </c>
      <c r="F14">
        <v>0</v>
      </c>
      <c r="G14" s="1">
        <v>45344.559317129628</v>
      </c>
      <c r="H14" s="19"/>
      <c r="I14" s="20">
        <v>13.03</v>
      </c>
      <c r="J14" s="20">
        <v>98.77</v>
      </c>
      <c r="K14" s="20">
        <v>0.95</v>
      </c>
      <c r="L14" s="20">
        <v>317</v>
      </c>
      <c r="M14" s="20">
        <v>33.700000000000003</v>
      </c>
      <c r="N14" s="20">
        <v>5.75</v>
      </c>
      <c r="O14" s="20">
        <v>7.28</v>
      </c>
      <c r="P14" s="30">
        <v>0</v>
      </c>
      <c r="Q14" s="31">
        <v>0</v>
      </c>
      <c r="R14" s="31">
        <v>0.05</v>
      </c>
      <c r="S14" s="31">
        <v>198.17</v>
      </c>
      <c r="T14" s="31">
        <v>1.78</v>
      </c>
      <c r="U14" s="32">
        <f t="shared" si="0"/>
        <v>1.8300000000000125</v>
      </c>
      <c r="V14" s="32">
        <f t="shared" si="1"/>
        <v>0</v>
      </c>
      <c r="W14" s="32">
        <f t="shared" si="7"/>
        <v>0</v>
      </c>
      <c r="X14" s="32">
        <f t="shared" si="8"/>
        <v>0</v>
      </c>
      <c r="Y14" s="33">
        <f t="shared" si="9"/>
        <v>0.60000000000000009</v>
      </c>
      <c r="Z14" s="20">
        <v>34</v>
      </c>
      <c r="AA14" s="20">
        <v>7.2</v>
      </c>
      <c r="AB14" s="20">
        <v>50</v>
      </c>
      <c r="AC14" s="31">
        <v>2.9999999999999997E-4</v>
      </c>
      <c r="AD14" s="31">
        <f t="shared" si="2"/>
        <v>4.6478791799999988E-2</v>
      </c>
      <c r="AE14" s="31">
        <v>0</v>
      </c>
      <c r="AF14" s="61">
        <v>200</v>
      </c>
      <c r="AG14" s="30">
        <v>4.3581694877125E-3</v>
      </c>
      <c r="AH14" s="31">
        <v>9.9999999999999995E-8</v>
      </c>
      <c r="AI14" s="31">
        <v>7.2523559173813604E-3</v>
      </c>
      <c r="AJ14" s="32">
        <f t="shared" si="3"/>
        <v>0</v>
      </c>
      <c r="AK14" s="32">
        <f t="shared" si="4"/>
        <v>8.2570833333333323E-7</v>
      </c>
      <c r="AL14" s="33">
        <f t="shared" si="5"/>
        <v>1.4371993721474641</v>
      </c>
      <c r="AM14" s="34">
        <f t="shared" si="6"/>
        <v>8.2570833333333323E-7</v>
      </c>
    </row>
    <row r="15" spans="1:39" x14ac:dyDescent="0.25">
      <c r="A15" s="2" t="s">
        <v>60</v>
      </c>
      <c r="B15" t="s">
        <v>49</v>
      </c>
      <c r="C15">
        <v>15</v>
      </c>
      <c r="D15">
        <v>7.1</v>
      </c>
      <c r="E15">
        <v>32.999999999999993</v>
      </c>
      <c r="F15">
        <v>0</v>
      </c>
      <c r="G15" s="1">
        <v>45344.563159722224</v>
      </c>
      <c r="H15" s="19"/>
      <c r="I15" s="20">
        <v>13.6</v>
      </c>
      <c r="J15" s="20">
        <v>98.59</v>
      </c>
      <c r="K15" s="20">
        <v>0.92</v>
      </c>
      <c r="L15" s="20">
        <v>318</v>
      </c>
      <c r="M15" s="20">
        <v>39.200000000000003</v>
      </c>
      <c r="N15" s="20">
        <v>5.75</v>
      </c>
      <c r="O15" s="20">
        <v>7.24</v>
      </c>
      <c r="P15" s="30">
        <v>0</v>
      </c>
      <c r="Q15" s="31">
        <v>0</v>
      </c>
      <c r="R15" s="31">
        <v>0.05</v>
      </c>
      <c r="S15" s="31">
        <v>198.16</v>
      </c>
      <c r="T15" s="31">
        <v>1.78</v>
      </c>
      <c r="U15" s="32">
        <f t="shared" si="0"/>
        <v>1.8400000000000034</v>
      </c>
      <c r="V15" s="32">
        <f t="shared" si="1"/>
        <v>0</v>
      </c>
      <c r="W15" s="32">
        <f t="shared" si="7"/>
        <v>0</v>
      </c>
      <c r="X15" s="32">
        <f t="shared" si="8"/>
        <v>0</v>
      </c>
      <c r="Y15" s="33">
        <f t="shared" si="9"/>
        <v>0.60000000000000009</v>
      </c>
      <c r="Z15" s="20">
        <v>34</v>
      </c>
      <c r="AA15" s="20">
        <v>7.2</v>
      </c>
      <c r="AB15" s="20">
        <v>50</v>
      </c>
      <c r="AC15" s="31">
        <v>2.9999999999999997E-4</v>
      </c>
      <c r="AD15" s="31">
        <f t="shared" si="2"/>
        <v>4.8509567999999989E-2</v>
      </c>
      <c r="AE15" s="31">
        <v>0</v>
      </c>
      <c r="AF15" s="61">
        <v>200</v>
      </c>
      <c r="AG15" s="30">
        <v>5.3027539903110999E-3</v>
      </c>
      <c r="AH15" s="31"/>
      <c r="AI15" s="31"/>
      <c r="AJ15" s="32">
        <f t="shared" si="3"/>
        <v>4.418961658592583E-2</v>
      </c>
      <c r="AK15" s="32">
        <f t="shared" si="4"/>
        <v>0</v>
      </c>
      <c r="AL15" s="33">
        <f t="shared" si="5"/>
        <v>0</v>
      </c>
      <c r="AM15" s="34">
        <f t="shared" si="6"/>
        <v>4.418961658592583E-2</v>
      </c>
    </row>
    <row r="16" spans="1:39" x14ac:dyDescent="0.25">
      <c r="A16" s="2" t="s">
        <v>61</v>
      </c>
      <c r="B16" t="s">
        <v>46</v>
      </c>
      <c r="C16">
        <v>15</v>
      </c>
      <c r="D16">
        <v>7.3</v>
      </c>
      <c r="E16">
        <v>35</v>
      </c>
      <c r="F16">
        <v>0</v>
      </c>
      <c r="G16" s="1">
        <v>45344.579722222225</v>
      </c>
      <c r="H16" s="19"/>
      <c r="I16" s="20">
        <v>12.55</v>
      </c>
      <c r="J16" s="20">
        <v>98.6</v>
      </c>
      <c r="K16" s="20">
        <v>1</v>
      </c>
      <c r="L16" s="20">
        <v>315</v>
      </c>
      <c r="M16" s="20">
        <v>38.299999999999997</v>
      </c>
      <c r="N16" s="20">
        <v>5.63</v>
      </c>
      <c r="O16" s="20">
        <v>7.22</v>
      </c>
      <c r="P16" s="30">
        <v>0</v>
      </c>
      <c r="Q16" s="31">
        <v>0</v>
      </c>
      <c r="R16" s="31">
        <v>0.04</v>
      </c>
      <c r="S16" s="31">
        <v>198.17</v>
      </c>
      <c r="T16" s="31">
        <v>1.78</v>
      </c>
      <c r="U16" s="32">
        <f t="shared" si="0"/>
        <v>1.8300000000000125</v>
      </c>
      <c r="V16" s="32">
        <f t="shared" si="1"/>
        <v>0</v>
      </c>
      <c r="W16" s="32">
        <f t="shared" si="7"/>
        <v>0</v>
      </c>
      <c r="X16" s="32">
        <f t="shared" si="8"/>
        <v>0</v>
      </c>
      <c r="Y16" s="33">
        <f t="shared" si="9"/>
        <v>0.48</v>
      </c>
      <c r="Z16" s="20">
        <v>34</v>
      </c>
      <c r="AA16" s="20">
        <v>7.2</v>
      </c>
      <c r="AB16" s="20">
        <v>50</v>
      </c>
      <c r="AC16" s="31">
        <v>2.9999999999999997E-4</v>
      </c>
      <c r="AD16" s="31">
        <f t="shared" si="2"/>
        <v>4.4766602999999988E-2</v>
      </c>
      <c r="AE16" s="31">
        <v>0</v>
      </c>
      <c r="AF16" s="61">
        <v>200</v>
      </c>
      <c r="AG16" s="30">
        <v>5.8980635151682998E-3</v>
      </c>
      <c r="AH16" s="31">
        <v>9.9999999999999995E-8</v>
      </c>
      <c r="AI16" s="31">
        <v>2.1395665191534302E-3</v>
      </c>
      <c r="AJ16" s="32">
        <f t="shared" si="3"/>
        <v>0</v>
      </c>
      <c r="AK16" s="32">
        <f t="shared" si="4"/>
        <v>8.2570833333333323E-7</v>
      </c>
      <c r="AL16" s="33">
        <f t="shared" si="5"/>
        <v>0.42399789710063523</v>
      </c>
      <c r="AM16" s="34">
        <f t="shared" si="6"/>
        <v>8.2570833333333323E-7</v>
      </c>
    </row>
    <row r="17" spans="1:39" x14ac:dyDescent="0.25">
      <c r="A17" s="2" t="s">
        <v>62</v>
      </c>
      <c r="B17" t="s">
        <v>49</v>
      </c>
      <c r="C17">
        <v>18</v>
      </c>
      <c r="D17">
        <v>7.2</v>
      </c>
      <c r="E17">
        <v>34</v>
      </c>
      <c r="F17">
        <v>0</v>
      </c>
      <c r="G17" s="1">
        <v>45344.587337962963</v>
      </c>
      <c r="H17" s="19"/>
      <c r="I17" s="20">
        <v>16.670000000000002</v>
      </c>
      <c r="J17" s="20">
        <v>98.77</v>
      </c>
      <c r="K17" s="20">
        <v>1.1299999999999999</v>
      </c>
      <c r="L17" s="20">
        <v>314</v>
      </c>
      <c r="M17" s="20">
        <v>39.1</v>
      </c>
      <c r="N17" s="20">
        <v>5.08</v>
      </c>
      <c r="O17" s="20">
        <v>7.18</v>
      </c>
      <c r="P17" s="30">
        <v>0</v>
      </c>
      <c r="Q17" s="31">
        <v>0</v>
      </c>
      <c r="R17" s="31">
        <v>0.06</v>
      </c>
      <c r="S17" s="31">
        <v>198.14</v>
      </c>
      <c r="T17" s="31">
        <v>13.78</v>
      </c>
      <c r="U17" s="32">
        <f t="shared" si="0"/>
        <v>1.8600000000000136</v>
      </c>
      <c r="V17" s="32">
        <f t="shared" si="1"/>
        <v>0</v>
      </c>
      <c r="W17" s="32">
        <f t="shared" si="7"/>
        <v>0</v>
      </c>
      <c r="X17" s="32">
        <f t="shared" si="8"/>
        <v>0</v>
      </c>
      <c r="Y17" s="33">
        <f t="shared" si="9"/>
        <v>0.72</v>
      </c>
      <c r="Z17" s="20">
        <v>34</v>
      </c>
      <c r="AA17" s="20">
        <v>7.2</v>
      </c>
      <c r="AB17" s="20">
        <v>50</v>
      </c>
      <c r="AC17" s="31">
        <v>2.9999999999999997E-4</v>
      </c>
      <c r="AD17" s="31">
        <f t="shared" si="2"/>
        <v>5.9453888399999995E-2</v>
      </c>
      <c r="AE17" s="31">
        <v>0</v>
      </c>
      <c r="AF17" s="61">
        <v>200</v>
      </c>
      <c r="AG17" s="30">
        <v>5.8250680884825001E-3</v>
      </c>
      <c r="AH17" s="31"/>
      <c r="AI17" s="31"/>
      <c r="AJ17" s="32">
        <f t="shared" si="3"/>
        <v>4.8542234070687501E-2</v>
      </c>
      <c r="AK17" s="32">
        <f t="shared" si="4"/>
        <v>0</v>
      </c>
      <c r="AL17" s="33">
        <f t="shared" si="5"/>
        <v>0</v>
      </c>
      <c r="AM17" s="34">
        <f t="shared" si="6"/>
        <v>4.8542234070687501E-2</v>
      </c>
    </row>
    <row r="18" spans="1:39" x14ac:dyDescent="0.25">
      <c r="A18" s="2" t="s">
        <v>63</v>
      </c>
      <c r="B18" t="s">
        <v>51</v>
      </c>
      <c r="C18">
        <v>12</v>
      </c>
      <c r="D18">
        <v>7.1</v>
      </c>
      <c r="E18">
        <v>32.999999999999993</v>
      </c>
      <c r="F18">
        <v>0</v>
      </c>
      <c r="G18" s="1">
        <v>45344.592094907406</v>
      </c>
      <c r="H18" s="19"/>
      <c r="I18" s="20">
        <v>12.1</v>
      </c>
      <c r="J18" s="20">
        <v>98.22</v>
      </c>
      <c r="K18" s="20">
        <v>0.85</v>
      </c>
      <c r="L18" s="20">
        <v>321</v>
      </c>
      <c r="M18" s="20">
        <v>38.200000000000003</v>
      </c>
      <c r="N18" s="20">
        <v>6.15</v>
      </c>
      <c r="O18" s="20">
        <v>7.24</v>
      </c>
      <c r="P18" s="30">
        <v>0</v>
      </c>
      <c r="Q18" s="31">
        <v>0</v>
      </c>
      <c r="R18" s="31">
        <v>0.04</v>
      </c>
      <c r="S18" s="31">
        <v>198.2</v>
      </c>
      <c r="T18" s="31">
        <v>1.78</v>
      </c>
      <c r="U18" s="32">
        <f t="shared" si="0"/>
        <v>1.8000000000000114</v>
      </c>
      <c r="V18" s="32">
        <f t="shared" si="1"/>
        <v>0</v>
      </c>
      <c r="W18" s="32">
        <f t="shared" si="7"/>
        <v>0</v>
      </c>
      <c r="X18" s="32">
        <f t="shared" si="8"/>
        <v>0</v>
      </c>
      <c r="Y18" s="33">
        <f t="shared" si="9"/>
        <v>0.48</v>
      </c>
      <c r="Z18" s="20">
        <v>34</v>
      </c>
      <c r="AA18" s="20">
        <v>7.2</v>
      </c>
      <c r="AB18" s="20">
        <v>50</v>
      </c>
      <c r="AC18" s="31">
        <v>2.9999999999999997E-4</v>
      </c>
      <c r="AD18" s="31">
        <f t="shared" si="2"/>
        <v>4.3167959999999991E-2</v>
      </c>
      <c r="AE18" s="31">
        <v>0</v>
      </c>
      <c r="AF18" s="61">
        <v>200</v>
      </c>
      <c r="AG18" s="30">
        <v>5.0785567248770999E-3</v>
      </c>
      <c r="AH18" s="31"/>
      <c r="AI18" s="31"/>
      <c r="AJ18" s="32">
        <f t="shared" si="3"/>
        <v>0</v>
      </c>
      <c r="AK18" s="32">
        <f t="shared" si="4"/>
        <v>0</v>
      </c>
      <c r="AL18" s="33">
        <f t="shared" si="5"/>
        <v>0</v>
      </c>
      <c r="AM18" s="34">
        <f t="shared" si="6"/>
        <v>0</v>
      </c>
    </row>
    <row r="19" spans="1:39" x14ac:dyDescent="0.25">
      <c r="A19" s="2" t="s">
        <v>64</v>
      </c>
      <c r="B19" t="s">
        <v>46</v>
      </c>
      <c r="C19">
        <v>12</v>
      </c>
      <c r="D19">
        <v>7.1</v>
      </c>
      <c r="E19">
        <v>32.999999999999993</v>
      </c>
      <c r="F19">
        <v>0</v>
      </c>
      <c r="G19" s="1">
        <v>45344.596817129626</v>
      </c>
      <c r="H19" s="19"/>
      <c r="I19" s="20">
        <v>10.79</v>
      </c>
      <c r="J19" s="20">
        <v>98.7</v>
      </c>
      <c r="K19" s="20">
        <v>0.86</v>
      </c>
      <c r="L19" s="20">
        <v>320</v>
      </c>
      <c r="M19" s="20">
        <v>38.6</v>
      </c>
      <c r="N19" s="20">
        <v>6.21</v>
      </c>
      <c r="O19" s="20">
        <v>7.23</v>
      </c>
      <c r="P19" s="30">
        <v>0</v>
      </c>
      <c r="Q19" s="31">
        <v>0</v>
      </c>
      <c r="R19" s="31">
        <v>0.04</v>
      </c>
      <c r="S19" s="31">
        <v>198.2</v>
      </c>
      <c r="T19" s="31">
        <v>1.78</v>
      </c>
      <c r="U19" s="32">
        <f t="shared" si="0"/>
        <v>1.8000000000000114</v>
      </c>
      <c r="V19" s="32">
        <f t="shared" si="1"/>
        <v>0</v>
      </c>
      <c r="W19" s="32">
        <f t="shared" si="7"/>
        <v>0</v>
      </c>
      <c r="X19" s="32">
        <f t="shared" si="8"/>
        <v>0</v>
      </c>
      <c r="Y19" s="33">
        <f t="shared" si="9"/>
        <v>0.48</v>
      </c>
      <c r="Z19" s="20">
        <v>34</v>
      </c>
      <c r="AA19" s="20">
        <v>7.2</v>
      </c>
      <c r="AB19" s="20">
        <v>50</v>
      </c>
      <c r="AC19" s="31">
        <v>2.9999999999999997E-4</v>
      </c>
      <c r="AD19" s="31">
        <f t="shared" si="2"/>
        <v>3.8494403999999989E-2</v>
      </c>
      <c r="AE19" s="31">
        <v>0</v>
      </c>
      <c r="AF19" s="61">
        <v>200</v>
      </c>
      <c r="AG19" s="30">
        <v>4.9041757562187996E-3</v>
      </c>
      <c r="AH19" s="31">
        <v>9.9999999999999995E-8</v>
      </c>
      <c r="AI19" s="31">
        <v>3.1083185860598999E-3</v>
      </c>
      <c r="AJ19" s="32">
        <f t="shared" si="3"/>
        <v>0</v>
      </c>
      <c r="AK19" s="32">
        <f t="shared" si="4"/>
        <v>8.2583333333333319E-7</v>
      </c>
      <c r="AL19" s="33">
        <f t="shared" si="5"/>
        <v>0.6160687437570721</v>
      </c>
      <c r="AM19" s="34">
        <f t="shared" si="6"/>
        <v>8.2583333333333319E-7</v>
      </c>
    </row>
    <row r="20" spans="1:39" x14ac:dyDescent="0.25">
      <c r="A20" s="2" t="s">
        <v>65</v>
      </c>
      <c r="B20" t="s">
        <v>49</v>
      </c>
      <c r="C20">
        <v>15</v>
      </c>
      <c r="D20">
        <v>7.3</v>
      </c>
      <c r="E20">
        <v>35</v>
      </c>
      <c r="F20">
        <v>0</v>
      </c>
      <c r="G20" s="1">
        <v>45344.601585648146</v>
      </c>
      <c r="H20" s="19"/>
      <c r="I20" s="20">
        <v>14.36</v>
      </c>
      <c r="J20" s="20">
        <v>98.77</v>
      </c>
      <c r="K20" s="20">
        <v>1.02</v>
      </c>
      <c r="L20" s="20">
        <v>318</v>
      </c>
      <c r="M20" s="20">
        <v>42</v>
      </c>
      <c r="N20" s="20">
        <v>5.61</v>
      </c>
      <c r="O20" s="20">
        <v>7.17</v>
      </c>
      <c r="P20" s="30">
        <v>0</v>
      </c>
      <c r="Q20" s="31">
        <v>0</v>
      </c>
      <c r="R20" s="31">
        <v>0.05</v>
      </c>
      <c r="S20" s="31">
        <v>198.2</v>
      </c>
      <c r="T20" s="31">
        <v>1.78</v>
      </c>
      <c r="U20" s="32">
        <f t="shared" si="0"/>
        <v>1.8000000000000114</v>
      </c>
      <c r="V20" s="32">
        <f t="shared" si="1"/>
        <v>0</v>
      </c>
      <c r="W20" s="32">
        <f t="shared" si="7"/>
        <v>0</v>
      </c>
      <c r="X20" s="32">
        <f t="shared" si="8"/>
        <v>0</v>
      </c>
      <c r="Y20" s="33">
        <f t="shared" si="9"/>
        <v>0.60000000000000009</v>
      </c>
      <c r="Z20" s="20">
        <v>34</v>
      </c>
      <c r="AA20" s="20">
        <v>7.2</v>
      </c>
      <c r="AB20" s="20">
        <v>50</v>
      </c>
      <c r="AC20" s="31">
        <v>2.9999999999999997E-4</v>
      </c>
      <c r="AD20" s="31">
        <f t="shared" si="2"/>
        <v>5.1230735999999992E-2</v>
      </c>
      <c r="AE20" s="31">
        <v>0</v>
      </c>
      <c r="AF20" s="61">
        <v>200</v>
      </c>
      <c r="AG20" s="30">
        <v>5.7776026962747E-3</v>
      </c>
      <c r="AH20" s="31"/>
      <c r="AI20" s="31"/>
      <c r="AJ20" s="32">
        <f t="shared" si="3"/>
        <v>4.8146689135622499E-2</v>
      </c>
      <c r="AK20" s="32">
        <f t="shared" si="4"/>
        <v>0</v>
      </c>
      <c r="AL20" s="33">
        <f t="shared" si="5"/>
        <v>0</v>
      </c>
      <c r="AM20" s="34">
        <f t="shared" si="6"/>
        <v>4.8146689135622499E-2</v>
      </c>
    </row>
    <row r="21" spans="1:39" x14ac:dyDescent="0.25">
      <c r="A21" s="2" t="s">
        <v>66</v>
      </c>
      <c r="B21" t="s">
        <v>46</v>
      </c>
      <c r="C21">
        <v>12</v>
      </c>
      <c r="D21">
        <v>7.2</v>
      </c>
      <c r="E21">
        <v>34</v>
      </c>
      <c r="F21">
        <v>0</v>
      </c>
      <c r="G21" s="1">
        <v>45344.606319444443</v>
      </c>
      <c r="H21" s="19"/>
      <c r="I21" s="20">
        <v>10.79</v>
      </c>
      <c r="J21" s="20">
        <v>98.37</v>
      </c>
      <c r="K21" s="20">
        <v>0.9</v>
      </c>
      <c r="L21" s="20">
        <v>321</v>
      </c>
      <c r="M21" s="20">
        <v>41.4</v>
      </c>
      <c r="N21" s="20">
        <v>6.2</v>
      </c>
      <c r="O21" s="20">
        <v>7.2</v>
      </c>
      <c r="P21" s="30">
        <v>0</v>
      </c>
      <c r="Q21" s="31">
        <v>0</v>
      </c>
      <c r="R21" s="31">
        <v>0.04</v>
      </c>
      <c r="S21" s="31">
        <v>198.2</v>
      </c>
      <c r="T21" s="31">
        <v>1.78</v>
      </c>
      <c r="U21" s="32">
        <f t="shared" si="0"/>
        <v>1.8000000000000114</v>
      </c>
      <c r="V21" s="32">
        <f t="shared" si="1"/>
        <v>0</v>
      </c>
      <c r="W21" s="32">
        <f t="shared" si="7"/>
        <v>0</v>
      </c>
      <c r="X21" s="32">
        <f t="shared" si="8"/>
        <v>0</v>
      </c>
      <c r="Y21" s="33">
        <f t="shared" si="9"/>
        <v>0.48</v>
      </c>
      <c r="Z21" s="20">
        <v>34</v>
      </c>
      <c r="AA21" s="20">
        <v>7.2</v>
      </c>
      <c r="AB21" s="20">
        <v>50</v>
      </c>
      <c r="AC21" s="31">
        <v>2.9999999999999997E-4</v>
      </c>
      <c r="AD21" s="31">
        <f t="shared" si="2"/>
        <v>3.8494403999999989E-2</v>
      </c>
      <c r="AE21" s="31">
        <v>0</v>
      </c>
      <c r="AF21" s="61">
        <v>200</v>
      </c>
      <c r="AG21" s="30">
        <v>5.5540865631498E-3</v>
      </c>
      <c r="AH21" s="31">
        <v>9.9999999999999995E-8</v>
      </c>
      <c r="AI21" s="31">
        <v>1.70116297153131E-3</v>
      </c>
      <c r="AJ21" s="32">
        <f t="shared" si="3"/>
        <v>0</v>
      </c>
      <c r="AK21" s="32">
        <f t="shared" si="4"/>
        <v>8.2583333333333319E-7</v>
      </c>
      <c r="AL21" s="33">
        <f t="shared" si="5"/>
        <v>0.33717050095750561</v>
      </c>
      <c r="AM21" s="34">
        <f t="shared" si="6"/>
        <v>8.2583333333333319E-7</v>
      </c>
    </row>
    <row r="22" spans="1:39" x14ac:dyDescent="0.25">
      <c r="A22" s="2" t="s">
        <v>67</v>
      </c>
      <c r="B22" t="s">
        <v>49</v>
      </c>
      <c r="C22">
        <v>12</v>
      </c>
      <c r="D22">
        <v>7.1</v>
      </c>
      <c r="E22">
        <v>32.999999999999993</v>
      </c>
      <c r="F22">
        <v>0</v>
      </c>
      <c r="G22" s="1">
        <v>45344.613009259258</v>
      </c>
      <c r="H22" s="19"/>
      <c r="I22" s="20">
        <v>11.86</v>
      </c>
      <c r="J22" s="20">
        <v>98.89</v>
      </c>
      <c r="K22" s="20">
        <v>0.91</v>
      </c>
      <c r="L22" s="20">
        <v>321</v>
      </c>
      <c r="M22" s="20">
        <v>41</v>
      </c>
      <c r="N22" s="20">
        <v>6.17</v>
      </c>
      <c r="O22" s="20">
        <v>7.2</v>
      </c>
      <c r="P22" s="30">
        <v>0</v>
      </c>
      <c r="Q22" s="31">
        <v>0</v>
      </c>
      <c r="R22" s="31">
        <v>0.04</v>
      </c>
      <c r="S22" s="31">
        <v>198.2</v>
      </c>
      <c r="T22" s="31">
        <v>1.78</v>
      </c>
      <c r="U22" s="32">
        <f t="shared" si="0"/>
        <v>1.8000000000000114</v>
      </c>
      <c r="V22" s="32">
        <f t="shared" si="1"/>
        <v>0</v>
      </c>
      <c r="W22" s="32">
        <f t="shared" si="7"/>
        <v>0</v>
      </c>
      <c r="X22" s="32">
        <f t="shared" si="8"/>
        <v>0</v>
      </c>
      <c r="Y22" s="33">
        <f t="shared" si="9"/>
        <v>0.48</v>
      </c>
      <c r="Z22" s="20">
        <v>34</v>
      </c>
      <c r="AA22" s="20">
        <v>7.2</v>
      </c>
      <c r="AB22" s="20">
        <v>50</v>
      </c>
      <c r="AC22" s="31">
        <v>2.9999999999999997E-4</v>
      </c>
      <c r="AD22" s="31">
        <f t="shared" si="2"/>
        <v>4.2311735999999989E-2</v>
      </c>
      <c r="AE22" s="31">
        <v>0</v>
      </c>
      <c r="AF22" s="61">
        <v>200</v>
      </c>
      <c r="AG22" s="30">
        <v>5.0861492049608997E-3</v>
      </c>
      <c r="AH22" s="31"/>
      <c r="AI22" s="31"/>
      <c r="AJ22" s="32">
        <f t="shared" si="3"/>
        <v>4.2384576708007493E-2</v>
      </c>
      <c r="AK22" s="32">
        <f t="shared" si="4"/>
        <v>0</v>
      </c>
      <c r="AL22" s="33">
        <f t="shared" si="5"/>
        <v>0</v>
      </c>
      <c r="AM22" s="34">
        <f t="shared" si="6"/>
        <v>4.2384576708007493E-2</v>
      </c>
    </row>
    <row r="23" spans="1:39" x14ac:dyDescent="0.25">
      <c r="A23" s="2" t="s">
        <v>68</v>
      </c>
      <c r="B23" t="s">
        <v>51</v>
      </c>
      <c r="C23">
        <v>12</v>
      </c>
      <c r="D23">
        <v>7.3</v>
      </c>
      <c r="E23">
        <v>35</v>
      </c>
      <c r="F23">
        <v>0</v>
      </c>
      <c r="G23" s="1">
        <v>45344.617581018516</v>
      </c>
      <c r="H23" s="19"/>
      <c r="I23" s="20">
        <v>10.78</v>
      </c>
      <c r="J23" s="20">
        <v>98.66</v>
      </c>
      <c r="K23" s="20">
        <v>0.94</v>
      </c>
      <c r="L23" s="20">
        <v>318</v>
      </c>
      <c r="M23" s="20">
        <v>40.4</v>
      </c>
      <c r="N23" s="20">
        <v>6.07</v>
      </c>
      <c r="O23" s="20">
        <v>7.2</v>
      </c>
      <c r="P23" s="30">
        <v>0</v>
      </c>
      <c r="Q23" s="31">
        <v>0</v>
      </c>
      <c r="R23" s="31">
        <v>0.04</v>
      </c>
      <c r="S23" s="31">
        <v>198.19</v>
      </c>
      <c r="T23" s="31">
        <v>1.78</v>
      </c>
      <c r="U23" s="32">
        <f t="shared" si="0"/>
        <v>1.8100000000000023</v>
      </c>
      <c r="V23" s="32">
        <f t="shared" si="1"/>
        <v>0</v>
      </c>
      <c r="W23" s="32">
        <f t="shared" si="7"/>
        <v>0</v>
      </c>
      <c r="X23" s="32">
        <f t="shared" si="8"/>
        <v>0</v>
      </c>
      <c r="Y23" s="33">
        <f t="shared" si="9"/>
        <v>0.48</v>
      </c>
      <c r="Z23" s="20">
        <v>34</v>
      </c>
      <c r="AA23" s="20">
        <v>7.2</v>
      </c>
      <c r="AB23" s="20">
        <v>50</v>
      </c>
      <c r="AC23" s="31">
        <v>2.9999999999999997E-4</v>
      </c>
      <c r="AD23" s="31">
        <f t="shared" si="2"/>
        <v>3.8456787599999993E-2</v>
      </c>
      <c r="AE23" s="31">
        <v>0</v>
      </c>
      <c r="AF23" s="61">
        <v>200</v>
      </c>
      <c r="AG23" s="30">
        <v>5.6517979921942999E-3</v>
      </c>
      <c r="AH23" s="31"/>
      <c r="AI23" s="31"/>
      <c r="AJ23" s="32">
        <f t="shared" si="3"/>
        <v>0</v>
      </c>
      <c r="AK23" s="32">
        <f t="shared" si="4"/>
        <v>0</v>
      </c>
      <c r="AL23" s="33">
        <f t="shared" si="5"/>
        <v>0</v>
      </c>
      <c r="AM23" s="34">
        <f t="shared" si="6"/>
        <v>0</v>
      </c>
    </row>
    <row r="24" spans="1:39" x14ac:dyDescent="0.25">
      <c r="A24" s="2" t="s">
        <v>69</v>
      </c>
      <c r="B24" t="s">
        <v>51</v>
      </c>
      <c r="C24">
        <v>15</v>
      </c>
      <c r="D24">
        <v>7.2</v>
      </c>
      <c r="E24">
        <v>34</v>
      </c>
      <c r="F24">
        <v>0</v>
      </c>
      <c r="G24" s="1">
        <v>45344.621458333335</v>
      </c>
      <c r="H24" s="19"/>
      <c r="I24" s="20">
        <v>13.47</v>
      </c>
      <c r="J24" s="20">
        <v>98.72</v>
      </c>
      <c r="K24" s="20">
        <v>1.08</v>
      </c>
      <c r="L24" s="20">
        <v>318</v>
      </c>
      <c r="M24" s="20">
        <v>38.5</v>
      </c>
      <c r="N24" s="20">
        <v>5.43</v>
      </c>
      <c r="O24" s="20">
        <v>7.17</v>
      </c>
      <c r="P24" s="30">
        <v>0</v>
      </c>
      <c r="Q24" s="31">
        <v>0</v>
      </c>
      <c r="R24" s="31">
        <v>0.05</v>
      </c>
      <c r="S24" s="31">
        <v>198.16</v>
      </c>
      <c r="T24" s="31">
        <v>1.78</v>
      </c>
      <c r="U24" s="32">
        <f t="shared" si="0"/>
        <v>1.8400000000000034</v>
      </c>
      <c r="V24" s="32">
        <f t="shared" si="1"/>
        <v>0</v>
      </c>
      <c r="W24" s="32">
        <f t="shared" si="7"/>
        <v>0</v>
      </c>
      <c r="X24" s="32">
        <f t="shared" si="8"/>
        <v>0</v>
      </c>
      <c r="Y24" s="33">
        <f t="shared" si="9"/>
        <v>0.60000000000000009</v>
      </c>
      <c r="Z24" s="20">
        <v>34</v>
      </c>
      <c r="AA24" s="20">
        <v>7.2</v>
      </c>
      <c r="AB24" s="20">
        <v>50</v>
      </c>
      <c r="AC24" s="31">
        <v>2.9999999999999997E-4</v>
      </c>
      <c r="AD24" s="31">
        <f t="shared" si="2"/>
        <v>4.804587359999999E-2</v>
      </c>
      <c r="AE24" s="31">
        <v>0</v>
      </c>
      <c r="AF24" s="61">
        <v>200</v>
      </c>
      <c r="AG24" s="30">
        <v>5.2436999271545E-3</v>
      </c>
      <c r="AH24" s="31"/>
      <c r="AI24" s="31"/>
      <c r="AJ24" s="32">
        <f t="shared" si="3"/>
        <v>0</v>
      </c>
      <c r="AK24" s="32">
        <f t="shared" si="4"/>
        <v>0</v>
      </c>
      <c r="AL24" s="33">
        <f t="shared" si="5"/>
        <v>0</v>
      </c>
      <c r="AM24" s="34">
        <f t="shared" si="6"/>
        <v>0</v>
      </c>
    </row>
    <row r="25" spans="1:39" x14ac:dyDescent="0.25">
      <c r="A25" s="2" t="s">
        <v>70</v>
      </c>
      <c r="B25" t="s">
        <v>51</v>
      </c>
      <c r="C25">
        <v>15</v>
      </c>
      <c r="D25">
        <v>7.2</v>
      </c>
      <c r="E25">
        <v>34</v>
      </c>
      <c r="F25">
        <v>0</v>
      </c>
      <c r="G25" s="1">
        <v>45344.625381944446</v>
      </c>
      <c r="H25" s="19"/>
      <c r="I25" s="20">
        <v>13.96</v>
      </c>
      <c r="J25" s="20">
        <v>98.51</v>
      </c>
      <c r="K25" s="20">
        <v>1.0900000000000001</v>
      </c>
      <c r="L25" s="20">
        <v>316</v>
      </c>
      <c r="M25" s="20">
        <v>38.799999999999997</v>
      </c>
      <c r="N25" s="20">
        <v>5.4</v>
      </c>
      <c r="O25" s="20">
        <v>7.17</v>
      </c>
      <c r="P25" s="30">
        <v>0</v>
      </c>
      <c r="Q25" s="31">
        <v>0</v>
      </c>
      <c r="R25" s="31">
        <v>0.05</v>
      </c>
      <c r="S25" s="31">
        <v>198.15</v>
      </c>
      <c r="T25" s="31">
        <v>1.78</v>
      </c>
      <c r="U25" s="32">
        <f t="shared" si="0"/>
        <v>1.8499999999999943</v>
      </c>
      <c r="V25" s="32">
        <f t="shared" si="1"/>
        <v>0</v>
      </c>
      <c r="W25" s="32">
        <f t="shared" si="7"/>
        <v>0</v>
      </c>
      <c r="X25" s="32">
        <f t="shared" si="8"/>
        <v>0</v>
      </c>
      <c r="Y25" s="33">
        <f t="shared" si="9"/>
        <v>0.60000000000000009</v>
      </c>
      <c r="Z25" s="20">
        <v>34</v>
      </c>
      <c r="AA25" s="20">
        <v>7.2</v>
      </c>
      <c r="AB25" s="20">
        <v>50</v>
      </c>
      <c r="AC25" s="31">
        <v>2.9999999999999997E-4</v>
      </c>
      <c r="AD25" s="31">
        <f t="shared" si="2"/>
        <v>4.9791132000000002E-2</v>
      </c>
      <c r="AE25" s="31">
        <v>0</v>
      </c>
      <c r="AF25" s="61">
        <v>200</v>
      </c>
      <c r="AG25" s="30">
        <v>5.7999995012502003E-3</v>
      </c>
      <c r="AH25" s="31"/>
      <c r="AI25" s="31"/>
      <c r="AJ25" s="32">
        <f t="shared" si="3"/>
        <v>0</v>
      </c>
      <c r="AK25" s="32">
        <f t="shared" si="4"/>
        <v>0</v>
      </c>
      <c r="AL25" s="33">
        <f t="shared" si="5"/>
        <v>0</v>
      </c>
      <c r="AM25" s="34">
        <f t="shared" si="6"/>
        <v>0</v>
      </c>
    </row>
    <row r="26" spans="1:39" ht="15.75" thickBot="1" x14ac:dyDescent="0.3">
      <c r="A26" s="2" t="s">
        <v>71</v>
      </c>
      <c r="B26" t="s">
        <v>51</v>
      </c>
      <c r="C26">
        <v>15</v>
      </c>
      <c r="D26">
        <v>7.2</v>
      </c>
      <c r="E26">
        <v>34</v>
      </c>
      <c r="F26">
        <v>0</v>
      </c>
      <c r="G26" s="1">
        <v>45344.630057870374</v>
      </c>
      <c r="H26" s="19"/>
      <c r="I26" s="20">
        <v>14.02</v>
      </c>
      <c r="J26" s="20">
        <v>98.49</v>
      </c>
      <c r="K26" s="20">
        <v>1.1200000000000001</v>
      </c>
      <c r="L26" s="20">
        <v>318</v>
      </c>
      <c r="M26" s="20">
        <v>40.6</v>
      </c>
      <c r="N26" s="20">
        <v>5.5</v>
      </c>
      <c r="O26" s="20">
        <v>7.15</v>
      </c>
      <c r="P26" s="30">
        <v>0</v>
      </c>
      <c r="Q26" s="31">
        <v>0</v>
      </c>
      <c r="R26" s="31">
        <v>0.05</v>
      </c>
      <c r="S26" s="31">
        <v>198.17</v>
      </c>
      <c r="T26" s="31">
        <v>1.78</v>
      </c>
      <c r="U26" s="32">
        <f t="shared" si="0"/>
        <v>1.8300000000000125</v>
      </c>
      <c r="V26" s="32">
        <f t="shared" si="1"/>
        <v>0</v>
      </c>
      <c r="W26" s="32">
        <f t="shared" si="7"/>
        <v>0</v>
      </c>
      <c r="X26" s="32">
        <f t="shared" si="8"/>
        <v>0</v>
      </c>
      <c r="Y26" s="33">
        <f t="shared" si="9"/>
        <v>0.60000000000000009</v>
      </c>
      <c r="Z26" s="20">
        <v>34</v>
      </c>
      <c r="AA26" s="20">
        <v>7.2</v>
      </c>
      <c r="AB26" s="20">
        <v>50</v>
      </c>
      <c r="AC26" s="31">
        <v>2.9999999999999997E-4</v>
      </c>
      <c r="AD26" s="31">
        <f t="shared" si="2"/>
        <v>5.001018119999999E-2</v>
      </c>
      <c r="AE26" s="31">
        <v>0</v>
      </c>
      <c r="AF26" s="61">
        <v>200</v>
      </c>
      <c r="AG26" s="30">
        <v>5.8561237651311698E-3</v>
      </c>
      <c r="AH26" s="31"/>
      <c r="AI26" s="31"/>
      <c r="AJ26" s="32">
        <f t="shared" si="3"/>
        <v>0</v>
      </c>
      <c r="AK26" s="32">
        <f t="shared" si="4"/>
        <v>0</v>
      </c>
      <c r="AL26" s="33">
        <f t="shared" si="5"/>
        <v>0</v>
      </c>
      <c r="AM26" s="34">
        <f t="shared" si="6"/>
        <v>0</v>
      </c>
    </row>
    <row r="27" spans="1:39" x14ac:dyDescent="0.25">
      <c r="A27" s="7" t="s">
        <v>45</v>
      </c>
      <c r="B27" s="8" t="s">
        <v>46</v>
      </c>
      <c r="C27" s="8">
        <v>18</v>
      </c>
      <c r="D27" s="8">
        <v>7.1</v>
      </c>
      <c r="E27" s="8">
        <v>32.999999999999993</v>
      </c>
      <c r="F27" s="8">
        <v>1</v>
      </c>
      <c r="G27" s="9">
        <v>45345.262291666666</v>
      </c>
      <c r="H27" s="17">
        <v>615.07679999999993</v>
      </c>
      <c r="I27" s="18">
        <v>20.13</v>
      </c>
      <c r="J27" s="18">
        <v>98.16</v>
      </c>
      <c r="K27" s="18">
        <v>2.42</v>
      </c>
      <c r="L27" s="18">
        <v>305</v>
      </c>
      <c r="M27" s="18">
        <v>33.9</v>
      </c>
      <c r="N27" s="18">
        <v>0.78</v>
      </c>
      <c r="O27" s="18">
        <v>7.06</v>
      </c>
      <c r="P27" s="25">
        <v>1.02</v>
      </c>
      <c r="Q27" s="26">
        <v>2.46</v>
      </c>
      <c r="R27" s="26">
        <v>0</v>
      </c>
      <c r="S27" s="26">
        <v>198.57</v>
      </c>
      <c r="T27" s="26">
        <v>16.350000000000001</v>
      </c>
      <c r="U27" s="27">
        <f>T27-T3</f>
        <v>1.7700000000000014</v>
      </c>
      <c r="V27" s="27">
        <f t="shared" si="1"/>
        <v>5.1000000000000004E-3</v>
      </c>
      <c r="W27" s="27">
        <f t="shared" si="7"/>
        <v>5.1367276023568517E-3</v>
      </c>
      <c r="X27" s="27">
        <f t="shared" si="8"/>
        <v>1.2388578335095936E-2</v>
      </c>
      <c r="Y27" s="28">
        <f t="shared" si="9"/>
        <v>0</v>
      </c>
      <c r="Z27" s="18">
        <v>34</v>
      </c>
      <c r="AA27" s="18">
        <v>7.2</v>
      </c>
      <c r="AB27" s="18">
        <v>50</v>
      </c>
      <c r="AC27" s="26">
        <v>2.9999999999999997E-4</v>
      </c>
      <c r="AD27" s="26">
        <f t="shared" si="2"/>
        <v>7.1949853799999991E-2</v>
      </c>
      <c r="AE27" s="26">
        <f t="shared" ref="AE27:AE50" si="10">AD3*18</f>
        <v>1.115833968</v>
      </c>
      <c r="AF27" s="60">
        <v>200</v>
      </c>
      <c r="AG27" s="25">
        <v>9.5249345973893E-3</v>
      </c>
      <c r="AH27" s="26">
        <v>9.9999999999999995E-8</v>
      </c>
      <c r="AI27" s="26">
        <v>1.2999999999999999E-3</v>
      </c>
      <c r="AJ27" s="27">
        <f t="shared" si="3"/>
        <v>0</v>
      </c>
      <c r="AK27" s="27">
        <f t="shared" si="4"/>
        <v>8.2737499999999996E-7</v>
      </c>
      <c r="AL27" s="28">
        <f t="shared" si="5"/>
        <v>0.25814099999999995</v>
      </c>
      <c r="AM27" s="29">
        <f t="shared" si="6"/>
        <v>8.2737499999999996E-7</v>
      </c>
    </row>
    <row r="28" spans="1:39" x14ac:dyDescent="0.25">
      <c r="A28" s="2" t="s">
        <v>47</v>
      </c>
      <c r="B28" t="s">
        <v>46</v>
      </c>
      <c r="C28">
        <v>12</v>
      </c>
      <c r="D28">
        <v>7.3</v>
      </c>
      <c r="E28">
        <v>35</v>
      </c>
      <c r="F28">
        <v>1</v>
      </c>
      <c r="G28" s="1">
        <v>45345.267002314817</v>
      </c>
      <c r="H28" s="19">
        <v>421.26396666666665</v>
      </c>
      <c r="I28" s="20">
        <v>12.78</v>
      </c>
      <c r="J28" s="20">
        <v>97.92</v>
      </c>
      <c r="K28" s="21">
        <v>0.09</v>
      </c>
      <c r="L28" s="21">
        <v>0</v>
      </c>
      <c r="M28" s="20">
        <v>37.5</v>
      </c>
      <c r="N28" s="20">
        <v>0.14000000000000001</v>
      </c>
      <c r="O28" s="20">
        <v>7.1</v>
      </c>
      <c r="P28" s="30">
        <v>0.88</v>
      </c>
      <c r="Q28" s="31">
        <v>0</v>
      </c>
      <c r="R28" s="31">
        <v>0.2</v>
      </c>
      <c r="S28" s="31">
        <v>197.11</v>
      </c>
      <c r="T28" s="31">
        <v>4.3499999999999996</v>
      </c>
      <c r="U28" s="32">
        <f t="shared" ref="U28:U91" si="11">T28-T4</f>
        <v>1.7699999999999996</v>
      </c>
      <c r="V28" s="32">
        <f t="shared" si="1"/>
        <v>4.4000000000000003E-3</v>
      </c>
      <c r="W28" s="32">
        <f t="shared" si="7"/>
        <v>4.4645122013089135E-3</v>
      </c>
      <c r="X28" s="32">
        <f t="shared" si="8"/>
        <v>0</v>
      </c>
      <c r="Y28" s="33">
        <f t="shared" si="9"/>
        <v>2.4000000000000004</v>
      </c>
      <c r="Z28" s="20">
        <v>34</v>
      </c>
      <c r="AA28" s="20">
        <v>7.2</v>
      </c>
      <c r="AB28" s="20">
        <v>50</v>
      </c>
      <c r="AC28" s="31">
        <v>2.9999999999999997E-4</v>
      </c>
      <c r="AD28" s="31">
        <f t="shared" si="2"/>
        <v>4.5343184399999993E-2</v>
      </c>
      <c r="AE28" s="31">
        <f t="shared" si="10"/>
        <v>0.69112699199999994</v>
      </c>
      <c r="AF28" s="61">
        <v>200</v>
      </c>
      <c r="AG28" s="30">
        <v>1.1509712324845199E-2</v>
      </c>
      <c r="AH28" s="31">
        <v>9.9999999999999995E-8</v>
      </c>
      <c r="AI28" s="31">
        <v>1.4020392061043401E-3</v>
      </c>
      <c r="AJ28" s="32">
        <f t="shared" si="3"/>
        <v>0</v>
      </c>
      <c r="AK28" s="32">
        <f t="shared" si="4"/>
        <v>8.2129166666666673E-7</v>
      </c>
      <c r="AL28" s="33">
        <f t="shared" si="5"/>
        <v>0.2763559479152265</v>
      </c>
      <c r="AM28" s="34">
        <f t="shared" si="6"/>
        <v>8.2129166666666673E-7</v>
      </c>
    </row>
    <row r="29" spans="1:39" x14ac:dyDescent="0.25">
      <c r="A29" s="2" t="s">
        <v>48</v>
      </c>
      <c r="B29" t="s">
        <v>49</v>
      </c>
      <c r="C29">
        <v>12</v>
      </c>
      <c r="D29">
        <v>7.2</v>
      </c>
      <c r="E29">
        <v>34</v>
      </c>
      <c r="F29">
        <v>1</v>
      </c>
      <c r="G29" s="1">
        <v>45345.271701388891</v>
      </c>
      <c r="H29" s="19">
        <v>423.89043333333331</v>
      </c>
      <c r="I29" s="20">
        <v>14.04</v>
      </c>
      <c r="J29" s="20">
        <v>98.21</v>
      </c>
      <c r="K29" s="20">
        <v>2.2000000000000002</v>
      </c>
      <c r="L29" s="20">
        <v>320</v>
      </c>
      <c r="M29" s="20">
        <v>39.9</v>
      </c>
      <c r="N29" s="20">
        <v>2.79</v>
      </c>
      <c r="O29" s="20">
        <v>7.07</v>
      </c>
      <c r="P29" s="30">
        <v>0.63</v>
      </c>
      <c r="Q29" s="31">
        <v>1.1000000000000001</v>
      </c>
      <c r="R29" s="31">
        <v>0.02</v>
      </c>
      <c r="S29" s="31">
        <v>197.31</v>
      </c>
      <c r="T29" s="31">
        <v>4.3499999999999996</v>
      </c>
      <c r="U29" s="32">
        <f t="shared" si="11"/>
        <v>1.7699999999999996</v>
      </c>
      <c r="V29" s="32">
        <f t="shared" si="1"/>
        <v>3.15E-3</v>
      </c>
      <c r="W29" s="32">
        <f t="shared" si="7"/>
        <v>3.192945111753079E-3</v>
      </c>
      <c r="X29" s="32">
        <f t="shared" si="8"/>
        <v>5.5749835284577571E-3</v>
      </c>
      <c r="Y29" s="33">
        <f t="shared" si="9"/>
        <v>0.24</v>
      </c>
      <c r="Z29" s="20">
        <v>34</v>
      </c>
      <c r="AA29" s="20">
        <v>7.2</v>
      </c>
      <c r="AB29" s="20">
        <v>50</v>
      </c>
      <c r="AC29" s="31">
        <v>2.9999999999999997E-4</v>
      </c>
      <c r="AD29" s="31">
        <f t="shared" si="2"/>
        <v>4.9864183199999995E-2</v>
      </c>
      <c r="AE29" s="31">
        <f t="shared" si="10"/>
        <v>0.64162471679999977</v>
      </c>
      <c r="AF29" s="61">
        <v>200</v>
      </c>
      <c r="AG29" s="30">
        <v>1.14567000896637E-2</v>
      </c>
      <c r="AH29" s="31"/>
      <c r="AI29" s="31"/>
      <c r="AJ29" s="32">
        <f t="shared" si="3"/>
        <v>9.54725007471975E-2</v>
      </c>
      <c r="AK29" s="32">
        <f t="shared" si="4"/>
        <v>0</v>
      </c>
      <c r="AL29" s="33">
        <f t="shared" si="5"/>
        <v>0</v>
      </c>
      <c r="AM29" s="34">
        <f t="shared" si="6"/>
        <v>9.54725007471975E-2</v>
      </c>
    </row>
    <row r="30" spans="1:39" x14ac:dyDescent="0.25">
      <c r="A30" s="2" t="s">
        <v>50</v>
      </c>
      <c r="B30" t="s">
        <v>51</v>
      </c>
      <c r="C30">
        <v>18</v>
      </c>
      <c r="D30">
        <v>7.3</v>
      </c>
      <c r="E30">
        <v>35</v>
      </c>
      <c r="F30">
        <v>1</v>
      </c>
      <c r="G30" s="1">
        <v>45345.276412037034</v>
      </c>
      <c r="H30" s="19">
        <v>609.57479999999998</v>
      </c>
      <c r="I30" s="20">
        <v>18.36</v>
      </c>
      <c r="J30" s="20">
        <v>98.12</v>
      </c>
      <c r="K30" s="20">
        <v>2.4700000000000002</v>
      </c>
      <c r="L30" s="20">
        <v>304</v>
      </c>
      <c r="M30" s="20">
        <v>29.6</v>
      </c>
      <c r="N30" s="20">
        <v>0.73</v>
      </c>
      <c r="O30" s="20">
        <v>7.07</v>
      </c>
      <c r="P30" s="30">
        <v>1.02</v>
      </c>
      <c r="Q30" s="31">
        <v>2.13</v>
      </c>
      <c r="R30" s="31">
        <v>7.0000000000000007E-2</v>
      </c>
      <c r="S30" s="31">
        <v>197.61</v>
      </c>
      <c r="T30" s="31">
        <v>17.149999999999999</v>
      </c>
      <c r="U30" s="32">
        <f t="shared" si="11"/>
        <v>2.5699999999999985</v>
      </c>
      <c r="V30" s="32">
        <f t="shared" si="1"/>
        <v>5.1000000000000004E-3</v>
      </c>
      <c r="W30" s="32">
        <f t="shared" si="7"/>
        <v>5.1616821011082432E-3</v>
      </c>
      <c r="X30" s="32">
        <f t="shared" si="8"/>
        <v>1.0778806740549566E-2</v>
      </c>
      <c r="Y30" s="33">
        <f t="shared" si="9"/>
        <v>0.84000000000000008</v>
      </c>
      <c r="Z30" s="20">
        <v>34</v>
      </c>
      <c r="AA30" s="20">
        <v>7.2</v>
      </c>
      <c r="AB30" s="20">
        <v>50</v>
      </c>
      <c r="AC30" s="31">
        <v>2.9999999999999997E-4</v>
      </c>
      <c r="AD30" s="31">
        <f t="shared" si="2"/>
        <v>6.5306152799999989E-2</v>
      </c>
      <c r="AE30" s="31">
        <f t="shared" si="10"/>
        <v>1.0562048784</v>
      </c>
      <c r="AF30" s="61">
        <v>200</v>
      </c>
      <c r="AG30" s="30">
        <v>9.8294010988234995E-3</v>
      </c>
      <c r="AH30" s="31"/>
      <c r="AI30" s="31"/>
      <c r="AJ30" s="32">
        <f t="shared" si="3"/>
        <v>0</v>
      </c>
      <c r="AK30" s="32">
        <f t="shared" si="4"/>
        <v>0</v>
      </c>
      <c r="AL30" s="33">
        <f t="shared" si="5"/>
        <v>0</v>
      </c>
      <c r="AM30" s="34">
        <f t="shared" si="6"/>
        <v>0</v>
      </c>
    </row>
    <row r="31" spans="1:39" x14ac:dyDescent="0.25">
      <c r="A31" s="2" t="s">
        <v>52</v>
      </c>
      <c r="B31" t="s">
        <v>49</v>
      </c>
      <c r="C31">
        <v>18</v>
      </c>
      <c r="D31">
        <v>7.3</v>
      </c>
      <c r="E31">
        <v>35</v>
      </c>
      <c r="F31">
        <v>1</v>
      </c>
      <c r="G31" s="1">
        <v>45345.281157407408</v>
      </c>
      <c r="H31" s="19">
        <v>606.81020000000001</v>
      </c>
      <c r="I31" s="20">
        <v>20.78</v>
      </c>
      <c r="J31" s="20">
        <v>98.16</v>
      </c>
      <c r="K31" s="20">
        <v>2.41</v>
      </c>
      <c r="L31" s="20">
        <v>303</v>
      </c>
      <c r="M31" s="20">
        <v>35.4</v>
      </c>
      <c r="N31" s="20">
        <v>0.73</v>
      </c>
      <c r="O31" s="20">
        <v>7.06</v>
      </c>
      <c r="P31" s="30">
        <v>1.01</v>
      </c>
      <c r="Q31" s="31">
        <v>2.13</v>
      </c>
      <c r="R31" s="31">
        <v>0.04</v>
      </c>
      <c r="S31" s="31">
        <v>198.51</v>
      </c>
      <c r="T31" s="31">
        <v>16.350000000000001</v>
      </c>
      <c r="U31" s="32">
        <f t="shared" si="11"/>
        <v>1.7700000000000014</v>
      </c>
      <c r="V31" s="32">
        <f t="shared" si="1"/>
        <v>5.0499999999999998E-3</v>
      </c>
      <c r="W31" s="32">
        <f t="shared" si="7"/>
        <v>5.0879048914412375E-3</v>
      </c>
      <c r="X31" s="32">
        <f t="shared" si="8"/>
        <v>1.0729938038385976E-2</v>
      </c>
      <c r="Y31" s="33">
        <f t="shared" si="9"/>
        <v>0.48</v>
      </c>
      <c r="Z31" s="20">
        <v>34</v>
      </c>
      <c r="AA31" s="20">
        <v>7.2</v>
      </c>
      <c r="AB31" s="20">
        <v>50</v>
      </c>
      <c r="AC31" s="31">
        <v>2.9999999999999997E-4</v>
      </c>
      <c r="AD31" s="31">
        <f t="shared" si="2"/>
        <v>7.4250680399999991E-2</v>
      </c>
      <c r="AE31" s="31">
        <f t="shared" si="10"/>
        <v>1.0275903648</v>
      </c>
      <c r="AF31" s="61">
        <v>200</v>
      </c>
      <c r="AG31" s="30">
        <v>8.7523644889133997E-3</v>
      </c>
      <c r="AH31" s="31"/>
      <c r="AI31" s="31"/>
      <c r="AJ31" s="32">
        <f t="shared" si="3"/>
        <v>7.2936370740945E-2</v>
      </c>
      <c r="AK31" s="32">
        <f t="shared" si="4"/>
        <v>0</v>
      </c>
      <c r="AL31" s="33">
        <f t="shared" si="5"/>
        <v>0</v>
      </c>
      <c r="AM31" s="34">
        <f t="shared" si="6"/>
        <v>7.2936370740945E-2</v>
      </c>
    </row>
    <row r="32" spans="1:39" x14ac:dyDescent="0.25">
      <c r="A32" s="2" t="s">
        <v>53</v>
      </c>
      <c r="B32" t="s">
        <v>49</v>
      </c>
      <c r="C32">
        <v>12</v>
      </c>
      <c r="D32">
        <v>7.3</v>
      </c>
      <c r="E32">
        <v>35</v>
      </c>
      <c r="F32">
        <v>1</v>
      </c>
      <c r="G32" s="1">
        <v>45345.285868055558</v>
      </c>
      <c r="H32" s="19">
        <v>419.69819999999999</v>
      </c>
      <c r="I32" s="20">
        <v>14.32</v>
      </c>
      <c r="J32" s="20">
        <v>98.08</v>
      </c>
      <c r="K32" s="20">
        <v>2.15</v>
      </c>
      <c r="L32" s="20">
        <v>319</v>
      </c>
      <c r="M32" s="20">
        <v>41.2</v>
      </c>
      <c r="N32" s="20">
        <v>2.81</v>
      </c>
      <c r="O32" s="20">
        <v>7.07</v>
      </c>
      <c r="P32" s="30">
        <v>0.61</v>
      </c>
      <c r="Q32" s="31">
        <v>1.0900000000000001</v>
      </c>
      <c r="R32" s="31">
        <v>0.02</v>
      </c>
      <c r="S32" s="31">
        <v>196.42</v>
      </c>
      <c r="T32" s="31">
        <v>5.15</v>
      </c>
      <c r="U32" s="32">
        <f t="shared" si="11"/>
        <v>2.5700000000000003</v>
      </c>
      <c r="V32" s="32">
        <f t="shared" si="1"/>
        <v>3.0499999999999998E-3</v>
      </c>
      <c r="W32" s="32">
        <f t="shared" si="7"/>
        <v>3.1055900621118015E-3</v>
      </c>
      <c r="X32" s="32">
        <f t="shared" si="8"/>
        <v>5.5493330618063344E-3</v>
      </c>
      <c r="Y32" s="33">
        <f t="shared" si="9"/>
        <v>0.24</v>
      </c>
      <c r="Z32" s="20">
        <v>34</v>
      </c>
      <c r="AA32" s="20">
        <v>7.2</v>
      </c>
      <c r="AB32" s="20">
        <v>50</v>
      </c>
      <c r="AC32" s="31">
        <v>2.9999999999999997E-4</v>
      </c>
      <c r="AD32" s="31">
        <f t="shared" si="2"/>
        <v>5.0629219199999992E-2</v>
      </c>
      <c r="AE32" s="31">
        <f t="shared" si="10"/>
        <v>0.63637811999999983</v>
      </c>
      <c r="AF32" s="61">
        <v>200</v>
      </c>
      <c r="AG32" s="30">
        <v>1.10869313908408E-2</v>
      </c>
      <c r="AH32" s="31"/>
      <c r="AI32" s="31"/>
      <c r="AJ32" s="32">
        <f t="shared" si="3"/>
        <v>9.2391094923673325E-2</v>
      </c>
      <c r="AK32" s="32">
        <f t="shared" si="4"/>
        <v>0</v>
      </c>
      <c r="AL32" s="33">
        <f t="shared" si="5"/>
        <v>0</v>
      </c>
      <c r="AM32" s="34">
        <f t="shared" si="6"/>
        <v>9.2391094923673325E-2</v>
      </c>
    </row>
    <row r="33" spans="1:39" x14ac:dyDescent="0.25">
      <c r="A33" s="2" t="s">
        <v>54</v>
      </c>
      <c r="B33" t="s">
        <v>46</v>
      </c>
      <c r="C33">
        <v>18</v>
      </c>
      <c r="D33">
        <v>7.3</v>
      </c>
      <c r="E33">
        <v>35</v>
      </c>
      <c r="F33">
        <v>1</v>
      </c>
      <c r="G33" s="1">
        <v>45345.290601851855</v>
      </c>
      <c r="H33" s="19">
        <v>620.04719999999998</v>
      </c>
      <c r="I33" s="20">
        <v>20.48</v>
      </c>
      <c r="J33" s="20">
        <v>98.96</v>
      </c>
      <c r="K33" s="20">
        <v>2.4900000000000002</v>
      </c>
      <c r="L33" s="20">
        <v>305</v>
      </c>
      <c r="M33" s="20">
        <v>36.200000000000003</v>
      </c>
      <c r="N33" s="20">
        <v>0.62</v>
      </c>
      <c r="O33" s="20">
        <v>7.08</v>
      </c>
      <c r="P33" s="30">
        <v>0.95</v>
      </c>
      <c r="Q33" s="31">
        <v>1.41</v>
      </c>
      <c r="R33" s="31">
        <v>0</v>
      </c>
      <c r="S33" s="31">
        <v>197.23</v>
      </c>
      <c r="T33" s="31">
        <v>16.350000000000001</v>
      </c>
      <c r="U33" s="32">
        <f t="shared" si="11"/>
        <v>1.7700000000000014</v>
      </c>
      <c r="V33" s="32">
        <f t="shared" si="1"/>
        <v>4.7499999999999999E-3</v>
      </c>
      <c r="W33" s="32">
        <f t="shared" si="7"/>
        <v>4.8167114536328149E-3</v>
      </c>
      <c r="X33" s="32">
        <f t="shared" si="8"/>
        <v>7.1490138417076507E-3</v>
      </c>
      <c r="Y33" s="33">
        <f t="shared" si="9"/>
        <v>0</v>
      </c>
      <c r="Z33" s="20">
        <v>34</v>
      </c>
      <c r="AA33" s="20">
        <v>7.2</v>
      </c>
      <c r="AB33" s="20">
        <v>50</v>
      </c>
      <c r="AC33" s="31">
        <v>2.9999999999999997E-4</v>
      </c>
      <c r="AD33" s="31">
        <f t="shared" si="2"/>
        <v>7.2706867199999983E-2</v>
      </c>
      <c r="AE33" s="31">
        <f t="shared" si="10"/>
        <v>1.0276944983999998</v>
      </c>
      <c r="AF33" s="61">
        <v>200</v>
      </c>
      <c r="AG33" s="30">
        <v>8.6511974469279992E-3</v>
      </c>
      <c r="AH33" s="31">
        <v>9.9999999999999995E-8</v>
      </c>
      <c r="AI33" s="31">
        <v>2.1541106031525798E-3</v>
      </c>
      <c r="AJ33" s="32">
        <f t="shared" si="3"/>
        <v>0</v>
      </c>
      <c r="AK33" s="32">
        <f t="shared" si="4"/>
        <v>8.2179166666666656E-7</v>
      </c>
      <c r="AL33" s="33">
        <f t="shared" si="5"/>
        <v>0.42485523425978328</v>
      </c>
      <c r="AM33" s="34">
        <f t="shared" si="6"/>
        <v>8.2179166666666656E-7</v>
      </c>
    </row>
    <row r="34" spans="1:39" x14ac:dyDescent="0.25">
      <c r="A34" s="2" t="s">
        <v>55</v>
      </c>
      <c r="B34" t="s">
        <v>51</v>
      </c>
      <c r="C34">
        <v>15</v>
      </c>
      <c r="D34">
        <v>7.2</v>
      </c>
      <c r="E34">
        <v>34</v>
      </c>
      <c r="F34">
        <v>1</v>
      </c>
      <c r="G34" s="1">
        <v>45345.295300925929</v>
      </c>
      <c r="H34" s="19">
        <v>520.03769999999997</v>
      </c>
      <c r="I34" s="20">
        <v>15.86</v>
      </c>
      <c r="J34" s="20">
        <v>97.95</v>
      </c>
      <c r="K34" s="20">
        <v>2.4500000000000002</v>
      </c>
      <c r="L34" s="20">
        <v>310</v>
      </c>
      <c r="M34" s="20">
        <v>32.6</v>
      </c>
      <c r="N34" s="20">
        <v>1.49</v>
      </c>
      <c r="O34" s="20">
        <v>7.06</v>
      </c>
      <c r="P34" s="30">
        <v>0.85</v>
      </c>
      <c r="Q34" s="31">
        <v>1.75</v>
      </c>
      <c r="R34" s="31">
        <v>0.06</v>
      </c>
      <c r="S34" s="31">
        <v>198.25</v>
      </c>
      <c r="T34" s="31">
        <v>4.3499999999999996</v>
      </c>
      <c r="U34" s="32">
        <f t="shared" si="11"/>
        <v>1.7699999999999996</v>
      </c>
      <c r="V34" s="32">
        <f t="shared" si="1"/>
        <v>4.2500000000000003E-3</v>
      </c>
      <c r="W34" s="32">
        <f t="shared" si="7"/>
        <v>4.287515762925599E-3</v>
      </c>
      <c r="X34" s="32">
        <f t="shared" si="8"/>
        <v>8.8272383354350576E-3</v>
      </c>
      <c r="Y34" s="33">
        <f t="shared" si="9"/>
        <v>0.72</v>
      </c>
      <c r="Z34" s="20">
        <v>34</v>
      </c>
      <c r="AA34" s="20">
        <v>7.2</v>
      </c>
      <c r="AB34" s="20">
        <v>50</v>
      </c>
      <c r="AC34" s="31">
        <v>2.9999999999999997E-4</v>
      </c>
      <c r="AD34" s="31">
        <f t="shared" si="2"/>
        <v>5.6596409999999993E-2</v>
      </c>
      <c r="AE34" s="31">
        <f t="shared" si="10"/>
        <v>0.86201742240000001</v>
      </c>
      <c r="AF34" s="61">
        <v>200</v>
      </c>
      <c r="AG34" s="30">
        <v>1.0622238469192601E-2</v>
      </c>
      <c r="AH34" s="31"/>
      <c r="AI34" s="31"/>
      <c r="AJ34" s="32">
        <f t="shared" si="3"/>
        <v>0</v>
      </c>
      <c r="AK34" s="32">
        <f t="shared" si="4"/>
        <v>0</v>
      </c>
      <c r="AL34" s="33">
        <f t="shared" si="5"/>
        <v>0</v>
      </c>
      <c r="AM34" s="34">
        <f t="shared" si="6"/>
        <v>0</v>
      </c>
    </row>
    <row r="35" spans="1:39" x14ac:dyDescent="0.25">
      <c r="A35" s="2" t="s">
        <v>56</v>
      </c>
      <c r="B35" t="s">
        <v>49</v>
      </c>
      <c r="C35">
        <v>18</v>
      </c>
      <c r="D35">
        <v>7.1</v>
      </c>
      <c r="E35">
        <v>32.999999999999993</v>
      </c>
      <c r="F35">
        <v>1</v>
      </c>
      <c r="G35" s="1">
        <v>45345.300451388888</v>
      </c>
      <c r="H35" s="19">
        <v>609.16030000000001</v>
      </c>
      <c r="I35" s="20">
        <v>20.49</v>
      </c>
      <c r="J35" s="20">
        <v>98.46</v>
      </c>
      <c r="K35" s="20">
        <v>2.5</v>
      </c>
      <c r="L35" s="20">
        <v>304</v>
      </c>
      <c r="M35" s="20">
        <v>32.1</v>
      </c>
      <c r="N35" s="20">
        <v>0.54</v>
      </c>
      <c r="O35" s="20">
        <v>7.07</v>
      </c>
      <c r="P35" s="30">
        <v>0.97</v>
      </c>
      <c r="Q35" s="31">
        <v>2.23</v>
      </c>
      <c r="R35" s="31">
        <v>0.04</v>
      </c>
      <c r="S35" s="31">
        <v>199.27</v>
      </c>
      <c r="T35" s="31">
        <v>15.55</v>
      </c>
      <c r="U35" s="32">
        <f t="shared" si="11"/>
        <v>1.7700000000000014</v>
      </c>
      <c r="V35" s="32">
        <f t="shared" si="1"/>
        <v>4.8500000000000001E-3</v>
      </c>
      <c r="W35" s="32">
        <f t="shared" si="7"/>
        <v>4.8677673508305307E-3</v>
      </c>
      <c r="X35" s="32">
        <f t="shared" si="8"/>
        <v>1.1190846590053696E-2</v>
      </c>
      <c r="Y35" s="33">
        <f t="shared" si="9"/>
        <v>0.48</v>
      </c>
      <c r="Z35" s="20">
        <v>34</v>
      </c>
      <c r="AA35" s="20">
        <v>7.2</v>
      </c>
      <c r="AB35" s="20">
        <v>50</v>
      </c>
      <c r="AC35" s="31">
        <v>2.9999999999999997E-4</v>
      </c>
      <c r="AD35" s="31">
        <f t="shared" si="2"/>
        <v>7.3494761399999983E-2</v>
      </c>
      <c r="AE35" s="31">
        <f t="shared" si="10"/>
        <v>0.99551105999999989</v>
      </c>
      <c r="AF35" s="61">
        <v>200</v>
      </c>
      <c r="AG35" s="30">
        <v>8.4191606790610992E-3</v>
      </c>
      <c r="AH35" s="31"/>
      <c r="AI35" s="31"/>
      <c r="AJ35" s="32">
        <f t="shared" si="3"/>
        <v>7.0159672325509168E-2</v>
      </c>
      <c r="AK35" s="32">
        <f t="shared" si="4"/>
        <v>0</v>
      </c>
      <c r="AL35" s="33">
        <f t="shared" si="5"/>
        <v>0</v>
      </c>
      <c r="AM35" s="34">
        <f t="shared" si="6"/>
        <v>7.0159672325509168E-2</v>
      </c>
    </row>
    <row r="36" spans="1:39" x14ac:dyDescent="0.25">
      <c r="A36" s="2" t="s">
        <v>57</v>
      </c>
      <c r="B36" t="s">
        <v>46</v>
      </c>
      <c r="C36">
        <v>18</v>
      </c>
      <c r="D36">
        <v>7.2</v>
      </c>
      <c r="E36">
        <v>34</v>
      </c>
      <c r="F36">
        <v>1</v>
      </c>
      <c r="G36" s="1">
        <v>45345.305173611108</v>
      </c>
      <c r="H36" s="19">
        <v>603.48019999999997</v>
      </c>
      <c r="I36" s="20">
        <v>20.05</v>
      </c>
      <c r="J36" s="20">
        <v>98.06</v>
      </c>
      <c r="K36" s="20">
        <v>2.58</v>
      </c>
      <c r="L36" s="20">
        <v>306</v>
      </c>
      <c r="M36" s="20">
        <v>32</v>
      </c>
      <c r="N36" s="20">
        <v>0.56000000000000005</v>
      </c>
      <c r="O36" s="20">
        <v>7.08</v>
      </c>
      <c r="P36" s="30">
        <v>0.96</v>
      </c>
      <c r="Q36" s="31">
        <v>0.59</v>
      </c>
      <c r="R36" s="31">
        <v>0</v>
      </c>
      <c r="S36" s="31">
        <v>197.12</v>
      </c>
      <c r="T36" s="31">
        <v>15.55</v>
      </c>
      <c r="U36" s="32">
        <f t="shared" si="11"/>
        <v>1.7700000000000014</v>
      </c>
      <c r="V36" s="32">
        <f t="shared" si="1"/>
        <v>4.7999999999999996E-3</v>
      </c>
      <c r="W36" s="32">
        <f t="shared" si="7"/>
        <v>4.87012987012987E-3</v>
      </c>
      <c r="X36" s="32">
        <f t="shared" si="8"/>
        <v>2.993100649350649E-3</v>
      </c>
      <c r="Y36" s="33">
        <f t="shared" si="9"/>
        <v>0</v>
      </c>
      <c r="Z36" s="20">
        <v>34</v>
      </c>
      <c r="AA36" s="20">
        <v>7.2</v>
      </c>
      <c r="AB36" s="20">
        <v>50</v>
      </c>
      <c r="AC36" s="31">
        <v>2.9999999999999997E-4</v>
      </c>
      <c r="AD36" s="31">
        <f t="shared" si="2"/>
        <v>7.1140607999999994E-2</v>
      </c>
      <c r="AE36" s="31">
        <f t="shared" si="10"/>
        <v>1.0525664555999998</v>
      </c>
      <c r="AF36" s="61">
        <v>200</v>
      </c>
      <c r="AG36" s="30">
        <v>9.1347702144707991E-3</v>
      </c>
      <c r="AH36" s="31">
        <v>7.0153062831656903E-4</v>
      </c>
      <c r="AI36" s="31">
        <v>1.2999999999999999E-3</v>
      </c>
      <c r="AJ36" s="32">
        <f t="shared" si="3"/>
        <v>0</v>
      </c>
      <c r="AK36" s="32">
        <f t="shared" si="4"/>
        <v>5.7619048939067533E-3</v>
      </c>
      <c r="AL36" s="33">
        <f t="shared" si="5"/>
        <v>0.25625599999999998</v>
      </c>
      <c r="AM36" s="34">
        <f t="shared" si="6"/>
        <v>5.7619048939067533E-3</v>
      </c>
    </row>
    <row r="37" spans="1:39" x14ac:dyDescent="0.25">
      <c r="A37" s="2" t="s">
        <v>58</v>
      </c>
      <c r="B37" t="s">
        <v>51</v>
      </c>
      <c r="C37">
        <v>18</v>
      </c>
      <c r="D37">
        <v>7.1</v>
      </c>
      <c r="E37">
        <v>32.999999999999993</v>
      </c>
      <c r="F37">
        <v>1</v>
      </c>
      <c r="G37" s="1">
        <v>45345.309907407405</v>
      </c>
      <c r="H37" s="19">
        <v>597.38480000000004</v>
      </c>
      <c r="I37" s="20">
        <v>19.2</v>
      </c>
      <c r="J37" s="20">
        <v>98.26</v>
      </c>
      <c r="K37" s="20">
        <v>2.29</v>
      </c>
      <c r="L37" s="20">
        <v>300</v>
      </c>
      <c r="M37" s="20">
        <v>31.7</v>
      </c>
      <c r="N37" s="20">
        <v>0.84</v>
      </c>
      <c r="O37" s="20">
        <v>7.06</v>
      </c>
      <c r="P37" s="30">
        <v>1</v>
      </c>
      <c r="Q37" s="31">
        <v>2.14</v>
      </c>
      <c r="R37" s="31">
        <v>7.0000000000000007E-2</v>
      </c>
      <c r="S37" s="31">
        <v>205.56</v>
      </c>
      <c r="T37" s="31">
        <v>15.55</v>
      </c>
      <c r="U37" s="32">
        <f t="shared" si="11"/>
        <v>1.7700000000000014</v>
      </c>
      <c r="V37" s="32">
        <f t="shared" si="1"/>
        <v>5.0000000000000001E-3</v>
      </c>
      <c r="W37" s="32">
        <f t="shared" si="7"/>
        <v>4.864759680871765E-3</v>
      </c>
      <c r="X37" s="32">
        <f t="shared" si="8"/>
        <v>1.0410585717065577E-2</v>
      </c>
      <c r="Y37" s="33">
        <f t="shared" si="9"/>
        <v>0.84000000000000008</v>
      </c>
      <c r="Z37" s="20">
        <v>34</v>
      </c>
      <c r="AA37" s="20">
        <v>7.2</v>
      </c>
      <c r="AB37" s="20">
        <v>50</v>
      </c>
      <c r="AC37" s="31">
        <v>2.9999999999999997E-4</v>
      </c>
      <c r="AD37" s="31">
        <f t="shared" si="2"/>
        <v>7.1041536000000002E-2</v>
      </c>
      <c r="AE37" s="31">
        <f t="shared" si="10"/>
        <v>0.97920614880000001</v>
      </c>
      <c r="AF37" s="61">
        <v>200</v>
      </c>
      <c r="AG37" s="30">
        <v>9.0153224721133997E-3</v>
      </c>
      <c r="AH37" s="31"/>
      <c r="AI37" s="31"/>
      <c r="AJ37" s="32">
        <f t="shared" si="3"/>
        <v>0</v>
      </c>
      <c r="AK37" s="32">
        <f t="shared" si="4"/>
        <v>0</v>
      </c>
      <c r="AL37" s="33">
        <f t="shared" si="5"/>
        <v>0</v>
      </c>
      <c r="AM37" s="34">
        <f t="shared" si="6"/>
        <v>0</v>
      </c>
    </row>
    <row r="38" spans="1:39" x14ac:dyDescent="0.25">
      <c r="A38" s="2" t="s">
        <v>59</v>
      </c>
      <c r="B38" t="s">
        <v>46</v>
      </c>
      <c r="C38">
        <v>15</v>
      </c>
      <c r="D38">
        <v>7.1</v>
      </c>
      <c r="E38">
        <v>32.999999999999993</v>
      </c>
      <c r="F38">
        <v>1</v>
      </c>
      <c r="G38" s="1">
        <v>45345.314664351848</v>
      </c>
      <c r="H38" s="19">
        <v>510.31060000000002</v>
      </c>
      <c r="I38" s="20">
        <v>18.36</v>
      </c>
      <c r="J38" s="20">
        <v>98.09</v>
      </c>
      <c r="K38" s="20">
        <v>2.46</v>
      </c>
      <c r="L38" s="20">
        <v>314</v>
      </c>
      <c r="M38" s="20">
        <v>40.799999999999997</v>
      </c>
      <c r="N38" s="20">
        <v>1.45</v>
      </c>
      <c r="O38" s="20">
        <v>7.08</v>
      </c>
      <c r="P38" s="30">
        <v>0.78</v>
      </c>
      <c r="Q38" s="31">
        <v>1.44</v>
      </c>
      <c r="R38" s="31">
        <v>0</v>
      </c>
      <c r="S38" s="31">
        <v>198.39</v>
      </c>
      <c r="T38" s="31">
        <v>3.55</v>
      </c>
      <c r="U38" s="32">
        <f t="shared" si="11"/>
        <v>1.7699999999999998</v>
      </c>
      <c r="V38" s="32">
        <f t="shared" si="1"/>
        <v>3.9000000000000003E-3</v>
      </c>
      <c r="W38" s="32">
        <f t="shared" si="7"/>
        <v>3.9316497807349166E-3</v>
      </c>
      <c r="X38" s="32">
        <f t="shared" si="8"/>
        <v>7.2584303644336913E-3</v>
      </c>
      <c r="Y38" s="33">
        <f t="shared" si="9"/>
        <v>0</v>
      </c>
      <c r="Z38" s="20">
        <v>34</v>
      </c>
      <c r="AA38" s="20">
        <v>7.2</v>
      </c>
      <c r="AB38" s="20">
        <v>50</v>
      </c>
      <c r="AC38" s="31">
        <v>2.9999999999999997E-4</v>
      </c>
      <c r="AD38" s="31">
        <f t="shared" si="2"/>
        <v>6.5563927199999983E-2</v>
      </c>
      <c r="AE38" s="31">
        <f t="shared" si="10"/>
        <v>0.83661825239999976</v>
      </c>
      <c r="AF38" s="61">
        <v>200</v>
      </c>
      <c r="AG38" s="30">
        <v>9.6253938650755991E-3</v>
      </c>
      <c r="AH38" s="31">
        <v>9.9999999999999995E-8</v>
      </c>
      <c r="AI38" s="31">
        <v>1.58662398356791E-3</v>
      </c>
      <c r="AJ38" s="32">
        <f t="shared" si="3"/>
        <v>0</v>
      </c>
      <c r="AK38" s="32">
        <f t="shared" si="4"/>
        <v>8.266249999999999E-7</v>
      </c>
      <c r="AL38" s="33">
        <f t="shared" si="5"/>
        <v>0.31477033210003763</v>
      </c>
      <c r="AM38" s="34">
        <f t="shared" si="6"/>
        <v>8.266249999999999E-7</v>
      </c>
    </row>
    <row r="39" spans="1:39" x14ac:dyDescent="0.25">
      <c r="A39" s="2" t="s">
        <v>60</v>
      </c>
      <c r="B39" t="s">
        <v>49</v>
      </c>
      <c r="C39">
        <v>15</v>
      </c>
      <c r="D39">
        <v>7.1</v>
      </c>
      <c r="E39">
        <v>32.999999999999993</v>
      </c>
      <c r="F39">
        <v>1</v>
      </c>
      <c r="G39" s="1">
        <v>45345.319421296299</v>
      </c>
      <c r="H39" s="19">
        <v>507.12779999999998</v>
      </c>
      <c r="I39" s="20">
        <v>16.309999999999999</v>
      </c>
      <c r="J39" s="20">
        <v>98.22</v>
      </c>
      <c r="K39" s="20">
        <v>2.38</v>
      </c>
      <c r="L39" s="20">
        <v>307</v>
      </c>
      <c r="M39" s="20">
        <v>32.799999999999997</v>
      </c>
      <c r="N39" s="20">
        <v>1.51</v>
      </c>
      <c r="O39" s="20">
        <v>7.06</v>
      </c>
      <c r="P39" s="30">
        <v>0.85</v>
      </c>
      <c r="Q39" s="31">
        <v>1.75</v>
      </c>
      <c r="R39" s="31">
        <v>0.04</v>
      </c>
      <c r="S39" s="31">
        <v>198.86</v>
      </c>
      <c r="T39" s="31">
        <v>3.55</v>
      </c>
      <c r="U39" s="32">
        <f t="shared" si="11"/>
        <v>1.7699999999999998</v>
      </c>
      <c r="V39" s="32">
        <f t="shared" si="1"/>
        <v>4.2500000000000003E-3</v>
      </c>
      <c r="W39" s="32">
        <f t="shared" si="7"/>
        <v>4.2743638740822681E-3</v>
      </c>
      <c r="X39" s="32">
        <f t="shared" si="8"/>
        <v>8.800160917228201E-3</v>
      </c>
      <c r="Y39" s="33">
        <f t="shared" si="9"/>
        <v>0.48</v>
      </c>
      <c r="Z39" s="20">
        <v>34</v>
      </c>
      <c r="AA39" s="20">
        <v>7.2</v>
      </c>
      <c r="AB39" s="20">
        <v>50</v>
      </c>
      <c r="AC39" s="31">
        <v>2.9999999999999997E-4</v>
      </c>
      <c r="AD39" s="31">
        <f t="shared" si="2"/>
        <v>5.8381318799999991E-2</v>
      </c>
      <c r="AE39" s="31">
        <f t="shared" si="10"/>
        <v>0.87317222399999983</v>
      </c>
      <c r="AF39" s="61">
        <v>200</v>
      </c>
      <c r="AG39" s="30">
        <v>1.00032422815105E-2</v>
      </c>
      <c r="AH39" s="31"/>
      <c r="AI39" s="31"/>
      <c r="AJ39" s="32">
        <f t="shared" si="3"/>
        <v>8.3360352345920832E-2</v>
      </c>
      <c r="AK39" s="32">
        <f t="shared" si="4"/>
        <v>0</v>
      </c>
      <c r="AL39" s="33">
        <f t="shared" si="5"/>
        <v>0</v>
      </c>
      <c r="AM39" s="34">
        <f t="shared" si="6"/>
        <v>8.3360352345920832E-2</v>
      </c>
    </row>
    <row r="40" spans="1:39" x14ac:dyDescent="0.25">
      <c r="A40" s="2" t="s">
        <v>61</v>
      </c>
      <c r="B40" t="s">
        <v>46</v>
      </c>
      <c r="C40">
        <v>15</v>
      </c>
      <c r="D40">
        <v>7.3</v>
      </c>
      <c r="E40">
        <v>35</v>
      </c>
      <c r="F40">
        <v>1</v>
      </c>
      <c r="G40" s="1">
        <v>45345.324178240742</v>
      </c>
      <c r="H40" s="19">
        <v>529.27189999999996</v>
      </c>
      <c r="I40" s="20">
        <v>16.91</v>
      </c>
      <c r="J40" s="20">
        <v>98.35</v>
      </c>
      <c r="K40" s="20">
        <v>2.33</v>
      </c>
      <c r="L40" s="22">
        <v>310</v>
      </c>
      <c r="M40" s="20">
        <v>37</v>
      </c>
      <c r="N40" s="20">
        <v>1.49</v>
      </c>
      <c r="O40" s="20">
        <v>7.07</v>
      </c>
      <c r="P40" s="30">
        <v>0.74</v>
      </c>
      <c r="Q40" s="31">
        <v>0.42</v>
      </c>
      <c r="R40" s="31">
        <v>0</v>
      </c>
      <c r="S40" s="31">
        <v>196.96</v>
      </c>
      <c r="T40" s="31">
        <v>3.55</v>
      </c>
      <c r="U40" s="32">
        <f t="shared" si="11"/>
        <v>1.7699999999999998</v>
      </c>
      <c r="V40" s="32">
        <f t="shared" si="1"/>
        <v>3.7000000000000002E-3</v>
      </c>
      <c r="W40" s="32">
        <f t="shared" si="7"/>
        <v>3.7571080422420795E-3</v>
      </c>
      <c r="X40" s="32">
        <f t="shared" si="8"/>
        <v>2.132412672623883E-3</v>
      </c>
      <c r="Y40" s="33">
        <f t="shared" si="9"/>
        <v>0</v>
      </c>
      <c r="Z40" s="20">
        <v>34</v>
      </c>
      <c r="AA40" s="20">
        <v>7.2</v>
      </c>
      <c r="AB40" s="20">
        <v>50</v>
      </c>
      <c r="AC40" s="31">
        <v>2.9999999999999997E-4</v>
      </c>
      <c r="AD40" s="31">
        <f t="shared" si="2"/>
        <v>5.9950684799999994E-2</v>
      </c>
      <c r="AE40" s="31">
        <f t="shared" si="10"/>
        <v>0.80579885399999984</v>
      </c>
      <c r="AF40" s="61">
        <v>200</v>
      </c>
      <c r="AG40" s="30">
        <v>9.8719387327341999E-3</v>
      </c>
      <c r="AH40" s="31">
        <v>1.41978956538285E-3</v>
      </c>
      <c r="AI40" s="31">
        <v>1.2999999999999999E-3</v>
      </c>
      <c r="AJ40" s="32">
        <f t="shared" si="3"/>
        <v>0</v>
      </c>
      <c r="AK40" s="32">
        <f t="shared" si="4"/>
        <v>1.1651739699908589E-2</v>
      </c>
      <c r="AL40" s="33">
        <f t="shared" si="5"/>
        <v>0.256048</v>
      </c>
      <c r="AM40" s="34">
        <f t="shared" si="6"/>
        <v>1.1651739699908589E-2</v>
      </c>
    </row>
    <row r="41" spans="1:39" x14ac:dyDescent="0.25">
      <c r="A41" s="2" t="s">
        <v>62</v>
      </c>
      <c r="B41" t="s">
        <v>49</v>
      </c>
      <c r="C41">
        <v>18</v>
      </c>
      <c r="D41">
        <v>7.2</v>
      </c>
      <c r="E41">
        <v>34</v>
      </c>
      <c r="F41">
        <v>1</v>
      </c>
      <c r="G41" s="1">
        <v>45345.328935185185</v>
      </c>
      <c r="H41" s="19">
        <v>589.55160000000001</v>
      </c>
      <c r="I41" s="20">
        <v>19.25</v>
      </c>
      <c r="J41" s="20">
        <v>98.06</v>
      </c>
      <c r="K41" s="20">
        <v>2.4500000000000002</v>
      </c>
      <c r="L41" s="20">
        <v>305</v>
      </c>
      <c r="M41" s="20">
        <v>33.200000000000003</v>
      </c>
      <c r="N41" s="20">
        <v>0.68</v>
      </c>
      <c r="O41" s="20">
        <v>7.09</v>
      </c>
      <c r="P41" s="30">
        <v>1.02</v>
      </c>
      <c r="Q41" s="31">
        <v>2.16</v>
      </c>
      <c r="R41" s="31">
        <v>0.05</v>
      </c>
      <c r="S41" s="31">
        <v>199.33</v>
      </c>
      <c r="T41" s="31">
        <v>15.55</v>
      </c>
      <c r="U41" s="32">
        <f t="shared" si="11"/>
        <v>1.7700000000000014</v>
      </c>
      <c r="V41" s="32">
        <f t="shared" si="1"/>
        <v>5.1000000000000004E-3</v>
      </c>
      <c r="W41" s="32">
        <f t="shared" si="7"/>
        <v>5.1171424271308878E-3</v>
      </c>
      <c r="X41" s="32">
        <f t="shared" si="8"/>
        <v>1.0836301610394823E-2</v>
      </c>
      <c r="Y41" s="33">
        <f t="shared" si="9"/>
        <v>0.60000000000000009</v>
      </c>
      <c r="Z41" s="20">
        <v>34</v>
      </c>
      <c r="AA41" s="20">
        <v>7.2</v>
      </c>
      <c r="AB41" s="20">
        <v>50</v>
      </c>
      <c r="AC41" s="31">
        <v>2.9999999999999997E-4</v>
      </c>
      <c r="AD41" s="31">
        <f t="shared" si="2"/>
        <v>6.9067845000000003E-2</v>
      </c>
      <c r="AE41" s="31">
        <f t="shared" si="10"/>
        <v>1.0701699912</v>
      </c>
      <c r="AF41" s="61">
        <v>200</v>
      </c>
      <c r="AG41" s="30">
        <v>9.3682472152877005E-3</v>
      </c>
      <c r="AH41" s="31"/>
      <c r="AI41" s="31"/>
      <c r="AJ41" s="32">
        <f t="shared" si="3"/>
        <v>7.8068726794064167E-2</v>
      </c>
      <c r="AK41" s="32">
        <f t="shared" si="4"/>
        <v>0</v>
      </c>
      <c r="AL41" s="33">
        <f t="shared" si="5"/>
        <v>0</v>
      </c>
      <c r="AM41" s="34">
        <f t="shared" si="6"/>
        <v>7.8068726794064167E-2</v>
      </c>
    </row>
    <row r="42" spans="1:39" x14ac:dyDescent="0.25">
      <c r="A42" s="2" t="s">
        <v>63</v>
      </c>
      <c r="B42" t="s">
        <v>51</v>
      </c>
      <c r="C42">
        <v>12</v>
      </c>
      <c r="D42">
        <v>7.1</v>
      </c>
      <c r="E42">
        <v>32.999999999999993</v>
      </c>
      <c r="F42">
        <v>1</v>
      </c>
      <c r="G42" s="1">
        <v>45345.34034722222</v>
      </c>
      <c r="H42" s="19">
        <v>422.70150000000001</v>
      </c>
      <c r="I42" s="20">
        <v>14.96</v>
      </c>
      <c r="J42" s="20">
        <v>98.8</v>
      </c>
      <c r="K42" s="20">
        <v>2.31</v>
      </c>
      <c r="L42" s="20">
        <v>320</v>
      </c>
      <c r="M42" s="20">
        <v>37.5</v>
      </c>
      <c r="N42" s="20">
        <v>2.6</v>
      </c>
      <c r="O42" s="20">
        <v>7.08</v>
      </c>
      <c r="P42" s="30">
        <v>0.75</v>
      </c>
      <c r="Q42" s="31">
        <v>1.2</v>
      </c>
      <c r="R42" s="31">
        <v>0.05</v>
      </c>
      <c r="S42" s="31">
        <v>197.54</v>
      </c>
      <c r="T42" s="31">
        <v>4.3499999999999996</v>
      </c>
      <c r="U42" s="32">
        <f t="shared" si="11"/>
        <v>2.5699999999999994</v>
      </c>
      <c r="V42" s="32">
        <f t="shared" si="1"/>
        <v>3.7499999999999999E-3</v>
      </c>
      <c r="W42" s="32">
        <f t="shared" si="7"/>
        <v>3.7966994026526276E-3</v>
      </c>
      <c r="X42" s="32">
        <f t="shared" si="8"/>
        <v>6.0747190442442039E-3</v>
      </c>
      <c r="Y42" s="33">
        <f t="shared" si="9"/>
        <v>0.60000000000000009</v>
      </c>
      <c r="Z42" s="20">
        <v>34</v>
      </c>
      <c r="AA42" s="20">
        <v>7.2</v>
      </c>
      <c r="AB42" s="20">
        <v>50</v>
      </c>
      <c r="AC42" s="31">
        <v>2.9999999999999997E-4</v>
      </c>
      <c r="AD42" s="31">
        <f t="shared" si="2"/>
        <v>5.3193571199999991E-2</v>
      </c>
      <c r="AE42" s="31">
        <f t="shared" si="10"/>
        <v>0.77702327999999987</v>
      </c>
      <c r="AF42" s="61">
        <v>200</v>
      </c>
      <c r="AG42" s="30">
        <v>1.0425484860195299E-2</v>
      </c>
      <c r="AH42" s="31"/>
      <c r="AI42" s="31"/>
      <c r="AJ42" s="32">
        <f t="shared" si="3"/>
        <v>0</v>
      </c>
      <c r="AK42" s="32">
        <f t="shared" si="4"/>
        <v>0</v>
      </c>
      <c r="AL42" s="33">
        <f t="shared" si="5"/>
        <v>0</v>
      </c>
      <c r="AM42" s="34">
        <f t="shared" si="6"/>
        <v>0</v>
      </c>
    </row>
    <row r="43" spans="1:39" x14ac:dyDescent="0.25">
      <c r="A43" s="2" t="s">
        <v>64</v>
      </c>
      <c r="B43" t="s">
        <v>46</v>
      </c>
      <c r="C43">
        <v>12</v>
      </c>
      <c r="D43">
        <v>7.1</v>
      </c>
      <c r="E43">
        <v>32.999999999999993</v>
      </c>
      <c r="F43">
        <v>1</v>
      </c>
      <c r="G43" s="1">
        <v>45345.359467592592</v>
      </c>
      <c r="H43" s="19">
        <v>406.33850000000001</v>
      </c>
      <c r="I43" s="20">
        <v>13.42</v>
      </c>
      <c r="J43" s="20">
        <v>97.78</v>
      </c>
      <c r="K43" s="20">
        <v>2.2799999999999998</v>
      </c>
      <c r="L43" s="20">
        <v>319</v>
      </c>
      <c r="M43" s="20">
        <v>39.6</v>
      </c>
      <c r="N43" s="20">
        <v>2.59</v>
      </c>
      <c r="O43" s="20">
        <v>7.07</v>
      </c>
      <c r="P43" s="30">
        <v>0.63</v>
      </c>
      <c r="Q43" s="31">
        <v>0.62</v>
      </c>
      <c r="R43" s="31">
        <v>0</v>
      </c>
      <c r="S43" s="31">
        <v>197.29</v>
      </c>
      <c r="T43" s="31">
        <v>3.55</v>
      </c>
      <c r="U43" s="32">
        <f t="shared" si="11"/>
        <v>1.7699999999999998</v>
      </c>
      <c r="V43" s="32">
        <f t="shared" si="1"/>
        <v>3.15E-3</v>
      </c>
      <c r="W43" s="32">
        <f t="shared" si="7"/>
        <v>3.1932687921334079E-3</v>
      </c>
      <c r="X43" s="32">
        <f t="shared" si="8"/>
        <v>3.1425819859090681E-3</v>
      </c>
      <c r="Y43" s="33">
        <f t="shared" si="9"/>
        <v>0</v>
      </c>
      <c r="Z43" s="20">
        <v>34</v>
      </c>
      <c r="AA43" s="20">
        <v>7.2</v>
      </c>
      <c r="AB43" s="20">
        <v>50</v>
      </c>
      <c r="AC43" s="31">
        <v>2.9999999999999997E-4</v>
      </c>
      <c r="AD43" s="31">
        <f t="shared" si="2"/>
        <v>4.7657372399999988E-2</v>
      </c>
      <c r="AE43" s="31">
        <f t="shared" si="10"/>
        <v>0.69289927199999979</v>
      </c>
      <c r="AF43" s="61">
        <v>200</v>
      </c>
      <c r="AG43" s="30">
        <v>1.11935106158015E-2</v>
      </c>
      <c r="AH43" s="31">
        <v>1.99923260230237E-3</v>
      </c>
      <c r="AI43" s="31">
        <v>1.2999999999999999E-3</v>
      </c>
      <c r="AJ43" s="32">
        <f t="shared" si="3"/>
        <v>0</v>
      </c>
      <c r="AK43" s="32">
        <f t="shared" si="4"/>
        <v>1.6434525004509773E-2</v>
      </c>
      <c r="AL43" s="33">
        <f t="shared" si="5"/>
        <v>0.25647699999999996</v>
      </c>
      <c r="AM43" s="34">
        <f t="shared" si="6"/>
        <v>1.6434525004509773E-2</v>
      </c>
    </row>
    <row r="44" spans="1:39" x14ac:dyDescent="0.25">
      <c r="A44" s="2" t="s">
        <v>65</v>
      </c>
      <c r="B44" t="s">
        <v>49</v>
      </c>
      <c r="C44">
        <v>15</v>
      </c>
      <c r="D44">
        <v>7.3</v>
      </c>
      <c r="E44">
        <v>35</v>
      </c>
      <c r="F44">
        <v>1</v>
      </c>
      <c r="G44" s="1">
        <v>45345.364050925928</v>
      </c>
      <c r="H44" s="19">
        <v>520.61329999999998</v>
      </c>
      <c r="I44" s="20">
        <v>16.37</v>
      </c>
      <c r="J44" s="20">
        <v>98.32</v>
      </c>
      <c r="K44" s="20">
        <v>2.57</v>
      </c>
      <c r="L44" s="20">
        <v>313</v>
      </c>
      <c r="M44" s="20">
        <v>38.700000000000003</v>
      </c>
      <c r="N44" s="20">
        <v>1.23</v>
      </c>
      <c r="O44" s="20">
        <v>7.09</v>
      </c>
      <c r="P44" s="30">
        <v>0.88</v>
      </c>
      <c r="Q44" s="31">
        <v>1.89</v>
      </c>
      <c r="R44" s="31">
        <v>0.05</v>
      </c>
      <c r="S44" s="31">
        <v>199.31</v>
      </c>
      <c r="T44" s="31">
        <v>3.55</v>
      </c>
      <c r="U44" s="32">
        <f t="shared" si="11"/>
        <v>1.7699999999999998</v>
      </c>
      <c r="V44" s="32">
        <f t="shared" si="1"/>
        <v>4.4000000000000003E-3</v>
      </c>
      <c r="W44" s="32">
        <f t="shared" si="7"/>
        <v>4.4152325523054538E-3</v>
      </c>
      <c r="X44" s="32">
        <f t="shared" si="8"/>
        <v>9.4827153680196678E-3</v>
      </c>
      <c r="Y44" s="33">
        <f t="shared" si="9"/>
        <v>0.60000000000000009</v>
      </c>
      <c r="Z44" s="20">
        <v>34</v>
      </c>
      <c r="AA44" s="20">
        <v>7.2</v>
      </c>
      <c r="AB44" s="20">
        <v>50</v>
      </c>
      <c r="AC44" s="31">
        <v>2.9999999999999997E-4</v>
      </c>
      <c r="AD44" s="31">
        <f t="shared" si="2"/>
        <v>5.8728684599999997E-2</v>
      </c>
      <c r="AE44" s="31">
        <f t="shared" si="10"/>
        <v>0.92215324799999987</v>
      </c>
      <c r="AF44" s="61">
        <v>200</v>
      </c>
      <c r="AG44" s="30">
        <v>1.02831235314468E-2</v>
      </c>
      <c r="AH44" s="31"/>
      <c r="AI44" s="31"/>
      <c r="AJ44" s="32">
        <f t="shared" si="3"/>
        <v>8.569269609539E-2</v>
      </c>
      <c r="AK44" s="32">
        <f t="shared" si="4"/>
        <v>0</v>
      </c>
      <c r="AL44" s="33">
        <f t="shared" si="5"/>
        <v>0</v>
      </c>
      <c r="AM44" s="34">
        <f t="shared" si="6"/>
        <v>8.569269609539E-2</v>
      </c>
    </row>
    <row r="45" spans="1:39" x14ac:dyDescent="0.25">
      <c r="A45" s="2" t="s">
        <v>66</v>
      </c>
      <c r="B45" t="s">
        <v>46</v>
      </c>
      <c r="C45">
        <v>12</v>
      </c>
      <c r="D45">
        <v>7.2</v>
      </c>
      <c r="E45">
        <v>34</v>
      </c>
      <c r="F45">
        <v>1</v>
      </c>
      <c r="G45" s="1">
        <v>45345.368298611109</v>
      </c>
      <c r="H45" s="19">
        <v>423.25850000000003</v>
      </c>
      <c r="I45" s="20">
        <v>14.6</v>
      </c>
      <c r="J45" s="20">
        <v>98.58</v>
      </c>
      <c r="K45" s="20">
        <v>2.29</v>
      </c>
      <c r="L45" s="20">
        <v>317</v>
      </c>
      <c r="M45" s="20">
        <v>39.200000000000003</v>
      </c>
      <c r="N45" s="20">
        <v>2.4900000000000002</v>
      </c>
      <c r="O45" s="20">
        <v>7.07</v>
      </c>
      <c r="P45" s="30">
        <v>0.63</v>
      </c>
      <c r="Q45" s="31">
        <v>0.34</v>
      </c>
      <c r="R45" s="31">
        <v>0</v>
      </c>
      <c r="S45" s="31">
        <v>196.95</v>
      </c>
      <c r="T45" s="31">
        <v>3.55</v>
      </c>
      <c r="U45" s="32">
        <f t="shared" si="11"/>
        <v>1.7699999999999998</v>
      </c>
      <c r="V45" s="32">
        <f t="shared" si="1"/>
        <v>3.15E-3</v>
      </c>
      <c r="W45" s="32">
        <f t="shared" si="7"/>
        <v>3.1987814166031989E-3</v>
      </c>
      <c r="X45" s="32">
        <f t="shared" si="8"/>
        <v>1.7263264788017266E-3</v>
      </c>
      <c r="Y45" s="33">
        <f t="shared" si="9"/>
        <v>0</v>
      </c>
      <c r="Z45" s="20">
        <v>34</v>
      </c>
      <c r="AA45" s="20">
        <v>7.2</v>
      </c>
      <c r="AB45" s="20">
        <v>50</v>
      </c>
      <c r="AC45" s="31">
        <v>2.9999999999999997E-4</v>
      </c>
      <c r="AD45" s="31">
        <f t="shared" si="2"/>
        <v>5.1758459999999985E-2</v>
      </c>
      <c r="AE45" s="31">
        <f t="shared" si="10"/>
        <v>0.69289927199999979</v>
      </c>
      <c r="AF45" s="61">
        <v>200</v>
      </c>
      <c r="AG45" s="30">
        <v>1.02576914817915E-2</v>
      </c>
      <c r="AH45" s="31">
        <v>4.8198074875247998E-3</v>
      </c>
      <c r="AI45" s="31">
        <v>1.2999999999999999E-3</v>
      </c>
      <c r="AJ45" s="32">
        <f t="shared" si="3"/>
        <v>0</v>
      </c>
      <c r="AK45" s="32">
        <f t="shared" si="4"/>
        <v>3.9552545194500389E-2</v>
      </c>
      <c r="AL45" s="33">
        <f t="shared" si="5"/>
        <v>0.25603499999999996</v>
      </c>
      <c r="AM45" s="34">
        <f t="shared" si="6"/>
        <v>3.9552545194500389E-2</v>
      </c>
    </row>
    <row r="46" spans="1:39" x14ac:dyDescent="0.25">
      <c r="A46" s="2" t="s">
        <v>67</v>
      </c>
      <c r="B46" t="s">
        <v>49</v>
      </c>
      <c r="C46">
        <v>12</v>
      </c>
      <c r="D46">
        <v>7.1</v>
      </c>
      <c r="E46">
        <v>32.999999999999993</v>
      </c>
      <c r="F46">
        <v>1</v>
      </c>
      <c r="G46" s="1">
        <v>45345.372453703705</v>
      </c>
      <c r="H46" s="19">
        <v>412.70909999999998</v>
      </c>
      <c r="I46" s="20">
        <v>13.92</v>
      </c>
      <c r="J46" s="20">
        <v>98.28</v>
      </c>
      <c r="K46" s="20">
        <v>2.36</v>
      </c>
      <c r="L46" s="20">
        <v>322</v>
      </c>
      <c r="M46" s="20">
        <v>39.5</v>
      </c>
      <c r="N46" s="20">
        <v>2.4500000000000002</v>
      </c>
      <c r="O46" s="20">
        <v>7.08</v>
      </c>
      <c r="P46" s="30">
        <v>0.74</v>
      </c>
      <c r="Q46" s="31">
        <v>1.28</v>
      </c>
      <c r="R46" s="31">
        <v>0.04</v>
      </c>
      <c r="S46" s="31">
        <v>197.61</v>
      </c>
      <c r="T46" s="31">
        <v>4.3499999999999996</v>
      </c>
      <c r="U46" s="32">
        <f t="shared" si="11"/>
        <v>2.5699999999999994</v>
      </c>
      <c r="V46" s="32">
        <f t="shared" si="1"/>
        <v>3.7000000000000002E-3</v>
      </c>
      <c r="W46" s="32">
        <f t="shared" si="7"/>
        <v>3.7447497596275487E-3</v>
      </c>
      <c r="X46" s="32">
        <f t="shared" si="8"/>
        <v>6.4774049896260304E-3</v>
      </c>
      <c r="Y46" s="33">
        <f t="shared" si="9"/>
        <v>0.48</v>
      </c>
      <c r="Z46" s="20">
        <v>34</v>
      </c>
      <c r="AA46" s="20">
        <v>7.2</v>
      </c>
      <c r="AB46" s="20">
        <v>50</v>
      </c>
      <c r="AC46" s="31">
        <v>2.9999999999999997E-4</v>
      </c>
      <c r="AD46" s="31">
        <f t="shared" si="2"/>
        <v>4.9513161600000001E-2</v>
      </c>
      <c r="AE46" s="31">
        <f t="shared" si="10"/>
        <v>0.7616112479999998</v>
      </c>
      <c r="AF46" s="61">
        <v>200</v>
      </c>
      <c r="AG46" s="30">
        <v>1.09490942681209E-2</v>
      </c>
      <c r="AH46" s="31"/>
      <c r="AI46" s="31"/>
      <c r="AJ46" s="32">
        <f t="shared" si="3"/>
        <v>9.124245223434084E-2</v>
      </c>
      <c r="AK46" s="32">
        <f t="shared" si="4"/>
        <v>0</v>
      </c>
      <c r="AL46" s="33">
        <f t="shared" si="5"/>
        <v>0</v>
      </c>
      <c r="AM46" s="34">
        <f t="shared" si="6"/>
        <v>9.124245223434084E-2</v>
      </c>
    </row>
    <row r="47" spans="1:39" x14ac:dyDescent="0.25">
      <c r="A47" s="2" t="s">
        <v>68</v>
      </c>
      <c r="B47" t="s">
        <v>51</v>
      </c>
      <c r="C47">
        <v>12</v>
      </c>
      <c r="D47">
        <v>7.3</v>
      </c>
      <c r="E47">
        <v>35</v>
      </c>
      <c r="F47">
        <v>1</v>
      </c>
      <c r="G47" s="1">
        <v>45345.376331018517</v>
      </c>
      <c r="H47" s="19">
        <v>439.78859999999997</v>
      </c>
      <c r="I47" s="20">
        <v>12.97</v>
      </c>
      <c r="J47" s="20">
        <v>98.07</v>
      </c>
      <c r="K47" s="20">
        <v>2.37</v>
      </c>
      <c r="L47" s="20">
        <v>316</v>
      </c>
      <c r="M47" s="20">
        <v>35.6</v>
      </c>
      <c r="N47" s="20">
        <v>2.2200000000000002</v>
      </c>
      <c r="O47" s="20">
        <v>7.06</v>
      </c>
      <c r="P47" s="30">
        <v>0.63</v>
      </c>
      <c r="Q47" s="31">
        <v>1.39</v>
      </c>
      <c r="R47" s="31">
        <v>0.05</v>
      </c>
      <c r="S47" s="31">
        <v>197.58</v>
      </c>
      <c r="T47" s="31">
        <v>4.3499999999999996</v>
      </c>
      <c r="U47" s="32">
        <f t="shared" si="11"/>
        <v>2.5699999999999994</v>
      </c>
      <c r="V47" s="32">
        <f t="shared" si="1"/>
        <v>3.15E-3</v>
      </c>
      <c r="W47" s="32">
        <f t="shared" si="7"/>
        <v>3.1885818402672332E-3</v>
      </c>
      <c r="X47" s="32">
        <f t="shared" si="8"/>
        <v>7.0351250126531014E-3</v>
      </c>
      <c r="Y47" s="33">
        <f t="shared" si="9"/>
        <v>0.60000000000000009</v>
      </c>
      <c r="Z47" s="20">
        <v>34</v>
      </c>
      <c r="AA47" s="20">
        <v>7.2</v>
      </c>
      <c r="AB47" s="20">
        <v>50</v>
      </c>
      <c r="AC47" s="31">
        <v>2.9999999999999997E-4</v>
      </c>
      <c r="AD47" s="31">
        <f t="shared" si="2"/>
        <v>4.6127026799999998E-2</v>
      </c>
      <c r="AE47" s="31">
        <f t="shared" si="10"/>
        <v>0.69222217679999987</v>
      </c>
      <c r="AF47" s="61">
        <v>200</v>
      </c>
      <c r="AG47" s="30">
        <v>1.12420291890568E-2</v>
      </c>
      <c r="AH47" s="31"/>
      <c r="AI47" s="31"/>
      <c r="AJ47" s="32">
        <f t="shared" si="3"/>
        <v>0</v>
      </c>
      <c r="AK47" s="32">
        <f t="shared" si="4"/>
        <v>0</v>
      </c>
      <c r="AL47" s="33">
        <f t="shared" si="5"/>
        <v>0</v>
      </c>
      <c r="AM47" s="34">
        <f t="shared" si="6"/>
        <v>0</v>
      </c>
    </row>
    <row r="48" spans="1:39" x14ac:dyDescent="0.25">
      <c r="A48" s="2" t="s">
        <v>69</v>
      </c>
      <c r="B48" t="s">
        <v>51</v>
      </c>
      <c r="C48">
        <v>15</v>
      </c>
      <c r="D48">
        <v>7.2</v>
      </c>
      <c r="E48">
        <v>34</v>
      </c>
      <c r="F48">
        <v>1</v>
      </c>
      <c r="G48" s="1">
        <v>45345.382256944446</v>
      </c>
      <c r="H48" s="19">
        <v>513.25040000000001</v>
      </c>
      <c r="I48" s="20">
        <v>18.14</v>
      </c>
      <c r="J48" s="20">
        <v>98.39</v>
      </c>
      <c r="K48" s="20">
        <v>2.5499999999999998</v>
      </c>
      <c r="L48" s="20">
        <v>308</v>
      </c>
      <c r="M48" s="20">
        <v>32.5</v>
      </c>
      <c r="N48" s="20">
        <v>1.17</v>
      </c>
      <c r="O48" s="20">
        <v>7.05</v>
      </c>
      <c r="P48" s="30">
        <v>0.85</v>
      </c>
      <c r="Q48" s="31">
        <v>1.92</v>
      </c>
      <c r="R48" s="31">
        <v>7.0000000000000007E-2</v>
      </c>
      <c r="S48" s="31">
        <v>199.18</v>
      </c>
      <c r="T48" s="31">
        <v>3.55</v>
      </c>
      <c r="U48" s="32">
        <f t="shared" si="11"/>
        <v>1.7699999999999998</v>
      </c>
      <c r="V48" s="32">
        <f t="shared" si="1"/>
        <v>4.2500000000000003E-3</v>
      </c>
      <c r="W48" s="32">
        <f t="shared" si="7"/>
        <v>4.2674967366201425E-3</v>
      </c>
      <c r="X48" s="32">
        <f t="shared" si="8"/>
        <v>9.6395220403654985E-3</v>
      </c>
      <c r="Y48" s="33">
        <f t="shared" si="9"/>
        <v>0.84000000000000008</v>
      </c>
      <c r="Z48" s="20">
        <v>34</v>
      </c>
      <c r="AA48" s="20">
        <v>7.2</v>
      </c>
      <c r="AB48" s="20">
        <v>50</v>
      </c>
      <c r="AC48" s="31">
        <v>2.9999999999999997E-4</v>
      </c>
      <c r="AD48" s="31">
        <f t="shared" si="2"/>
        <v>6.5036253599999996E-2</v>
      </c>
      <c r="AE48" s="31">
        <f t="shared" si="10"/>
        <v>0.86482572479999986</v>
      </c>
      <c r="AF48" s="61">
        <v>200</v>
      </c>
      <c r="AG48" s="30">
        <v>9.3420763129475996E-3</v>
      </c>
      <c r="AH48" s="31"/>
      <c r="AI48" s="31"/>
      <c r="AJ48" s="32">
        <f t="shared" si="3"/>
        <v>0</v>
      </c>
      <c r="AK48" s="32">
        <f t="shared" si="4"/>
        <v>0</v>
      </c>
      <c r="AL48" s="33">
        <f t="shared" si="5"/>
        <v>0</v>
      </c>
      <c r="AM48" s="34">
        <f t="shared" si="6"/>
        <v>0</v>
      </c>
    </row>
    <row r="49" spans="1:39" x14ac:dyDescent="0.25">
      <c r="A49" s="2" t="s">
        <v>70</v>
      </c>
      <c r="B49" t="s">
        <v>51</v>
      </c>
      <c r="C49">
        <v>15</v>
      </c>
      <c r="D49">
        <v>7.2</v>
      </c>
      <c r="E49">
        <v>34</v>
      </c>
      <c r="F49">
        <v>1</v>
      </c>
      <c r="G49" s="1">
        <v>45345.257337962961</v>
      </c>
      <c r="H49" s="19">
        <v>515.30010000000004</v>
      </c>
      <c r="I49" s="20">
        <v>17.3</v>
      </c>
      <c r="J49" s="20">
        <v>99</v>
      </c>
      <c r="K49" s="20">
        <v>2.2999999999999998</v>
      </c>
      <c r="L49" s="20">
        <v>311</v>
      </c>
      <c r="M49" s="20">
        <v>35.799999999999997</v>
      </c>
      <c r="N49" s="20">
        <v>1.91</v>
      </c>
      <c r="O49" s="20">
        <v>7.08</v>
      </c>
      <c r="P49" s="30">
        <v>0.91</v>
      </c>
      <c r="Q49" s="31">
        <v>1.55</v>
      </c>
      <c r="R49" s="31">
        <v>0.06</v>
      </c>
      <c r="S49" s="31">
        <v>198.66</v>
      </c>
      <c r="T49" s="31">
        <v>3.55</v>
      </c>
      <c r="U49" s="32">
        <f t="shared" si="11"/>
        <v>1.7699999999999998</v>
      </c>
      <c r="V49" s="32">
        <f t="shared" si="1"/>
        <v>4.5500000000000002E-3</v>
      </c>
      <c r="W49" s="32">
        <f t="shared" si="7"/>
        <v>4.5806906272022555E-3</v>
      </c>
      <c r="X49" s="32">
        <f t="shared" si="8"/>
        <v>7.8022752441357099E-3</v>
      </c>
      <c r="Y49" s="33">
        <f t="shared" si="9"/>
        <v>0.72</v>
      </c>
      <c r="Z49" s="20">
        <v>34</v>
      </c>
      <c r="AA49" s="20">
        <v>7.2</v>
      </c>
      <c r="AB49" s="20">
        <v>50</v>
      </c>
      <c r="AC49" s="31">
        <v>2.9999999999999997E-4</v>
      </c>
      <c r="AD49" s="31">
        <f t="shared" si="2"/>
        <v>6.1862724000000001E-2</v>
      </c>
      <c r="AE49" s="31">
        <f t="shared" si="10"/>
        <v>0.89624037600000006</v>
      </c>
      <c r="AF49" s="61">
        <v>200</v>
      </c>
      <c r="AG49" s="30">
        <v>9.5050327063128E-3</v>
      </c>
      <c r="AH49" s="31"/>
      <c r="AI49" s="31"/>
      <c r="AJ49" s="32">
        <f t="shared" si="3"/>
        <v>0</v>
      </c>
      <c r="AK49" s="32">
        <f t="shared" si="4"/>
        <v>0</v>
      </c>
      <c r="AL49" s="33">
        <f t="shared" si="5"/>
        <v>0</v>
      </c>
      <c r="AM49" s="34">
        <f t="shared" si="6"/>
        <v>0</v>
      </c>
    </row>
    <row r="50" spans="1:39" ht="15.75" thickBot="1" x14ac:dyDescent="0.3">
      <c r="A50" s="12" t="s">
        <v>71</v>
      </c>
      <c r="B50" s="13" t="s">
        <v>51</v>
      </c>
      <c r="C50" s="13">
        <v>15</v>
      </c>
      <c r="D50" s="13">
        <v>7.2</v>
      </c>
      <c r="E50" s="13">
        <v>34</v>
      </c>
      <c r="F50" s="13">
        <v>1</v>
      </c>
      <c r="G50" s="14">
        <v>45345.386145833334</v>
      </c>
      <c r="H50" s="23">
        <v>513.92849999999999</v>
      </c>
      <c r="I50" s="24">
        <v>16.23</v>
      </c>
      <c r="J50" s="24">
        <v>98.55</v>
      </c>
      <c r="K50" s="24">
        <v>2.46</v>
      </c>
      <c r="L50" s="24">
        <v>309</v>
      </c>
      <c r="M50" s="24">
        <v>34.9</v>
      </c>
      <c r="N50" s="24">
        <v>1.31</v>
      </c>
      <c r="O50" s="24">
        <v>7.07</v>
      </c>
      <c r="P50" s="35">
        <v>0.87</v>
      </c>
      <c r="Q50" s="36">
        <v>1.85</v>
      </c>
      <c r="R50" s="36">
        <v>0.06</v>
      </c>
      <c r="S50" s="36">
        <v>199.12</v>
      </c>
      <c r="T50" s="36">
        <v>3.55</v>
      </c>
      <c r="U50" s="37">
        <f t="shared" si="11"/>
        <v>1.7699999999999998</v>
      </c>
      <c r="V50" s="37">
        <f t="shared" si="1"/>
        <v>4.3499999999999997E-3</v>
      </c>
      <c r="W50" s="37">
        <f t="shared" si="7"/>
        <v>4.3692245881880275E-3</v>
      </c>
      <c r="X50" s="37">
        <f t="shared" si="8"/>
        <v>9.290879871434312E-3</v>
      </c>
      <c r="Y50" s="38">
        <f t="shared" si="9"/>
        <v>0.72</v>
      </c>
      <c r="Z50" s="24">
        <v>34</v>
      </c>
      <c r="AA50" s="24">
        <v>7.2</v>
      </c>
      <c r="AB50" s="24">
        <v>50</v>
      </c>
      <c r="AC50" s="36">
        <v>2.9999999999999997E-4</v>
      </c>
      <c r="AD50" s="36">
        <f t="shared" si="2"/>
        <v>5.81709168E-2</v>
      </c>
      <c r="AE50" s="36">
        <f t="shared" si="10"/>
        <v>0.90018326159999984</v>
      </c>
      <c r="AF50" s="62">
        <v>200</v>
      </c>
      <c r="AG50" s="35">
        <v>1.0015814503821999E-2</v>
      </c>
      <c r="AH50" s="36"/>
      <c r="AI50" s="36"/>
      <c r="AJ50" s="37">
        <f t="shared" si="3"/>
        <v>0</v>
      </c>
      <c r="AK50" s="37">
        <f t="shared" si="4"/>
        <v>0</v>
      </c>
      <c r="AL50" s="38">
        <f t="shared" si="5"/>
        <v>0</v>
      </c>
      <c r="AM50" s="39">
        <f t="shared" si="6"/>
        <v>0</v>
      </c>
    </row>
    <row r="51" spans="1:39" x14ac:dyDescent="0.25">
      <c r="A51" s="7" t="s">
        <v>45</v>
      </c>
      <c r="B51" s="8" t="s">
        <v>46</v>
      </c>
      <c r="C51" s="8">
        <v>18</v>
      </c>
      <c r="D51" s="8">
        <v>7.1</v>
      </c>
      <c r="E51" s="8">
        <v>32.999999999999993</v>
      </c>
      <c r="F51" s="8">
        <v>2</v>
      </c>
      <c r="G51" s="9">
        <v>45346.261932870373</v>
      </c>
      <c r="H51" s="17">
        <v>1024.7850000000001</v>
      </c>
      <c r="I51" s="8">
        <v>22.56</v>
      </c>
      <c r="J51" s="8">
        <v>97.58</v>
      </c>
      <c r="K51" s="8">
        <v>2.66</v>
      </c>
      <c r="L51" s="8">
        <v>298</v>
      </c>
      <c r="M51" s="8">
        <v>34.1</v>
      </c>
      <c r="N51" s="8">
        <v>0.3</v>
      </c>
      <c r="O51" s="8">
        <v>7.36</v>
      </c>
      <c r="P51" s="7">
        <v>1.02</v>
      </c>
      <c r="Q51" s="8">
        <v>2.72</v>
      </c>
      <c r="R51" s="8">
        <v>0</v>
      </c>
      <c r="S51" s="8">
        <v>195.55</v>
      </c>
      <c r="T51" s="8">
        <v>21.13</v>
      </c>
      <c r="U51" s="42">
        <f t="shared" si="11"/>
        <v>4.7799999999999976</v>
      </c>
      <c r="V51" s="42">
        <f t="shared" si="1"/>
        <v>5.1000000000000004E-3</v>
      </c>
      <c r="W51" s="42">
        <f t="shared" si="7"/>
        <v>5.2160572743543852E-3</v>
      </c>
      <c r="X51" s="42">
        <f t="shared" si="8"/>
        <v>1.3909486064945027E-2</v>
      </c>
      <c r="Y51" s="43">
        <f t="shared" si="9"/>
        <v>0</v>
      </c>
      <c r="Z51" s="8">
        <v>34</v>
      </c>
      <c r="AA51" s="8">
        <v>7.2</v>
      </c>
      <c r="AB51" s="8">
        <v>50</v>
      </c>
      <c r="AC51" s="26">
        <v>2.9999999999999997E-4</v>
      </c>
      <c r="AD51" s="26">
        <f t="shared" si="2"/>
        <v>7.9408943999999981E-2</v>
      </c>
      <c r="AE51" s="26">
        <f t="shared" ref="AE51:AE114" si="12">AD27*24</f>
        <v>1.7267964911999998</v>
      </c>
      <c r="AF51" s="8">
        <v>200</v>
      </c>
      <c r="AG51" s="25">
        <v>1.30008988708811E-2</v>
      </c>
      <c r="AH51" s="26">
        <v>2.4E-2</v>
      </c>
      <c r="AI51" s="26">
        <v>1.2999999999999999E-3</v>
      </c>
      <c r="AJ51" s="27">
        <f t="shared" si="3"/>
        <v>0</v>
      </c>
      <c r="AK51" s="27">
        <f t="shared" si="4"/>
        <v>0.19555</v>
      </c>
      <c r="AL51" s="28">
        <f t="shared" si="5"/>
        <v>0.25421500000000002</v>
      </c>
      <c r="AM51" s="29">
        <f t="shared" si="6"/>
        <v>0.19555</v>
      </c>
    </row>
    <row r="52" spans="1:39" x14ac:dyDescent="0.25">
      <c r="A52" s="2" t="s">
        <v>47</v>
      </c>
      <c r="B52" t="s">
        <v>46</v>
      </c>
      <c r="C52">
        <v>12</v>
      </c>
      <c r="D52">
        <v>7.3</v>
      </c>
      <c r="E52">
        <v>35</v>
      </c>
      <c r="F52">
        <v>2</v>
      </c>
      <c r="G52" s="1">
        <v>45346.268379629626</v>
      </c>
      <c r="H52" s="19">
        <v>782.49189999999999</v>
      </c>
      <c r="I52">
        <v>16.440000000000001</v>
      </c>
      <c r="J52">
        <v>97.34</v>
      </c>
      <c r="K52">
        <v>3.49</v>
      </c>
      <c r="L52">
        <v>337</v>
      </c>
      <c r="M52">
        <v>31.2</v>
      </c>
      <c r="N52">
        <v>1.55</v>
      </c>
      <c r="O52">
        <v>7.08</v>
      </c>
      <c r="P52" s="2">
        <v>4.84</v>
      </c>
      <c r="Q52">
        <v>0.28000000000000003</v>
      </c>
      <c r="R52">
        <v>0</v>
      </c>
      <c r="S52">
        <v>197.3</v>
      </c>
      <c r="T52">
        <v>9.1300000000000008</v>
      </c>
      <c r="U52" s="44">
        <f t="shared" si="11"/>
        <v>4.7800000000000011</v>
      </c>
      <c r="V52" s="44">
        <f t="shared" si="1"/>
        <v>2.4199999999999999E-2</v>
      </c>
      <c r="W52" s="44">
        <f t="shared" si="7"/>
        <v>2.4531170805879368E-2</v>
      </c>
      <c r="X52" s="44">
        <f t="shared" si="8"/>
        <v>1.419158641662443E-3</v>
      </c>
      <c r="Y52" s="45">
        <f t="shared" si="9"/>
        <v>0</v>
      </c>
      <c r="Z52">
        <v>34</v>
      </c>
      <c r="AA52">
        <v>7.2</v>
      </c>
      <c r="AB52">
        <v>50</v>
      </c>
      <c r="AC52" s="31">
        <v>2.9999999999999997E-4</v>
      </c>
      <c r="AD52" s="31">
        <f t="shared" si="2"/>
        <v>5.8385015999999998E-2</v>
      </c>
      <c r="AE52" s="31">
        <f t="shared" si="12"/>
        <v>1.0882364255999999</v>
      </c>
      <c r="AF52">
        <v>200</v>
      </c>
      <c r="AG52" s="30">
        <v>7.7636178309199002E-3</v>
      </c>
      <c r="AH52" s="31">
        <v>2.4E-2</v>
      </c>
      <c r="AI52" s="31">
        <v>1.2999999999999999E-3</v>
      </c>
      <c r="AJ52" s="32">
        <f t="shared" si="3"/>
        <v>0</v>
      </c>
      <c r="AK52" s="32">
        <f t="shared" si="4"/>
        <v>0.19730000000000003</v>
      </c>
      <c r="AL52" s="33">
        <f t="shared" si="5"/>
        <v>0.25649</v>
      </c>
      <c r="AM52" s="34">
        <f t="shared" si="6"/>
        <v>0.19730000000000003</v>
      </c>
    </row>
    <row r="53" spans="1:39" x14ac:dyDescent="0.25">
      <c r="A53" s="2" t="s">
        <v>48</v>
      </c>
      <c r="B53" t="s">
        <v>49</v>
      </c>
      <c r="C53">
        <v>12</v>
      </c>
      <c r="D53">
        <v>7.2</v>
      </c>
      <c r="E53">
        <v>34</v>
      </c>
      <c r="F53">
        <v>2</v>
      </c>
      <c r="G53" s="1">
        <v>45346.273252314815</v>
      </c>
      <c r="H53" s="19">
        <v>787.00490000000002</v>
      </c>
      <c r="I53">
        <v>16.309999999999999</v>
      </c>
      <c r="J53">
        <v>97.36</v>
      </c>
      <c r="K53">
        <v>3.19</v>
      </c>
      <c r="L53">
        <v>307</v>
      </c>
      <c r="M53">
        <v>25.5</v>
      </c>
      <c r="N53">
        <v>7.0000000000000007E-2</v>
      </c>
      <c r="O53">
        <v>7.34</v>
      </c>
      <c r="P53" s="2">
        <v>1.29</v>
      </c>
      <c r="Q53">
        <v>2.5499999999999998</v>
      </c>
      <c r="R53">
        <v>0.1</v>
      </c>
      <c r="S53">
        <v>196.05</v>
      </c>
      <c r="T53">
        <v>9.1300000000000008</v>
      </c>
      <c r="U53" s="44">
        <f t="shared" si="11"/>
        <v>4.7800000000000011</v>
      </c>
      <c r="V53" s="44">
        <f t="shared" si="1"/>
        <v>6.45E-3</v>
      </c>
      <c r="W53" s="44">
        <f t="shared" si="7"/>
        <v>6.579954093343535E-3</v>
      </c>
      <c r="X53" s="44">
        <f t="shared" si="8"/>
        <v>1.3006885998469777E-2</v>
      </c>
      <c r="Y53" s="45">
        <f t="shared" si="9"/>
        <v>1.2000000000000002</v>
      </c>
      <c r="Z53">
        <v>34</v>
      </c>
      <c r="AA53">
        <v>7.2</v>
      </c>
      <c r="AB53">
        <v>50</v>
      </c>
      <c r="AC53" s="31">
        <v>2.9999999999999997E-4</v>
      </c>
      <c r="AD53" s="31">
        <f t="shared" si="2"/>
        <v>5.7556358999999988E-2</v>
      </c>
      <c r="AE53" s="31">
        <f t="shared" si="12"/>
        <v>1.1967403967999999</v>
      </c>
      <c r="AF53">
        <v>200</v>
      </c>
      <c r="AG53" s="30">
        <v>1.49694572293527E-2</v>
      </c>
      <c r="AH53" s="31"/>
      <c r="AI53" s="31"/>
      <c r="AJ53" s="32">
        <f t="shared" si="3"/>
        <v>0.12474547691127251</v>
      </c>
      <c r="AK53" s="32">
        <f t="shared" si="4"/>
        <v>0</v>
      </c>
      <c r="AL53" s="33">
        <f t="shared" si="5"/>
        <v>0</v>
      </c>
      <c r="AM53" s="34">
        <f t="shared" si="6"/>
        <v>0.12474547691127251</v>
      </c>
    </row>
    <row r="54" spans="1:39" x14ac:dyDescent="0.25">
      <c r="A54" s="2" t="s">
        <v>50</v>
      </c>
      <c r="B54" t="s">
        <v>51</v>
      </c>
      <c r="C54">
        <v>18</v>
      </c>
      <c r="D54">
        <v>7.3</v>
      </c>
      <c r="E54">
        <v>35</v>
      </c>
      <c r="F54">
        <v>2</v>
      </c>
      <c r="G54" s="1">
        <v>45346.278935185182</v>
      </c>
      <c r="H54" s="19">
        <v>1078.6896666666669</v>
      </c>
      <c r="I54">
        <v>22.83</v>
      </c>
      <c r="J54">
        <v>97.36</v>
      </c>
      <c r="K54">
        <v>3.02</v>
      </c>
      <c r="L54">
        <v>297</v>
      </c>
      <c r="M54">
        <v>25.3</v>
      </c>
      <c r="N54">
        <v>0.11</v>
      </c>
      <c r="O54">
        <v>7.35</v>
      </c>
      <c r="P54" s="2">
        <v>2.59</v>
      </c>
      <c r="Q54">
        <v>3.56</v>
      </c>
      <c r="R54">
        <v>0.08</v>
      </c>
      <c r="S54">
        <v>196.34</v>
      </c>
      <c r="T54">
        <v>21.93</v>
      </c>
      <c r="U54" s="44">
        <f t="shared" si="11"/>
        <v>4.7800000000000011</v>
      </c>
      <c r="V54" s="44">
        <f t="shared" si="1"/>
        <v>1.295E-2</v>
      </c>
      <c r="W54" s="44">
        <f t="shared" si="7"/>
        <v>1.3191402668839766E-2</v>
      </c>
      <c r="X54" s="44">
        <f t="shared" si="8"/>
        <v>1.8131812162575124E-2</v>
      </c>
      <c r="Y54" s="45">
        <f t="shared" si="9"/>
        <v>0.96</v>
      </c>
      <c r="Z54">
        <v>34</v>
      </c>
      <c r="AA54">
        <v>7.2</v>
      </c>
      <c r="AB54">
        <v>50</v>
      </c>
      <c r="AC54" s="31">
        <v>2.9999999999999997E-4</v>
      </c>
      <c r="AD54" s="31">
        <f t="shared" si="2"/>
        <v>8.068395959999998E-2</v>
      </c>
      <c r="AE54" s="31">
        <f t="shared" si="12"/>
        <v>1.5673476671999997</v>
      </c>
      <c r="AF54">
        <v>200</v>
      </c>
      <c r="AG54" s="30">
        <v>9.9784039332018008E-3</v>
      </c>
      <c r="AH54" s="31"/>
      <c r="AI54" s="31"/>
      <c r="AJ54" s="32">
        <f t="shared" si="3"/>
        <v>0</v>
      </c>
      <c r="AK54" s="32">
        <f t="shared" si="4"/>
        <v>0</v>
      </c>
      <c r="AL54" s="33">
        <f t="shared" si="5"/>
        <v>0</v>
      </c>
      <c r="AM54" s="34">
        <f t="shared" si="6"/>
        <v>0</v>
      </c>
    </row>
    <row r="55" spans="1:39" x14ac:dyDescent="0.25">
      <c r="A55" s="2" t="s">
        <v>52</v>
      </c>
      <c r="B55" t="s">
        <v>49</v>
      </c>
      <c r="C55">
        <v>18</v>
      </c>
      <c r="D55">
        <v>7.3</v>
      </c>
      <c r="E55">
        <v>35</v>
      </c>
      <c r="F55">
        <v>2</v>
      </c>
      <c r="G55" s="1">
        <v>45346.283819444441</v>
      </c>
      <c r="H55" s="19">
        <v>1075.1393333333333</v>
      </c>
      <c r="I55">
        <v>23.06</v>
      </c>
      <c r="J55">
        <v>97.2</v>
      </c>
      <c r="K55">
        <v>2.91</v>
      </c>
      <c r="L55">
        <v>295</v>
      </c>
      <c r="M55">
        <v>27.8</v>
      </c>
      <c r="N55">
        <v>0.05</v>
      </c>
      <c r="O55">
        <v>7.36</v>
      </c>
      <c r="P55" s="2">
        <v>2</v>
      </c>
      <c r="Q55">
        <v>3.6</v>
      </c>
      <c r="R55">
        <v>7.0000000000000007E-2</v>
      </c>
      <c r="S55">
        <v>197.35</v>
      </c>
      <c r="T55">
        <v>21.13</v>
      </c>
      <c r="U55" s="44">
        <f t="shared" si="11"/>
        <v>4.7799999999999976</v>
      </c>
      <c r="V55" s="44">
        <f t="shared" si="1"/>
        <v>0.01</v>
      </c>
      <c r="W55" s="44">
        <f t="shared" si="7"/>
        <v>1.0134279199391943E-2</v>
      </c>
      <c r="X55" s="44">
        <f t="shared" si="8"/>
        <v>1.82417025589055E-2</v>
      </c>
      <c r="Y55" s="45">
        <f t="shared" si="9"/>
        <v>0.84000000000000008</v>
      </c>
      <c r="Z55">
        <v>34</v>
      </c>
      <c r="AA55">
        <v>7.2</v>
      </c>
      <c r="AB55">
        <v>50</v>
      </c>
      <c r="AC55" s="31">
        <v>2.9999999999999997E-4</v>
      </c>
      <c r="AD55" s="31">
        <f t="shared" si="2"/>
        <v>8.1916037999999983E-2</v>
      </c>
      <c r="AE55" s="31">
        <f t="shared" si="12"/>
        <v>1.7820163295999998</v>
      </c>
      <c r="AF55">
        <v>200</v>
      </c>
      <c r="AG55" s="30">
        <v>1.13626973433442E-2</v>
      </c>
      <c r="AH55" s="31"/>
      <c r="AI55" s="31"/>
      <c r="AJ55" s="32">
        <f t="shared" si="3"/>
        <v>9.4689144527868321E-2</v>
      </c>
      <c r="AK55" s="32">
        <f t="shared" si="4"/>
        <v>0</v>
      </c>
      <c r="AL55" s="33">
        <f t="shared" si="5"/>
        <v>0</v>
      </c>
      <c r="AM55" s="34">
        <f t="shared" si="6"/>
        <v>9.4689144527868321E-2</v>
      </c>
    </row>
    <row r="56" spans="1:39" x14ac:dyDescent="0.25">
      <c r="A56" s="2" t="s">
        <v>53</v>
      </c>
      <c r="B56" t="s">
        <v>49</v>
      </c>
      <c r="C56">
        <v>12</v>
      </c>
      <c r="D56">
        <v>7.3</v>
      </c>
      <c r="E56">
        <v>35</v>
      </c>
      <c r="F56">
        <v>2</v>
      </c>
      <c r="G56" s="1">
        <v>45346.289583333331</v>
      </c>
      <c r="H56" s="19">
        <v>755.10763333333341</v>
      </c>
      <c r="I56">
        <v>16.649999999999999</v>
      </c>
      <c r="J56">
        <v>98.47</v>
      </c>
      <c r="K56">
        <v>3.15</v>
      </c>
      <c r="L56">
        <v>0</v>
      </c>
      <c r="M56">
        <v>26.1</v>
      </c>
      <c r="N56">
        <v>0.05</v>
      </c>
      <c r="O56">
        <v>7.3</v>
      </c>
      <c r="P56" s="2">
        <v>1.32</v>
      </c>
      <c r="Q56">
        <v>2.54</v>
      </c>
      <c r="R56">
        <v>0.09</v>
      </c>
      <c r="S56">
        <v>194.38</v>
      </c>
      <c r="T56">
        <v>10.73</v>
      </c>
      <c r="U56" s="44">
        <f t="shared" si="11"/>
        <v>5.58</v>
      </c>
      <c r="V56" s="44">
        <f t="shared" si="1"/>
        <v>6.6E-3</v>
      </c>
      <c r="W56" s="44">
        <f t="shared" si="7"/>
        <v>6.7908221010392024E-3</v>
      </c>
      <c r="X56" s="44">
        <f t="shared" si="8"/>
        <v>1.3067187982302707E-2</v>
      </c>
      <c r="Y56" s="45">
        <f t="shared" si="9"/>
        <v>1.08</v>
      </c>
      <c r="Z56">
        <v>34</v>
      </c>
      <c r="AA56">
        <v>7.2</v>
      </c>
      <c r="AB56">
        <v>50</v>
      </c>
      <c r="AC56" s="31">
        <v>2.9999999999999997E-4</v>
      </c>
      <c r="AD56" s="31">
        <f t="shared" si="2"/>
        <v>5.8255685999999987E-2</v>
      </c>
      <c r="AE56" s="31">
        <f t="shared" si="12"/>
        <v>1.2151012607999998</v>
      </c>
      <c r="AF56">
        <v>200</v>
      </c>
      <c r="AG56" s="30">
        <v>1.4869825137455699E-2</v>
      </c>
      <c r="AH56" s="31"/>
      <c r="AI56" s="31"/>
      <c r="AJ56" s="32">
        <f t="shared" si="3"/>
        <v>0.12391520947879749</v>
      </c>
      <c r="AK56" s="32">
        <f t="shared" si="4"/>
        <v>0</v>
      </c>
      <c r="AL56" s="33">
        <f t="shared" si="5"/>
        <v>0</v>
      </c>
      <c r="AM56" s="34">
        <f t="shared" si="6"/>
        <v>0.12391520947879749</v>
      </c>
    </row>
    <row r="57" spans="1:39" x14ac:dyDescent="0.25">
      <c r="A57" s="2" t="s">
        <v>54</v>
      </c>
      <c r="B57" t="s">
        <v>46</v>
      </c>
      <c r="C57">
        <v>18</v>
      </c>
      <c r="D57">
        <v>7.3</v>
      </c>
      <c r="E57">
        <v>35</v>
      </c>
      <c r="F57">
        <v>2</v>
      </c>
      <c r="G57" s="1">
        <v>45346.257256944446</v>
      </c>
      <c r="H57" s="19">
        <v>1013.149</v>
      </c>
      <c r="I57">
        <v>22.61</v>
      </c>
      <c r="J57">
        <v>96.82</v>
      </c>
      <c r="K57">
        <v>2.4900000000000002</v>
      </c>
      <c r="L57">
        <v>293</v>
      </c>
      <c r="M57">
        <v>30.5</v>
      </c>
      <c r="N57">
        <v>0.09</v>
      </c>
      <c r="O57">
        <v>7.37</v>
      </c>
      <c r="P57" s="2">
        <v>0.95</v>
      </c>
      <c r="Q57">
        <v>1.83</v>
      </c>
      <c r="R57">
        <v>0</v>
      </c>
      <c r="S57">
        <v>195.21</v>
      </c>
      <c r="T57">
        <v>21.13</v>
      </c>
      <c r="U57" s="44">
        <f t="shared" si="11"/>
        <v>4.7799999999999976</v>
      </c>
      <c r="V57" s="44">
        <f t="shared" si="1"/>
        <v>4.7499999999999999E-3</v>
      </c>
      <c r="W57" s="44">
        <f t="shared" si="7"/>
        <v>4.8665539675221553E-3</v>
      </c>
      <c r="X57" s="44">
        <f t="shared" si="8"/>
        <v>9.3745197479637322E-3</v>
      </c>
      <c r="Y57" s="45">
        <f t="shared" si="9"/>
        <v>0</v>
      </c>
      <c r="Z57">
        <v>34</v>
      </c>
      <c r="AA57">
        <v>7.2</v>
      </c>
      <c r="AB57">
        <v>50</v>
      </c>
      <c r="AC57" s="31">
        <v>2.9999999999999997E-4</v>
      </c>
      <c r="AD57" s="31">
        <f t="shared" si="2"/>
        <v>7.944656579999998E-2</v>
      </c>
      <c r="AE57" s="31">
        <f t="shared" si="12"/>
        <v>1.7449648127999997</v>
      </c>
      <c r="AF57">
        <v>200</v>
      </c>
      <c r="AG57" s="30">
        <v>1.34916986022842E-2</v>
      </c>
      <c r="AH57" s="31">
        <v>2.4E-2</v>
      </c>
      <c r="AI57" s="31">
        <v>1.2999999999999999E-3</v>
      </c>
      <c r="AJ57" s="32">
        <f t="shared" si="3"/>
        <v>0</v>
      </c>
      <c r="AK57" s="32">
        <f t="shared" si="4"/>
        <v>0.19520999999999999</v>
      </c>
      <c r="AL57" s="33">
        <f t="shared" si="5"/>
        <v>0.25377300000000003</v>
      </c>
      <c r="AM57" s="34">
        <f t="shared" si="6"/>
        <v>0.19520999999999999</v>
      </c>
    </row>
    <row r="58" spans="1:39" x14ac:dyDescent="0.25">
      <c r="A58" s="2" t="s">
        <v>55</v>
      </c>
      <c r="B58" t="s">
        <v>51</v>
      </c>
      <c r="C58">
        <v>15</v>
      </c>
      <c r="D58">
        <v>7.2</v>
      </c>
      <c r="E58">
        <v>34</v>
      </c>
      <c r="F58">
        <v>2</v>
      </c>
      <c r="G58" s="1">
        <v>45346.296307870369</v>
      </c>
      <c r="H58" s="19">
        <v>964.61969999999997</v>
      </c>
      <c r="I58">
        <v>19.739999999999998</v>
      </c>
      <c r="J58">
        <v>97.36</v>
      </c>
      <c r="K58">
        <v>3.26</v>
      </c>
      <c r="L58">
        <v>304</v>
      </c>
      <c r="M58">
        <v>26.9</v>
      </c>
      <c r="N58">
        <v>0.1</v>
      </c>
      <c r="O58">
        <v>7.33</v>
      </c>
      <c r="P58" s="2">
        <v>2.2000000000000002</v>
      </c>
      <c r="Q58">
        <v>3.19</v>
      </c>
      <c r="R58">
        <v>7.0000000000000007E-2</v>
      </c>
      <c r="S58">
        <v>197.3</v>
      </c>
      <c r="T58">
        <v>9.1300000000000008</v>
      </c>
      <c r="U58" s="44">
        <f t="shared" si="11"/>
        <v>4.7800000000000011</v>
      </c>
      <c r="V58" s="44">
        <f t="shared" si="1"/>
        <v>1.1000000000000001E-2</v>
      </c>
      <c r="W58" s="44">
        <f t="shared" si="7"/>
        <v>1.1150532184490624E-2</v>
      </c>
      <c r="X58" s="44">
        <f t="shared" si="8"/>
        <v>1.6168271667511402E-2</v>
      </c>
      <c r="Y58" s="45">
        <f t="shared" si="9"/>
        <v>0.84000000000000008</v>
      </c>
      <c r="Z58">
        <v>34</v>
      </c>
      <c r="AA58">
        <v>7.2</v>
      </c>
      <c r="AB58">
        <v>50</v>
      </c>
      <c r="AC58" s="31">
        <v>2.9999999999999997E-4</v>
      </c>
      <c r="AD58" s="31">
        <f t="shared" si="2"/>
        <v>7.0104635999999984E-2</v>
      </c>
      <c r="AE58" s="31">
        <f t="shared" si="12"/>
        <v>1.3583138399999999</v>
      </c>
      <c r="AF58">
        <v>200</v>
      </c>
      <c r="AG58" s="30">
        <v>1.18337268345563E-2</v>
      </c>
      <c r="AH58" s="31"/>
      <c r="AI58" s="31"/>
      <c r="AJ58" s="32">
        <f t="shared" si="3"/>
        <v>0</v>
      </c>
      <c r="AK58" s="32">
        <f t="shared" si="4"/>
        <v>0</v>
      </c>
      <c r="AL58" s="33">
        <f t="shared" si="5"/>
        <v>0</v>
      </c>
      <c r="AM58" s="34">
        <f t="shared" si="6"/>
        <v>0</v>
      </c>
    </row>
    <row r="59" spans="1:39" x14ac:dyDescent="0.25">
      <c r="A59" s="2" t="s">
        <v>56</v>
      </c>
      <c r="B59" t="s">
        <v>49</v>
      </c>
      <c r="C59">
        <v>18</v>
      </c>
      <c r="D59">
        <v>7.1</v>
      </c>
      <c r="E59">
        <v>32.999999999999993</v>
      </c>
      <c r="F59">
        <v>2</v>
      </c>
      <c r="G59" s="1">
        <v>45346.300775462965</v>
      </c>
      <c r="H59" s="19">
        <v>1075.037</v>
      </c>
      <c r="I59">
        <v>23.37</v>
      </c>
      <c r="J59">
        <v>96.73</v>
      </c>
      <c r="K59">
        <v>2.9</v>
      </c>
      <c r="L59">
        <v>295</v>
      </c>
      <c r="M59">
        <v>29.1</v>
      </c>
      <c r="N59">
        <v>0.05</v>
      </c>
      <c r="O59">
        <v>7.35</v>
      </c>
      <c r="P59" s="2">
        <v>1.91</v>
      </c>
      <c r="Q59">
        <v>3.7</v>
      </c>
      <c r="R59">
        <v>7.0000000000000007E-2</v>
      </c>
      <c r="S59">
        <v>198</v>
      </c>
      <c r="T59">
        <v>20.329999999999998</v>
      </c>
      <c r="U59" s="44">
        <f t="shared" si="11"/>
        <v>4.7799999999999976</v>
      </c>
      <c r="V59" s="44">
        <f t="shared" si="1"/>
        <v>9.5499999999999995E-3</v>
      </c>
      <c r="W59" s="44">
        <f t="shared" si="7"/>
        <v>9.6464646464646461E-3</v>
      </c>
      <c r="X59" s="44">
        <f t="shared" si="8"/>
        <v>1.8686868686868689E-2</v>
      </c>
      <c r="Y59" s="45">
        <f t="shared" si="9"/>
        <v>0.84000000000000008</v>
      </c>
      <c r="Z59">
        <v>34</v>
      </c>
      <c r="AA59">
        <v>7.2</v>
      </c>
      <c r="AB59">
        <v>50</v>
      </c>
      <c r="AC59" s="31">
        <v>2.9999999999999997E-4</v>
      </c>
      <c r="AD59" s="31">
        <f t="shared" si="2"/>
        <v>8.3290679999999992E-2</v>
      </c>
      <c r="AE59" s="31">
        <f t="shared" si="12"/>
        <v>1.7638742735999995</v>
      </c>
      <c r="AF59">
        <v>200</v>
      </c>
      <c r="AG59" s="30">
        <v>1.1369892107464301E-2</v>
      </c>
      <c r="AH59" s="31"/>
      <c r="AI59" s="31"/>
      <c r="AJ59" s="32">
        <f t="shared" si="3"/>
        <v>9.4749100895535843E-2</v>
      </c>
      <c r="AK59" s="32">
        <f t="shared" si="4"/>
        <v>0</v>
      </c>
      <c r="AL59" s="33">
        <f t="shared" si="5"/>
        <v>0</v>
      </c>
      <c r="AM59" s="34">
        <f t="shared" si="6"/>
        <v>9.4749100895535843E-2</v>
      </c>
    </row>
    <row r="60" spans="1:39" x14ac:dyDescent="0.25">
      <c r="A60" s="2" t="s">
        <v>57</v>
      </c>
      <c r="B60" t="s">
        <v>46</v>
      </c>
      <c r="C60">
        <v>18</v>
      </c>
      <c r="D60">
        <v>7.2</v>
      </c>
      <c r="E60">
        <v>34</v>
      </c>
      <c r="F60">
        <v>2</v>
      </c>
      <c r="G60" s="1">
        <v>45346.307488425926</v>
      </c>
      <c r="H60" s="19">
        <v>887.16219999999998</v>
      </c>
      <c r="I60">
        <v>20.25</v>
      </c>
      <c r="J60">
        <v>94.78</v>
      </c>
      <c r="K60">
        <v>2.2000000000000002</v>
      </c>
      <c r="L60">
        <v>297</v>
      </c>
      <c r="M60">
        <v>33.799999999999997</v>
      </c>
      <c r="N60">
        <v>0.06</v>
      </c>
      <c r="O60">
        <v>7.38</v>
      </c>
      <c r="P60" s="2">
        <v>0.97</v>
      </c>
      <c r="Q60">
        <v>0.85</v>
      </c>
      <c r="R60">
        <v>0.01</v>
      </c>
      <c r="S60">
        <v>195.6</v>
      </c>
      <c r="T60">
        <v>20.329999999999998</v>
      </c>
      <c r="U60" s="44">
        <f t="shared" si="11"/>
        <v>4.7799999999999976</v>
      </c>
      <c r="V60" s="44">
        <f t="shared" si="1"/>
        <v>4.8500000000000001E-3</v>
      </c>
      <c r="W60" s="44">
        <f t="shared" si="7"/>
        <v>4.9591002044989778E-3</v>
      </c>
      <c r="X60" s="44">
        <f t="shared" si="8"/>
        <v>4.3456032719836404E-3</v>
      </c>
      <c r="Y60" s="45">
        <f t="shared" si="9"/>
        <v>0.12</v>
      </c>
      <c r="Z60">
        <v>34</v>
      </c>
      <c r="AA60">
        <v>7.2</v>
      </c>
      <c r="AB60">
        <v>50</v>
      </c>
      <c r="AC60" s="31">
        <v>2.9999999999999997E-4</v>
      </c>
      <c r="AD60" s="31">
        <f t="shared" si="2"/>
        <v>7.129619999999999E-2</v>
      </c>
      <c r="AE60" s="31">
        <f t="shared" si="12"/>
        <v>1.7073745919999999</v>
      </c>
      <c r="AF60">
        <v>200</v>
      </c>
      <c r="AG60" s="30">
        <v>1.41999245175573E-2</v>
      </c>
      <c r="AH60" s="31">
        <v>2.4E-2</v>
      </c>
      <c r="AI60" s="31">
        <v>1.2999999999999999E-3</v>
      </c>
      <c r="AJ60" s="32">
        <f t="shared" si="3"/>
        <v>0</v>
      </c>
      <c r="AK60" s="32">
        <f t="shared" si="4"/>
        <v>0.1956</v>
      </c>
      <c r="AL60" s="33">
        <f t="shared" si="5"/>
        <v>0.25428000000000001</v>
      </c>
      <c r="AM60" s="34">
        <f t="shared" si="6"/>
        <v>0.1956</v>
      </c>
    </row>
    <row r="61" spans="1:39" x14ac:dyDescent="0.25">
      <c r="A61" s="2" t="s">
        <v>58</v>
      </c>
      <c r="B61" t="s">
        <v>51</v>
      </c>
      <c r="C61">
        <v>18</v>
      </c>
      <c r="D61">
        <v>7.1</v>
      </c>
      <c r="E61">
        <v>32.999999999999993</v>
      </c>
      <c r="F61">
        <v>2</v>
      </c>
      <c r="G61" s="1">
        <v>45346.312326388892</v>
      </c>
      <c r="H61" s="19">
        <v>1044.318</v>
      </c>
      <c r="I61">
        <v>24.59</v>
      </c>
      <c r="J61">
        <v>97.79</v>
      </c>
      <c r="K61">
        <v>2.75</v>
      </c>
      <c r="L61">
        <v>294</v>
      </c>
      <c r="M61">
        <v>25.6</v>
      </c>
      <c r="N61">
        <v>0.32</v>
      </c>
      <c r="O61">
        <v>7.33</v>
      </c>
      <c r="P61" s="2">
        <v>2.69</v>
      </c>
      <c r="Q61">
        <v>3.52</v>
      </c>
      <c r="R61">
        <v>0.09</v>
      </c>
      <c r="S61">
        <v>205.04</v>
      </c>
      <c r="T61">
        <v>20.329999999999998</v>
      </c>
      <c r="U61" s="44">
        <f t="shared" si="11"/>
        <v>4.7799999999999976</v>
      </c>
      <c r="V61" s="44">
        <f t="shared" si="1"/>
        <v>1.345E-2</v>
      </c>
      <c r="W61" s="44">
        <f t="shared" si="7"/>
        <v>1.3119391338275459E-2</v>
      </c>
      <c r="X61" s="44">
        <f t="shared" si="8"/>
        <v>1.7167381974248927E-2</v>
      </c>
      <c r="Y61" s="45">
        <f t="shared" si="9"/>
        <v>1.08</v>
      </c>
      <c r="Z61">
        <v>34</v>
      </c>
      <c r="AA61">
        <v>7.2</v>
      </c>
      <c r="AB61">
        <v>50</v>
      </c>
      <c r="AC61" s="31">
        <v>2.9999999999999997E-4</v>
      </c>
      <c r="AD61" s="31">
        <f t="shared" si="2"/>
        <v>9.0754804799999977E-2</v>
      </c>
      <c r="AE61" s="31">
        <f t="shared" si="12"/>
        <v>1.7049968639999999</v>
      </c>
      <c r="AF61">
        <v>200</v>
      </c>
      <c r="AG61" s="30">
        <v>1.0040137011331799E-2</v>
      </c>
      <c r="AH61" s="31"/>
      <c r="AI61" s="31"/>
      <c r="AJ61" s="32">
        <f t="shared" si="3"/>
        <v>0</v>
      </c>
      <c r="AK61" s="32">
        <f t="shared" si="4"/>
        <v>0</v>
      </c>
      <c r="AL61" s="33">
        <f t="shared" si="5"/>
        <v>0</v>
      </c>
      <c r="AM61" s="34">
        <f t="shared" si="6"/>
        <v>0</v>
      </c>
    </row>
    <row r="62" spans="1:39" x14ac:dyDescent="0.25">
      <c r="A62" s="2" t="s">
        <v>59</v>
      </c>
      <c r="B62" t="s">
        <v>46</v>
      </c>
      <c r="C62">
        <v>15</v>
      </c>
      <c r="D62">
        <v>7.1</v>
      </c>
      <c r="E62">
        <v>32.999999999999993</v>
      </c>
      <c r="F62">
        <v>2</v>
      </c>
      <c r="G62" s="1">
        <v>45346.31726851852</v>
      </c>
      <c r="H62" s="19">
        <v>906.48569999999995</v>
      </c>
      <c r="I62">
        <v>21.95</v>
      </c>
      <c r="J62">
        <v>97.85</v>
      </c>
      <c r="K62">
        <v>2.59</v>
      </c>
      <c r="L62">
        <v>299</v>
      </c>
      <c r="M62">
        <v>38</v>
      </c>
      <c r="N62">
        <v>0.04</v>
      </c>
      <c r="O62">
        <v>7.36</v>
      </c>
      <c r="P62" s="2">
        <v>0.78</v>
      </c>
      <c r="Q62">
        <v>1.75</v>
      </c>
      <c r="R62">
        <v>0</v>
      </c>
      <c r="S62">
        <v>195.93</v>
      </c>
      <c r="T62">
        <v>8.33</v>
      </c>
      <c r="U62" s="44">
        <f t="shared" si="11"/>
        <v>4.78</v>
      </c>
      <c r="V62" s="44">
        <f t="shared" si="1"/>
        <v>3.9000000000000003E-3</v>
      </c>
      <c r="W62" s="44">
        <f t="shared" si="7"/>
        <v>3.9810136273158783E-3</v>
      </c>
      <c r="X62" s="44">
        <f t="shared" si="8"/>
        <v>8.9317613433369056E-3</v>
      </c>
      <c r="Y62" s="45">
        <f t="shared" si="9"/>
        <v>0</v>
      </c>
      <c r="Z62">
        <v>34</v>
      </c>
      <c r="AA62">
        <v>7.2</v>
      </c>
      <c r="AB62">
        <v>50</v>
      </c>
      <c r="AC62" s="31">
        <v>2.9999999999999997E-4</v>
      </c>
      <c r="AD62" s="31">
        <f t="shared" si="2"/>
        <v>7.7411942999999983E-2</v>
      </c>
      <c r="AE62" s="31">
        <f t="shared" si="12"/>
        <v>1.5735342527999996</v>
      </c>
      <c r="AF62">
        <v>200</v>
      </c>
      <c r="AG62" s="30">
        <v>1.4195918254083799E-2</v>
      </c>
      <c r="AH62" s="31">
        <v>2.4E-2</v>
      </c>
      <c r="AI62" s="31">
        <v>1.2999999999999999E-3</v>
      </c>
      <c r="AJ62" s="32">
        <f t="shared" si="3"/>
        <v>0</v>
      </c>
      <c r="AK62" s="32">
        <f t="shared" si="4"/>
        <v>0.19593000000000002</v>
      </c>
      <c r="AL62" s="33">
        <f t="shared" si="5"/>
        <v>0.25470900000000002</v>
      </c>
      <c r="AM62" s="34">
        <f t="shared" si="6"/>
        <v>0.19593000000000002</v>
      </c>
    </row>
    <row r="63" spans="1:39" x14ac:dyDescent="0.25">
      <c r="A63" s="2" t="s">
        <v>60</v>
      </c>
      <c r="B63" t="s">
        <v>49</v>
      </c>
      <c r="C63">
        <v>15</v>
      </c>
      <c r="D63">
        <v>7.1</v>
      </c>
      <c r="E63">
        <v>32.999999999999993</v>
      </c>
      <c r="F63">
        <v>2</v>
      </c>
      <c r="G63" s="1">
        <v>45346.322604166664</v>
      </c>
      <c r="H63" s="19">
        <v>952.45950000000005</v>
      </c>
      <c r="I63">
        <v>19.87</v>
      </c>
      <c r="J63">
        <v>96.92</v>
      </c>
      <c r="K63">
        <v>3.01</v>
      </c>
      <c r="L63">
        <v>300</v>
      </c>
      <c r="M63">
        <v>28.3</v>
      </c>
      <c r="N63">
        <v>0.05</v>
      </c>
      <c r="O63">
        <v>7.36</v>
      </c>
      <c r="P63" s="2">
        <v>1.94</v>
      </c>
      <c r="Q63">
        <v>3.22</v>
      </c>
      <c r="R63">
        <v>0.08</v>
      </c>
      <c r="S63">
        <v>197.75</v>
      </c>
      <c r="T63">
        <v>8.33</v>
      </c>
      <c r="U63" s="44">
        <f t="shared" si="11"/>
        <v>4.78</v>
      </c>
      <c r="V63" s="44">
        <f t="shared" si="1"/>
        <v>9.7000000000000003E-3</v>
      </c>
      <c r="W63" s="44">
        <f t="shared" si="7"/>
        <v>9.8103666245259163E-3</v>
      </c>
      <c r="X63" s="44">
        <f t="shared" si="8"/>
        <v>1.6283185840707967E-2</v>
      </c>
      <c r="Y63" s="45">
        <f t="shared" si="9"/>
        <v>0.96</v>
      </c>
      <c r="Z63">
        <v>34</v>
      </c>
      <c r="AA63">
        <v>7.2</v>
      </c>
      <c r="AB63">
        <v>50</v>
      </c>
      <c r="AC63" s="31">
        <v>2.9999999999999997E-4</v>
      </c>
      <c r="AD63" s="31">
        <f t="shared" si="2"/>
        <v>7.0727265000000011E-2</v>
      </c>
      <c r="AE63" s="31">
        <f t="shared" si="12"/>
        <v>1.4011516511999997</v>
      </c>
      <c r="AF63">
        <v>200</v>
      </c>
      <c r="AG63" s="30">
        <v>1.2642379799712699E-2</v>
      </c>
      <c r="AH63" s="31"/>
      <c r="AI63" s="31"/>
      <c r="AJ63" s="32">
        <f t="shared" si="3"/>
        <v>0.10535316499760583</v>
      </c>
      <c r="AK63" s="32">
        <f t="shared" si="4"/>
        <v>0</v>
      </c>
      <c r="AL63" s="33">
        <f t="shared" si="5"/>
        <v>0</v>
      </c>
      <c r="AM63" s="34">
        <f t="shared" si="6"/>
        <v>0.10535316499760583</v>
      </c>
    </row>
    <row r="64" spans="1:39" x14ac:dyDescent="0.25">
      <c r="A64" s="2" t="s">
        <v>61</v>
      </c>
      <c r="B64" t="s">
        <v>46</v>
      </c>
      <c r="C64">
        <v>15</v>
      </c>
      <c r="D64">
        <v>7.3</v>
      </c>
      <c r="E64">
        <v>35</v>
      </c>
      <c r="F64">
        <v>2</v>
      </c>
      <c r="G64" s="1">
        <v>45346.327731481484</v>
      </c>
      <c r="H64" s="19">
        <v>775.64110000000005</v>
      </c>
      <c r="I64">
        <v>18.63</v>
      </c>
      <c r="J64">
        <v>96.01</v>
      </c>
      <c r="K64">
        <v>1.8</v>
      </c>
      <c r="L64">
        <v>298</v>
      </c>
      <c r="M64">
        <v>46.8</v>
      </c>
      <c r="N64">
        <v>0.05</v>
      </c>
      <c r="O64">
        <v>7.39</v>
      </c>
      <c r="P64" s="2">
        <v>0.76</v>
      </c>
      <c r="Q64">
        <v>0.68</v>
      </c>
      <c r="R64">
        <v>0.01</v>
      </c>
      <c r="S64">
        <v>194.91</v>
      </c>
      <c r="T64">
        <v>8.33</v>
      </c>
      <c r="U64" s="44">
        <f t="shared" si="11"/>
        <v>4.78</v>
      </c>
      <c r="V64" s="44">
        <f t="shared" si="1"/>
        <v>3.8E-3</v>
      </c>
      <c r="W64" s="44">
        <f t="shared" si="7"/>
        <v>3.899235544610333E-3</v>
      </c>
      <c r="X64" s="44">
        <f t="shared" si="8"/>
        <v>3.4887896978092457E-3</v>
      </c>
      <c r="Y64" s="45">
        <f t="shared" si="9"/>
        <v>0.12</v>
      </c>
      <c r="Z64">
        <v>34</v>
      </c>
      <c r="AA64">
        <v>7.2</v>
      </c>
      <c r="AB64">
        <v>50</v>
      </c>
      <c r="AC64" s="31">
        <v>2.9999999999999997E-4</v>
      </c>
      <c r="AD64" s="31">
        <f t="shared" si="2"/>
        <v>6.5361119400000001E-2</v>
      </c>
      <c r="AE64" s="31">
        <f t="shared" si="12"/>
        <v>1.4388164351999999</v>
      </c>
      <c r="AF64">
        <v>200</v>
      </c>
      <c r="AG64" s="30">
        <v>1.5752474004341099E-2</v>
      </c>
      <c r="AH64" s="31">
        <v>2.4E-2</v>
      </c>
      <c r="AI64" s="31">
        <v>1.2999999999999999E-3</v>
      </c>
      <c r="AJ64" s="32">
        <f t="shared" si="3"/>
        <v>0</v>
      </c>
      <c r="AK64" s="32">
        <f t="shared" si="4"/>
        <v>0.19491</v>
      </c>
      <c r="AL64" s="33">
        <f t="shared" si="5"/>
        <v>0.25338299999999997</v>
      </c>
      <c r="AM64" s="34">
        <f t="shared" si="6"/>
        <v>0.19491</v>
      </c>
    </row>
    <row r="65" spans="1:39" x14ac:dyDescent="0.25">
      <c r="A65" s="2" t="s">
        <v>62</v>
      </c>
      <c r="B65" t="s">
        <v>49</v>
      </c>
      <c r="C65">
        <v>18</v>
      </c>
      <c r="D65">
        <v>7.2</v>
      </c>
      <c r="E65">
        <v>34</v>
      </c>
      <c r="F65">
        <v>2</v>
      </c>
      <c r="G65" s="1">
        <v>45346.338159722225</v>
      </c>
      <c r="H65" s="19">
        <v>1096.682</v>
      </c>
      <c r="I65">
        <v>22.93</v>
      </c>
      <c r="J65">
        <v>97.25</v>
      </c>
      <c r="K65">
        <v>2.84</v>
      </c>
      <c r="L65">
        <v>294</v>
      </c>
      <c r="M65">
        <v>29</v>
      </c>
      <c r="N65">
        <v>0.06</v>
      </c>
      <c r="O65">
        <v>7.34</v>
      </c>
      <c r="P65" s="2">
        <v>2.1800000000000002</v>
      </c>
      <c r="Q65">
        <v>3.63</v>
      </c>
      <c r="R65">
        <v>0.08</v>
      </c>
      <c r="S65">
        <v>198.25</v>
      </c>
      <c r="T65">
        <v>20.329999999999998</v>
      </c>
      <c r="U65" s="44">
        <f t="shared" si="11"/>
        <v>4.7799999999999976</v>
      </c>
      <c r="V65" s="44">
        <f t="shared" si="1"/>
        <v>1.09E-2</v>
      </c>
      <c r="W65" s="44">
        <f t="shared" si="7"/>
        <v>1.0996216897856242E-2</v>
      </c>
      <c r="X65" s="44">
        <f t="shared" si="8"/>
        <v>1.8310214375788145E-2</v>
      </c>
      <c r="Y65" s="45">
        <f t="shared" si="9"/>
        <v>0.96</v>
      </c>
      <c r="Z65">
        <v>34</v>
      </c>
      <c r="AA65">
        <v>7.2</v>
      </c>
      <c r="AB65">
        <v>50</v>
      </c>
      <c r="AC65" s="31">
        <v>2.9999999999999997E-4</v>
      </c>
      <c r="AD65" s="31">
        <f t="shared" si="2"/>
        <v>8.1825704999999985E-2</v>
      </c>
      <c r="AE65" s="31">
        <f t="shared" si="12"/>
        <v>1.65762828</v>
      </c>
      <c r="AF65">
        <v>200</v>
      </c>
      <c r="AG65" s="30">
        <v>1.0936983741416099E-2</v>
      </c>
      <c r="AH65" s="31"/>
      <c r="AI65" s="31"/>
      <c r="AJ65" s="32">
        <f t="shared" si="3"/>
        <v>9.1141531178467503E-2</v>
      </c>
      <c r="AK65" s="32">
        <f t="shared" si="4"/>
        <v>0</v>
      </c>
      <c r="AL65" s="33">
        <f t="shared" si="5"/>
        <v>0</v>
      </c>
      <c r="AM65" s="34">
        <f t="shared" si="6"/>
        <v>9.1141531178467503E-2</v>
      </c>
    </row>
    <row r="66" spans="1:39" x14ac:dyDescent="0.25">
      <c r="A66" s="2" t="s">
        <v>63</v>
      </c>
      <c r="B66" t="s">
        <v>51</v>
      </c>
      <c r="C66">
        <v>12</v>
      </c>
      <c r="D66">
        <v>7.1</v>
      </c>
      <c r="E66">
        <v>32.999999999999993</v>
      </c>
      <c r="F66">
        <v>2</v>
      </c>
      <c r="G66" s="1">
        <v>45346.342905092592</v>
      </c>
      <c r="H66" s="19">
        <v>795.92439999999999</v>
      </c>
      <c r="I66">
        <v>18.66</v>
      </c>
      <c r="J66">
        <v>98.23</v>
      </c>
      <c r="K66">
        <v>3.42</v>
      </c>
      <c r="L66">
        <v>313</v>
      </c>
      <c r="M66">
        <v>31.3</v>
      </c>
      <c r="N66">
        <v>0.42</v>
      </c>
      <c r="O66">
        <v>7.18</v>
      </c>
      <c r="P66" s="2">
        <v>2.0099999999999998</v>
      </c>
      <c r="Q66">
        <v>2.48</v>
      </c>
      <c r="R66">
        <v>7.0000000000000007E-2</v>
      </c>
      <c r="S66">
        <v>196.71</v>
      </c>
      <c r="T66">
        <v>9.1300000000000008</v>
      </c>
      <c r="U66" s="44">
        <f t="shared" si="11"/>
        <v>4.7800000000000011</v>
      </c>
      <c r="V66" s="44">
        <f t="shared" si="1"/>
        <v>1.0049999999999998E-2</v>
      </c>
      <c r="W66" s="44">
        <f t="shared" si="7"/>
        <v>1.021808754003355E-2</v>
      </c>
      <c r="X66" s="44">
        <f t="shared" si="8"/>
        <v>1.2607391591683188E-2</v>
      </c>
      <c r="Y66" s="45">
        <f t="shared" si="9"/>
        <v>0.84000000000000008</v>
      </c>
      <c r="Z66">
        <v>34</v>
      </c>
      <c r="AA66">
        <v>7.2</v>
      </c>
      <c r="AB66">
        <v>50</v>
      </c>
      <c r="AC66" s="31">
        <v>2.9999999999999997E-4</v>
      </c>
      <c r="AD66" s="31">
        <f t="shared" si="2"/>
        <v>6.6070954799999998E-2</v>
      </c>
      <c r="AE66" s="31">
        <f t="shared" si="12"/>
        <v>1.2766457087999998</v>
      </c>
      <c r="AF66">
        <v>200</v>
      </c>
      <c r="AG66" s="30">
        <v>1.2824712078535E-2</v>
      </c>
      <c r="AH66" s="31"/>
      <c r="AI66" s="31"/>
      <c r="AJ66" s="32">
        <f t="shared" si="3"/>
        <v>0</v>
      </c>
      <c r="AK66" s="32">
        <f t="shared" si="4"/>
        <v>0</v>
      </c>
      <c r="AL66" s="33">
        <f t="shared" si="5"/>
        <v>0</v>
      </c>
      <c r="AM66" s="34">
        <f t="shared" si="6"/>
        <v>0</v>
      </c>
    </row>
    <row r="67" spans="1:39" x14ac:dyDescent="0.25">
      <c r="A67" s="2" t="s">
        <v>64</v>
      </c>
      <c r="B67" t="s">
        <v>46</v>
      </c>
      <c r="C67">
        <v>12</v>
      </c>
      <c r="D67">
        <v>7.1</v>
      </c>
      <c r="E67">
        <v>32.999999999999993</v>
      </c>
      <c r="F67">
        <v>2</v>
      </c>
      <c r="G67" s="1">
        <v>45346.348275462966</v>
      </c>
      <c r="H67" s="19">
        <v>763.04660000000001</v>
      </c>
      <c r="I67">
        <v>17.86</v>
      </c>
      <c r="J67">
        <v>97.96</v>
      </c>
      <c r="K67">
        <v>2.36</v>
      </c>
      <c r="L67">
        <v>304</v>
      </c>
      <c r="M67">
        <v>36.1</v>
      </c>
      <c r="N67">
        <v>0.05</v>
      </c>
      <c r="O67">
        <v>7.35</v>
      </c>
      <c r="P67" s="2">
        <v>0.65</v>
      </c>
      <c r="Q67">
        <v>0.87</v>
      </c>
      <c r="R67">
        <v>0.02</v>
      </c>
      <c r="S67">
        <v>194.73</v>
      </c>
      <c r="T67">
        <v>8.33</v>
      </c>
      <c r="U67" s="44">
        <f t="shared" si="11"/>
        <v>4.78</v>
      </c>
      <c r="V67" s="44">
        <f t="shared" ref="V67:V130" si="13">P67/AF67</f>
        <v>3.2500000000000003E-3</v>
      </c>
      <c r="W67" s="44">
        <f t="shared" si="7"/>
        <v>3.3379551173419609E-3</v>
      </c>
      <c r="X67" s="44">
        <f t="shared" si="8"/>
        <v>4.4677245416730859E-3</v>
      </c>
      <c r="Y67" s="45">
        <f t="shared" si="9"/>
        <v>0.24</v>
      </c>
      <c r="Z67">
        <v>34</v>
      </c>
      <c r="AA67">
        <v>7.2</v>
      </c>
      <c r="AB67">
        <v>50</v>
      </c>
      <c r="AC67" s="31">
        <v>2.9999999999999997E-4</v>
      </c>
      <c r="AD67" s="31">
        <f t="shared" ref="AD67:AD130" si="14">AC67*I67*S67*0.06</f>
        <v>6.2601800399999977E-2</v>
      </c>
      <c r="AE67" s="31">
        <f t="shared" si="12"/>
        <v>1.1437769375999998</v>
      </c>
      <c r="AF67">
        <v>200</v>
      </c>
      <c r="AG67" s="30">
        <v>1.5546829267798001E-2</v>
      </c>
      <c r="AH67" s="31">
        <v>2.4E-2</v>
      </c>
      <c r="AI67" s="31">
        <v>1.2999999999999999E-3</v>
      </c>
      <c r="AJ67" s="32">
        <f t="shared" ref="AJ67:AJ130" si="15">IF(B67="Python",AG67*AF67/24,0)</f>
        <v>0</v>
      </c>
      <c r="AK67" s="32">
        <f t="shared" ref="AK67:AK130" si="16">IF(B67="Julia",AH67*S67/24,0)</f>
        <v>0.19472999999999999</v>
      </c>
      <c r="AL67" s="33">
        <f t="shared" ref="AL67:AL130" si="17">AI67*S67</f>
        <v>0.25314899999999996</v>
      </c>
      <c r="AM67" s="34">
        <f t="shared" ref="AM67:AM130" si="18">IF(IF(AND(AK67=0, AJ67=0),0, IF(AK67&gt;0,AK67,AJ67))=0,0,IF(AND(AK67=0, AJ67=0),0, IF(AK67&gt;0,AK67,AJ67)))</f>
        <v>0.19472999999999999</v>
      </c>
    </row>
    <row r="68" spans="1:39" x14ac:dyDescent="0.25">
      <c r="A68" s="2" t="s">
        <v>65</v>
      </c>
      <c r="B68" t="s">
        <v>49</v>
      </c>
      <c r="C68">
        <v>15</v>
      </c>
      <c r="D68">
        <v>7.3</v>
      </c>
      <c r="E68">
        <v>35</v>
      </c>
      <c r="F68">
        <v>2</v>
      </c>
      <c r="G68" s="1">
        <v>45346.353449074071</v>
      </c>
      <c r="H68" s="19">
        <v>933.90369999999996</v>
      </c>
      <c r="I68">
        <v>19.93</v>
      </c>
      <c r="J68">
        <v>97.89</v>
      </c>
      <c r="K68">
        <v>3.18</v>
      </c>
      <c r="L68">
        <v>303</v>
      </c>
      <c r="M68">
        <v>27.1</v>
      </c>
      <c r="N68">
        <v>0.13</v>
      </c>
      <c r="O68">
        <v>7.33</v>
      </c>
      <c r="P68" s="2">
        <v>2.04</v>
      </c>
      <c r="Q68">
        <v>3.32</v>
      </c>
      <c r="R68">
        <v>0.09</v>
      </c>
      <c r="S68">
        <v>198.17</v>
      </c>
      <c r="T68">
        <v>8.33</v>
      </c>
      <c r="U68" s="44">
        <f t="shared" si="11"/>
        <v>4.78</v>
      </c>
      <c r="V68" s="44">
        <f t="shared" si="13"/>
        <v>1.0200000000000001E-2</v>
      </c>
      <c r="W68" s="44">
        <f t="shared" ref="W68:W131" si="19">P68/S68</f>
        <v>1.029419185547762E-2</v>
      </c>
      <c r="X68" s="44">
        <f t="shared" ref="X68:X131" si="20">Q68/S68</f>
        <v>1.6753292627542011E-2</v>
      </c>
      <c r="Y68" s="45">
        <f t="shared" ref="Y68:Y131" si="21">R68*12</f>
        <v>1.08</v>
      </c>
      <c r="Z68">
        <v>34</v>
      </c>
      <c r="AA68">
        <v>7.2</v>
      </c>
      <c r="AB68">
        <v>50</v>
      </c>
      <c r="AC68" s="31">
        <v>2.9999999999999997E-4</v>
      </c>
      <c r="AD68" s="31">
        <f t="shared" si="14"/>
        <v>7.1091505799999982E-2</v>
      </c>
      <c r="AE68" s="31">
        <f t="shared" si="12"/>
        <v>1.4094884303999999</v>
      </c>
      <c r="AF68">
        <v>200</v>
      </c>
      <c r="AG68" s="30">
        <v>1.18631787398815E-2</v>
      </c>
      <c r="AH68" s="31"/>
      <c r="AI68" s="31"/>
      <c r="AJ68" s="32">
        <f t="shared" si="15"/>
        <v>9.8859822832345831E-2</v>
      </c>
      <c r="AK68" s="32">
        <f t="shared" si="16"/>
        <v>0</v>
      </c>
      <c r="AL68" s="33">
        <f t="shared" si="17"/>
        <v>0</v>
      </c>
      <c r="AM68" s="34">
        <f t="shared" si="18"/>
        <v>9.8859822832345831E-2</v>
      </c>
    </row>
    <row r="69" spans="1:39" x14ac:dyDescent="0.25">
      <c r="A69" s="2" t="s">
        <v>66</v>
      </c>
      <c r="B69" t="s">
        <v>46</v>
      </c>
      <c r="C69">
        <v>12</v>
      </c>
      <c r="D69">
        <v>7.2</v>
      </c>
      <c r="E69">
        <v>34</v>
      </c>
      <c r="F69">
        <v>2</v>
      </c>
      <c r="G69" s="1">
        <v>45346.358622685184</v>
      </c>
      <c r="H69" s="19">
        <v>710.95780000000002</v>
      </c>
      <c r="I69">
        <v>16.350000000000001</v>
      </c>
      <c r="J69">
        <v>96.95</v>
      </c>
      <c r="K69">
        <v>2.16</v>
      </c>
      <c r="L69">
        <v>301</v>
      </c>
      <c r="M69">
        <v>38.9</v>
      </c>
      <c r="N69">
        <v>0.03</v>
      </c>
      <c r="O69">
        <v>7.36</v>
      </c>
      <c r="P69" s="2">
        <v>0.67</v>
      </c>
      <c r="Q69">
        <v>0.59</v>
      </c>
      <c r="R69">
        <v>0.04</v>
      </c>
      <c r="S69">
        <v>193.72</v>
      </c>
      <c r="T69">
        <v>9.1300000000000008</v>
      </c>
      <c r="U69" s="44">
        <f t="shared" si="11"/>
        <v>5.580000000000001</v>
      </c>
      <c r="V69" s="44">
        <f t="shared" si="13"/>
        <v>3.3500000000000001E-3</v>
      </c>
      <c r="W69" s="44">
        <f t="shared" si="19"/>
        <v>3.458600041296717E-3</v>
      </c>
      <c r="X69" s="44">
        <f t="shared" si="20"/>
        <v>3.0456328721866609E-3</v>
      </c>
      <c r="Y69" s="45">
        <f t="shared" si="21"/>
        <v>0.48</v>
      </c>
      <c r="Z69">
        <v>34</v>
      </c>
      <c r="AA69">
        <v>7.2</v>
      </c>
      <c r="AB69">
        <v>50</v>
      </c>
      <c r="AC69" s="31">
        <v>2.9999999999999997E-4</v>
      </c>
      <c r="AD69" s="31">
        <f t="shared" si="14"/>
        <v>5.7011795999999997E-2</v>
      </c>
      <c r="AE69" s="31">
        <f t="shared" si="12"/>
        <v>1.2422030399999997</v>
      </c>
      <c r="AF69">
        <v>200</v>
      </c>
      <c r="AG69" s="30">
        <v>1.6254195183151299E-2</v>
      </c>
      <c r="AH69" s="31">
        <v>2.4E-2</v>
      </c>
      <c r="AI69" s="31">
        <v>1.2999999999999999E-3</v>
      </c>
      <c r="AJ69" s="32">
        <f t="shared" si="15"/>
        <v>0</v>
      </c>
      <c r="AK69" s="32">
        <f t="shared" si="16"/>
        <v>0.19372</v>
      </c>
      <c r="AL69" s="33">
        <f t="shared" si="17"/>
        <v>0.251836</v>
      </c>
      <c r="AM69" s="34">
        <f t="shared" si="18"/>
        <v>0.19372</v>
      </c>
    </row>
    <row r="70" spans="1:39" x14ac:dyDescent="0.25">
      <c r="A70" s="2" t="s">
        <v>67</v>
      </c>
      <c r="B70" t="s">
        <v>49</v>
      </c>
      <c r="C70">
        <v>12</v>
      </c>
      <c r="D70">
        <v>7.1</v>
      </c>
      <c r="E70">
        <v>32.999999999999993</v>
      </c>
      <c r="F70">
        <v>2</v>
      </c>
      <c r="G70" s="1">
        <v>45346.364583333336</v>
      </c>
      <c r="H70" s="19">
        <v>760.81700000000001</v>
      </c>
      <c r="I70">
        <v>17.64</v>
      </c>
      <c r="J70">
        <v>98</v>
      </c>
      <c r="K70">
        <v>3.34</v>
      </c>
      <c r="L70">
        <v>312</v>
      </c>
      <c r="M70">
        <v>29.6</v>
      </c>
      <c r="N70">
        <v>0.3</v>
      </c>
      <c r="O70">
        <v>7.2</v>
      </c>
      <c r="P70" s="2">
        <v>1.77</v>
      </c>
      <c r="Q70">
        <v>2.62</v>
      </c>
      <c r="R70">
        <v>0.09</v>
      </c>
      <c r="S70">
        <v>196.61</v>
      </c>
      <c r="T70">
        <v>9.1300000000000008</v>
      </c>
      <c r="U70" s="44">
        <f t="shared" si="11"/>
        <v>4.7800000000000011</v>
      </c>
      <c r="V70" s="44">
        <f t="shared" si="13"/>
        <v>8.8500000000000002E-3</v>
      </c>
      <c r="W70" s="44">
        <f t="shared" si="19"/>
        <v>9.0025939677534205E-3</v>
      </c>
      <c r="X70" s="44">
        <f t="shared" si="20"/>
        <v>1.3325873556787549E-2</v>
      </c>
      <c r="Y70" s="45">
        <f t="shared" si="21"/>
        <v>1.08</v>
      </c>
      <c r="Z70">
        <v>34</v>
      </c>
      <c r="AA70">
        <v>7.2</v>
      </c>
      <c r="AB70">
        <v>50</v>
      </c>
      <c r="AC70" s="31">
        <v>2.9999999999999997E-4</v>
      </c>
      <c r="AD70" s="31">
        <f t="shared" si="14"/>
        <v>6.2427607200000006E-2</v>
      </c>
      <c r="AE70" s="31">
        <f t="shared" si="12"/>
        <v>1.1883158784000001</v>
      </c>
      <c r="AF70">
        <v>200</v>
      </c>
      <c r="AG70" s="30">
        <v>1.3451750774867601E-2</v>
      </c>
      <c r="AH70" s="31"/>
      <c r="AI70" s="31"/>
      <c r="AJ70" s="32">
        <f t="shared" si="15"/>
        <v>0.11209792312389667</v>
      </c>
      <c r="AK70" s="32">
        <f t="shared" si="16"/>
        <v>0</v>
      </c>
      <c r="AL70" s="33">
        <f t="shared" si="17"/>
        <v>0</v>
      </c>
      <c r="AM70" s="34">
        <f t="shared" si="18"/>
        <v>0.11209792312389667</v>
      </c>
    </row>
    <row r="71" spans="1:39" x14ac:dyDescent="0.25">
      <c r="A71" s="2" t="s">
        <v>68</v>
      </c>
      <c r="B71" t="s">
        <v>51</v>
      </c>
      <c r="C71">
        <v>12</v>
      </c>
      <c r="D71">
        <v>7.3</v>
      </c>
      <c r="E71">
        <v>35</v>
      </c>
      <c r="F71">
        <v>2</v>
      </c>
      <c r="G71" s="1">
        <v>45346.370023148149</v>
      </c>
      <c r="H71" s="19">
        <v>788.78700000000003</v>
      </c>
      <c r="I71">
        <v>17</v>
      </c>
      <c r="J71">
        <v>97.97</v>
      </c>
      <c r="K71">
        <v>3.44</v>
      </c>
      <c r="L71">
        <v>310</v>
      </c>
      <c r="M71">
        <v>27.7</v>
      </c>
      <c r="N71">
        <v>0.15</v>
      </c>
      <c r="O71">
        <v>7.27</v>
      </c>
      <c r="P71" s="2">
        <v>1.71</v>
      </c>
      <c r="Q71">
        <v>2.8</v>
      </c>
      <c r="R71">
        <v>0.06</v>
      </c>
      <c r="S71">
        <v>196.77</v>
      </c>
      <c r="T71">
        <v>9.1300000000000008</v>
      </c>
      <c r="U71" s="44">
        <f t="shared" si="11"/>
        <v>4.7800000000000011</v>
      </c>
      <c r="V71" s="44">
        <f t="shared" si="13"/>
        <v>8.5500000000000003E-3</v>
      </c>
      <c r="W71" s="44">
        <f t="shared" si="19"/>
        <v>8.6903491385881982E-3</v>
      </c>
      <c r="X71" s="44">
        <f t="shared" si="20"/>
        <v>1.422981145499822E-2</v>
      </c>
      <c r="Y71" s="45">
        <f t="shared" si="21"/>
        <v>0.72</v>
      </c>
      <c r="Z71">
        <v>34</v>
      </c>
      <c r="AA71">
        <v>7.2</v>
      </c>
      <c r="AB71">
        <v>50</v>
      </c>
      <c r="AC71" s="31">
        <v>2.9999999999999997E-4</v>
      </c>
      <c r="AD71" s="31">
        <f t="shared" si="14"/>
        <v>6.021162E-2</v>
      </c>
      <c r="AE71" s="31">
        <f t="shared" si="12"/>
        <v>1.1070486432</v>
      </c>
      <c r="AF71">
        <v>200</v>
      </c>
      <c r="AG71" s="30">
        <v>1.43281874214507E-2</v>
      </c>
      <c r="AH71" s="31"/>
      <c r="AI71" s="31"/>
      <c r="AJ71" s="32">
        <f t="shared" si="15"/>
        <v>0</v>
      </c>
      <c r="AK71" s="32">
        <f t="shared" si="16"/>
        <v>0</v>
      </c>
      <c r="AL71" s="33">
        <f t="shared" si="17"/>
        <v>0</v>
      </c>
      <c r="AM71" s="34">
        <f t="shared" si="18"/>
        <v>0</v>
      </c>
    </row>
    <row r="72" spans="1:39" x14ac:dyDescent="0.25">
      <c r="A72" s="2" t="s">
        <v>69</v>
      </c>
      <c r="B72" t="s">
        <v>51</v>
      </c>
      <c r="C72">
        <v>15</v>
      </c>
      <c r="D72">
        <v>7.2</v>
      </c>
      <c r="E72">
        <v>34</v>
      </c>
      <c r="F72">
        <v>2</v>
      </c>
      <c r="G72" s="1">
        <v>45346.375231481485</v>
      </c>
      <c r="H72" s="19">
        <v>934.42179999999996</v>
      </c>
      <c r="I72">
        <v>18.95</v>
      </c>
      <c r="J72">
        <v>97.54</v>
      </c>
      <c r="K72">
        <v>3.35</v>
      </c>
      <c r="L72">
        <v>308</v>
      </c>
      <c r="M72">
        <v>26.4</v>
      </c>
      <c r="N72">
        <v>0.22</v>
      </c>
      <c r="O72">
        <v>7.31</v>
      </c>
      <c r="P72" s="2">
        <v>2.37</v>
      </c>
      <c r="Q72">
        <v>3.31</v>
      </c>
      <c r="R72">
        <v>7.0000000000000007E-2</v>
      </c>
      <c r="S72">
        <v>198.32</v>
      </c>
      <c r="T72">
        <v>8.33</v>
      </c>
      <c r="U72" s="44">
        <f t="shared" si="11"/>
        <v>4.78</v>
      </c>
      <c r="V72" s="44">
        <f t="shared" si="13"/>
        <v>1.1850000000000001E-2</v>
      </c>
      <c r="W72" s="44">
        <f t="shared" si="19"/>
        <v>1.1950383219039936E-2</v>
      </c>
      <c r="X72" s="44">
        <f t="shared" si="20"/>
        <v>1.6690197660346916E-2</v>
      </c>
      <c r="Y72" s="45">
        <f t="shared" si="21"/>
        <v>0.84000000000000008</v>
      </c>
      <c r="Z72">
        <v>34</v>
      </c>
      <c r="AA72">
        <v>7.2</v>
      </c>
      <c r="AB72">
        <v>50</v>
      </c>
      <c r="AC72" s="31">
        <v>2.9999999999999997E-4</v>
      </c>
      <c r="AD72" s="31">
        <f t="shared" si="14"/>
        <v>6.7646951999999982E-2</v>
      </c>
      <c r="AE72" s="31">
        <f t="shared" si="12"/>
        <v>1.5608700864</v>
      </c>
      <c r="AF72">
        <v>200</v>
      </c>
      <c r="AG72" s="30">
        <v>1.1978715413335299E-2</v>
      </c>
      <c r="AH72" s="31"/>
      <c r="AI72" s="31"/>
      <c r="AJ72" s="32">
        <f t="shared" si="15"/>
        <v>0</v>
      </c>
      <c r="AK72" s="32">
        <f t="shared" si="16"/>
        <v>0</v>
      </c>
      <c r="AL72" s="33">
        <f t="shared" si="17"/>
        <v>0</v>
      </c>
      <c r="AM72" s="34">
        <f t="shared" si="18"/>
        <v>0</v>
      </c>
    </row>
    <row r="73" spans="1:39" x14ac:dyDescent="0.25">
      <c r="A73" s="2" t="s">
        <v>70</v>
      </c>
      <c r="B73" t="s">
        <v>51</v>
      </c>
      <c r="C73">
        <v>15</v>
      </c>
      <c r="D73">
        <v>7.2</v>
      </c>
      <c r="E73">
        <v>34</v>
      </c>
      <c r="F73">
        <v>2</v>
      </c>
      <c r="G73" s="1">
        <v>45346.379328703704</v>
      </c>
      <c r="H73" s="19">
        <v>946.42039999999997</v>
      </c>
      <c r="I73">
        <v>20.87</v>
      </c>
      <c r="J73">
        <v>97.87</v>
      </c>
      <c r="K73">
        <v>3.02</v>
      </c>
      <c r="L73">
        <v>301</v>
      </c>
      <c r="M73">
        <v>27.2</v>
      </c>
      <c r="N73">
        <v>0.08</v>
      </c>
      <c r="O73">
        <v>7.33</v>
      </c>
      <c r="P73" s="2">
        <v>2.35</v>
      </c>
      <c r="Q73">
        <v>3</v>
      </c>
      <c r="R73">
        <v>7.0000000000000007E-2</v>
      </c>
      <c r="S73">
        <v>197.83</v>
      </c>
      <c r="T73">
        <v>8.33</v>
      </c>
      <c r="U73" s="44">
        <f t="shared" si="11"/>
        <v>4.78</v>
      </c>
      <c r="V73" s="44">
        <f t="shared" si="13"/>
        <v>1.175E-2</v>
      </c>
      <c r="W73" s="44">
        <f t="shared" si="19"/>
        <v>1.1878885912146793E-2</v>
      </c>
      <c r="X73" s="44">
        <f t="shared" si="20"/>
        <v>1.5164535206995905E-2</v>
      </c>
      <c r="Y73" s="45">
        <f t="shared" si="21"/>
        <v>0.84000000000000008</v>
      </c>
      <c r="Z73">
        <v>34</v>
      </c>
      <c r="AA73">
        <v>7.2</v>
      </c>
      <c r="AB73">
        <v>50</v>
      </c>
      <c r="AC73" s="31">
        <v>2.9999999999999997E-4</v>
      </c>
      <c r="AD73" s="31">
        <f t="shared" si="14"/>
        <v>7.4316817800000004E-2</v>
      </c>
      <c r="AE73" s="31">
        <f t="shared" si="12"/>
        <v>1.484705376</v>
      </c>
      <c r="AF73">
        <v>200</v>
      </c>
      <c r="AG73" s="30">
        <v>1.1664902293496499E-2</v>
      </c>
      <c r="AH73" s="31"/>
      <c r="AI73" s="31"/>
      <c r="AJ73" s="32">
        <f t="shared" si="15"/>
        <v>0</v>
      </c>
      <c r="AK73" s="32">
        <f t="shared" si="16"/>
        <v>0</v>
      </c>
      <c r="AL73" s="33">
        <f t="shared" si="17"/>
        <v>0</v>
      </c>
      <c r="AM73" s="34">
        <f t="shared" si="18"/>
        <v>0</v>
      </c>
    </row>
    <row r="74" spans="1:39" ht="15.75" thickBot="1" x14ac:dyDescent="0.3">
      <c r="A74" s="12" t="s">
        <v>71</v>
      </c>
      <c r="B74" s="13" t="s">
        <v>51</v>
      </c>
      <c r="C74" s="13">
        <v>15</v>
      </c>
      <c r="D74" s="13">
        <v>7.2</v>
      </c>
      <c r="E74" s="13">
        <v>34</v>
      </c>
      <c r="F74" s="13">
        <v>2</v>
      </c>
      <c r="G74" s="14">
        <v>45346.384733796294</v>
      </c>
      <c r="H74" s="23">
        <v>926.63509999999997</v>
      </c>
      <c r="I74" s="13">
        <v>18.34</v>
      </c>
      <c r="J74" s="13">
        <v>97.23</v>
      </c>
      <c r="K74" s="13">
        <v>3.16</v>
      </c>
      <c r="L74" s="13">
        <v>301</v>
      </c>
      <c r="M74" s="13">
        <v>27.2</v>
      </c>
      <c r="N74" s="13">
        <v>0.23</v>
      </c>
      <c r="O74" s="13">
        <v>7.3</v>
      </c>
      <c r="P74" s="12">
        <v>2.2400000000000002</v>
      </c>
      <c r="Q74" s="13">
        <v>3.23</v>
      </c>
      <c r="R74" s="13">
        <v>7.0000000000000007E-2</v>
      </c>
      <c r="S74" s="13">
        <v>198.08</v>
      </c>
      <c r="T74" s="13">
        <v>8.33</v>
      </c>
      <c r="U74" s="46">
        <f t="shared" si="11"/>
        <v>4.78</v>
      </c>
      <c r="V74" s="46">
        <f t="shared" si="13"/>
        <v>1.1200000000000002E-2</v>
      </c>
      <c r="W74" s="46">
        <f t="shared" si="19"/>
        <v>1.1308562197092085E-2</v>
      </c>
      <c r="X74" s="46">
        <f t="shared" si="20"/>
        <v>1.630654281098546E-2</v>
      </c>
      <c r="Y74" s="47">
        <f t="shared" si="21"/>
        <v>0.84000000000000008</v>
      </c>
      <c r="Z74" s="13">
        <v>34</v>
      </c>
      <c r="AA74" s="13">
        <v>7.2</v>
      </c>
      <c r="AB74" s="13">
        <v>50</v>
      </c>
      <c r="AC74" s="36">
        <v>2.9999999999999997E-4</v>
      </c>
      <c r="AD74" s="36">
        <f t="shared" si="14"/>
        <v>6.5390169599999992E-2</v>
      </c>
      <c r="AE74" s="36">
        <f t="shared" si="12"/>
        <v>1.3961020032</v>
      </c>
      <c r="AF74" s="13">
        <v>200</v>
      </c>
      <c r="AG74" s="35">
        <v>1.2439713410901099E-2</v>
      </c>
      <c r="AH74" s="36"/>
      <c r="AI74" s="36"/>
      <c r="AJ74" s="37">
        <f t="shared" si="15"/>
        <v>0</v>
      </c>
      <c r="AK74" s="37">
        <f t="shared" si="16"/>
        <v>0</v>
      </c>
      <c r="AL74" s="38">
        <f t="shared" si="17"/>
        <v>0</v>
      </c>
      <c r="AM74" s="39">
        <f t="shared" si="18"/>
        <v>0</v>
      </c>
    </row>
    <row r="75" spans="1:39" x14ac:dyDescent="0.25">
      <c r="A75" s="7" t="s">
        <v>45</v>
      </c>
      <c r="B75" s="8" t="s">
        <v>46</v>
      </c>
      <c r="C75" s="8">
        <v>18</v>
      </c>
      <c r="D75" s="8">
        <v>7.1</v>
      </c>
      <c r="E75" s="8">
        <v>32.999999999999993</v>
      </c>
      <c r="F75" s="8">
        <v>3</v>
      </c>
      <c r="G75" s="48">
        <v>45347.261932870373</v>
      </c>
      <c r="H75" s="7">
        <v>1379.32</v>
      </c>
      <c r="I75" s="8">
        <v>20.18</v>
      </c>
      <c r="J75" s="8">
        <v>91.63</v>
      </c>
      <c r="K75" s="8">
        <v>2.76</v>
      </c>
      <c r="L75" s="8">
        <v>299</v>
      </c>
      <c r="M75" s="8">
        <v>42.7</v>
      </c>
      <c r="N75" s="8">
        <v>0.03</v>
      </c>
      <c r="O75" s="8">
        <v>7.31</v>
      </c>
      <c r="P75" s="7">
        <v>1.65</v>
      </c>
      <c r="Q75" s="8">
        <v>2.97</v>
      </c>
      <c r="R75" s="8">
        <v>0.2</v>
      </c>
      <c r="S75" s="8">
        <v>195.37</v>
      </c>
      <c r="T75" s="8">
        <v>24.4</v>
      </c>
      <c r="U75" s="42">
        <f t="shared" si="11"/>
        <v>3.2699999999999996</v>
      </c>
      <c r="V75" s="42">
        <f t="shared" si="13"/>
        <v>8.2500000000000004E-3</v>
      </c>
      <c r="W75" s="42">
        <f t="shared" si="19"/>
        <v>8.4455136407841531E-3</v>
      </c>
      <c r="X75" s="42">
        <f t="shared" si="20"/>
        <v>1.5201924553411477E-2</v>
      </c>
      <c r="Y75" s="43">
        <f t="shared" si="21"/>
        <v>2.4000000000000004</v>
      </c>
      <c r="Z75" s="8">
        <v>34</v>
      </c>
      <c r="AA75" s="8">
        <v>7.2</v>
      </c>
      <c r="AB75" s="8">
        <v>50</v>
      </c>
      <c r="AC75" s="26">
        <v>2.9999999999999997E-4</v>
      </c>
      <c r="AD75" s="26">
        <f t="shared" si="14"/>
        <v>7.0966198799999991E-2</v>
      </c>
      <c r="AE75" s="26">
        <f t="shared" si="12"/>
        <v>1.9058146559999996</v>
      </c>
      <c r="AF75" s="8">
        <v>200</v>
      </c>
      <c r="AG75" s="25">
        <v>2.4756717639650198E-2</v>
      </c>
      <c r="AH75" s="8">
        <v>8.9079376061922001E-3</v>
      </c>
      <c r="AI75" s="8">
        <v>1.2999999999999999E-3</v>
      </c>
      <c r="AJ75" s="27">
        <f t="shared" si="15"/>
        <v>0</v>
      </c>
      <c r="AK75" s="27">
        <f t="shared" si="16"/>
        <v>7.2514323755073759E-2</v>
      </c>
      <c r="AL75" s="28">
        <f t="shared" si="17"/>
        <v>0.25398100000000001</v>
      </c>
      <c r="AM75" s="29">
        <f t="shared" si="18"/>
        <v>7.2514323755073759E-2</v>
      </c>
    </row>
    <row r="76" spans="1:39" x14ac:dyDescent="0.25">
      <c r="A76" s="2" t="s">
        <v>47</v>
      </c>
      <c r="B76" t="s">
        <v>46</v>
      </c>
      <c r="C76">
        <v>12</v>
      </c>
      <c r="D76">
        <v>7.3</v>
      </c>
      <c r="E76">
        <v>35</v>
      </c>
      <c r="F76">
        <v>3</v>
      </c>
      <c r="G76" s="49">
        <v>45347.26703703704</v>
      </c>
      <c r="H76" s="2">
        <v>1134.1420000000001</v>
      </c>
      <c r="I76">
        <v>16.850000000000001</v>
      </c>
      <c r="J76">
        <v>93.84</v>
      </c>
      <c r="K76">
        <v>2.67</v>
      </c>
      <c r="L76">
        <v>320</v>
      </c>
      <c r="M76">
        <v>35.299999999999997</v>
      </c>
      <c r="N76">
        <v>0.03</v>
      </c>
      <c r="O76">
        <v>7.38</v>
      </c>
      <c r="P76" s="2">
        <v>5.46</v>
      </c>
      <c r="Q76">
        <v>0.53</v>
      </c>
      <c r="R76">
        <v>0.2</v>
      </c>
      <c r="S76">
        <v>194.63</v>
      </c>
      <c r="T76">
        <v>14</v>
      </c>
      <c r="U76" s="44">
        <f t="shared" si="11"/>
        <v>4.8699999999999992</v>
      </c>
      <c r="V76" s="44">
        <f t="shared" si="13"/>
        <v>2.7300000000000001E-2</v>
      </c>
      <c r="W76" s="44">
        <f t="shared" si="19"/>
        <v>2.8053229204130916E-2</v>
      </c>
      <c r="X76" s="44">
        <f t="shared" si="20"/>
        <v>2.7231156553460412E-3</v>
      </c>
      <c r="Y76" s="45">
        <f t="shared" si="21"/>
        <v>2.4000000000000004</v>
      </c>
      <c r="Z76">
        <v>34</v>
      </c>
      <c r="AA76">
        <v>7.2</v>
      </c>
      <c r="AB76">
        <v>50</v>
      </c>
      <c r="AC76" s="31">
        <v>2.9999999999999997E-4</v>
      </c>
      <c r="AD76" s="31">
        <f t="shared" si="14"/>
        <v>5.9031278999999992E-2</v>
      </c>
      <c r="AE76" s="31">
        <f t="shared" si="12"/>
        <v>1.4012403839999998</v>
      </c>
      <c r="AF76">
        <v>200</v>
      </c>
      <c r="AG76" s="30">
        <v>2.27729749370915E-2</v>
      </c>
      <c r="AH76">
        <v>3.6582402959141501E-3</v>
      </c>
      <c r="AI76">
        <v>1.2999999999999999E-3</v>
      </c>
      <c r="AJ76" s="32">
        <f t="shared" si="15"/>
        <v>0</v>
      </c>
      <c r="AK76" s="32">
        <f t="shared" si="16"/>
        <v>2.9666804533073795E-2</v>
      </c>
      <c r="AL76" s="33">
        <f t="shared" si="17"/>
        <v>0.25301899999999999</v>
      </c>
      <c r="AM76" s="34">
        <f t="shared" si="18"/>
        <v>2.9666804533073795E-2</v>
      </c>
    </row>
    <row r="77" spans="1:39" x14ac:dyDescent="0.25">
      <c r="A77" s="2" t="s">
        <v>48</v>
      </c>
      <c r="B77" t="s">
        <v>49</v>
      </c>
      <c r="C77">
        <v>12</v>
      </c>
      <c r="D77">
        <v>7.2</v>
      </c>
      <c r="E77">
        <v>34</v>
      </c>
      <c r="F77">
        <v>3</v>
      </c>
      <c r="G77" s="49">
        <v>45347.272118055553</v>
      </c>
      <c r="H77" s="2">
        <v>1305.461</v>
      </c>
      <c r="I77">
        <v>18.3</v>
      </c>
      <c r="J77">
        <v>96.97</v>
      </c>
      <c r="K77">
        <v>3.12</v>
      </c>
      <c r="L77">
        <v>299</v>
      </c>
      <c r="M77">
        <v>35</v>
      </c>
      <c r="N77">
        <v>0.15</v>
      </c>
      <c r="O77">
        <v>7.24</v>
      </c>
      <c r="P77" s="2">
        <v>3.65</v>
      </c>
      <c r="Q77">
        <v>3.95</v>
      </c>
      <c r="R77">
        <v>0.12</v>
      </c>
      <c r="S77">
        <v>194.81</v>
      </c>
      <c r="T77">
        <v>14</v>
      </c>
      <c r="U77" s="44">
        <f t="shared" si="11"/>
        <v>4.8699999999999992</v>
      </c>
      <c r="V77" s="44">
        <f t="shared" si="13"/>
        <v>1.8249999999999999E-2</v>
      </c>
      <c r="W77" s="44">
        <f t="shared" si="19"/>
        <v>1.8736204506955494E-2</v>
      </c>
      <c r="X77" s="44">
        <f t="shared" si="20"/>
        <v>2.0276166521225811E-2</v>
      </c>
      <c r="Y77" s="45">
        <f t="shared" si="21"/>
        <v>1.44</v>
      </c>
      <c r="Z77">
        <v>34</v>
      </c>
      <c r="AA77">
        <v>7.2</v>
      </c>
      <c r="AB77">
        <v>50</v>
      </c>
      <c r="AC77" s="31">
        <v>2.9999999999999997E-4</v>
      </c>
      <c r="AD77" s="31">
        <f t="shared" si="14"/>
        <v>6.4170413999999995E-2</v>
      </c>
      <c r="AE77" s="31">
        <f t="shared" si="12"/>
        <v>1.3813526159999996</v>
      </c>
      <c r="AF77">
        <v>200</v>
      </c>
      <c r="AG77" s="30">
        <v>2.4240892126974199E-2</v>
      </c>
      <c r="AH77" s="31"/>
      <c r="AI77" s="31"/>
      <c r="AJ77" s="32">
        <f t="shared" si="15"/>
        <v>0.20200743439145166</v>
      </c>
      <c r="AK77" s="32">
        <f t="shared" si="16"/>
        <v>0</v>
      </c>
      <c r="AL77" s="33">
        <f t="shared" si="17"/>
        <v>0</v>
      </c>
      <c r="AM77" s="34">
        <f t="shared" si="18"/>
        <v>0.20200743439145166</v>
      </c>
    </row>
    <row r="78" spans="1:39" x14ac:dyDescent="0.25">
      <c r="A78" s="2" t="s">
        <v>50</v>
      </c>
      <c r="B78" t="s">
        <v>51</v>
      </c>
      <c r="C78">
        <v>18</v>
      </c>
      <c r="D78">
        <v>7.3</v>
      </c>
      <c r="E78">
        <v>35</v>
      </c>
      <c r="F78">
        <v>3</v>
      </c>
      <c r="G78" s="49">
        <v>45347.277199074073</v>
      </c>
      <c r="H78" s="2">
        <v>1776.4649999999999</v>
      </c>
      <c r="I78">
        <v>25.22</v>
      </c>
      <c r="J78">
        <v>94.46</v>
      </c>
      <c r="K78">
        <v>2.9</v>
      </c>
      <c r="L78">
        <v>301</v>
      </c>
      <c r="M78">
        <v>27.2</v>
      </c>
      <c r="N78">
        <v>0.45</v>
      </c>
      <c r="O78">
        <v>7.29</v>
      </c>
      <c r="P78" s="2">
        <v>4.55</v>
      </c>
      <c r="Q78">
        <v>4.82</v>
      </c>
      <c r="R78">
        <v>0.09</v>
      </c>
      <c r="S78">
        <v>196.12</v>
      </c>
      <c r="T78">
        <v>25.2</v>
      </c>
      <c r="U78" s="44">
        <f t="shared" si="11"/>
        <v>3.2699999999999996</v>
      </c>
      <c r="V78" s="44">
        <f t="shared" si="13"/>
        <v>2.2749999999999999E-2</v>
      </c>
      <c r="W78" s="44">
        <f t="shared" si="19"/>
        <v>2.3200081582704465E-2</v>
      </c>
      <c r="X78" s="44">
        <f t="shared" si="20"/>
        <v>2.4576789720579237E-2</v>
      </c>
      <c r="Y78" s="45">
        <f t="shared" si="21"/>
        <v>1.08</v>
      </c>
      <c r="Z78">
        <v>34</v>
      </c>
      <c r="AA78">
        <v>7.2</v>
      </c>
      <c r="AB78">
        <v>50</v>
      </c>
      <c r="AC78" s="31">
        <v>2.9999999999999997E-4</v>
      </c>
      <c r="AD78" s="31">
        <f t="shared" si="14"/>
        <v>8.9030635199999986E-2</v>
      </c>
      <c r="AE78" s="31">
        <f t="shared" si="12"/>
        <v>1.9364150303999996</v>
      </c>
      <c r="AF78">
        <v>200</v>
      </c>
      <c r="AG78" s="30">
        <v>9.5599441512663995E-3</v>
      </c>
      <c r="AH78" s="31"/>
      <c r="AI78" s="31"/>
      <c r="AJ78" s="32">
        <f t="shared" si="15"/>
        <v>0</v>
      </c>
      <c r="AK78" s="32">
        <f t="shared" si="16"/>
        <v>0</v>
      </c>
      <c r="AL78" s="33">
        <f t="shared" si="17"/>
        <v>0</v>
      </c>
      <c r="AM78" s="34">
        <f t="shared" si="18"/>
        <v>0</v>
      </c>
    </row>
    <row r="79" spans="1:39" x14ac:dyDescent="0.25">
      <c r="A79" s="2" t="s">
        <v>52</v>
      </c>
      <c r="B79" t="s">
        <v>49</v>
      </c>
      <c r="C79">
        <v>18</v>
      </c>
      <c r="D79">
        <v>7.3</v>
      </c>
      <c r="E79">
        <v>35</v>
      </c>
      <c r="F79">
        <v>3</v>
      </c>
      <c r="G79" s="49">
        <v>45347.28230324074</v>
      </c>
      <c r="H79" s="2">
        <v>1728.075</v>
      </c>
      <c r="I79">
        <v>25.36</v>
      </c>
      <c r="J79">
        <v>94.92</v>
      </c>
      <c r="K79">
        <v>2.87</v>
      </c>
      <c r="L79">
        <v>300</v>
      </c>
      <c r="M79">
        <v>30.5</v>
      </c>
      <c r="N79">
        <v>0.26</v>
      </c>
      <c r="O79">
        <v>7.29</v>
      </c>
      <c r="P79" s="2">
        <v>3.81</v>
      </c>
      <c r="Q79">
        <v>4.96</v>
      </c>
      <c r="R79">
        <v>0.09</v>
      </c>
      <c r="S79">
        <v>197.52</v>
      </c>
      <c r="T79">
        <v>24.4</v>
      </c>
      <c r="U79" s="44">
        <f t="shared" si="11"/>
        <v>3.2699999999999996</v>
      </c>
      <c r="V79" s="44">
        <f t="shared" si="13"/>
        <v>1.9050000000000001E-2</v>
      </c>
      <c r="W79" s="44">
        <f t="shared" si="19"/>
        <v>1.9289185905224788E-2</v>
      </c>
      <c r="X79" s="44">
        <f t="shared" si="20"/>
        <v>2.5111381125961927E-2</v>
      </c>
      <c r="Y79" s="45">
        <f t="shared" si="21"/>
        <v>1.08</v>
      </c>
      <c r="Z79">
        <v>34</v>
      </c>
      <c r="AA79">
        <v>7.2</v>
      </c>
      <c r="AB79">
        <v>50</v>
      </c>
      <c r="AC79" s="31">
        <v>2.9999999999999997E-4</v>
      </c>
      <c r="AD79" s="31">
        <f t="shared" si="14"/>
        <v>9.0163929599999984E-2</v>
      </c>
      <c r="AE79" s="31">
        <f t="shared" si="12"/>
        <v>1.9659849119999997</v>
      </c>
      <c r="AF79">
        <v>200</v>
      </c>
      <c r="AG79" s="30">
        <v>9.4762086646698E-3</v>
      </c>
      <c r="AH79" s="31"/>
      <c r="AI79" s="31"/>
      <c r="AJ79" s="32">
        <f t="shared" si="15"/>
        <v>7.8968405538915001E-2</v>
      </c>
      <c r="AK79" s="32">
        <f t="shared" si="16"/>
        <v>0</v>
      </c>
      <c r="AL79" s="33">
        <f t="shared" si="17"/>
        <v>0</v>
      </c>
      <c r="AM79" s="34">
        <f t="shared" si="18"/>
        <v>7.8968405538915001E-2</v>
      </c>
    </row>
    <row r="80" spans="1:39" x14ac:dyDescent="0.25">
      <c r="A80" s="2" t="s">
        <v>53</v>
      </c>
      <c r="B80" t="s">
        <v>49</v>
      </c>
      <c r="C80">
        <v>12</v>
      </c>
      <c r="D80">
        <v>7.3</v>
      </c>
      <c r="E80">
        <v>35</v>
      </c>
      <c r="F80">
        <v>3</v>
      </c>
      <c r="G80" s="49">
        <v>45347.287395833337</v>
      </c>
      <c r="H80" s="2">
        <v>1238.914</v>
      </c>
      <c r="I80">
        <v>19.37</v>
      </c>
      <c r="J80">
        <v>95.98</v>
      </c>
      <c r="K80">
        <v>3.02</v>
      </c>
      <c r="L80">
        <v>297</v>
      </c>
      <c r="M80">
        <v>30.9</v>
      </c>
      <c r="N80">
        <v>0.25</v>
      </c>
      <c r="O80">
        <v>7.29</v>
      </c>
      <c r="P80" s="2">
        <v>3.6</v>
      </c>
      <c r="Q80">
        <v>3.89</v>
      </c>
      <c r="R80">
        <v>0.12</v>
      </c>
      <c r="S80">
        <v>193.82</v>
      </c>
      <c r="T80">
        <v>14.8</v>
      </c>
      <c r="U80" s="44">
        <f t="shared" si="11"/>
        <v>4.07</v>
      </c>
      <c r="V80" s="44">
        <f t="shared" si="13"/>
        <v>1.8000000000000002E-2</v>
      </c>
      <c r="W80" s="44">
        <f t="shared" si="19"/>
        <v>1.8573934578474876E-2</v>
      </c>
      <c r="X80" s="44">
        <f t="shared" si="20"/>
        <v>2.0070168197296463E-2</v>
      </c>
      <c r="Y80" s="45">
        <f t="shared" si="21"/>
        <v>1.44</v>
      </c>
      <c r="Z80">
        <v>34</v>
      </c>
      <c r="AA80">
        <v>7.2</v>
      </c>
      <c r="AB80">
        <v>50</v>
      </c>
      <c r="AC80" s="31">
        <v>2.9999999999999997E-4</v>
      </c>
      <c r="AD80" s="31">
        <f t="shared" si="14"/>
        <v>6.7577281200000006E-2</v>
      </c>
      <c r="AE80" s="31">
        <f t="shared" si="12"/>
        <v>1.3981364639999998</v>
      </c>
      <c r="AF80">
        <v>200</v>
      </c>
      <c r="AG80" s="30">
        <v>2.6502049610607599E-2</v>
      </c>
      <c r="AH80" s="31"/>
      <c r="AI80" s="31"/>
      <c r="AJ80" s="32">
        <f t="shared" si="15"/>
        <v>0.22085041342172998</v>
      </c>
      <c r="AK80" s="32">
        <f t="shared" si="16"/>
        <v>0</v>
      </c>
      <c r="AL80" s="33">
        <f t="shared" si="17"/>
        <v>0</v>
      </c>
      <c r="AM80" s="34">
        <f t="shared" si="18"/>
        <v>0.22085041342172998</v>
      </c>
    </row>
    <row r="81" spans="1:39" x14ac:dyDescent="0.25">
      <c r="A81" s="2" t="s">
        <v>54</v>
      </c>
      <c r="B81" t="s">
        <v>46</v>
      </c>
      <c r="C81">
        <v>18</v>
      </c>
      <c r="D81">
        <v>7.3</v>
      </c>
      <c r="E81">
        <v>35</v>
      </c>
      <c r="F81">
        <v>3</v>
      </c>
      <c r="G81" s="49">
        <v>45347.292488425926</v>
      </c>
      <c r="H81" s="2">
        <v>1304.9646666666667</v>
      </c>
      <c r="I81">
        <v>20.37</v>
      </c>
      <c r="J81">
        <v>90.07</v>
      </c>
      <c r="K81">
        <v>2.56</v>
      </c>
      <c r="L81">
        <v>296</v>
      </c>
      <c r="M81">
        <v>43.1</v>
      </c>
      <c r="N81">
        <v>7.0000000000000007E-2</v>
      </c>
      <c r="O81">
        <v>7.32</v>
      </c>
      <c r="P81" s="2">
        <v>1.44</v>
      </c>
      <c r="Q81">
        <v>2.09</v>
      </c>
      <c r="R81">
        <v>0.2</v>
      </c>
      <c r="S81">
        <v>194.82</v>
      </c>
      <c r="T81">
        <v>24.4</v>
      </c>
      <c r="U81" s="44">
        <f t="shared" si="11"/>
        <v>3.2699999999999996</v>
      </c>
      <c r="V81" s="44">
        <f t="shared" si="13"/>
        <v>7.1999999999999998E-3</v>
      </c>
      <c r="W81" s="44">
        <f t="shared" si="19"/>
        <v>7.3914382506929475E-3</v>
      </c>
      <c r="X81" s="44">
        <f t="shared" si="20"/>
        <v>1.0727851349964068E-2</v>
      </c>
      <c r="Y81" s="45">
        <f t="shared" si="21"/>
        <v>2.4000000000000004</v>
      </c>
      <c r="Z81">
        <v>34</v>
      </c>
      <c r="AA81">
        <v>7.2</v>
      </c>
      <c r="AB81">
        <v>50</v>
      </c>
      <c r="AC81" s="31">
        <v>2.9999999999999997E-4</v>
      </c>
      <c r="AD81" s="31">
        <f t="shared" si="14"/>
        <v>7.1432701200000004E-2</v>
      </c>
      <c r="AE81" s="31">
        <f t="shared" si="12"/>
        <v>1.9067175791999995</v>
      </c>
      <c r="AF81">
        <v>200</v>
      </c>
      <c r="AG81" s="30">
        <v>2.9498553674693399E-2</v>
      </c>
      <c r="AH81" s="31">
        <v>1.40393562861234E-2</v>
      </c>
      <c r="AI81" s="31">
        <v>1.2999999999999999E-3</v>
      </c>
      <c r="AJ81" s="32">
        <f t="shared" si="15"/>
        <v>0</v>
      </c>
      <c r="AK81" s="32">
        <f t="shared" si="16"/>
        <v>0.11396447465260669</v>
      </c>
      <c r="AL81" s="33">
        <f t="shared" si="17"/>
        <v>0.25326599999999999</v>
      </c>
      <c r="AM81" s="34">
        <f t="shared" si="18"/>
        <v>0.11396447465260669</v>
      </c>
    </row>
    <row r="82" spans="1:39" x14ac:dyDescent="0.25">
      <c r="A82" s="2" t="s">
        <v>55</v>
      </c>
      <c r="B82" t="s">
        <v>51</v>
      </c>
      <c r="C82">
        <v>15</v>
      </c>
      <c r="D82">
        <v>7.2</v>
      </c>
      <c r="E82">
        <v>34</v>
      </c>
      <c r="F82">
        <v>3</v>
      </c>
      <c r="G82" s="49">
        <v>45347.297662037039</v>
      </c>
      <c r="H82" s="2">
        <v>1476.8010000000002</v>
      </c>
      <c r="I82">
        <v>22.08</v>
      </c>
      <c r="J82">
        <v>94.33</v>
      </c>
      <c r="K82">
        <v>3.61</v>
      </c>
      <c r="L82">
        <v>311</v>
      </c>
      <c r="M82">
        <v>30.7</v>
      </c>
      <c r="N82">
        <v>0.05</v>
      </c>
      <c r="O82">
        <v>7.28</v>
      </c>
      <c r="P82" s="2">
        <v>4.01</v>
      </c>
      <c r="Q82">
        <v>4.66</v>
      </c>
      <c r="R82">
        <v>0.12</v>
      </c>
      <c r="S82">
        <v>197.21</v>
      </c>
      <c r="T82">
        <v>13.2</v>
      </c>
      <c r="U82" s="44">
        <f t="shared" si="11"/>
        <v>4.0699999999999985</v>
      </c>
      <c r="V82" s="44">
        <f t="shared" si="13"/>
        <v>2.0049999999999998E-2</v>
      </c>
      <c r="W82" s="44">
        <f t="shared" si="19"/>
        <v>2.0333654479995942E-2</v>
      </c>
      <c r="X82" s="44">
        <f t="shared" si="20"/>
        <v>2.3629633385730948E-2</v>
      </c>
      <c r="Y82" s="45">
        <f t="shared" si="21"/>
        <v>1.44</v>
      </c>
      <c r="Z82">
        <v>34</v>
      </c>
      <c r="AA82">
        <v>7.2</v>
      </c>
      <c r="AB82">
        <v>50</v>
      </c>
      <c r="AC82" s="31">
        <v>2.9999999999999997E-4</v>
      </c>
      <c r="AD82" s="31">
        <f t="shared" si="14"/>
        <v>7.8379142399999976E-2</v>
      </c>
      <c r="AE82" s="31">
        <f t="shared" si="12"/>
        <v>1.6825112639999995</v>
      </c>
      <c r="AF82">
        <v>200</v>
      </c>
      <c r="AG82" s="30">
        <v>1.9626052311631E-2</v>
      </c>
      <c r="AH82" s="31"/>
      <c r="AI82" s="31"/>
      <c r="AJ82" s="32">
        <f t="shared" si="15"/>
        <v>0</v>
      </c>
      <c r="AK82" s="32">
        <f t="shared" si="16"/>
        <v>0</v>
      </c>
      <c r="AL82" s="33">
        <f t="shared" si="17"/>
        <v>0</v>
      </c>
      <c r="AM82" s="34">
        <f t="shared" si="18"/>
        <v>0</v>
      </c>
    </row>
    <row r="83" spans="1:39" x14ac:dyDescent="0.25">
      <c r="A83" s="2" t="s">
        <v>56</v>
      </c>
      <c r="B83" t="s">
        <v>49</v>
      </c>
      <c r="C83">
        <v>18</v>
      </c>
      <c r="D83">
        <v>7.1</v>
      </c>
      <c r="E83">
        <v>32.999999999999993</v>
      </c>
      <c r="F83">
        <v>3</v>
      </c>
      <c r="G83" s="49">
        <v>45347.303124999999</v>
      </c>
      <c r="H83" s="2">
        <v>1545.3763333333336</v>
      </c>
      <c r="I83">
        <v>23.73</v>
      </c>
      <c r="J83">
        <v>94.51</v>
      </c>
      <c r="K83">
        <v>3.11</v>
      </c>
      <c r="L83">
        <v>305</v>
      </c>
      <c r="M83">
        <v>30.9</v>
      </c>
      <c r="N83">
        <v>0.21</v>
      </c>
      <c r="O83">
        <v>7.28</v>
      </c>
      <c r="P83" s="2">
        <v>3.64</v>
      </c>
      <c r="Q83">
        <v>5.0999999999999996</v>
      </c>
      <c r="R83">
        <v>0.09</v>
      </c>
      <c r="S83">
        <v>199.08</v>
      </c>
      <c r="T83">
        <v>23.6</v>
      </c>
      <c r="U83" s="44">
        <f t="shared" si="11"/>
        <v>3.2700000000000031</v>
      </c>
      <c r="V83" s="44">
        <f t="shared" si="13"/>
        <v>1.8200000000000001E-2</v>
      </c>
      <c r="W83" s="44">
        <f t="shared" si="19"/>
        <v>1.8284106891701828E-2</v>
      </c>
      <c r="X83" s="44">
        <f t="shared" si="20"/>
        <v>2.5617842073538271E-2</v>
      </c>
      <c r="Y83" s="45">
        <f t="shared" si="21"/>
        <v>1.08</v>
      </c>
      <c r="Z83">
        <v>34</v>
      </c>
      <c r="AA83">
        <v>7.2</v>
      </c>
      <c r="AB83">
        <v>50</v>
      </c>
      <c r="AC83" s="31">
        <v>2.9999999999999997E-4</v>
      </c>
      <c r="AD83" s="31">
        <f t="shared" si="14"/>
        <v>8.50350312E-2</v>
      </c>
      <c r="AE83" s="31">
        <f t="shared" si="12"/>
        <v>1.9989763199999997</v>
      </c>
      <c r="AF83">
        <v>200</v>
      </c>
      <c r="AG83" s="30">
        <v>2.0378316465822902E-2</v>
      </c>
      <c r="AH83" s="31"/>
      <c r="AI83" s="31"/>
      <c r="AJ83" s="32">
        <f t="shared" si="15"/>
        <v>0.16981930388185751</v>
      </c>
      <c r="AK83" s="32">
        <f t="shared" si="16"/>
        <v>0</v>
      </c>
      <c r="AL83" s="33">
        <f t="shared" si="17"/>
        <v>0</v>
      </c>
      <c r="AM83" s="34">
        <f t="shared" si="18"/>
        <v>0.16981930388185751</v>
      </c>
    </row>
    <row r="84" spans="1:39" x14ac:dyDescent="0.25">
      <c r="A84" s="2" t="s">
        <v>57</v>
      </c>
      <c r="B84" t="s">
        <v>46</v>
      </c>
      <c r="C84">
        <v>18</v>
      </c>
      <c r="D84">
        <v>7.2</v>
      </c>
      <c r="E84">
        <v>34</v>
      </c>
      <c r="F84">
        <v>3</v>
      </c>
      <c r="G84" s="49">
        <v>45347.308217592596</v>
      </c>
      <c r="H84" s="2">
        <v>1230.4880000000001</v>
      </c>
      <c r="I84">
        <v>17.91</v>
      </c>
      <c r="J84">
        <v>89.38</v>
      </c>
      <c r="K84">
        <v>2.44</v>
      </c>
      <c r="L84">
        <v>297</v>
      </c>
      <c r="M84">
        <v>45.3</v>
      </c>
      <c r="N84">
        <v>0.02</v>
      </c>
      <c r="O84">
        <v>7.3</v>
      </c>
      <c r="P84" s="2">
        <v>1.53</v>
      </c>
      <c r="Q84">
        <v>1.1000000000000001</v>
      </c>
      <c r="R84">
        <v>0.2</v>
      </c>
      <c r="S84">
        <v>194.31</v>
      </c>
      <c r="T84">
        <v>24.4</v>
      </c>
      <c r="U84" s="44">
        <f t="shared" si="11"/>
        <v>4.07</v>
      </c>
      <c r="V84" s="44">
        <f t="shared" si="13"/>
        <v>7.6500000000000005E-3</v>
      </c>
      <c r="W84" s="44">
        <f t="shared" si="19"/>
        <v>7.874015748031496E-3</v>
      </c>
      <c r="X84" s="44">
        <f t="shared" si="20"/>
        <v>5.6610570737481349E-3</v>
      </c>
      <c r="Y84" s="45">
        <f t="shared" si="21"/>
        <v>2.4000000000000004</v>
      </c>
      <c r="Z84">
        <v>34</v>
      </c>
      <c r="AA84">
        <v>7.2</v>
      </c>
      <c r="AB84">
        <v>50</v>
      </c>
      <c r="AC84" s="31">
        <v>2.9999999999999997E-4</v>
      </c>
      <c r="AD84" s="31">
        <f t="shared" si="14"/>
        <v>6.26416578E-2</v>
      </c>
      <c r="AE84" s="31">
        <f t="shared" si="12"/>
        <v>1.7111087999999999</v>
      </c>
      <c r="AF84">
        <v>200</v>
      </c>
      <c r="AG84" s="30">
        <v>3.1620498387879399E-2</v>
      </c>
      <c r="AH84" s="31">
        <v>1.7902156400208102E-2</v>
      </c>
      <c r="AI84" s="31">
        <v>1.2999999999999999E-3</v>
      </c>
      <c r="AJ84" s="32">
        <f t="shared" si="15"/>
        <v>0</v>
      </c>
      <c r="AK84" s="32">
        <f t="shared" si="16"/>
        <v>0.14494033375518484</v>
      </c>
      <c r="AL84" s="33">
        <f t="shared" si="17"/>
        <v>0.25260299999999997</v>
      </c>
      <c r="AM84" s="34">
        <f t="shared" si="18"/>
        <v>0.14494033375518484</v>
      </c>
    </row>
    <row r="85" spans="1:39" x14ac:dyDescent="0.25">
      <c r="A85" s="2" t="s">
        <v>58</v>
      </c>
      <c r="B85" t="s">
        <v>51</v>
      </c>
      <c r="C85">
        <v>18</v>
      </c>
      <c r="D85">
        <v>7.1</v>
      </c>
      <c r="E85">
        <v>32.999999999999993</v>
      </c>
      <c r="F85">
        <v>3</v>
      </c>
      <c r="G85" s="49">
        <v>45347.257280092592</v>
      </c>
      <c r="H85" s="2">
        <v>1818.135</v>
      </c>
      <c r="I85">
        <v>20.61</v>
      </c>
      <c r="J85">
        <v>95.69</v>
      </c>
      <c r="K85">
        <v>2.5499999999999998</v>
      </c>
      <c r="L85">
        <v>297</v>
      </c>
      <c r="M85">
        <v>30.3</v>
      </c>
      <c r="N85">
        <v>0.83</v>
      </c>
      <c r="O85">
        <v>7.29</v>
      </c>
      <c r="P85" s="2">
        <v>4.82</v>
      </c>
      <c r="Q85">
        <v>4.6399999999999997</v>
      </c>
      <c r="R85">
        <v>0.08</v>
      </c>
      <c r="S85">
        <v>205.69</v>
      </c>
      <c r="T85">
        <v>23.6</v>
      </c>
      <c r="U85" s="44">
        <f t="shared" si="11"/>
        <v>3.2700000000000031</v>
      </c>
      <c r="V85" s="44">
        <f t="shared" si="13"/>
        <v>2.41E-2</v>
      </c>
      <c r="W85" s="44">
        <f t="shared" si="19"/>
        <v>2.3433321989401529E-2</v>
      </c>
      <c r="X85" s="44">
        <f t="shared" si="20"/>
        <v>2.2558218678593998E-2</v>
      </c>
      <c r="Y85" s="45">
        <f t="shared" si="21"/>
        <v>0.96</v>
      </c>
      <c r="Z85">
        <v>34</v>
      </c>
      <c r="AA85">
        <v>7.2</v>
      </c>
      <c r="AB85">
        <v>50</v>
      </c>
      <c r="AC85" s="31">
        <v>2.9999999999999997E-4</v>
      </c>
      <c r="AD85" s="31">
        <f t="shared" si="14"/>
        <v>7.6306876199999985E-2</v>
      </c>
      <c r="AE85" s="31">
        <f t="shared" si="12"/>
        <v>2.1781153151999995</v>
      </c>
      <c r="AF85">
        <v>200</v>
      </c>
      <c r="AG85" s="30">
        <v>1.7943828061342201E-2</v>
      </c>
      <c r="AH85" s="31"/>
      <c r="AI85" s="31"/>
      <c r="AJ85" s="32">
        <f t="shared" si="15"/>
        <v>0</v>
      </c>
      <c r="AK85" s="32">
        <f t="shared" si="16"/>
        <v>0</v>
      </c>
      <c r="AL85" s="33">
        <f t="shared" si="17"/>
        <v>0</v>
      </c>
      <c r="AM85" s="34">
        <f t="shared" si="18"/>
        <v>0</v>
      </c>
    </row>
    <row r="86" spans="1:39" x14ac:dyDescent="0.25">
      <c r="A86" s="2" t="s">
        <v>59</v>
      </c>
      <c r="B86" t="s">
        <v>46</v>
      </c>
      <c r="C86">
        <v>15</v>
      </c>
      <c r="D86">
        <v>7.1</v>
      </c>
      <c r="E86">
        <v>32.999999999999993</v>
      </c>
      <c r="F86">
        <v>3</v>
      </c>
      <c r="G86" s="49">
        <v>45347.313310185185</v>
      </c>
      <c r="H86" s="2">
        <v>1171.662</v>
      </c>
      <c r="I86">
        <v>18.899999999999999</v>
      </c>
      <c r="J86">
        <v>92.12</v>
      </c>
      <c r="K86">
        <v>2.89</v>
      </c>
      <c r="L86">
        <v>305</v>
      </c>
      <c r="M86">
        <v>45.4</v>
      </c>
      <c r="N86">
        <v>0.02</v>
      </c>
      <c r="O86">
        <v>7.3</v>
      </c>
      <c r="P86" s="2">
        <v>1.18</v>
      </c>
      <c r="Q86">
        <v>2.0099999999999998</v>
      </c>
      <c r="R86">
        <v>0.2</v>
      </c>
      <c r="S86">
        <v>195.39</v>
      </c>
      <c r="T86">
        <v>11.6</v>
      </c>
      <c r="U86" s="44">
        <f t="shared" si="11"/>
        <v>3.2699999999999996</v>
      </c>
      <c r="V86" s="44">
        <f t="shared" si="13"/>
        <v>5.8999999999999999E-3</v>
      </c>
      <c r="W86" s="44">
        <f t="shared" si="19"/>
        <v>6.0392036439940629E-3</v>
      </c>
      <c r="X86" s="44">
        <f t="shared" si="20"/>
        <v>1.0287118071549209E-2</v>
      </c>
      <c r="Y86" s="45">
        <f t="shared" si="21"/>
        <v>2.4000000000000004</v>
      </c>
      <c r="Z86">
        <v>34</v>
      </c>
      <c r="AA86">
        <v>7.2</v>
      </c>
      <c r="AB86">
        <v>50</v>
      </c>
      <c r="AC86" s="31">
        <v>2.9999999999999997E-4</v>
      </c>
      <c r="AD86" s="31">
        <f t="shared" si="14"/>
        <v>6.6471677999999979E-2</v>
      </c>
      <c r="AE86" s="31">
        <f t="shared" si="12"/>
        <v>1.8578866319999996</v>
      </c>
      <c r="AF86">
        <v>200</v>
      </c>
      <c r="AG86" s="30">
        <v>3.3031256232418198E-2</v>
      </c>
      <c r="AH86" s="31">
        <v>1.1820703445960401E-2</v>
      </c>
      <c r="AI86" s="31">
        <v>1.2999999999999999E-3</v>
      </c>
      <c r="AJ86" s="32">
        <f t="shared" si="15"/>
        <v>0</v>
      </c>
      <c r="AK86" s="32">
        <f t="shared" si="16"/>
        <v>9.6235301929425102E-2</v>
      </c>
      <c r="AL86" s="33">
        <f t="shared" si="17"/>
        <v>0.25400699999999998</v>
      </c>
      <c r="AM86" s="34">
        <f t="shared" si="18"/>
        <v>9.6235301929425102E-2</v>
      </c>
    </row>
    <row r="87" spans="1:39" x14ac:dyDescent="0.25">
      <c r="A87" s="2" t="s">
        <v>60</v>
      </c>
      <c r="B87" t="s">
        <v>49</v>
      </c>
      <c r="C87">
        <v>15</v>
      </c>
      <c r="D87">
        <v>7.1</v>
      </c>
      <c r="E87">
        <v>32.999999999999993</v>
      </c>
      <c r="F87">
        <v>3</v>
      </c>
      <c r="G87" s="49">
        <v>45347.318483796298</v>
      </c>
      <c r="H87" s="2">
        <v>1535.1</v>
      </c>
      <c r="I87">
        <v>22.8</v>
      </c>
      <c r="J87">
        <v>96.3</v>
      </c>
      <c r="K87">
        <v>2.87</v>
      </c>
      <c r="L87">
        <v>302</v>
      </c>
      <c r="M87">
        <v>33.700000000000003</v>
      </c>
      <c r="N87">
        <v>0.38</v>
      </c>
      <c r="O87">
        <v>7.29</v>
      </c>
      <c r="P87" s="2">
        <v>3.98</v>
      </c>
      <c r="Q87">
        <v>4.5199999999999996</v>
      </c>
      <c r="R87">
        <v>0.11</v>
      </c>
      <c r="S87">
        <v>198.48</v>
      </c>
      <c r="T87">
        <v>11.6</v>
      </c>
      <c r="U87" s="44">
        <f t="shared" si="11"/>
        <v>3.2699999999999996</v>
      </c>
      <c r="V87" s="44">
        <f t="shared" si="13"/>
        <v>1.9900000000000001E-2</v>
      </c>
      <c r="W87" s="44">
        <f t="shared" si="19"/>
        <v>2.0052398226521564E-2</v>
      </c>
      <c r="X87" s="44">
        <f t="shared" si="20"/>
        <v>2.2773075372833535E-2</v>
      </c>
      <c r="Y87" s="45">
        <f t="shared" si="21"/>
        <v>1.32</v>
      </c>
      <c r="Z87">
        <v>34</v>
      </c>
      <c r="AA87">
        <v>7.2</v>
      </c>
      <c r="AB87">
        <v>50</v>
      </c>
      <c r="AC87" s="31">
        <v>2.9999999999999997E-4</v>
      </c>
      <c r="AD87" s="31">
        <f t="shared" si="14"/>
        <v>8.1456191999999983E-2</v>
      </c>
      <c r="AE87" s="31">
        <f t="shared" si="12"/>
        <v>1.6974543600000003</v>
      </c>
      <c r="AF87">
        <v>200</v>
      </c>
      <c r="AG87" s="30">
        <v>2.1397821451783702E-2</v>
      </c>
      <c r="AH87" s="31"/>
      <c r="AI87" s="31"/>
      <c r="AJ87" s="32">
        <f t="shared" si="15"/>
        <v>0.17831517876486416</v>
      </c>
      <c r="AK87" s="32">
        <f t="shared" si="16"/>
        <v>0</v>
      </c>
      <c r="AL87" s="33">
        <f t="shared" si="17"/>
        <v>0</v>
      </c>
      <c r="AM87" s="34">
        <f t="shared" si="18"/>
        <v>0.17831517876486416</v>
      </c>
    </row>
    <row r="88" spans="1:39" x14ac:dyDescent="0.25">
      <c r="A88" s="2" t="s">
        <v>61</v>
      </c>
      <c r="B88" t="s">
        <v>46</v>
      </c>
      <c r="C88">
        <v>15</v>
      </c>
      <c r="D88">
        <v>7.3</v>
      </c>
      <c r="E88">
        <v>35</v>
      </c>
      <c r="F88">
        <v>3</v>
      </c>
      <c r="G88" s="49">
        <v>45347.324965277781</v>
      </c>
      <c r="H88" s="2">
        <v>1182.278</v>
      </c>
      <c r="I88">
        <v>22.02</v>
      </c>
      <c r="J88">
        <v>92.95</v>
      </c>
      <c r="K88">
        <v>2.54</v>
      </c>
      <c r="L88">
        <v>295</v>
      </c>
      <c r="M88">
        <v>44.6</v>
      </c>
      <c r="N88">
        <v>0.03</v>
      </c>
      <c r="O88">
        <v>7.28</v>
      </c>
      <c r="P88" s="2">
        <v>1.36</v>
      </c>
      <c r="Q88">
        <v>0.93</v>
      </c>
      <c r="R88">
        <v>0.19</v>
      </c>
      <c r="S88">
        <v>194.86</v>
      </c>
      <c r="T88">
        <v>11.6</v>
      </c>
      <c r="U88" s="44">
        <f t="shared" si="11"/>
        <v>3.2699999999999996</v>
      </c>
      <c r="V88" s="44">
        <f t="shared" si="13"/>
        <v>6.8000000000000005E-3</v>
      </c>
      <c r="W88" s="44">
        <f t="shared" si="19"/>
        <v>6.979369803961819E-3</v>
      </c>
      <c r="X88" s="44">
        <f t="shared" si="20"/>
        <v>4.7726572924150674E-3</v>
      </c>
      <c r="Y88" s="45">
        <f t="shared" si="21"/>
        <v>2.2800000000000002</v>
      </c>
      <c r="Z88">
        <v>34</v>
      </c>
      <c r="AA88">
        <v>7.2</v>
      </c>
      <c r="AB88">
        <v>50</v>
      </c>
      <c r="AC88" s="31">
        <v>2.9999999999999997E-4</v>
      </c>
      <c r="AD88" s="31">
        <f t="shared" si="14"/>
        <v>7.7234709599999993E-2</v>
      </c>
      <c r="AE88" s="31">
        <f t="shared" si="12"/>
        <v>1.5686668656</v>
      </c>
      <c r="AF88">
        <v>200</v>
      </c>
      <c r="AG88" s="30">
        <v>3.8934382769874501E-2</v>
      </c>
      <c r="AH88" s="31">
        <v>1.5763027716869001E-2</v>
      </c>
      <c r="AI88" s="31">
        <v>1.2999999999999999E-3</v>
      </c>
      <c r="AJ88" s="32">
        <f t="shared" si="15"/>
        <v>0</v>
      </c>
      <c r="AK88" s="32">
        <f t="shared" si="16"/>
        <v>0.12798264920454558</v>
      </c>
      <c r="AL88" s="33">
        <f t="shared" si="17"/>
        <v>0.25331799999999999</v>
      </c>
      <c r="AM88" s="34">
        <f t="shared" si="18"/>
        <v>0.12798264920454558</v>
      </c>
    </row>
    <row r="89" spans="1:39" x14ac:dyDescent="0.25">
      <c r="A89" s="2" t="s">
        <v>62</v>
      </c>
      <c r="B89" t="s">
        <v>49</v>
      </c>
      <c r="C89">
        <v>18</v>
      </c>
      <c r="D89">
        <v>7.2</v>
      </c>
      <c r="E89">
        <v>34</v>
      </c>
      <c r="F89">
        <v>3</v>
      </c>
      <c r="G89" s="49">
        <v>45347.32949074074</v>
      </c>
      <c r="H89" s="2">
        <v>1711.11</v>
      </c>
      <c r="I89">
        <v>25.54</v>
      </c>
      <c r="J89">
        <v>95.18</v>
      </c>
      <c r="K89">
        <v>2.66</v>
      </c>
      <c r="L89">
        <v>298</v>
      </c>
      <c r="M89">
        <v>30.1</v>
      </c>
      <c r="N89">
        <v>0.56000000000000005</v>
      </c>
      <c r="O89">
        <v>7.29</v>
      </c>
      <c r="P89" s="2">
        <v>4.08</v>
      </c>
      <c r="Q89">
        <v>4.8499999999999996</v>
      </c>
      <c r="R89">
        <v>0.09</v>
      </c>
      <c r="S89">
        <v>198.79</v>
      </c>
      <c r="T89">
        <v>23.6</v>
      </c>
      <c r="U89" s="44">
        <f t="shared" si="11"/>
        <v>3.2700000000000031</v>
      </c>
      <c r="V89" s="44">
        <f t="shared" si="13"/>
        <v>2.0400000000000001E-2</v>
      </c>
      <c r="W89" s="44">
        <f t="shared" si="19"/>
        <v>2.0524171235977665E-2</v>
      </c>
      <c r="X89" s="44">
        <f t="shared" si="20"/>
        <v>2.4397605513355802E-2</v>
      </c>
      <c r="Y89" s="45">
        <f t="shared" si="21"/>
        <v>1.08</v>
      </c>
      <c r="Z89">
        <v>34</v>
      </c>
      <c r="AA89">
        <v>7.2</v>
      </c>
      <c r="AB89">
        <v>50</v>
      </c>
      <c r="AC89" s="31">
        <v>2.9999999999999997E-4</v>
      </c>
      <c r="AD89" s="31">
        <f t="shared" si="14"/>
        <v>9.1387738799999979E-2</v>
      </c>
      <c r="AE89" s="31">
        <f t="shared" si="12"/>
        <v>1.9638169199999997</v>
      </c>
      <c r="AF89">
        <v>200</v>
      </c>
      <c r="AG89" s="30">
        <v>1.7293048543152799E-2</v>
      </c>
      <c r="AH89" s="31"/>
      <c r="AI89" s="31"/>
      <c r="AJ89" s="32">
        <f t="shared" si="15"/>
        <v>0.14410873785960665</v>
      </c>
      <c r="AK89" s="32">
        <f t="shared" si="16"/>
        <v>0</v>
      </c>
      <c r="AL89" s="33">
        <f t="shared" si="17"/>
        <v>0</v>
      </c>
      <c r="AM89" s="34">
        <f t="shared" si="18"/>
        <v>0.14410873785960665</v>
      </c>
    </row>
    <row r="90" spans="1:39" x14ac:dyDescent="0.25">
      <c r="A90" s="2" t="s">
        <v>63</v>
      </c>
      <c r="B90" t="s">
        <v>51</v>
      </c>
      <c r="C90">
        <v>12</v>
      </c>
      <c r="D90">
        <v>7.1</v>
      </c>
      <c r="E90">
        <v>32.999999999999993</v>
      </c>
      <c r="F90">
        <v>3</v>
      </c>
      <c r="G90" s="49">
        <v>45347.337604166663</v>
      </c>
      <c r="H90" s="2">
        <v>1184.9459999999999</v>
      </c>
      <c r="I90">
        <v>20.53</v>
      </c>
      <c r="J90">
        <v>96.44</v>
      </c>
      <c r="K90">
        <v>3.18</v>
      </c>
      <c r="L90">
        <v>305</v>
      </c>
      <c r="M90">
        <v>30.9</v>
      </c>
      <c r="N90">
        <v>0.04</v>
      </c>
      <c r="O90">
        <v>7.33</v>
      </c>
      <c r="P90" s="2">
        <v>3.6</v>
      </c>
      <c r="Q90">
        <v>3.94</v>
      </c>
      <c r="R90">
        <v>7.0000000000000007E-2</v>
      </c>
      <c r="S90">
        <v>196.51</v>
      </c>
      <c r="T90">
        <v>12.4</v>
      </c>
      <c r="U90" s="44">
        <f t="shared" si="11"/>
        <v>3.2699999999999996</v>
      </c>
      <c r="V90" s="44">
        <f t="shared" si="13"/>
        <v>1.8000000000000002E-2</v>
      </c>
      <c r="W90" s="44">
        <f t="shared" si="19"/>
        <v>1.8319678387868302E-2</v>
      </c>
      <c r="X90" s="44">
        <f t="shared" si="20"/>
        <v>2.004987023561142E-2</v>
      </c>
      <c r="Y90" s="45">
        <f t="shared" si="21"/>
        <v>0.84000000000000008</v>
      </c>
      <c r="Z90">
        <v>34</v>
      </c>
      <c r="AA90">
        <v>7.2</v>
      </c>
      <c r="AB90">
        <v>50</v>
      </c>
      <c r="AC90" s="31">
        <v>2.9999999999999997E-4</v>
      </c>
      <c r="AD90" s="31">
        <f t="shared" si="14"/>
        <v>7.2618305399999986E-2</v>
      </c>
      <c r="AE90" s="31">
        <f t="shared" si="12"/>
        <v>1.5857029152</v>
      </c>
      <c r="AF90">
        <v>200</v>
      </c>
      <c r="AG90" s="30">
        <v>2.4395586577529701E-2</v>
      </c>
      <c r="AH90" s="31"/>
      <c r="AI90" s="31"/>
      <c r="AJ90" s="32">
        <f t="shared" si="15"/>
        <v>0</v>
      </c>
      <c r="AK90" s="32">
        <f t="shared" si="16"/>
        <v>0</v>
      </c>
      <c r="AL90" s="33">
        <f t="shared" si="17"/>
        <v>0</v>
      </c>
      <c r="AM90" s="34">
        <f t="shared" si="18"/>
        <v>0</v>
      </c>
    </row>
    <row r="91" spans="1:39" x14ac:dyDescent="0.25">
      <c r="A91" s="2" t="s">
        <v>64</v>
      </c>
      <c r="B91" t="s">
        <v>46</v>
      </c>
      <c r="C91">
        <v>12</v>
      </c>
      <c r="D91">
        <v>7.1</v>
      </c>
      <c r="E91">
        <v>32.999999999999993</v>
      </c>
      <c r="F91">
        <v>3</v>
      </c>
      <c r="G91" s="49">
        <v>45347.341469907406</v>
      </c>
      <c r="H91" s="2">
        <v>1113.8920000000001</v>
      </c>
      <c r="I91">
        <v>18.73</v>
      </c>
      <c r="J91">
        <v>94.73</v>
      </c>
      <c r="K91">
        <v>2.7</v>
      </c>
      <c r="L91">
        <v>299</v>
      </c>
      <c r="M91">
        <v>41.1</v>
      </c>
      <c r="N91">
        <v>7.0000000000000007E-2</v>
      </c>
      <c r="O91">
        <v>7.29</v>
      </c>
      <c r="P91" s="2">
        <v>1.29</v>
      </c>
      <c r="Q91">
        <v>1.1299999999999999</v>
      </c>
      <c r="R91">
        <v>0.19</v>
      </c>
      <c r="S91">
        <v>194.73</v>
      </c>
      <c r="T91">
        <v>11.6</v>
      </c>
      <c r="U91" s="44">
        <f t="shared" si="11"/>
        <v>3.2699999999999996</v>
      </c>
      <c r="V91" s="44">
        <f t="shared" si="13"/>
        <v>6.45E-3</v>
      </c>
      <c r="W91" s="44">
        <f t="shared" si="19"/>
        <v>6.6245570790325068E-3</v>
      </c>
      <c r="X91" s="44">
        <f t="shared" si="20"/>
        <v>5.8029065886098701E-3</v>
      </c>
      <c r="Y91" s="45">
        <f t="shared" si="21"/>
        <v>2.2800000000000002</v>
      </c>
      <c r="Z91">
        <v>34</v>
      </c>
      <c r="AA91">
        <v>7.2</v>
      </c>
      <c r="AB91">
        <v>50</v>
      </c>
      <c r="AC91" s="31">
        <v>2.9999999999999997E-4</v>
      </c>
      <c r="AD91" s="31">
        <f t="shared" si="14"/>
        <v>6.5651272199999985E-2</v>
      </c>
      <c r="AE91" s="31">
        <f t="shared" si="12"/>
        <v>1.5024432095999996</v>
      </c>
      <c r="AF91">
        <v>200</v>
      </c>
      <c r="AG91" s="30">
        <v>3.7572622913954898E-2</v>
      </c>
      <c r="AH91" s="31">
        <v>1.24685020581613E-2</v>
      </c>
      <c r="AI91" s="31">
        <v>1.2999999999999999E-3</v>
      </c>
      <c r="AJ91" s="32">
        <f t="shared" si="15"/>
        <v>0</v>
      </c>
      <c r="AK91" s="32">
        <f t="shared" si="16"/>
        <v>0.10116630857440624</v>
      </c>
      <c r="AL91" s="33">
        <f t="shared" si="17"/>
        <v>0.25314899999999996</v>
      </c>
      <c r="AM91" s="34">
        <f t="shared" si="18"/>
        <v>0.10116630857440624</v>
      </c>
    </row>
    <row r="92" spans="1:39" x14ac:dyDescent="0.25">
      <c r="A92" s="2" t="s">
        <v>65</v>
      </c>
      <c r="B92" t="s">
        <v>49</v>
      </c>
      <c r="C92">
        <v>15</v>
      </c>
      <c r="D92">
        <v>7.3</v>
      </c>
      <c r="E92">
        <v>35</v>
      </c>
      <c r="F92">
        <v>3</v>
      </c>
      <c r="G92" s="49">
        <v>45347.345995370371</v>
      </c>
      <c r="H92" s="2">
        <v>1496.0509999999999</v>
      </c>
      <c r="I92">
        <v>20.309999999999999</v>
      </c>
      <c r="J92">
        <v>95.62</v>
      </c>
      <c r="K92">
        <v>3.12</v>
      </c>
      <c r="L92">
        <v>305</v>
      </c>
      <c r="M92">
        <v>31.1</v>
      </c>
      <c r="N92">
        <v>0.12</v>
      </c>
      <c r="O92">
        <v>7.3</v>
      </c>
      <c r="P92" s="2">
        <v>4.0999999999999996</v>
      </c>
      <c r="Q92">
        <v>4.76</v>
      </c>
      <c r="R92">
        <v>0.1</v>
      </c>
      <c r="S92">
        <v>197.57</v>
      </c>
      <c r="T92">
        <v>12.4</v>
      </c>
      <c r="U92" s="44">
        <f t="shared" ref="U92:U155" si="22">T92-T68</f>
        <v>4.07</v>
      </c>
      <c r="V92" s="44">
        <f t="shared" si="13"/>
        <v>2.0499999999999997E-2</v>
      </c>
      <c r="W92" s="44">
        <f t="shared" si="19"/>
        <v>2.0752138482563142E-2</v>
      </c>
      <c r="X92" s="44">
        <f t="shared" si="20"/>
        <v>2.4092726628536721E-2</v>
      </c>
      <c r="Y92" s="45">
        <f t="shared" si="21"/>
        <v>1.2000000000000002</v>
      </c>
      <c r="Z92">
        <v>34</v>
      </c>
      <c r="AA92">
        <v>7.2</v>
      </c>
      <c r="AB92">
        <v>50</v>
      </c>
      <c r="AC92" s="31">
        <v>2.9999999999999997E-4</v>
      </c>
      <c r="AD92" s="31">
        <f t="shared" si="14"/>
        <v>7.2227640599999976E-2</v>
      </c>
      <c r="AE92" s="31">
        <f t="shared" si="12"/>
        <v>1.7061961391999996</v>
      </c>
      <c r="AF92">
        <v>200</v>
      </c>
      <c r="AG92" s="30">
        <v>1.9029253258577201E-2</v>
      </c>
      <c r="AH92" s="31"/>
      <c r="AI92" s="31"/>
      <c r="AJ92" s="32">
        <f t="shared" si="15"/>
        <v>0.15857711048814335</v>
      </c>
      <c r="AK92" s="32">
        <f t="shared" si="16"/>
        <v>0</v>
      </c>
      <c r="AL92" s="33">
        <f t="shared" si="17"/>
        <v>0</v>
      </c>
      <c r="AM92" s="34">
        <f t="shared" si="18"/>
        <v>0.15857711048814335</v>
      </c>
    </row>
    <row r="93" spans="1:39" x14ac:dyDescent="0.25">
      <c r="A93" s="2" t="s">
        <v>66</v>
      </c>
      <c r="B93" t="s">
        <v>46</v>
      </c>
      <c r="C93">
        <v>12</v>
      </c>
      <c r="D93">
        <v>7.2</v>
      </c>
      <c r="E93">
        <v>34</v>
      </c>
      <c r="F93">
        <v>3</v>
      </c>
      <c r="G93" s="49">
        <v>45347.351226851853</v>
      </c>
      <c r="H93" s="2">
        <v>1127.2059999999999</v>
      </c>
      <c r="I93">
        <v>16.45</v>
      </c>
      <c r="J93">
        <v>93.96</v>
      </c>
      <c r="K93">
        <v>2.57</v>
      </c>
      <c r="L93">
        <v>291</v>
      </c>
      <c r="M93">
        <v>40.1</v>
      </c>
      <c r="N93">
        <v>0.03</v>
      </c>
      <c r="O93">
        <v>7.28</v>
      </c>
      <c r="P93" s="2">
        <v>1.79</v>
      </c>
      <c r="Q93">
        <v>0.85</v>
      </c>
      <c r="R93">
        <v>0.19</v>
      </c>
      <c r="S93">
        <v>193.07</v>
      </c>
      <c r="T93">
        <v>13.2</v>
      </c>
      <c r="U93" s="44">
        <f t="shared" si="22"/>
        <v>4.0699999999999985</v>
      </c>
      <c r="V93" s="44">
        <f t="shared" si="13"/>
        <v>8.9499999999999996E-3</v>
      </c>
      <c r="W93" s="44">
        <f t="shared" si="19"/>
        <v>9.2712487698762107E-3</v>
      </c>
      <c r="X93" s="44">
        <f t="shared" si="20"/>
        <v>4.4025482985445693E-3</v>
      </c>
      <c r="Y93" s="45">
        <f t="shared" si="21"/>
        <v>2.2800000000000002</v>
      </c>
      <c r="Z93">
        <v>34</v>
      </c>
      <c r="AA93">
        <v>7.2</v>
      </c>
      <c r="AB93">
        <v>50</v>
      </c>
      <c r="AC93" s="31">
        <v>2.9999999999999997E-4</v>
      </c>
      <c r="AD93" s="31">
        <f t="shared" si="14"/>
        <v>5.7168026999999982E-2</v>
      </c>
      <c r="AE93" s="31">
        <f t="shared" si="12"/>
        <v>1.3682831039999999</v>
      </c>
      <c r="AF93">
        <v>200</v>
      </c>
      <c r="AG93" s="30">
        <v>3.6787348990887397E-2</v>
      </c>
      <c r="AH93" s="31">
        <v>1.1567987249153399E-2</v>
      </c>
      <c r="AI93" s="31">
        <v>1.2999999999999999E-3</v>
      </c>
      <c r="AJ93" s="32">
        <f t="shared" si="15"/>
        <v>0</v>
      </c>
      <c r="AK93" s="32">
        <f t="shared" si="16"/>
        <v>9.3059637424751943E-2</v>
      </c>
      <c r="AL93" s="33">
        <f t="shared" si="17"/>
        <v>0.25099099999999996</v>
      </c>
      <c r="AM93" s="34">
        <f t="shared" si="18"/>
        <v>9.3059637424751943E-2</v>
      </c>
    </row>
    <row r="94" spans="1:39" x14ac:dyDescent="0.25">
      <c r="A94" s="2" t="s">
        <v>67</v>
      </c>
      <c r="B94" t="s">
        <v>49</v>
      </c>
      <c r="C94">
        <v>12</v>
      </c>
      <c r="D94">
        <v>7.1</v>
      </c>
      <c r="E94">
        <v>32.999999999999993</v>
      </c>
      <c r="F94">
        <v>3</v>
      </c>
      <c r="G94" s="49">
        <v>45347.356423611112</v>
      </c>
      <c r="H94" s="2">
        <v>1274.4849999999999</v>
      </c>
      <c r="I94">
        <v>20.239999999999998</v>
      </c>
      <c r="J94">
        <v>97.07</v>
      </c>
      <c r="K94">
        <v>3.31</v>
      </c>
      <c r="L94">
        <v>306</v>
      </c>
      <c r="M94">
        <v>29.5</v>
      </c>
      <c r="N94">
        <v>0.16</v>
      </c>
      <c r="O94">
        <v>7.28</v>
      </c>
      <c r="P94" s="2">
        <v>3.96</v>
      </c>
      <c r="Q94">
        <v>4.0199999999999996</v>
      </c>
      <c r="R94">
        <v>0.11</v>
      </c>
      <c r="S94">
        <v>196.96</v>
      </c>
      <c r="T94">
        <v>12.4</v>
      </c>
      <c r="U94" s="44">
        <f t="shared" si="22"/>
        <v>3.2699999999999996</v>
      </c>
      <c r="V94" s="44">
        <f t="shared" si="13"/>
        <v>1.9799999999999998E-2</v>
      </c>
      <c r="W94" s="44">
        <f t="shared" si="19"/>
        <v>2.010560519902518E-2</v>
      </c>
      <c r="X94" s="44">
        <f t="shared" si="20"/>
        <v>2.0410235580828592E-2</v>
      </c>
      <c r="Y94" s="45">
        <f t="shared" si="21"/>
        <v>1.32</v>
      </c>
      <c r="Z94">
        <v>34</v>
      </c>
      <c r="AA94">
        <v>7.2</v>
      </c>
      <c r="AB94">
        <v>50</v>
      </c>
      <c r="AC94" s="31">
        <v>2.9999999999999997E-4</v>
      </c>
      <c r="AD94" s="31">
        <f t="shared" si="14"/>
        <v>7.1756467199999993E-2</v>
      </c>
      <c r="AE94" s="31">
        <f t="shared" si="12"/>
        <v>1.4982625728000001</v>
      </c>
      <c r="AF94">
        <v>200</v>
      </c>
      <c r="AG94" s="30">
        <v>2.19681622578447E-2</v>
      </c>
      <c r="AH94" s="31"/>
      <c r="AI94" s="31"/>
      <c r="AJ94" s="32">
        <f t="shared" si="15"/>
        <v>0.18306801881537249</v>
      </c>
      <c r="AK94" s="32">
        <f t="shared" si="16"/>
        <v>0</v>
      </c>
      <c r="AL94" s="33">
        <f t="shared" si="17"/>
        <v>0</v>
      </c>
      <c r="AM94" s="34">
        <f t="shared" si="18"/>
        <v>0.18306801881537249</v>
      </c>
    </row>
    <row r="95" spans="1:39" x14ac:dyDescent="0.25">
      <c r="A95" s="2" t="s">
        <v>68</v>
      </c>
      <c r="B95" t="s">
        <v>51</v>
      </c>
      <c r="C95">
        <v>12</v>
      </c>
      <c r="D95">
        <v>7.3</v>
      </c>
      <c r="E95">
        <v>35</v>
      </c>
      <c r="F95">
        <v>3</v>
      </c>
      <c r="G95" s="49">
        <v>45347.361666666664</v>
      </c>
      <c r="H95" s="2">
        <v>1388.5509999999999</v>
      </c>
      <c r="I95">
        <v>18.75</v>
      </c>
      <c r="J95">
        <v>96.27</v>
      </c>
      <c r="K95">
        <v>3.49</v>
      </c>
      <c r="L95">
        <v>306</v>
      </c>
      <c r="M95">
        <v>30.2</v>
      </c>
      <c r="N95">
        <v>0.05</v>
      </c>
      <c r="O95">
        <v>7.31</v>
      </c>
      <c r="P95" s="2">
        <v>3.17</v>
      </c>
      <c r="Q95">
        <v>4.26</v>
      </c>
      <c r="R95">
        <v>7.0000000000000007E-2</v>
      </c>
      <c r="S95">
        <v>196.33</v>
      </c>
      <c r="T95">
        <v>12.4</v>
      </c>
      <c r="U95" s="44">
        <f t="shared" si="22"/>
        <v>3.2699999999999996</v>
      </c>
      <c r="V95" s="44">
        <f t="shared" si="13"/>
        <v>1.585E-2</v>
      </c>
      <c r="W95" s="44">
        <f t="shared" si="19"/>
        <v>1.6146284317221003E-2</v>
      </c>
      <c r="X95" s="44">
        <f t="shared" si="20"/>
        <v>2.1698161259104565E-2</v>
      </c>
      <c r="Y95" s="45">
        <f t="shared" si="21"/>
        <v>0.84000000000000008</v>
      </c>
      <c r="Z95">
        <v>34</v>
      </c>
      <c r="AA95">
        <v>7.2</v>
      </c>
      <c r="AB95">
        <v>50</v>
      </c>
      <c r="AC95" s="31">
        <v>2.9999999999999997E-4</v>
      </c>
      <c r="AD95" s="31">
        <f t="shared" si="14"/>
        <v>6.6261374999999997E-2</v>
      </c>
      <c r="AE95" s="31">
        <f t="shared" si="12"/>
        <v>1.4450788800000001</v>
      </c>
      <c r="AF95">
        <v>200</v>
      </c>
      <c r="AG95" s="30">
        <v>2.21144562171646E-2</v>
      </c>
      <c r="AH95" s="31"/>
      <c r="AI95" s="31"/>
      <c r="AJ95" s="32">
        <f t="shared" si="15"/>
        <v>0</v>
      </c>
      <c r="AK95" s="32">
        <f t="shared" si="16"/>
        <v>0</v>
      </c>
      <c r="AL95" s="33">
        <f t="shared" si="17"/>
        <v>0</v>
      </c>
      <c r="AM95" s="34">
        <f t="shared" si="18"/>
        <v>0</v>
      </c>
    </row>
    <row r="96" spans="1:39" x14ac:dyDescent="0.25">
      <c r="A96" s="2" t="s">
        <v>69</v>
      </c>
      <c r="B96" t="s">
        <v>51</v>
      </c>
      <c r="C96">
        <v>15</v>
      </c>
      <c r="D96">
        <v>7.2</v>
      </c>
      <c r="E96">
        <v>34</v>
      </c>
      <c r="F96">
        <v>3</v>
      </c>
      <c r="G96" s="49">
        <v>45347.366909722223</v>
      </c>
      <c r="H96" s="2">
        <v>1485.4960000000001</v>
      </c>
      <c r="I96">
        <v>22.76</v>
      </c>
      <c r="J96">
        <v>94.96</v>
      </c>
      <c r="K96">
        <v>3.48</v>
      </c>
      <c r="L96">
        <v>312</v>
      </c>
      <c r="M96">
        <v>30.4</v>
      </c>
      <c r="N96">
        <v>7.0000000000000007E-2</v>
      </c>
      <c r="O96">
        <v>7.31</v>
      </c>
      <c r="P96" s="2">
        <v>4</v>
      </c>
      <c r="Q96">
        <v>4.7699999999999996</v>
      </c>
      <c r="R96">
        <v>0.08</v>
      </c>
      <c r="S96">
        <v>198.57</v>
      </c>
      <c r="T96">
        <v>11.6</v>
      </c>
      <c r="U96" s="44">
        <f t="shared" si="22"/>
        <v>3.2699999999999996</v>
      </c>
      <c r="V96" s="44">
        <f t="shared" si="13"/>
        <v>0.02</v>
      </c>
      <c r="W96" s="44">
        <f t="shared" si="19"/>
        <v>2.0144029813164124E-2</v>
      </c>
      <c r="X96" s="44">
        <f t="shared" si="20"/>
        <v>2.4021755552198217E-2</v>
      </c>
      <c r="Y96" s="45">
        <f t="shared" si="21"/>
        <v>0.96</v>
      </c>
      <c r="Z96">
        <v>34</v>
      </c>
      <c r="AA96">
        <v>7.2</v>
      </c>
      <c r="AB96">
        <v>50</v>
      </c>
      <c r="AC96" s="31">
        <v>2.9999999999999997E-4</v>
      </c>
      <c r="AD96" s="31">
        <f t="shared" si="14"/>
        <v>8.1350157599999987E-2</v>
      </c>
      <c r="AE96" s="31">
        <f t="shared" si="12"/>
        <v>1.6235268479999996</v>
      </c>
      <c r="AF96">
        <v>200</v>
      </c>
      <c r="AG96" s="30">
        <v>1.8414759162862001E-2</v>
      </c>
      <c r="AH96" s="31"/>
      <c r="AI96" s="31"/>
      <c r="AJ96" s="32">
        <f t="shared" si="15"/>
        <v>0</v>
      </c>
      <c r="AK96" s="32">
        <f t="shared" si="16"/>
        <v>0</v>
      </c>
      <c r="AL96" s="33">
        <f t="shared" si="17"/>
        <v>0</v>
      </c>
      <c r="AM96" s="34">
        <f t="shared" si="18"/>
        <v>0</v>
      </c>
    </row>
    <row r="97" spans="1:39" x14ac:dyDescent="0.25">
      <c r="A97" s="2" t="s">
        <v>70</v>
      </c>
      <c r="B97" t="s">
        <v>51</v>
      </c>
      <c r="C97">
        <v>15</v>
      </c>
      <c r="D97">
        <v>7.2</v>
      </c>
      <c r="E97">
        <v>34</v>
      </c>
      <c r="F97">
        <v>3</v>
      </c>
      <c r="G97" s="49">
        <v>45347.372164351851</v>
      </c>
      <c r="H97" s="2">
        <v>1513.11</v>
      </c>
      <c r="I97">
        <v>19.78</v>
      </c>
      <c r="J97">
        <v>95.78</v>
      </c>
      <c r="K97">
        <v>3.03</v>
      </c>
      <c r="L97">
        <v>300</v>
      </c>
      <c r="M97">
        <v>27.3</v>
      </c>
      <c r="N97">
        <v>0.2</v>
      </c>
      <c r="O97">
        <v>7.29</v>
      </c>
      <c r="P97" s="2">
        <v>4.13</v>
      </c>
      <c r="Q97">
        <v>4.4000000000000004</v>
      </c>
      <c r="R97">
        <v>7.0000000000000007E-2</v>
      </c>
      <c r="S97">
        <v>197.71</v>
      </c>
      <c r="T97">
        <v>11.6</v>
      </c>
      <c r="U97" s="44">
        <f t="shared" si="22"/>
        <v>3.2699999999999996</v>
      </c>
      <c r="V97" s="44">
        <f t="shared" si="13"/>
        <v>2.0649999999999998E-2</v>
      </c>
      <c r="W97" s="44">
        <f t="shared" si="19"/>
        <v>2.088918112386829E-2</v>
      </c>
      <c r="X97" s="44">
        <f t="shared" si="20"/>
        <v>2.2254817662232564E-2</v>
      </c>
      <c r="Y97" s="45">
        <f t="shared" si="21"/>
        <v>0.84000000000000008</v>
      </c>
      <c r="Z97">
        <v>34</v>
      </c>
      <c r="AA97">
        <v>7.2</v>
      </c>
      <c r="AB97">
        <v>50</v>
      </c>
      <c r="AC97" s="31">
        <v>2.9999999999999997E-4</v>
      </c>
      <c r="AD97" s="31">
        <f t="shared" si="14"/>
        <v>7.0392668399999997E-2</v>
      </c>
      <c r="AE97" s="31">
        <f t="shared" si="12"/>
        <v>1.7836036272000002</v>
      </c>
      <c r="AF97">
        <v>200</v>
      </c>
      <c r="AG97" s="30">
        <v>1.9381105891888899E-2</v>
      </c>
      <c r="AH97" s="31"/>
      <c r="AI97" s="31"/>
      <c r="AJ97" s="32">
        <f t="shared" si="15"/>
        <v>0</v>
      </c>
      <c r="AK97" s="32">
        <f t="shared" si="16"/>
        <v>0</v>
      </c>
      <c r="AL97" s="33">
        <f t="shared" si="17"/>
        <v>0</v>
      </c>
      <c r="AM97" s="34">
        <f t="shared" si="18"/>
        <v>0</v>
      </c>
    </row>
    <row r="98" spans="1:39" ht="15.75" thickBot="1" x14ac:dyDescent="0.3">
      <c r="A98" s="12" t="s">
        <v>71</v>
      </c>
      <c r="B98" s="13" t="s">
        <v>51</v>
      </c>
      <c r="C98" s="13">
        <v>15</v>
      </c>
      <c r="D98" s="13">
        <v>7.2</v>
      </c>
      <c r="E98" s="13">
        <v>34</v>
      </c>
      <c r="F98" s="13">
        <v>3</v>
      </c>
      <c r="G98" s="50">
        <v>45347.376180555555</v>
      </c>
      <c r="H98" s="12">
        <v>1478.4749999999999</v>
      </c>
      <c r="I98" s="13">
        <v>18.350000000000001</v>
      </c>
      <c r="J98" s="13">
        <v>95.27</v>
      </c>
      <c r="K98" s="13">
        <v>3.31</v>
      </c>
      <c r="L98" s="13">
        <v>304</v>
      </c>
      <c r="M98" s="13">
        <v>30.5</v>
      </c>
      <c r="N98" s="13">
        <v>0.05</v>
      </c>
      <c r="O98" s="13">
        <v>7.32</v>
      </c>
      <c r="P98" s="12">
        <v>3.81</v>
      </c>
      <c r="Q98" s="13">
        <v>4.7</v>
      </c>
      <c r="R98" s="13">
        <v>7.0000000000000007E-2</v>
      </c>
      <c r="S98" s="13">
        <v>198.07</v>
      </c>
      <c r="T98" s="13">
        <v>11.6</v>
      </c>
      <c r="U98" s="46">
        <f t="shared" si="22"/>
        <v>3.2699999999999996</v>
      </c>
      <c r="V98" s="46">
        <f t="shared" si="13"/>
        <v>1.9050000000000001E-2</v>
      </c>
      <c r="W98" s="46">
        <f t="shared" si="19"/>
        <v>1.9235623769374464E-2</v>
      </c>
      <c r="X98" s="46">
        <f t="shared" si="20"/>
        <v>2.3728984702377949E-2</v>
      </c>
      <c r="Y98" s="47">
        <f t="shared" si="21"/>
        <v>0.84000000000000008</v>
      </c>
      <c r="Z98" s="13">
        <v>34</v>
      </c>
      <c r="AA98" s="13">
        <v>7.2</v>
      </c>
      <c r="AB98" s="13">
        <v>50</v>
      </c>
      <c r="AC98" s="36">
        <v>2.9999999999999997E-4</v>
      </c>
      <c r="AD98" s="36">
        <f t="shared" si="14"/>
        <v>6.5422520999999997E-2</v>
      </c>
      <c r="AE98" s="36">
        <f t="shared" si="12"/>
        <v>1.5693640703999998</v>
      </c>
      <c r="AF98" s="13">
        <v>200</v>
      </c>
      <c r="AG98" s="35">
        <v>1.9443067374959499E-2</v>
      </c>
      <c r="AH98" s="36"/>
      <c r="AI98" s="36"/>
      <c r="AJ98" s="37">
        <f t="shared" si="15"/>
        <v>0</v>
      </c>
      <c r="AK98" s="37">
        <f t="shared" si="16"/>
        <v>0</v>
      </c>
      <c r="AL98" s="38">
        <f t="shared" si="17"/>
        <v>0</v>
      </c>
      <c r="AM98" s="39">
        <f t="shared" si="18"/>
        <v>0</v>
      </c>
    </row>
    <row r="99" spans="1:39" x14ac:dyDescent="0.25">
      <c r="A99" s="7" t="s">
        <v>45</v>
      </c>
      <c r="B99" s="8" t="s">
        <v>46</v>
      </c>
      <c r="C99" s="8">
        <v>18</v>
      </c>
      <c r="D99" s="8">
        <v>7.1</v>
      </c>
      <c r="E99" s="8">
        <v>32.999999999999993</v>
      </c>
      <c r="F99" s="8">
        <v>4</v>
      </c>
      <c r="G99" s="9">
        <v>45348.257233796299</v>
      </c>
      <c r="H99" s="7">
        <v>1903.9349999999999</v>
      </c>
      <c r="I99" s="8">
        <v>22.3</v>
      </c>
      <c r="J99" s="8">
        <v>89.27</v>
      </c>
      <c r="K99" s="8">
        <v>2.85</v>
      </c>
      <c r="L99" s="8">
        <v>316</v>
      </c>
      <c r="M99" s="8">
        <v>29.4</v>
      </c>
      <c r="N99" s="8">
        <v>2.66</v>
      </c>
      <c r="O99" s="8">
        <v>7.12</v>
      </c>
      <c r="P99" s="7">
        <v>5.91</v>
      </c>
      <c r="Q99" s="8">
        <v>3.23</v>
      </c>
      <c r="R99" s="8">
        <v>7.0000000000000007E-2</v>
      </c>
      <c r="S99" s="8">
        <v>198.38</v>
      </c>
      <c r="T99" s="8">
        <v>26.18</v>
      </c>
      <c r="U99" s="42">
        <f t="shared" si="22"/>
        <v>1.7800000000000011</v>
      </c>
      <c r="V99" s="42">
        <f t="shared" si="13"/>
        <v>2.955E-2</v>
      </c>
      <c r="W99" s="42">
        <f t="shared" si="19"/>
        <v>2.979130960782337E-2</v>
      </c>
      <c r="X99" s="42">
        <f t="shared" si="20"/>
        <v>1.6281883254360318E-2</v>
      </c>
      <c r="Y99" s="43">
        <f t="shared" si="21"/>
        <v>0.84000000000000008</v>
      </c>
      <c r="Z99" s="8">
        <v>33</v>
      </c>
      <c r="AA99" s="8">
        <v>7.1</v>
      </c>
      <c r="AB99" s="8">
        <v>50</v>
      </c>
      <c r="AC99" s="26">
        <v>2.9999999999999997E-4</v>
      </c>
      <c r="AD99" s="26">
        <f t="shared" si="14"/>
        <v>7.9629731999999995E-2</v>
      </c>
      <c r="AE99" s="26">
        <f t="shared" si="12"/>
        <v>1.7031887711999998</v>
      </c>
      <c r="AF99" s="8">
        <v>200</v>
      </c>
      <c r="AG99" s="7">
        <v>2.00581709237748E-2</v>
      </c>
      <c r="AH99" s="26">
        <v>2.4E-2</v>
      </c>
      <c r="AI99" s="26">
        <v>1.2999999999999999E-3</v>
      </c>
      <c r="AJ99" s="42">
        <f t="shared" si="15"/>
        <v>0</v>
      </c>
      <c r="AK99" s="42">
        <f t="shared" si="16"/>
        <v>0.19838</v>
      </c>
      <c r="AL99" s="43">
        <f t="shared" si="17"/>
        <v>0.25789399999999996</v>
      </c>
      <c r="AM99" s="55">
        <f t="shared" si="18"/>
        <v>0.19838</v>
      </c>
    </row>
    <row r="100" spans="1:39" x14ac:dyDescent="0.25">
      <c r="A100" s="2" t="s">
        <v>47</v>
      </c>
      <c r="B100" t="s">
        <v>46</v>
      </c>
      <c r="C100">
        <v>12</v>
      </c>
      <c r="D100">
        <v>7.3</v>
      </c>
      <c r="E100">
        <v>35</v>
      </c>
      <c r="F100">
        <v>4</v>
      </c>
      <c r="G100" s="1">
        <v>45348.261956018519</v>
      </c>
      <c r="H100" s="2">
        <v>1766.7449999999999</v>
      </c>
      <c r="I100">
        <v>17.07</v>
      </c>
      <c r="J100">
        <v>91.21</v>
      </c>
      <c r="K100">
        <v>2.71</v>
      </c>
      <c r="L100">
        <v>317</v>
      </c>
      <c r="M100">
        <v>30</v>
      </c>
      <c r="N100">
        <v>0.11</v>
      </c>
      <c r="O100">
        <v>7.32</v>
      </c>
      <c r="P100" s="2">
        <v>9.65</v>
      </c>
      <c r="Q100">
        <v>0.79</v>
      </c>
      <c r="R100">
        <v>0.03</v>
      </c>
      <c r="S100">
        <v>196.5</v>
      </c>
      <c r="T100">
        <v>15.78</v>
      </c>
      <c r="U100" s="44">
        <f t="shared" si="22"/>
        <v>1.7799999999999994</v>
      </c>
      <c r="V100" s="44">
        <f t="shared" si="13"/>
        <v>4.8250000000000001E-2</v>
      </c>
      <c r="W100" s="44">
        <f t="shared" si="19"/>
        <v>4.9109414758269722E-2</v>
      </c>
      <c r="X100" s="44">
        <f t="shared" si="20"/>
        <v>4.0203562340966927E-3</v>
      </c>
      <c r="Y100" s="45">
        <f t="shared" si="21"/>
        <v>0.36</v>
      </c>
      <c r="Z100">
        <v>35</v>
      </c>
      <c r="AA100">
        <v>7.3000000000000007</v>
      </c>
      <c r="AB100">
        <v>50</v>
      </c>
      <c r="AC100" s="31">
        <v>2.9999999999999997E-4</v>
      </c>
      <c r="AD100" s="31">
        <f t="shared" si="14"/>
        <v>6.0376590000000001E-2</v>
      </c>
      <c r="AE100" s="31">
        <f t="shared" si="12"/>
        <v>1.4167506959999998</v>
      </c>
      <c r="AF100">
        <v>200</v>
      </c>
      <c r="AG100" s="2">
        <v>4.02300584636551E-2</v>
      </c>
      <c r="AH100" s="31">
        <v>2.4E-2</v>
      </c>
      <c r="AI100" s="31">
        <v>1.2999999999999999E-3</v>
      </c>
      <c r="AJ100" s="44">
        <f t="shared" si="15"/>
        <v>0</v>
      </c>
      <c r="AK100" s="44">
        <f t="shared" si="16"/>
        <v>0.19650000000000001</v>
      </c>
      <c r="AL100" s="45">
        <f t="shared" si="17"/>
        <v>0.25545000000000001</v>
      </c>
      <c r="AM100" s="56">
        <f t="shared" si="18"/>
        <v>0.19650000000000001</v>
      </c>
    </row>
    <row r="101" spans="1:39" x14ac:dyDescent="0.25">
      <c r="A101" s="2" t="s">
        <v>48</v>
      </c>
      <c r="B101" t="s">
        <v>49</v>
      </c>
      <c r="C101">
        <v>12</v>
      </c>
      <c r="D101">
        <v>7.2</v>
      </c>
      <c r="E101">
        <v>34</v>
      </c>
      <c r="F101">
        <v>4</v>
      </c>
      <c r="G101" s="1">
        <v>45348.267025462963</v>
      </c>
      <c r="H101" s="2">
        <v>1858.6949999999999</v>
      </c>
      <c r="I101">
        <v>19.690000000000001</v>
      </c>
      <c r="J101">
        <v>94.94</v>
      </c>
      <c r="K101">
        <v>2.77</v>
      </c>
      <c r="L101">
        <v>316</v>
      </c>
      <c r="M101">
        <v>34.5</v>
      </c>
      <c r="N101">
        <v>2.27</v>
      </c>
      <c r="O101">
        <v>7.26</v>
      </c>
      <c r="P101" s="2">
        <v>6.81</v>
      </c>
      <c r="Q101">
        <v>3.95</v>
      </c>
      <c r="R101">
        <v>0.2</v>
      </c>
      <c r="S101">
        <v>196.18</v>
      </c>
      <c r="T101">
        <v>15.78</v>
      </c>
      <c r="U101" s="44">
        <f t="shared" si="22"/>
        <v>1.7799999999999994</v>
      </c>
      <c r="V101" s="44">
        <f t="shared" si="13"/>
        <v>3.4049999999999997E-2</v>
      </c>
      <c r="W101" s="44">
        <f t="shared" si="19"/>
        <v>3.4713018656336012E-2</v>
      </c>
      <c r="X101" s="44">
        <f t="shared" si="20"/>
        <v>2.0134570292588441E-2</v>
      </c>
      <c r="Y101" s="45">
        <f t="shared" si="21"/>
        <v>2.4000000000000004</v>
      </c>
      <c r="Z101">
        <v>34</v>
      </c>
      <c r="AA101">
        <v>7.1999999999999993</v>
      </c>
      <c r="AB101">
        <v>50</v>
      </c>
      <c r="AC101" s="31">
        <v>2.9999999999999997E-4</v>
      </c>
      <c r="AD101" s="31">
        <f t="shared" si="14"/>
        <v>6.9530115599999998E-2</v>
      </c>
      <c r="AE101" s="31">
        <f t="shared" si="12"/>
        <v>1.5400899359999998</v>
      </c>
      <c r="AF101">
        <v>200</v>
      </c>
      <c r="AG101" s="2">
        <v>2.4470856630597001E-2</v>
      </c>
      <c r="AH101" s="31"/>
      <c r="AI101" s="31"/>
      <c r="AJ101" s="44">
        <f t="shared" si="15"/>
        <v>0.203923805254975</v>
      </c>
      <c r="AK101" s="44">
        <f t="shared" si="16"/>
        <v>0</v>
      </c>
      <c r="AL101" s="45">
        <f t="shared" si="17"/>
        <v>0</v>
      </c>
      <c r="AM101" s="56">
        <f t="shared" si="18"/>
        <v>0.203923805254975</v>
      </c>
    </row>
    <row r="102" spans="1:39" x14ac:dyDescent="0.25">
      <c r="A102" s="2" t="s">
        <v>50</v>
      </c>
      <c r="B102" t="s">
        <v>51</v>
      </c>
      <c r="C102">
        <v>18</v>
      </c>
      <c r="D102">
        <v>7.3</v>
      </c>
      <c r="E102">
        <v>35</v>
      </c>
      <c r="F102">
        <v>4</v>
      </c>
      <c r="G102" s="1">
        <v>45348.272233796299</v>
      </c>
      <c r="H102" s="2">
        <v>2381.2950000000001</v>
      </c>
      <c r="I102">
        <v>24.81</v>
      </c>
      <c r="J102">
        <v>92.9</v>
      </c>
      <c r="K102">
        <v>2.41</v>
      </c>
      <c r="L102">
        <v>308</v>
      </c>
      <c r="M102">
        <v>27.4</v>
      </c>
      <c r="N102">
        <v>1.48</v>
      </c>
      <c r="O102">
        <v>7.35</v>
      </c>
      <c r="P102" s="2">
        <v>6.66</v>
      </c>
      <c r="Q102">
        <v>5.57</v>
      </c>
      <c r="R102">
        <v>0.09</v>
      </c>
      <c r="S102">
        <v>197.15</v>
      </c>
      <c r="T102">
        <v>26.98</v>
      </c>
      <c r="U102" s="44">
        <f t="shared" si="22"/>
        <v>1.7800000000000011</v>
      </c>
      <c r="V102" s="44">
        <f t="shared" si="13"/>
        <v>3.3300000000000003E-2</v>
      </c>
      <c r="W102" s="44">
        <f t="shared" si="19"/>
        <v>3.3781384732437233E-2</v>
      </c>
      <c r="X102" s="44">
        <f t="shared" si="20"/>
        <v>2.8252599543494801E-2</v>
      </c>
      <c r="Y102" s="45">
        <f t="shared" si="21"/>
        <v>1.08</v>
      </c>
      <c r="Z102">
        <v>35</v>
      </c>
      <c r="AA102">
        <v>7.3000000000000007</v>
      </c>
      <c r="AB102">
        <v>50</v>
      </c>
      <c r="AC102" s="31">
        <v>2.9999999999999997E-4</v>
      </c>
      <c r="AD102" s="31">
        <f t="shared" si="14"/>
        <v>8.8043246999999991E-2</v>
      </c>
      <c r="AE102" s="31">
        <f t="shared" si="12"/>
        <v>2.1367352447999997</v>
      </c>
      <c r="AF102">
        <v>200</v>
      </c>
      <c r="AG102" s="2">
        <v>1.0254543023204899E-2</v>
      </c>
      <c r="AH102" s="31"/>
      <c r="AI102" s="31"/>
      <c r="AJ102" s="44">
        <f t="shared" si="15"/>
        <v>0</v>
      </c>
      <c r="AK102" s="44">
        <f t="shared" si="16"/>
        <v>0</v>
      </c>
      <c r="AL102" s="45">
        <f t="shared" si="17"/>
        <v>0</v>
      </c>
      <c r="AM102" s="56">
        <f t="shared" si="18"/>
        <v>0</v>
      </c>
    </row>
    <row r="103" spans="1:39" x14ac:dyDescent="0.25">
      <c r="A103" s="2" t="s">
        <v>52</v>
      </c>
      <c r="B103" t="s">
        <v>49</v>
      </c>
      <c r="C103">
        <v>18</v>
      </c>
      <c r="D103">
        <v>7.3</v>
      </c>
      <c r="E103">
        <v>35</v>
      </c>
      <c r="F103">
        <v>4</v>
      </c>
      <c r="G103" s="1">
        <v>45348.279097222221</v>
      </c>
      <c r="H103" s="2">
        <v>2238.9299999999998</v>
      </c>
      <c r="I103">
        <v>22.9</v>
      </c>
      <c r="J103">
        <v>93.42</v>
      </c>
      <c r="K103">
        <v>2.31</v>
      </c>
      <c r="L103">
        <v>308</v>
      </c>
      <c r="M103">
        <v>30.4</v>
      </c>
      <c r="N103">
        <v>1.69</v>
      </c>
      <c r="O103">
        <v>7.36</v>
      </c>
      <c r="P103" s="2">
        <v>6.02</v>
      </c>
      <c r="Q103">
        <v>4.96</v>
      </c>
      <c r="R103">
        <v>0.08</v>
      </c>
      <c r="S103">
        <v>198.13</v>
      </c>
      <c r="T103">
        <v>26.18</v>
      </c>
      <c r="U103" s="44">
        <f t="shared" si="22"/>
        <v>1.7800000000000011</v>
      </c>
      <c r="V103" s="44">
        <f t="shared" si="13"/>
        <v>3.0099999999999998E-2</v>
      </c>
      <c r="W103" s="44">
        <f t="shared" si="19"/>
        <v>3.0384091253217584E-2</v>
      </c>
      <c r="X103" s="44">
        <f t="shared" si="20"/>
        <v>2.5034068540857015E-2</v>
      </c>
      <c r="Y103" s="45">
        <f t="shared" si="21"/>
        <v>0.96</v>
      </c>
      <c r="Z103">
        <v>35</v>
      </c>
      <c r="AA103">
        <v>7.3000000000000007</v>
      </c>
      <c r="AB103">
        <v>50</v>
      </c>
      <c r="AC103" s="31">
        <v>2.9999999999999997E-4</v>
      </c>
      <c r="AD103" s="31">
        <f t="shared" si="14"/>
        <v>8.1669185999999991E-2</v>
      </c>
      <c r="AE103" s="31">
        <f t="shared" si="12"/>
        <v>2.1639343103999997</v>
      </c>
      <c r="AF103">
        <v>200</v>
      </c>
      <c r="AG103" s="2">
        <v>1.0808576744521599E-2</v>
      </c>
      <c r="AH103" s="31"/>
      <c r="AI103" s="31"/>
      <c r="AJ103" s="44">
        <f t="shared" si="15"/>
        <v>9.0071472871013317E-2</v>
      </c>
      <c r="AK103" s="44">
        <f t="shared" si="16"/>
        <v>0</v>
      </c>
      <c r="AL103" s="45">
        <f t="shared" si="17"/>
        <v>0</v>
      </c>
      <c r="AM103" s="56">
        <f t="shared" si="18"/>
        <v>9.0071472871013317E-2</v>
      </c>
    </row>
    <row r="104" spans="1:39" x14ac:dyDescent="0.25">
      <c r="A104" s="2" t="s">
        <v>53</v>
      </c>
      <c r="B104" t="s">
        <v>49</v>
      </c>
      <c r="C104">
        <v>12</v>
      </c>
      <c r="D104">
        <v>7.3</v>
      </c>
      <c r="E104">
        <v>35</v>
      </c>
      <c r="F104">
        <v>4</v>
      </c>
      <c r="G104" s="1">
        <v>45348.284513888888</v>
      </c>
      <c r="H104" s="2">
        <v>1936.47</v>
      </c>
      <c r="I104">
        <v>20.2</v>
      </c>
      <c r="J104">
        <v>95.72</v>
      </c>
      <c r="K104">
        <v>2.4500000000000002</v>
      </c>
      <c r="L104">
        <v>305</v>
      </c>
      <c r="M104">
        <v>31</v>
      </c>
      <c r="N104">
        <v>1.27</v>
      </c>
      <c r="O104">
        <v>7.35</v>
      </c>
      <c r="P104" s="2">
        <v>6.76</v>
      </c>
      <c r="Q104">
        <v>4.7300000000000004</v>
      </c>
      <c r="R104">
        <v>0.22</v>
      </c>
      <c r="S104">
        <v>195.46</v>
      </c>
      <c r="T104">
        <v>16.579999999999998</v>
      </c>
      <c r="U104" s="44">
        <f t="shared" si="22"/>
        <v>1.7799999999999976</v>
      </c>
      <c r="V104" s="44">
        <f t="shared" si="13"/>
        <v>3.3799999999999997E-2</v>
      </c>
      <c r="W104" s="44">
        <f t="shared" si="19"/>
        <v>3.458508134656707E-2</v>
      </c>
      <c r="X104" s="44">
        <f t="shared" si="20"/>
        <v>2.4199324670009209E-2</v>
      </c>
      <c r="Y104" s="45">
        <f t="shared" si="21"/>
        <v>2.64</v>
      </c>
      <c r="Z104">
        <v>35</v>
      </c>
      <c r="AA104">
        <v>7.3000000000000007</v>
      </c>
      <c r="AB104">
        <v>50</v>
      </c>
      <c r="AC104" s="31">
        <v>2.9999999999999997E-4</v>
      </c>
      <c r="AD104" s="31">
        <f t="shared" si="14"/>
        <v>7.1069255999999997E-2</v>
      </c>
      <c r="AE104" s="31">
        <f t="shared" si="12"/>
        <v>1.6218547488000001</v>
      </c>
      <c r="AF104">
        <v>200</v>
      </c>
      <c r="AG104" s="2">
        <v>2.8100733699321898E-2</v>
      </c>
      <c r="AH104" s="31"/>
      <c r="AI104" s="31"/>
      <c r="AJ104" s="44">
        <f t="shared" si="15"/>
        <v>0.23417278082768248</v>
      </c>
      <c r="AK104" s="44">
        <f t="shared" si="16"/>
        <v>0</v>
      </c>
      <c r="AL104" s="45">
        <f t="shared" si="17"/>
        <v>0</v>
      </c>
      <c r="AM104" s="56">
        <f t="shared" si="18"/>
        <v>0.23417278082768248</v>
      </c>
    </row>
    <row r="105" spans="1:39" x14ac:dyDescent="0.25">
      <c r="A105" s="2" t="s">
        <v>54</v>
      </c>
      <c r="B105" t="s">
        <v>46</v>
      </c>
      <c r="C105">
        <v>18</v>
      </c>
      <c r="D105">
        <v>7.3</v>
      </c>
      <c r="E105">
        <v>35</v>
      </c>
      <c r="F105">
        <v>4</v>
      </c>
      <c r="G105" s="1">
        <v>45348.290567129632</v>
      </c>
      <c r="H105" s="2">
        <v>2102.79</v>
      </c>
      <c r="I105">
        <v>20.91</v>
      </c>
      <c r="J105">
        <v>86.93</v>
      </c>
      <c r="K105">
        <v>2.5299999999999998</v>
      </c>
      <c r="L105">
        <v>304</v>
      </c>
      <c r="M105">
        <v>30.6</v>
      </c>
      <c r="N105">
        <v>0.72</v>
      </c>
      <c r="O105">
        <v>7.3</v>
      </c>
      <c r="P105" s="2">
        <v>5.89</v>
      </c>
      <c r="Q105">
        <v>2.34</v>
      </c>
      <c r="R105">
        <v>0.11</v>
      </c>
      <c r="S105">
        <v>197.39</v>
      </c>
      <c r="T105">
        <v>26.18</v>
      </c>
      <c r="U105" s="44">
        <f t="shared" si="22"/>
        <v>1.7800000000000011</v>
      </c>
      <c r="V105" s="44">
        <f t="shared" si="13"/>
        <v>2.9449999999999997E-2</v>
      </c>
      <c r="W105" s="44">
        <f t="shared" si="19"/>
        <v>2.983940422513805E-2</v>
      </c>
      <c r="X105" s="44">
        <f t="shared" si="20"/>
        <v>1.1854703885708496E-2</v>
      </c>
      <c r="Y105" s="45">
        <f t="shared" si="21"/>
        <v>1.32</v>
      </c>
      <c r="Z105">
        <v>35</v>
      </c>
      <c r="AA105">
        <v>7.3000000000000007</v>
      </c>
      <c r="AB105">
        <v>50</v>
      </c>
      <c r="AC105" s="31">
        <v>2.9999999999999997E-4</v>
      </c>
      <c r="AD105" s="31">
        <f t="shared" si="14"/>
        <v>7.4293648199999979E-2</v>
      </c>
      <c r="AE105" s="31">
        <f t="shared" si="12"/>
        <v>1.7143848288000001</v>
      </c>
      <c r="AF105">
        <v>200</v>
      </c>
      <c r="AG105" s="2">
        <v>2.3693444036416701E-2</v>
      </c>
      <c r="AH105" s="31">
        <v>2.4E-2</v>
      </c>
      <c r="AI105" s="31">
        <v>1.2999999999999999E-3</v>
      </c>
      <c r="AJ105" s="44">
        <f t="shared" si="15"/>
        <v>0</v>
      </c>
      <c r="AK105" s="44">
        <f t="shared" si="16"/>
        <v>0.19738999999999998</v>
      </c>
      <c r="AL105" s="45">
        <f t="shared" si="17"/>
        <v>0.25660699999999997</v>
      </c>
      <c r="AM105" s="56">
        <f t="shared" si="18"/>
        <v>0.19738999999999998</v>
      </c>
    </row>
    <row r="106" spans="1:39" x14ac:dyDescent="0.25">
      <c r="A106" s="2" t="s">
        <v>55</v>
      </c>
      <c r="B106" t="s">
        <v>51</v>
      </c>
      <c r="C106">
        <v>15</v>
      </c>
      <c r="D106">
        <v>7.2</v>
      </c>
      <c r="E106">
        <v>34</v>
      </c>
      <c r="F106">
        <v>4</v>
      </c>
      <c r="G106" s="1">
        <v>45348.294999999998</v>
      </c>
      <c r="H106" s="2">
        <v>2073.375</v>
      </c>
      <c r="I106">
        <v>21.45</v>
      </c>
      <c r="J106">
        <v>92.6</v>
      </c>
      <c r="K106">
        <v>3.17</v>
      </c>
      <c r="L106">
        <v>320</v>
      </c>
      <c r="M106">
        <v>28.9</v>
      </c>
      <c r="N106">
        <v>1.74</v>
      </c>
      <c r="O106">
        <v>7.26</v>
      </c>
      <c r="P106" s="2">
        <v>5.96</v>
      </c>
      <c r="Q106">
        <v>4.66</v>
      </c>
      <c r="R106">
        <v>0.08</v>
      </c>
      <c r="S106">
        <v>197.47</v>
      </c>
      <c r="T106">
        <v>14.98</v>
      </c>
      <c r="U106" s="44">
        <f t="shared" si="22"/>
        <v>1.7800000000000011</v>
      </c>
      <c r="V106" s="44">
        <f t="shared" si="13"/>
        <v>2.98E-2</v>
      </c>
      <c r="W106" s="44">
        <f t="shared" si="19"/>
        <v>3.0181799767053222E-2</v>
      </c>
      <c r="X106" s="44">
        <f t="shared" si="20"/>
        <v>2.3598521294373828E-2</v>
      </c>
      <c r="Y106" s="45">
        <f t="shared" si="21"/>
        <v>0.96</v>
      </c>
      <c r="Z106">
        <v>34</v>
      </c>
      <c r="AA106">
        <v>7.1999999999999993</v>
      </c>
      <c r="AB106">
        <v>50</v>
      </c>
      <c r="AC106" s="31">
        <v>2.9999999999999997E-4</v>
      </c>
      <c r="AD106" s="31">
        <f t="shared" si="14"/>
        <v>7.6243166999999987E-2</v>
      </c>
      <c r="AE106" s="31">
        <f t="shared" si="12"/>
        <v>1.8810994175999993</v>
      </c>
      <c r="AF106">
        <v>200</v>
      </c>
      <c r="AG106" s="2">
        <v>1.84436370012101E-2</v>
      </c>
      <c r="AH106" s="31"/>
      <c r="AI106" s="31"/>
      <c r="AJ106" s="44">
        <f t="shared" si="15"/>
        <v>0</v>
      </c>
      <c r="AK106" s="44">
        <f t="shared" si="16"/>
        <v>0</v>
      </c>
      <c r="AL106" s="45">
        <f t="shared" si="17"/>
        <v>0</v>
      </c>
      <c r="AM106" s="56">
        <f t="shared" si="18"/>
        <v>0</v>
      </c>
    </row>
    <row r="107" spans="1:39" x14ac:dyDescent="0.25">
      <c r="A107" s="2" t="s">
        <v>56</v>
      </c>
      <c r="B107" t="s">
        <v>49</v>
      </c>
      <c r="C107">
        <v>18</v>
      </c>
      <c r="D107">
        <v>7.1</v>
      </c>
      <c r="E107">
        <v>32.999999999999993</v>
      </c>
      <c r="F107">
        <v>4</v>
      </c>
      <c r="G107" s="1">
        <v>45348.30028935185</v>
      </c>
      <c r="H107" s="2">
        <v>2108.64</v>
      </c>
      <c r="I107">
        <v>24.84</v>
      </c>
      <c r="J107">
        <v>93.02</v>
      </c>
      <c r="K107">
        <v>3.02</v>
      </c>
      <c r="L107">
        <v>325</v>
      </c>
      <c r="M107">
        <v>28.7</v>
      </c>
      <c r="N107">
        <v>3.49</v>
      </c>
      <c r="O107">
        <v>7.15</v>
      </c>
      <c r="P107" s="2">
        <v>6.04</v>
      </c>
      <c r="Q107">
        <v>5.0999999999999996</v>
      </c>
      <c r="R107">
        <v>0.17</v>
      </c>
      <c r="S107">
        <v>200.28</v>
      </c>
      <c r="T107">
        <v>25.38</v>
      </c>
      <c r="U107" s="44">
        <f t="shared" si="22"/>
        <v>1.7799999999999976</v>
      </c>
      <c r="V107" s="44">
        <f t="shared" si="13"/>
        <v>3.0200000000000001E-2</v>
      </c>
      <c r="W107" s="44">
        <f t="shared" si="19"/>
        <v>3.0157779109247055E-2</v>
      </c>
      <c r="X107" s="44">
        <f t="shared" si="20"/>
        <v>2.5464349910125823E-2</v>
      </c>
      <c r="Y107" s="45">
        <f t="shared" si="21"/>
        <v>2.04</v>
      </c>
      <c r="Z107">
        <v>33</v>
      </c>
      <c r="AA107">
        <v>7.1</v>
      </c>
      <c r="AB107">
        <v>50</v>
      </c>
      <c r="AC107" s="31">
        <v>2.9999999999999997E-4</v>
      </c>
      <c r="AD107" s="31">
        <f t="shared" si="14"/>
        <v>8.9549193599999993E-2</v>
      </c>
      <c r="AE107" s="31">
        <f t="shared" si="12"/>
        <v>2.0408407488</v>
      </c>
      <c r="AF107">
        <v>200</v>
      </c>
      <c r="AG107" s="2">
        <v>7.4922579201817004E-3</v>
      </c>
      <c r="AH107" s="31"/>
      <c r="AI107" s="31"/>
      <c r="AJ107" s="44">
        <f t="shared" si="15"/>
        <v>6.2435482668180838E-2</v>
      </c>
      <c r="AK107" s="44">
        <f t="shared" si="16"/>
        <v>0</v>
      </c>
      <c r="AL107" s="45">
        <f t="shared" si="17"/>
        <v>0</v>
      </c>
      <c r="AM107" s="56">
        <f t="shared" si="18"/>
        <v>6.2435482668180838E-2</v>
      </c>
    </row>
    <row r="108" spans="1:39" x14ac:dyDescent="0.25">
      <c r="A108" s="2" t="s">
        <v>57</v>
      </c>
      <c r="B108" t="s">
        <v>46</v>
      </c>
      <c r="C108">
        <v>18</v>
      </c>
      <c r="D108">
        <v>7.2</v>
      </c>
      <c r="E108">
        <v>34</v>
      </c>
      <c r="F108">
        <v>4</v>
      </c>
      <c r="G108" s="1">
        <v>45348.305046296293</v>
      </c>
      <c r="H108" s="2">
        <v>1726.43</v>
      </c>
      <c r="I108">
        <v>17.89</v>
      </c>
      <c r="J108">
        <v>87.77</v>
      </c>
      <c r="K108">
        <v>2.4900000000000002</v>
      </c>
      <c r="L108">
        <v>305</v>
      </c>
      <c r="M108">
        <v>29.6</v>
      </c>
      <c r="N108">
        <v>1.43</v>
      </c>
      <c r="O108">
        <v>7.21</v>
      </c>
      <c r="P108" s="2">
        <v>6.06</v>
      </c>
      <c r="Q108">
        <v>1.36</v>
      </c>
      <c r="R108">
        <v>0.14000000000000001</v>
      </c>
      <c r="S108">
        <v>197.42</v>
      </c>
      <c r="T108">
        <v>26.18</v>
      </c>
      <c r="U108" s="44">
        <f t="shared" si="22"/>
        <v>1.7800000000000011</v>
      </c>
      <c r="V108" s="44">
        <f t="shared" si="13"/>
        <v>3.0299999999999997E-2</v>
      </c>
      <c r="W108" s="44">
        <f t="shared" si="19"/>
        <v>3.069597811771857E-2</v>
      </c>
      <c r="X108" s="44">
        <f t="shared" si="20"/>
        <v>6.8888663762536736E-3</v>
      </c>
      <c r="Y108" s="45">
        <f t="shared" si="21"/>
        <v>1.6800000000000002</v>
      </c>
      <c r="Z108">
        <v>34</v>
      </c>
      <c r="AA108">
        <v>7.1999999999999993</v>
      </c>
      <c r="AB108">
        <v>50</v>
      </c>
      <c r="AC108" s="31">
        <v>2.9999999999999997E-4</v>
      </c>
      <c r="AD108" s="31">
        <f t="shared" si="14"/>
        <v>6.357318839999998E-2</v>
      </c>
      <c r="AE108" s="31">
        <f t="shared" si="12"/>
        <v>1.5033997872</v>
      </c>
      <c r="AF108">
        <v>200</v>
      </c>
      <c r="AG108" s="2">
        <v>2.71813056437217E-2</v>
      </c>
      <c r="AH108" s="31">
        <v>2.4E-2</v>
      </c>
      <c r="AI108" s="31">
        <v>1.2999999999999999E-3</v>
      </c>
      <c r="AJ108" s="44">
        <f t="shared" si="15"/>
        <v>0</v>
      </c>
      <c r="AK108" s="44">
        <f t="shared" si="16"/>
        <v>0.19742000000000001</v>
      </c>
      <c r="AL108" s="45">
        <f t="shared" si="17"/>
        <v>0.25664599999999999</v>
      </c>
      <c r="AM108" s="56">
        <f t="shared" si="18"/>
        <v>0.19742000000000001</v>
      </c>
    </row>
    <row r="109" spans="1:39" x14ac:dyDescent="0.25">
      <c r="A109" s="2" t="s">
        <v>58</v>
      </c>
      <c r="B109" t="s">
        <v>51</v>
      </c>
      <c r="C109">
        <v>18</v>
      </c>
      <c r="D109">
        <v>7.1</v>
      </c>
      <c r="E109">
        <v>32.999999999999993</v>
      </c>
      <c r="F109">
        <v>4</v>
      </c>
      <c r="G109" s="1">
        <v>45348.309837962966</v>
      </c>
      <c r="H109" s="2">
        <v>2216.6799999999998</v>
      </c>
      <c r="I109">
        <v>25.68</v>
      </c>
      <c r="J109">
        <v>92.97</v>
      </c>
      <c r="K109">
        <v>2.4300000000000002</v>
      </c>
      <c r="L109">
        <v>313</v>
      </c>
      <c r="M109">
        <v>32.700000000000003</v>
      </c>
      <c r="N109">
        <v>3.04</v>
      </c>
      <c r="O109">
        <v>7.17</v>
      </c>
      <c r="P109" s="2">
        <v>6.67</v>
      </c>
      <c r="Q109">
        <v>4.6399999999999997</v>
      </c>
      <c r="R109">
        <v>0.1</v>
      </c>
      <c r="S109">
        <v>206.56</v>
      </c>
      <c r="T109">
        <v>25.38</v>
      </c>
      <c r="U109" s="44">
        <f t="shared" si="22"/>
        <v>1.7799999999999976</v>
      </c>
      <c r="V109" s="44">
        <f t="shared" si="13"/>
        <v>3.3349999999999998E-2</v>
      </c>
      <c r="W109" s="44">
        <f t="shared" si="19"/>
        <v>3.2290859798605728E-2</v>
      </c>
      <c r="X109" s="44">
        <f t="shared" si="20"/>
        <v>2.2463206816421378E-2</v>
      </c>
      <c r="Y109" s="45">
        <f t="shared" si="21"/>
        <v>1.2000000000000002</v>
      </c>
      <c r="Z109">
        <v>33</v>
      </c>
      <c r="AA109">
        <v>7.1</v>
      </c>
      <c r="AB109">
        <v>50</v>
      </c>
      <c r="AC109" s="31">
        <v>2.9999999999999997E-4</v>
      </c>
      <c r="AD109" s="31">
        <f t="shared" si="14"/>
        <v>9.5480294399999985E-2</v>
      </c>
      <c r="AE109" s="31">
        <f t="shared" si="12"/>
        <v>1.8313650287999996</v>
      </c>
      <c r="AF109">
        <v>200</v>
      </c>
      <c r="AG109" s="2">
        <v>1.4033229101838299E-2</v>
      </c>
      <c r="AH109" s="31"/>
      <c r="AI109" s="31"/>
      <c r="AJ109" s="44">
        <f t="shared" si="15"/>
        <v>0</v>
      </c>
      <c r="AK109" s="44">
        <f t="shared" si="16"/>
        <v>0</v>
      </c>
      <c r="AL109" s="45">
        <f t="shared" si="17"/>
        <v>0</v>
      </c>
      <c r="AM109" s="56">
        <f t="shared" si="18"/>
        <v>0</v>
      </c>
    </row>
    <row r="110" spans="1:39" x14ac:dyDescent="0.25">
      <c r="A110" s="2" t="s">
        <v>59</v>
      </c>
      <c r="B110" t="s">
        <v>46</v>
      </c>
      <c r="C110">
        <v>15</v>
      </c>
      <c r="D110">
        <v>7.1</v>
      </c>
      <c r="E110">
        <v>32.999999999999993</v>
      </c>
      <c r="F110">
        <v>4</v>
      </c>
      <c r="G110" s="1">
        <v>45348.314930555556</v>
      </c>
      <c r="H110" s="2">
        <v>1533.1813333333332</v>
      </c>
      <c r="I110">
        <v>18.91</v>
      </c>
      <c r="J110">
        <v>90.37</v>
      </c>
      <c r="K110">
        <v>2.79</v>
      </c>
      <c r="L110">
        <v>314</v>
      </c>
      <c r="M110">
        <v>38.5</v>
      </c>
      <c r="N110">
        <v>1.93</v>
      </c>
      <c r="O110">
        <v>7.15</v>
      </c>
      <c r="P110" s="2">
        <v>5.67</v>
      </c>
      <c r="Q110">
        <v>2.2599999999999998</v>
      </c>
      <c r="R110">
        <v>0.1</v>
      </c>
      <c r="S110">
        <v>198.51</v>
      </c>
      <c r="T110">
        <v>13.38</v>
      </c>
      <c r="U110" s="44">
        <f t="shared" si="22"/>
        <v>1.7800000000000011</v>
      </c>
      <c r="V110" s="44">
        <f t="shared" si="13"/>
        <v>2.835E-2</v>
      </c>
      <c r="W110" s="44">
        <f t="shared" si="19"/>
        <v>2.8562792806407739E-2</v>
      </c>
      <c r="X110" s="44">
        <f t="shared" si="20"/>
        <v>1.1384816885799204E-2</v>
      </c>
      <c r="Y110" s="45">
        <f t="shared" si="21"/>
        <v>1.2000000000000002</v>
      </c>
      <c r="Z110">
        <v>33</v>
      </c>
      <c r="AA110">
        <v>7.1</v>
      </c>
      <c r="AB110">
        <v>50</v>
      </c>
      <c r="AC110" s="31">
        <v>2.9999999999999997E-4</v>
      </c>
      <c r="AD110" s="31">
        <f t="shared" si="14"/>
        <v>6.7568833799999978E-2</v>
      </c>
      <c r="AE110" s="31">
        <f t="shared" si="12"/>
        <v>1.5953202719999995</v>
      </c>
      <c r="AF110">
        <v>200</v>
      </c>
      <c r="AG110" s="2">
        <v>3.0444988201659601E-2</v>
      </c>
      <c r="AH110" s="31">
        <v>2.4E-2</v>
      </c>
      <c r="AI110" s="31">
        <v>1.2999999999999999E-3</v>
      </c>
      <c r="AJ110" s="44">
        <f t="shared" si="15"/>
        <v>0</v>
      </c>
      <c r="AK110" s="44">
        <f t="shared" si="16"/>
        <v>0.19850999999999999</v>
      </c>
      <c r="AL110" s="45">
        <f t="shared" si="17"/>
        <v>0.25806299999999999</v>
      </c>
      <c r="AM110" s="56">
        <f t="shared" si="18"/>
        <v>0.19850999999999999</v>
      </c>
    </row>
    <row r="111" spans="1:39" x14ac:dyDescent="0.25">
      <c r="A111" s="2" t="s">
        <v>60</v>
      </c>
      <c r="B111" t="s">
        <v>49</v>
      </c>
      <c r="C111">
        <v>15</v>
      </c>
      <c r="D111">
        <v>7.1</v>
      </c>
      <c r="E111">
        <v>32.999999999999993</v>
      </c>
      <c r="F111">
        <v>4</v>
      </c>
      <c r="G111" s="1">
        <v>45348.319699074076</v>
      </c>
      <c r="H111" s="2">
        <v>2059.14</v>
      </c>
      <c r="I111">
        <v>24.5</v>
      </c>
      <c r="J111">
        <v>94.25</v>
      </c>
      <c r="K111">
        <v>2.75</v>
      </c>
      <c r="L111">
        <v>324</v>
      </c>
      <c r="M111">
        <v>36.200000000000003</v>
      </c>
      <c r="N111">
        <v>3.5</v>
      </c>
      <c r="O111">
        <v>7.17</v>
      </c>
      <c r="P111" s="2">
        <v>6.58</v>
      </c>
      <c r="Q111">
        <v>4.5199999999999996</v>
      </c>
      <c r="R111">
        <v>0.18</v>
      </c>
      <c r="S111">
        <v>200.07</v>
      </c>
      <c r="T111">
        <v>13.38</v>
      </c>
      <c r="U111" s="44">
        <f t="shared" si="22"/>
        <v>1.7800000000000011</v>
      </c>
      <c r="V111" s="44">
        <f t="shared" si="13"/>
        <v>3.2899999999999999E-2</v>
      </c>
      <c r="W111" s="44">
        <f t="shared" si="19"/>
        <v>3.288848902883991E-2</v>
      </c>
      <c r="X111" s="44">
        <f t="shared" si="20"/>
        <v>2.2592092767531363E-2</v>
      </c>
      <c r="Y111" s="45">
        <f t="shared" si="21"/>
        <v>2.16</v>
      </c>
      <c r="Z111">
        <v>33</v>
      </c>
      <c r="AA111">
        <v>7.1</v>
      </c>
      <c r="AB111">
        <v>50</v>
      </c>
      <c r="AC111" s="31">
        <v>2.9999999999999997E-4</v>
      </c>
      <c r="AD111" s="31">
        <f t="shared" si="14"/>
        <v>8.8230869999999989E-2</v>
      </c>
      <c r="AE111" s="31">
        <f t="shared" si="12"/>
        <v>1.9549486079999996</v>
      </c>
      <c r="AF111">
        <v>200</v>
      </c>
      <c r="AG111" s="2">
        <v>1.9467635040908898E-2</v>
      </c>
      <c r="AH111" s="31"/>
      <c r="AI111" s="31"/>
      <c r="AJ111" s="44">
        <f t="shared" si="15"/>
        <v>0.16223029200757413</v>
      </c>
      <c r="AK111" s="44">
        <f t="shared" si="16"/>
        <v>0</v>
      </c>
      <c r="AL111" s="45">
        <f t="shared" si="17"/>
        <v>0</v>
      </c>
      <c r="AM111" s="56">
        <f t="shared" si="18"/>
        <v>0.16223029200757413</v>
      </c>
    </row>
    <row r="112" spans="1:39" x14ac:dyDescent="0.25">
      <c r="A112" s="2" t="s">
        <v>61</v>
      </c>
      <c r="B112" t="s">
        <v>46</v>
      </c>
      <c r="C112">
        <v>15</v>
      </c>
      <c r="D112">
        <v>7.3</v>
      </c>
      <c r="E112">
        <v>35</v>
      </c>
      <c r="F112">
        <v>4</v>
      </c>
      <c r="G112" s="1">
        <v>45348.324803240743</v>
      </c>
      <c r="H112" s="2">
        <v>1780.095</v>
      </c>
      <c r="I112">
        <v>18.170000000000002</v>
      </c>
      <c r="J112">
        <v>89.16</v>
      </c>
      <c r="K112">
        <v>2.2599999999999998</v>
      </c>
      <c r="L112">
        <v>297</v>
      </c>
      <c r="M112">
        <v>32.700000000000003</v>
      </c>
      <c r="N112">
        <v>0.68</v>
      </c>
      <c r="O112">
        <v>7.32</v>
      </c>
      <c r="P112" s="2">
        <v>5.89</v>
      </c>
      <c r="Q112">
        <v>1.19</v>
      </c>
      <c r="R112">
        <v>0.13</v>
      </c>
      <c r="S112">
        <v>197.35</v>
      </c>
      <c r="T112">
        <v>13.38</v>
      </c>
      <c r="U112" s="44">
        <f t="shared" si="22"/>
        <v>1.7800000000000011</v>
      </c>
      <c r="V112" s="44">
        <f t="shared" si="13"/>
        <v>2.9449999999999997E-2</v>
      </c>
      <c r="W112" s="44">
        <f t="shared" si="19"/>
        <v>2.9845452242209271E-2</v>
      </c>
      <c r="X112" s="44">
        <f t="shared" si="20"/>
        <v>6.0298961236382063E-3</v>
      </c>
      <c r="Y112" s="45">
        <f t="shared" si="21"/>
        <v>1.56</v>
      </c>
      <c r="Z112">
        <v>35</v>
      </c>
      <c r="AA112">
        <v>7.3000000000000007</v>
      </c>
      <c r="AB112">
        <v>50</v>
      </c>
      <c r="AC112" s="31">
        <v>2.9999999999999997E-4</v>
      </c>
      <c r="AD112" s="31">
        <f t="shared" si="14"/>
        <v>6.4545291000000005E-2</v>
      </c>
      <c r="AE112" s="31">
        <f t="shared" si="12"/>
        <v>1.8536330303999997</v>
      </c>
      <c r="AF112">
        <v>200</v>
      </c>
      <c r="AG112" s="2">
        <v>3.80980494564521E-2</v>
      </c>
      <c r="AH112" s="31">
        <v>2.4E-2</v>
      </c>
      <c r="AI112" s="31">
        <v>1.2999999999999999E-3</v>
      </c>
      <c r="AJ112" s="44">
        <f t="shared" si="15"/>
        <v>0</v>
      </c>
      <c r="AK112" s="44">
        <f t="shared" si="16"/>
        <v>0.19735</v>
      </c>
      <c r="AL112" s="45">
        <f t="shared" si="17"/>
        <v>0.25655499999999998</v>
      </c>
      <c r="AM112" s="56">
        <f t="shared" si="18"/>
        <v>0.19735</v>
      </c>
    </row>
    <row r="113" spans="1:39" x14ac:dyDescent="0.25">
      <c r="A113" s="2" t="s">
        <v>62</v>
      </c>
      <c r="B113" t="s">
        <v>49</v>
      </c>
      <c r="C113">
        <v>18</v>
      </c>
      <c r="D113">
        <v>7.2</v>
      </c>
      <c r="E113">
        <v>34</v>
      </c>
      <c r="F113">
        <v>4</v>
      </c>
      <c r="G113" s="1">
        <v>45348.329583333332</v>
      </c>
      <c r="H113" s="2">
        <v>2379.6750000000002</v>
      </c>
      <c r="I113">
        <v>21.86</v>
      </c>
      <c r="J113">
        <v>92.95</v>
      </c>
      <c r="K113">
        <v>2.34</v>
      </c>
      <c r="L113">
        <v>313</v>
      </c>
      <c r="M113">
        <v>32</v>
      </c>
      <c r="N113">
        <v>2.63</v>
      </c>
      <c r="O113">
        <v>7.26</v>
      </c>
      <c r="P113" s="2">
        <v>6.29</v>
      </c>
      <c r="Q113">
        <v>4.8499999999999996</v>
      </c>
      <c r="R113">
        <v>0.14000000000000001</v>
      </c>
      <c r="S113">
        <v>199.8</v>
      </c>
      <c r="T113">
        <v>25.38</v>
      </c>
      <c r="U113" s="44">
        <f t="shared" si="22"/>
        <v>1.7799999999999976</v>
      </c>
      <c r="V113" s="44">
        <f t="shared" si="13"/>
        <v>3.1449999999999999E-2</v>
      </c>
      <c r="W113" s="44">
        <f t="shared" si="19"/>
        <v>3.1481481481481478E-2</v>
      </c>
      <c r="X113" s="44">
        <f t="shared" si="20"/>
        <v>2.4274274274274272E-2</v>
      </c>
      <c r="Y113" s="45">
        <f t="shared" si="21"/>
        <v>1.6800000000000002</v>
      </c>
      <c r="Z113">
        <v>34</v>
      </c>
      <c r="AA113">
        <v>7.1999999999999993</v>
      </c>
      <c r="AB113">
        <v>50</v>
      </c>
      <c r="AC113" s="31">
        <v>2.9999999999999997E-4</v>
      </c>
      <c r="AD113" s="31">
        <f t="shared" si="14"/>
        <v>7.8617303999999985E-2</v>
      </c>
      <c r="AE113" s="31">
        <f t="shared" si="12"/>
        <v>2.1933057311999997</v>
      </c>
      <c r="AF113">
        <v>200</v>
      </c>
      <c r="AG113" s="2">
        <v>1.5300871468613799E-2</v>
      </c>
      <c r="AH113" s="31"/>
      <c r="AI113" s="31"/>
      <c r="AJ113" s="44">
        <f t="shared" si="15"/>
        <v>0.12750726223844833</v>
      </c>
      <c r="AK113" s="44">
        <f t="shared" si="16"/>
        <v>0</v>
      </c>
      <c r="AL113" s="45">
        <f t="shared" si="17"/>
        <v>0</v>
      </c>
      <c r="AM113" s="56">
        <f t="shared" si="18"/>
        <v>0.12750726223844833</v>
      </c>
    </row>
    <row r="114" spans="1:39" x14ac:dyDescent="0.25">
      <c r="A114" s="2" t="s">
        <v>63</v>
      </c>
      <c r="B114" t="s">
        <v>51</v>
      </c>
      <c r="C114">
        <v>12</v>
      </c>
      <c r="D114">
        <v>7.1</v>
      </c>
      <c r="E114">
        <v>32.999999999999993</v>
      </c>
      <c r="F114">
        <v>4</v>
      </c>
      <c r="G114" s="1">
        <v>45348.337326388886</v>
      </c>
      <c r="H114" s="2">
        <v>1695.9749999999999</v>
      </c>
      <c r="I114">
        <v>21.83</v>
      </c>
      <c r="J114">
        <v>95.51</v>
      </c>
      <c r="K114">
        <v>3.14</v>
      </c>
      <c r="L114">
        <v>316</v>
      </c>
      <c r="M114">
        <v>34.6</v>
      </c>
      <c r="N114">
        <v>1.97</v>
      </c>
      <c r="O114">
        <v>7.17</v>
      </c>
      <c r="P114" s="2">
        <v>5.33</v>
      </c>
      <c r="Q114">
        <v>3.94</v>
      </c>
      <c r="R114">
        <v>0.08</v>
      </c>
      <c r="S114">
        <v>197.15</v>
      </c>
      <c r="T114">
        <v>14.18</v>
      </c>
      <c r="U114" s="44">
        <f t="shared" si="22"/>
        <v>1.7799999999999994</v>
      </c>
      <c r="V114" s="44">
        <f t="shared" si="13"/>
        <v>2.665E-2</v>
      </c>
      <c r="W114" s="44">
        <f t="shared" si="19"/>
        <v>2.7035252345929496E-2</v>
      </c>
      <c r="X114" s="44">
        <f t="shared" si="20"/>
        <v>1.9984783160030432E-2</v>
      </c>
      <c r="Y114" s="45">
        <f t="shared" si="21"/>
        <v>0.96</v>
      </c>
      <c r="Z114">
        <v>33</v>
      </c>
      <c r="AA114">
        <v>7.1</v>
      </c>
      <c r="AB114">
        <v>50</v>
      </c>
      <c r="AC114" s="31">
        <v>2.9999999999999997E-4</v>
      </c>
      <c r="AD114" s="31">
        <f t="shared" si="14"/>
        <v>7.7468120999999987E-2</v>
      </c>
      <c r="AE114" s="31">
        <f t="shared" si="12"/>
        <v>1.7428393295999998</v>
      </c>
      <c r="AF114">
        <v>200</v>
      </c>
      <c r="AG114" s="2">
        <v>2.55206923212613E-2</v>
      </c>
      <c r="AH114" s="31"/>
      <c r="AI114" s="31"/>
      <c r="AJ114" s="44">
        <f t="shared" si="15"/>
        <v>0</v>
      </c>
      <c r="AK114" s="44">
        <f t="shared" si="16"/>
        <v>0</v>
      </c>
      <c r="AL114" s="45">
        <f t="shared" si="17"/>
        <v>0</v>
      </c>
      <c r="AM114" s="56">
        <f t="shared" si="18"/>
        <v>0</v>
      </c>
    </row>
    <row r="115" spans="1:39" x14ac:dyDescent="0.25">
      <c r="A115" s="2" t="s">
        <v>64</v>
      </c>
      <c r="B115" t="s">
        <v>46</v>
      </c>
      <c r="C115">
        <v>12</v>
      </c>
      <c r="D115">
        <v>7.1</v>
      </c>
      <c r="E115">
        <v>32.999999999999993</v>
      </c>
      <c r="F115">
        <v>4</v>
      </c>
      <c r="G115" s="1">
        <v>45348.341689814813</v>
      </c>
      <c r="H115" s="2">
        <v>1544.19</v>
      </c>
      <c r="I115">
        <v>18.87</v>
      </c>
      <c r="J115">
        <v>92.45</v>
      </c>
      <c r="K115">
        <v>2.71</v>
      </c>
      <c r="L115">
        <v>316</v>
      </c>
      <c r="M115">
        <v>32.1</v>
      </c>
      <c r="N115">
        <v>3.15</v>
      </c>
      <c r="O115">
        <v>7.13</v>
      </c>
      <c r="P115" s="2">
        <v>5.8</v>
      </c>
      <c r="Q115">
        <v>1.38</v>
      </c>
      <c r="R115">
        <v>0.1</v>
      </c>
      <c r="S115">
        <v>198.25</v>
      </c>
      <c r="T115">
        <v>13.38</v>
      </c>
      <c r="U115" s="44">
        <f t="shared" si="22"/>
        <v>1.7800000000000011</v>
      </c>
      <c r="V115" s="44">
        <f t="shared" si="13"/>
        <v>2.8999999999999998E-2</v>
      </c>
      <c r="W115" s="44">
        <f t="shared" si="19"/>
        <v>2.9255989911727617E-2</v>
      </c>
      <c r="X115" s="44">
        <f t="shared" si="20"/>
        <v>6.960907944514501E-3</v>
      </c>
      <c r="Y115" s="45">
        <f t="shared" si="21"/>
        <v>1.2000000000000002</v>
      </c>
      <c r="Z115">
        <v>33</v>
      </c>
      <c r="AA115">
        <v>7.1</v>
      </c>
      <c r="AB115">
        <v>50</v>
      </c>
      <c r="AC115" s="31">
        <v>2.9999999999999997E-4</v>
      </c>
      <c r="AD115" s="31">
        <f t="shared" si="14"/>
        <v>6.7337595E-2</v>
      </c>
      <c r="AE115" s="31">
        <f t="shared" ref="AE115:AE178" si="23">AD91*24</f>
        <v>1.5756305327999995</v>
      </c>
      <c r="AF115">
        <v>200</v>
      </c>
      <c r="AG115" s="2">
        <v>3.6041244330877201E-2</v>
      </c>
      <c r="AH115" s="31">
        <v>2.4E-2</v>
      </c>
      <c r="AI115" s="31">
        <v>1.2999999999999999E-3</v>
      </c>
      <c r="AJ115" s="44">
        <f t="shared" si="15"/>
        <v>0</v>
      </c>
      <c r="AK115" s="44">
        <f t="shared" si="16"/>
        <v>0.19825000000000001</v>
      </c>
      <c r="AL115" s="45">
        <f t="shared" si="17"/>
        <v>0.25772499999999998</v>
      </c>
      <c r="AM115" s="56">
        <f t="shared" si="18"/>
        <v>0.19825000000000001</v>
      </c>
    </row>
    <row r="116" spans="1:39" x14ac:dyDescent="0.25">
      <c r="A116" s="2" t="s">
        <v>65</v>
      </c>
      <c r="B116" t="s">
        <v>49</v>
      </c>
      <c r="C116">
        <v>15</v>
      </c>
      <c r="D116">
        <v>7.3</v>
      </c>
      <c r="E116">
        <v>35</v>
      </c>
      <c r="F116">
        <v>4</v>
      </c>
      <c r="G116" s="1">
        <v>45348.345543981479</v>
      </c>
      <c r="H116" s="2">
        <v>2189.4450000000002</v>
      </c>
      <c r="I116">
        <v>23.13</v>
      </c>
      <c r="J116">
        <v>94.17</v>
      </c>
      <c r="K116">
        <v>2.5</v>
      </c>
      <c r="L116">
        <v>310</v>
      </c>
      <c r="M116">
        <v>31.5</v>
      </c>
      <c r="N116">
        <v>1.21</v>
      </c>
      <c r="O116">
        <v>7.36</v>
      </c>
      <c r="P116" s="2">
        <v>6.5</v>
      </c>
      <c r="Q116">
        <v>5.65</v>
      </c>
      <c r="R116">
        <v>0.16</v>
      </c>
      <c r="S116">
        <v>198.95</v>
      </c>
      <c r="T116">
        <v>14.18</v>
      </c>
      <c r="U116" s="44">
        <f t="shared" si="22"/>
        <v>1.7799999999999994</v>
      </c>
      <c r="V116" s="44">
        <f t="shared" si="13"/>
        <v>3.2500000000000001E-2</v>
      </c>
      <c r="W116" s="44">
        <f t="shared" si="19"/>
        <v>3.2671525508921842E-2</v>
      </c>
      <c r="X116" s="44">
        <f t="shared" si="20"/>
        <v>2.8399095250062834E-2</v>
      </c>
      <c r="Y116" s="45">
        <f t="shared" si="21"/>
        <v>1.92</v>
      </c>
      <c r="Z116">
        <v>35</v>
      </c>
      <c r="AA116">
        <v>7.3000000000000007</v>
      </c>
      <c r="AB116">
        <v>50</v>
      </c>
      <c r="AC116" s="31">
        <v>2.9999999999999997E-4</v>
      </c>
      <c r="AD116" s="31">
        <f t="shared" si="14"/>
        <v>8.2830842999999973E-2</v>
      </c>
      <c r="AE116" s="31">
        <f t="shared" si="23"/>
        <v>1.7334633743999994</v>
      </c>
      <c r="AF116">
        <v>200</v>
      </c>
      <c r="AG116" s="2">
        <v>1.78706241100096E-2</v>
      </c>
      <c r="AH116" s="31"/>
      <c r="AI116" s="31"/>
      <c r="AJ116" s="44">
        <f t="shared" si="15"/>
        <v>0.14892186758341333</v>
      </c>
      <c r="AK116" s="44">
        <f t="shared" si="16"/>
        <v>0</v>
      </c>
      <c r="AL116" s="45">
        <f t="shared" si="17"/>
        <v>0</v>
      </c>
      <c r="AM116" s="56">
        <f t="shared" si="18"/>
        <v>0.14892186758341333</v>
      </c>
    </row>
    <row r="117" spans="1:39" x14ac:dyDescent="0.25">
      <c r="A117" s="2" t="s">
        <v>66</v>
      </c>
      <c r="B117" t="s">
        <v>46</v>
      </c>
      <c r="C117">
        <v>12</v>
      </c>
      <c r="D117">
        <v>7.2</v>
      </c>
      <c r="E117">
        <v>34</v>
      </c>
      <c r="F117">
        <v>4</v>
      </c>
      <c r="G117" s="1">
        <v>45348.352951388886</v>
      </c>
      <c r="H117" s="2">
        <v>1662.33</v>
      </c>
      <c r="I117">
        <v>22.57</v>
      </c>
      <c r="J117">
        <v>94.5</v>
      </c>
      <c r="K117">
        <v>2.2999999999999998</v>
      </c>
      <c r="L117">
        <v>307</v>
      </c>
      <c r="M117">
        <v>35.200000000000003</v>
      </c>
      <c r="N117">
        <v>1.88</v>
      </c>
      <c r="O117">
        <v>7.24</v>
      </c>
      <c r="P117" s="2">
        <v>6.3</v>
      </c>
      <c r="Q117">
        <v>1.1000000000000001</v>
      </c>
      <c r="R117">
        <v>0.09</v>
      </c>
      <c r="S117">
        <v>195.96</v>
      </c>
      <c r="T117">
        <v>14.98</v>
      </c>
      <c r="U117" s="44">
        <f t="shared" si="22"/>
        <v>1.7800000000000011</v>
      </c>
      <c r="V117" s="44">
        <f t="shared" si="13"/>
        <v>3.15E-2</v>
      </c>
      <c r="W117" s="44">
        <f t="shared" si="19"/>
        <v>3.2149418248622164E-2</v>
      </c>
      <c r="X117" s="44">
        <f t="shared" si="20"/>
        <v>5.6133904878546649E-3</v>
      </c>
      <c r="Y117" s="45">
        <f t="shared" si="21"/>
        <v>1.08</v>
      </c>
      <c r="Z117">
        <v>34</v>
      </c>
      <c r="AA117">
        <v>7.1999999999999993</v>
      </c>
      <c r="AB117">
        <v>50</v>
      </c>
      <c r="AC117" s="31">
        <v>2.9999999999999997E-4</v>
      </c>
      <c r="AD117" s="31">
        <f t="shared" si="14"/>
        <v>7.9610709599999996E-2</v>
      </c>
      <c r="AE117" s="31">
        <f t="shared" si="23"/>
        <v>1.3720326479999996</v>
      </c>
      <c r="AF117">
        <v>200</v>
      </c>
      <c r="AG117" s="2">
        <v>3.5775301099818198E-2</v>
      </c>
      <c r="AH117" s="31">
        <v>2.4E-2</v>
      </c>
      <c r="AI117" s="31">
        <v>1.2999999999999999E-3</v>
      </c>
      <c r="AJ117" s="44">
        <f t="shared" si="15"/>
        <v>0</v>
      </c>
      <c r="AK117" s="44">
        <f t="shared" si="16"/>
        <v>0.19596000000000002</v>
      </c>
      <c r="AL117" s="45">
        <f t="shared" si="17"/>
        <v>0.25474799999999997</v>
      </c>
      <c r="AM117" s="56">
        <f t="shared" si="18"/>
        <v>0.19596000000000002</v>
      </c>
    </row>
    <row r="118" spans="1:39" x14ac:dyDescent="0.25">
      <c r="A118" s="2" t="s">
        <v>67</v>
      </c>
      <c r="B118" t="s">
        <v>49</v>
      </c>
      <c r="C118">
        <v>12</v>
      </c>
      <c r="D118">
        <v>7.1</v>
      </c>
      <c r="E118">
        <v>32.999999999999993</v>
      </c>
      <c r="F118">
        <v>4</v>
      </c>
      <c r="G118" s="1">
        <v>45348.35833333333</v>
      </c>
      <c r="H118" s="2">
        <v>1826.0550000000001</v>
      </c>
      <c r="I118">
        <v>19.239999999999998</v>
      </c>
      <c r="J118">
        <v>94.62</v>
      </c>
      <c r="K118">
        <v>3.14</v>
      </c>
      <c r="L118">
        <v>324</v>
      </c>
      <c r="M118">
        <v>29.6</v>
      </c>
      <c r="N118">
        <v>2.98</v>
      </c>
      <c r="O118">
        <v>7.17</v>
      </c>
      <c r="P118" s="2">
        <v>6.65</v>
      </c>
      <c r="Q118">
        <v>4.0199999999999996</v>
      </c>
      <c r="R118">
        <v>0.18</v>
      </c>
      <c r="S118">
        <v>198.26</v>
      </c>
      <c r="T118">
        <v>14.18</v>
      </c>
      <c r="U118" s="44">
        <f t="shared" si="22"/>
        <v>1.7799999999999994</v>
      </c>
      <c r="V118" s="44">
        <f t="shared" si="13"/>
        <v>3.3250000000000002E-2</v>
      </c>
      <c r="W118" s="44">
        <f t="shared" si="19"/>
        <v>3.3541813779885001E-2</v>
      </c>
      <c r="X118" s="44">
        <f t="shared" si="20"/>
        <v>2.0276404721073338E-2</v>
      </c>
      <c r="Y118" s="45">
        <f t="shared" si="21"/>
        <v>2.16</v>
      </c>
      <c r="Z118">
        <v>33</v>
      </c>
      <c r="AA118">
        <v>7.1</v>
      </c>
      <c r="AB118">
        <v>50</v>
      </c>
      <c r="AC118" s="31">
        <v>2.9999999999999997E-4</v>
      </c>
      <c r="AD118" s="31">
        <f t="shared" si="14"/>
        <v>6.8661403199999985E-2</v>
      </c>
      <c r="AE118" s="31">
        <f t="shared" si="23"/>
        <v>1.7221552127999997</v>
      </c>
      <c r="AF118">
        <v>200</v>
      </c>
      <c r="AG118" s="2">
        <v>2.157820467856E-2</v>
      </c>
      <c r="AH118" s="31"/>
      <c r="AI118" s="31"/>
      <c r="AJ118" s="44">
        <f t="shared" si="15"/>
        <v>0.17981837232133333</v>
      </c>
      <c r="AK118" s="44">
        <f t="shared" si="16"/>
        <v>0</v>
      </c>
      <c r="AL118" s="45">
        <f t="shared" si="17"/>
        <v>0</v>
      </c>
      <c r="AM118" s="56">
        <f t="shared" si="18"/>
        <v>0.17981837232133333</v>
      </c>
    </row>
    <row r="119" spans="1:39" x14ac:dyDescent="0.25">
      <c r="A119" s="2" t="s">
        <v>68</v>
      </c>
      <c r="B119" t="s">
        <v>51</v>
      </c>
      <c r="C119">
        <v>12</v>
      </c>
      <c r="D119">
        <v>7.3</v>
      </c>
      <c r="E119">
        <v>35</v>
      </c>
      <c r="F119">
        <v>4</v>
      </c>
      <c r="G119" s="1">
        <v>45348.363506944443</v>
      </c>
      <c r="H119" s="2">
        <v>1736.7</v>
      </c>
      <c r="I119">
        <v>20.05</v>
      </c>
      <c r="J119">
        <v>95.04</v>
      </c>
      <c r="K119">
        <v>2.81</v>
      </c>
      <c r="L119">
        <v>307</v>
      </c>
      <c r="M119">
        <v>32</v>
      </c>
      <c r="N119">
        <v>0.7</v>
      </c>
      <c r="O119">
        <v>7.36</v>
      </c>
      <c r="P119" s="2">
        <v>4.74</v>
      </c>
      <c r="Q119">
        <v>5.4</v>
      </c>
      <c r="R119">
        <v>7.0000000000000007E-2</v>
      </c>
      <c r="S119">
        <v>197.24</v>
      </c>
      <c r="T119">
        <v>14.18</v>
      </c>
      <c r="U119" s="44">
        <f t="shared" si="22"/>
        <v>1.7799999999999994</v>
      </c>
      <c r="V119" s="44">
        <f t="shared" si="13"/>
        <v>2.3700000000000002E-2</v>
      </c>
      <c r="W119" s="44">
        <f t="shared" si="19"/>
        <v>2.4031636584871223E-2</v>
      </c>
      <c r="X119" s="44">
        <f t="shared" si="20"/>
        <v>2.737781383086595E-2</v>
      </c>
      <c r="Y119" s="45">
        <f t="shared" si="21"/>
        <v>0.84000000000000008</v>
      </c>
      <c r="Z119">
        <v>35</v>
      </c>
      <c r="AA119">
        <v>7.3000000000000007</v>
      </c>
      <c r="AB119">
        <v>50</v>
      </c>
      <c r="AC119" s="31">
        <v>2.9999999999999997E-4</v>
      </c>
      <c r="AD119" s="31">
        <f t="shared" si="14"/>
        <v>7.1183916E-2</v>
      </c>
      <c r="AE119" s="31">
        <f t="shared" si="23"/>
        <v>1.5902729999999998</v>
      </c>
      <c r="AF119">
        <v>200</v>
      </c>
      <c r="AG119" s="2">
        <v>2.6793043156187898E-2</v>
      </c>
      <c r="AH119" s="31"/>
      <c r="AI119" s="31"/>
      <c r="AJ119" s="44">
        <f t="shared" si="15"/>
        <v>0</v>
      </c>
      <c r="AK119" s="44">
        <f t="shared" si="16"/>
        <v>0</v>
      </c>
      <c r="AL119" s="45">
        <f t="shared" si="17"/>
        <v>0</v>
      </c>
      <c r="AM119" s="56">
        <f t="shared" si="18"/>
        <v>0</v>
      </c>
    </row>
    <row r="120" spans="1:39" x14ac:dyDescent="0.25">
      <c r="A120" s="2" t="s">
        <v>69</v>
      </c>
      <c r="B120" t="s">
        <v>51</v>
      </c>
      <c r="C120">
        <v>15</v>
      </c>
      <c r="D120">
        <v>7.2</v>
      </c>
      <c r="E120">
        <v>34</v>
      </c>
      <c r="F120">
        <v>4</v>
      </c>
      <c r="G120" s="1">
        <v>45348.368692129632</v>
      </c>
      <c r="H120" s="2">
        <v>2179.875</v>
      </c>
      <c r="I120">
        <v>22.12</v>
      </c>
      <c r="J120">
        <v>92.84</v>
      </c>
      <c r="K120">
        <v>3.03</v>
      </c>
      <c r="L120">
        <v>322</v>
      </c>
      <c r="M120">
        <v>33.1</v>
      </c>
      <c r="N120">
        <v>1.79</v>
      </c>
      <c r="O120">
        <v>7.26</v>
      </c>
      <c r="P120" s="2">
        <v>5.93</v>
      </c>
      <c r="Q120">
        <v>4.7699999999999996</v>
      </c>
      <c r="R120">
        <v>0.08</v>
      </c>
      <c r="S120">
        <v>199.21</v>
      </c>
      <c r="T120">
        <v>13.38</v>
      </c>
      <c r="U120" s="44">
        <f t="shared" si="22"/>
        <v>1.7800000000000011</v>
      </c>
      <c r="V120" s="44">
        <f t="shared" si="13"/>
        <v>2.9649999999999999E-2</v>
      </c>
      <c r="W120" s="44">
        <f t="shared" si="19"/>
        <v>2.9767581948697351E-2</v>
      </c>
      <c r="X120" s="44">
        <f t="shared" si="20"/>
        <v>2.3944581095326538E-2</v>
      </c>
      <c r="Y120" s="45">
        <f t="shared" si="21"/>
        <v>0.96</v>
      </c>
      <c r="Z120">
        <v>34</v>
      </c>
      <c r="AA120">
        <v>7.1999999999999993</v>
      </c>
      <c r="AB120">
        <v>50</v>
      </c>
      <c r="AC120" s="31">
        <v>2.9999999999999997E-4</v>
      </c>
      <c r="AD120" s="31">
        <f t="shared" si="14"/>
        <v>7.931745359999999E-2</v>
      </c>
      <c r="AE120" s="31">
        <f t="shared" si="23"/>
        <v>1.9524037823999998</v>
      </c>
      <c r="AF120">
        <v>200</v>
      </c>
      <c r="AG120" s="2">
        <v>1.5687663566245499E-2</v>
      </c>
      <c r="AH120" s="31"/>
      <c r="AI120" s="31"/>
      <c r="AJ120" s="44">
        <f t="shared" si="15"/>
        <v>0</v>
      </c>
      <c r="AK120" s="44">
        <f t="shared" si="16"/>
        <v>0</v>
      </c>
      <c r="AL120" s="45">
        <f t="shared" si="17"/>
        <v>0</v>
      </c>
      <c r="AM120" s="56">
        <f t="shared" si="18"/>
        <v>0</v>
      </c>
    </row>
    <row r="121" spans="1:39" x14ac:dyDescent="0.25">
      <c r="A121" s="2" t="s">
        <v>70</v>
      </c>
      <c r="B121" t="s">
        <v>51</v>
      </c>
      <c r="C121">
        <v>15</v>
      </c>
      <c r="D121">
        <v>7.2</v>
      </c>
      <c r="E121">
        <v>34</v>
      </c>
      <c r="F121">
        <v>4</v>
      </c>
      <c r="G121" s="1">
        <v>45348.374120370368</v>
      </c>
      <c r="H121" s="2">
        <v>2113.875</v>
      </c>
      <c r="I121">
        <v>22.85</v>
      </c>
      <c r="J121">
        <v>94.72</v>
      </c>
      <c r="K121">
        <v>2.69</v>
      </c>
      <c r="L121">
        <v>312</v>
      </c>
      <c r="M121">
        <v>27.8</v>
      </c>
      <c r="N121">
        <v>2.0299999999999998</v>
      </c>
      <c r="O121">
        <v>7.27</v>
      </c>
      <c r="P121" s="2">
        <v>5.81</v>
      </c>
      <c r="Q121">
        <v>4.4000000000000004</v>
      </c>
      <c r="R121">
        <v>0.08</v>
      </c>
      <c r="S121">
        <v>197.95</v>
      </c>
      <c r="T121">
        <v>13.38</v>
      </c>
      <c r="U121" s="44">
        <f t="shared" si="22"/>
        <v>1.7800000000000011</v>
      </c>
      <c r="V121" s="44">
        <f t="shared" si="13"/>
        <v>2.9049999999999999E-2</v>
      </c>
      <c r="W121" s="44">
        <f t="shared" si="19"/>
        <v>2.9350846173276081E-2</v>
      </c>
      <c r="X121" s="44">
        <f t="shared" si="20"/>
        <v>2.2227835311947466E-2</v>
      </c>
      <c r="Y121" s="45">
        <f t="shared" si="21"/>
        <v>0.96</v>
      </c>
      <c r="Z121">
        <v>34</v>
      </c>
      <c r="AA121">
        <v>7.1999999999999993</v>
      </c>
      <c r="AB121">
        <v>50</v>
      </c>
      <c r="AC121" s="31">
        <v>2.9999999999999997E-4</v>
      </c>
      <c r="AD121" s="31">
        <f t="shared" si="14"/>
        <v>8.1416834999999993E-2</v>
      </c>
      <c r="AE121" s="31">
        <f t="shared" si="23"/>
        <v>1.6894240415999999</v>
      </c>
      <c r="AF121">
        <v>200</v>
      </c>
      <c r="AG121" s="2">
        <v>1.6936765095686701E-2</v>
      </c>
      <c r="AH121" s="31"/>
      <c r="AI121" s="31"/>
      <c r="AJ121" s="44">
        <f t="shared" si="15"/>
        <v>0</v>
      </c>
      <c r="AK121" s="44">
        <f t="shared" si="16"/>
        <v>0</v>
      </c>
      <c r="AL121" s="45">
        <f t="shared" si="17"/>
        <v>0</v>
      </c>
      <c r="AM121" s="56">
        <f t="shared" si="18"/>
        <v>0</v>
      </c>
    </row>
    <row r="122" spans="1:39" ht="15.75" thickBot="1" x14ac:dyDescent="0.3">
      <c r="A122" s="12" t="s">
        <v>71</v>
      </c>
      <c r="B122" s="13" t="s">
        <v>51</v>
      </c>
      <c r="C122" s="13">
        <v>15</v>
      </c>
      <c r="D122" s="13">
        <v>7.2</v>
      </c>
      <c r="E122" s="13">
        <v>34</v>
      </c>
      <c r="F122" s="13">
        <v>4</v>
      </c>
      <c r="G122" s="14">
        <v>45348.37871527778</v>
      </c>
      <c r="H122" s="12">
        <v>1874.79</v>
      </c>
      <c r="I122" s="13">
        <v>19.78</v>
      </c>
      <c r="J122" s="13">
        <v>94.06</v>
      </c>
      <c r="K122" s="13">
        <v>2.88</v>
      </c>
      <c r="L122" s="13">
        <v>313</v>
      </c>
      <c r="M122" s="13">
        <v>33.700000000000003</v>
      </c>
      <c r="N122" s="13">
        <v>1.6</v>
      </c>
      <c r="O122" s="13">
        <v>7.27</v>
      </c>
      <c r="P122" s="12">
        <v>5.37</v>
      </c>
      <c r="Q122" s="13">
        <v>4.7</v>
      </c>
      <c r="R122" s="13">
        <v>7.0000000000000007E-2</v>
      </c>
      <c r="S122" s="13">
        <v>198.44</v>
      </c>
      <c r="T122" s="13">
        <v>13.38</v>
      </c>
      <c r="U122" s="46">
        <f t="shared" si="22"/>
        <v>1.7800000000000011</v>
      </c>
      <c r="V122" s="46">
        <f t="shared" si="13"/>
        <v>2.6849999999999999E-2</v>
      </c>
      <c r="W122" s="46">
        <f t="shared" si="19"/>
        <v>2.7061076395887926E-2</v>
      </c>
      <c r="X122" s="46">
        <f t="shared" si="20"/>
        <v>2.3684740979641204E-2</v>
      </c>
      <c r="Y122" s="47">
        <f t="shared" si="21"/>
        <v>0.84000000000000008</v>
      </c>
      <c r="Z122" s="13">
        <v>34</v>
      </c>
      <c r="AA122" s="13">
        <v>7.1999999999999993</v>
      </c>
      <c r="AB122" s="13">
        <v>50</v>
      </c>
      <c r="AC122" s="36">
        <v>2.9999999999999997E-4</v>
      </c>
      <c r="AD122" s="36">
        <f t="shared" si="14"/>
        <v>7.0652577600000002E-2</v>
      </c>
      <c r="AE122" s="36">
        <f t="shared" si="23"/>
        <v>1.5701405039999998</v>
      </c>
      <c r="AF122" s="13">
        <v>200</v>
      </c>
      <c r="AG122" s="12">
        <v>1.93941233080938E-2</v>
      </c>
      <c r="AH122" s="36"/>
      <c r="AI122" s="36"/>
      <c r="AJ122" s="46">
        <f t="shared" si="15"/>
        <v>0</v>
      </c>
      <c r="AK122" s="46">
        <f t="shared" si="16"/>
        <v>0</v>
      </c>
      <c r="AL122" s="47">
        <f t="shared" si="17"/>
        <v>0</v>
      </c>
      <c r="AM122" s="57">
        <f t="shared" si="18"/>
        <v>0</v>
      </c>
    </row>
    <row r="123" spans="1:39" x14ac:dyDescent="0.25">
      <c r="A123" s="7" t="s">
        <v>45</v>
      </c>
      <c r="B123" s="8" t="s">
        <v>46</v>
      </c>
      <c r="C123" s="8">
        <v>18</v>
      </c>
      <c r="D123" s="8">
        <v>7.1</v>
      </c>
      <c r="E123" s="8">
        <v>32.999999999999993</v>
      </c>
      <c r="F123" s="8">
        <v>5</v>
      </c>
      <c r="G123" s="9"/>
      <c r="H123" s="7"/>
      <c r="I123" s="8">
        <v>21.02</v>
      </c>
      <c r="J123" s="8">
        <v>89</v>
      </c>
      <c r="K123" s="8">
        <v>2.27</v>
      </c>
      <c r="L123" s="8">
        <v>313</v>
      </c>
      <c r="M123" s="8">
        <v>30.5</v>
      </c>
      <c r="N123" s="8">
        <v>1.86</v>
      </c>
      <c r="O123" s="8">
        <v>7.28</v>
      </c>
      <c r="P123" s="7">
        <v>7.98</v>
      </c>
      <c r="Q123" s="8">
        <v>3.48</v>
      </c>
      <c r="R123" s="8">
        <v>0.2</v>
      </c>
      <c r="S123" s="8">
        <v>198.14</v>
      </c>
      <c r="T123" s="8">
        <v>29.45</v>
      </c>
      <c r="U123" s="42">
        <f t="shared" si="22"/>
        <v>3.2699999999999996</v>
      </c>
      <c r="V123" s="42">
        <f t="shared" si="13"/>
        <v>3.9900000000000005E-2</v>
      </c>
      <c r="W123" s="42">
        <f t="shared" si="19"/>
        <v>4.0274553346118909E-2</v>
      </c>
      <c r="X123" s="42">
        <f t="shared" si="20"/>
        <v>1.7563339053194713E-2</v>
      </c>
      <c r="Y123" s="43">
        <f t="shared" si="21"/>
        <v>2.4000000000000004</v>
      </c>
      <c r="Z123" s="8">
        <v>34</v>
      </c>
      <c r="AA123" s="8">
        <v>7.2</v>
      </c>
      <c r="AB123" s="8">
        <v>50</v>
      </c>
      <c r="AC123" s="26">
        <v>4.0000000000000002E-4</v>
      </c>
      <c r="AD123" s="26">
        <f t="shared" si="14"/>
        <v>9.9957667199999989E-2</v>
      </c>
      <c r="AE123" s="26">
        <f t="shared" si="23"/>
        <v>1.9111135679999998</v>
      </c>
      <c r="AF123" s="8">
        <v>200</v>
      </c>
      <c r="AG123" s="7">
        <v>1.6244986003526501E-2</v>
      </c>
      <c r="AH123">
        <v>1.5315478942286E-2</v>
      </c>
      <c r="AI123">
        <v>1.2999999999999999E-3</v>
      </c>
      <c r="AJ123" s="42">
        <f t="shared" si="15"/>
        <v>0</v>
      </c>
      <c r="AK123" s="42">
        <f t="shared" si="16"/>
        <v>0.12644204156768948</v>
      </c>
      <c r="AL123" s="43">
        <f t="shared" si="17"/>
        <v>0.25758199999999998</v>
      </c>
      <c r="AM123" s="55">
        <f t="shared" si="18"/>
        <v>0.12644204156768948</v>
      </c>
    </row>
    <row r="124" spans="1:39" x14ac:dyDescent="0.25">
      <c r="A124" s="2" t="s">
        <v>47</v>
      </c>
      <c r="B124" t="s">
        <v>46</v>
      </c>
      <c r="C124">
        <v>12</v>
      </c>
      <c r="D124">
        <v>7.3</v>
      </c>
      <c r="E124">
        <v>35</v>
      </c>
      <c r="F124">
        <v>5</v>
      </c>
      <c r="G124" s="1"/>
      <c r="I124">
        <v>20.95</v>
      </c>
      <c r="J124">
        <v>90.07</v>
      </c>
      <c r="K124">
        <v>2.44</v>
      </c>
      <c r="L124">
        <v>316</v>
      </c>
      <c r="M124">
        <v>35.5</v>
      </c>
      <c r="N124">
        <v>0.08</v>
      </c>
      <c r="O124">
        <v>7.31</v>
      </c>
      <c r="P124" s="2">
        <v>10.69</v>
      </c>
      <c r="Q124">
        <v>1.04</v>
      </c>
      <c r="R124">
        <v>0.2</v>
      </c>
      <c r="S124">
        <v>196.62</v>
      </c>
      <c r="T124">
        <v>19.05</v>
      </c>
      <c r="U124" s="44">
        <f t="shared" si="22"/>
        <v>3.2700000000000014</v>
      </c>
      <c r="V124" s="44">
        <f t="shared" si="13"/>
        <v>5.3449999999999998E-2</v>
      </c>
      <c r="W124" s="44">
        <f t="shared" si="19"/>
        <v>5.4368833282473807E-2</v>
      </c>
      <c r="X124" s="44">
        <f t="shared" si="20"/>
        <v>5.2893907028786491E-3</v>
      </c>
      <c r="Y124" s="45">
        <f t="shared" si="21"/>
        <v>2.4000000000000004</v>
      </c>
      <c r="Z124">
        <v>34</v>
      </c>
      <c r="AA124">
        <v>7.2</v>
      </c>
      <c r="AB124">
        <v>50</v>
      </c>
      <c r="AC124" s="31">
        <v>4.0000000000000002E-4</v>
      </c>
      <c r="AD124" s="31">
        <f t="shared" si="14"/>
        <v>9.8860535999999999E-2</v>
      </c>
      <c r="AE124" s="31">
        <f t="shared" si="23"/>
        <v>1.44903816</v>
      </c>
      <c r="AF124">
        <v>200</v>
      </c>
      <c r="AG124" s="2">
        <v>1.75266135060985E-2</v>
      </c>
      <c r="AH124">
        <v>1.7094107107985101E-2</v>
      </c>
      <c r="AI124">
        <v>1.2999999999999999E-3</v>
      </c>
      <c r="AJ124" s="44">
        <f t="shared" si="15"/>
        <v>0</v>
      </c>
      <c r="AK124" s="44">
        <f t="shared" si="16"/>
        <v>0.14004347248216795</v>
      </c>
      <c r="AL124" s="45">
        <f t="shared" si="17"/>
        <v>0.255606</v>
      </c>
      <c r="AM124" s="56">
        <f t="shared" si="18"/>
        <v>0.14004347248216795</v>
      </c>
    </row>
    <row r="125" spans="1:39" x14ac:dyDescent="0.25">
      <c r="A125" s="2" t="s">
        <v>48</v>
      </c>
      <c r="B125" t="s">
        <v>49</v>
      </c>
      <c r="C125">
        <v>12</v>
      </c>
      <c r="D125">
        <v>7.2</v>
      </c>
      <c r="E125">
        <v>34</v>
      </c>
      <c r="F125">
        <v>5</v>
      </c>
      <c r="G125" s="1"/>
      <c r="I125">
        <v>20.74</v>
      </c>
      <c r="J125">
        <v>94.46</v>
      </c>
      <c r="K125">
        <v>2.46</v>
      </c>
      <c r="L125">
        <v>331</v>
      </c>
      <c r="M125">
        <v>32.700000000000003</v>
      </c>
      <c r="N125">
        <v>3.02</v>
      </c>
      <c r="O125">
        <v>7.26</v>
      </c>
      <c r="P125" s="2">
        <v>12</v>
      </c>
      <c r="Q125">
        <v>3.95</v>
      </c>
      <c r="R125">
        <v>0.2</v>
      </c>
      <c r="S125">
        <v>198.19</v>
      </c>
      <c r="T125">
        <v>19.05</v>
      </c>
      <c r="U125" s="44">
        <f t="shared" si="22"/>
        <v>3.2700000000000014</v>
      </c>
      <c r="V125" s="44">
        <f t="shared" si="13"/>
        <v>0.06</v>
      </c>
      <c r="W125" s="44">
        <f t="shared" si="19"/>
        <v>6.0547959029214393E-2</v>
      </c>
      <c r="X125" s="44">
        <f t="shared" si="20"/>
        <v>1.9930369847116405E-2</v>
      </c>
      <c r="Y125" s="45">
        <f t="shared" si="21"/>
        <v>2.4000000000000004</v>
      </c>
      <c r="Z125">
        <v>34</v>
      </c>
      <c r="AA125">
        <v>7.2</v>
      </c>
      <c r="AB125">
        <v>50</v>
      </c>
      <c r="AC125" s="31">
        <v>4.0000000000000002E-4</v>
      </c>
      <c r="AD125" s="31">
        <f t="shared" si="14"/>
        <v>9.8651054399999993E-2</v>
      </c>
      <c r="AE125" s="31">
        <f t="shared" si="23"/>
        <v>1.6687227743999999</v>
      </c>
      <c r="AF125">
        <v>200</v>
      </c>
      <c r="AG125" s="2">
        <v>1.7503538825366202E-2</v>
      </c>
      <c r="AJ125" s="44">
        <f t="shared" si="15"/>
        <v>0.14586282354471833</v>
      </c>
      <c r="AK125" s="44">
        <f t="shared" si="16"/>
        <v>0</v>
      </c>
      <c r="AL125" s="45">
        <f t="shared" si="17"/>
        <v>0</v>
      </c>
      <c r="AM125" s="56">
        <f t="shared" si="18"/>
        <v>0.14586282354471833</v>
      </c>
    </row>
    <row r="126" spans="1:39" x14ac:dyDescent="0.25">
      <c r="A126" s="2" t="s">
        <v>50</v>
      </c>
      <c r="B126" t="s">
        <v>51</v>
      </c>
      <c r="C126">
        <v>18</v>
      </c>
      <c r="D126">
        <v>7.3</v>
      </c>
      <c r="E126">
        <v>35</v>
      </c>
      <c r="F126">
        <v>5</v>
      </c>
      <c r="G126" s="1"/>
      <c r="I126">
        <v>24.42</v>
      </c>
      <c r="J126">
        <v>91.58</v>
      </c>
      <c r="K126">
        <v>2.2599999999999998</v>
      </c>
      <c r="L126">
        <v>325</v>
      </c>
      <c r="M126">
        <v>26.8</v>
      </c>
      <c r="N126">
        <v>2.83</v>
      </c>
      <c r="O126">
        <v>7.27</v>
      </c>
      <c r="P126" s="2">
        <v>9.02</v>
      </c>
      <c r="Q126">
        <v>5.57</v>
      </c>
      <c r="R126">
        <v>0.12</v>
      </c>
      <c r="S126">
        <v>196.9</v>
      </c>
      <c r="T126">
        <v>30.25</v>
      </c>
      <c r="U126" s="44">
        <f t="shared" si="22"/>
        <v>3.2699999999999996</v>
      </c>
      <c r="V126" s="44">
        <f t="shared" si="13"/>
        <v>4.5100000000000001E-2</v>
      </c>
      <c r="W126" s="44">
        <f t="shared" si="19"/>
        <v>4.5810055865921781E-2</v>
      </c>
      <c r="X126" s="44">
        <f t="shared" si="20"/>
        <v>2.8288471305231083E-2</v>
      </c>
      <c r="Y126" s="45">
        <f t="shared" si="21"/>
        <v>1.44</v>
      </c>
      <c r="Z126">
        <v>34</v>
      </c>
      <c r="AA126">
        <v>7.2</v>
      </c>
      <c r="AB126">
        <v>50</v>
      </c>
      <c r="AC126" s="31">
        <v>4.0000000000000002E-4</v>
      </c>
      <c r="AD126" s="31">
        <f t="shared" si="14"/>
        <v>0.115399152</v>
      </c>
      <c r="AE126" s="31">
        <f t="shared" si="23"/>
        <v>2.1130379279999998</v>
      </c>
      <c r="AF126">
        <v>200</v>
      </c>
      <c r="AG126" s="2">
        <v>8.6652505771028007E-3</v>
      </c>
      <c r="AJ126" s="44">
        <f t="shared" si="15"/>
        <v>0</v>
      </c>
      <c r="AK126" s="44">
        <f t="shared" si="16"/>
        <v>0</v>
      </c>
      <c r="AL126" s="45">
        <f t="shared" si="17"/>
        <v>0</v>
      </c>
      <c r="AM126" s="56">
        <f t="shared" si="18"/>
        <v>0</v>
      </c>
    </row>
    <row r="127" spans="1:39" x14ac:dyDescent="0.25">
      <c r="A127" s="2" t="s">
        <v>52</v>
      </c>
      <c r="B127" t="s">
        <v>49</v>
      </c>
      <c r="C127">
        <v>18</v>
      </c>
      <c r="D127">
        <v>7.3</v>
      </c>
      <c r="E127">
        <v>35</v>
      </c>
      <c r="F127">
        <v>5</v>
      </c>
      <c r="G127" s="1"/>
      <c r="I127">
        <v>22.97</v>
      </c>
      <c r="J127">
        <v>92.63</v>
      </c>
      <c r="K127">
        <v>2.17</v>
      </c>
      <c r="L127">
        <v>315</v>
      </c>
      <c r="M127">
        <v>30.6</v>
      </c>
      <c r="N127">
        <v>1.67</v>
      </c>
      <c r="O127">
        <v>7.27</v>
      </c>
      <c r="P127" s="2">
        <v>8.09</v>
      </c>
      <c r="Q127">
        <v>4.96</v>
      </c>
      <c r="R127">
        <v>0.09</v>
      </c>
      <c r="S127">
        <v>198.17</v>
      </c>
      <c r="T127">
        <v>29.45</v>
      </c>
      <c r="U127" s="44">
        <f t="shared" si="22"/>
        <v>3.2699999999999996</v>
      </c>
      <c r="V127" s="44">
        <f t="shared" si="13"/>
        <v>4.045E-2</v>
      </c>
      <c r="W127" s="44">
        <f t="shared" si="19"/>
        <v>4.082353534843821E-2</v>
      </c>
      <c r="X127" s="44">
        <f t="shared" si="20"/>
        <v>2.5029015491749511E-2</v>
      </c>
      <c r="Y127" s="45">
        <f t="shared" si="21"/>
        <v>1.08</v>
      </c>
      <c r="Z127">
        <v>34</v>
      </c>
      <c r="AA127">
        <v>7.2</v>
      </c>
      <c r="AB127">
        <v>50</v>
      </c>
      <c r="AC127" s="31">
        <v>4.0000000000000002E-4</v>
      </c>
      <c r="AD127" s="31">
        <f t="shared" si="14"/>
        <v>0.10924715759999999</v>
      </c>
      <c r="AE127" s="31">
        <f t="shared" si="23"/>
        <v>1.9600604639999997</v>
      </c>
      <c r="AF127">
        <v>200</v>
      </c>
      <c r="AG127" s="2">
        <v>9.0720085633823003E-3</v>
      </c>
      <c r="AJ127" s="44">
        <f t="shared" si="15"/>
        <v>7.5600071361519167E-2</v>
      </c>
      <c r="AK127" s="44">
        <f t="shared" si="16"/>
        <v>0</v>
      </c>
      <c r="AL127" s="45">
        <f t="shared" si="17"/>
        <v>0</v>
      </c>
      <c r="AM127" s="56">
        <f t="shared" si="18"/>
        <v>7.5600071361519167E-2</v>
      </c>
    </row>
    <row r="128" spans="1:39" x14ac:dyDescent="0.25">
      <c r="A128" s="2" t="s">
        <v>53</v>
      </c>
      <c r="B128" t="s">
        <v>49</v>
      </c>
      <c r="C128">
        <v>12</v>
      </c>
      <c r="D128">
        <v>7.3</v>
      </c>
      <c r="E128">
        <v>35</v>
      </c>
      <c r="F128">
        <v>5</v>
      </c>
      <c r="G128" s="1"/>
      <c r="I128">
        <v>21.57</v>
      </c>
      <c r="J128">
        <v>94.73</v>
      </c>
      <c r="K128">
        <v>2.4500000000000002</v>
      </c>
      <c r="L128">
        <v>333</v>
      </c>
      <c r="M128">
        <v>29.7</v>
      </c>
      <c r="N128">
        <v>3.83</v>
      </c>
      <c r="O128">
        <v>7.24</v>
      </c>
      <c r="P128" s="2">
        <v>12.47</v>
      </c>
      <c r="Q128">
        <v>4.7300000000000004</v>
      </c>
      <c r="R128">
        <v>0.23</v>
      </c>
      <c r="S128">
        <v>197.52</v>
      </c>
      <c r="T128">
        <v>19.850000000000001</v>
      </c>
      <c r="U128" s="44">
        <f t="shared" si="22"/>
        <v>3.2700000000000031</v>
      </c>
      <c r="V128" s="44">
        <f t="shared" si="13"/>
        <v>6.2350000000000003E-2</v>
      </c>
      <c r="W128" s="44">
        <f t="shared" si="19"/>
        <v>6.3132847306601861E-2</v>
      </c>
      <c r="X128" s="44">
        <f t="shared" si="20"/>
        <v>2.3946942081814502E-2</v>
      </c>
      <c r="Y128" s="45">
        <f t="shared" si="21"/>
        <v>2.7600000000000002</v>
      </c>
      <c r="Z128">
        <v>34</v>
      </c>
      <c r="AA128">
        <v>7.2</v>
      </c>
      <c r="AB128">
        <v>50</v>
      </c>
      <c r="AC128" s="31">
        <v>4.0000000000000002E-4</v>
      </c>
      <c r="AD128" s="31">
        <f t="shared" si="14"/>
        <v>0.10225215360000001</v>
      </c>
      <c r="AE128" s="31">
        <f t="shared" si="23"/>
        <v>1.7056621439999999</v>
      </c>
      <c r="AF128">
        <v>200</v>
      </c>
      <c r="AG128" s="2">
        <v>2.0949958699216498E-2</v>
      </c>
      <c r="AJ128" s="44">
        <f t="shared" si="15"/>
        <v>0.17458298916013748</v>
      </c>
      <c r="AK128" s="44">
        <f t="shared" si="16"/>
        <v>0</v>
      </c>
      <c r="AL128" s="45">
        <f t="shared" si="17"/>
        <v>0</v>
      </c>
      <c r="AM128" s="56">
        <f t="shared" si="18"/>
        <v>0.17458298916013748</v>
      </c>
    </row>
    <row r="129" spans="1:39" x14ac:dyDescent="0.25">
      <c r="A129" s="2" t="s">
        <v>54</v>
      </c>
      <c r="B129" t="s">
        <v>46</v>
      </c>
      <c r="C129">
        <v>18</v>
      </c>
      <c r="D129">
        <v>7.3</v>
      </c>
      <c r="E129">
        <v>35</v>
      </c>
      <c r="F129">
        <v>5</v>
      </c>
      <c r="G129" s="1"/>
      <c r="I129">
        <v>20.92</v>
      </c>
      <c r="J129">
        <v>89.38</v>
      </c>
      <c r="K129">
        <v>2.25</v>
      </c>
      <c r="L129">
        <v>311</v>
      </c>
      <c r="M129">
        <v>31.8</v>
      </c>
      <c r="N129">
        <v>1.08</v>
      </c>
      <c r="O129">
        <v>7.29</v>
      </c>
      <c r="P129" s="2">
        <v>8.9600000000000009</v>
      </c>
      <c r="Q129">
        <v>2.6</v>
      </c>
      <c r="R129">
        <v>0.2</v>
      </c>
      <c r="S129">
        <v>198.35</v>
      </c>
      <c r="T129">
        <v>29.45</v>
      </c>
      <c r="U129" s="44">
        <f t="shared" si="22"/>
        <v>3.2699999999999996</v>
      </c>
      <c r="V129" s="44">
        <f t="shared" si="13"/>
        <v>4.4800000000000006E-2</v>
      </c>
      <c r="W129" s="44">
        <f t="shared" si="19"/>
        <v>4.51726745651626E-2</v>
      </c>
      <c r="X129" s="44">
        <f t="shared" si="20"/>
        <v>1.3108142172926645E-2</v>
      </c>
      <c r="Y129" s="45">
        <f t="shared" si="21"/>
        <v>2.4000000000000004</v>
      </c>
      <c r="Z129">
        <v>34</v>
      </c>
      <c r="AA129">
        <v>7.2</v>
      </c>
      <c r="AB129">
        <v>50</v>
      </c>
      <c r="AC129" s="31">
        <v>4.0000000000000002E-4</v>
      </c>
      <c r="AD129" s="31">
        <f t="shared" si="14"/>
        <v>9.9587567999999987E-2</v>
      </c>
      <c r="AE129" s="31">
        <f t="shared" si="23"/>
        <v>1.7830475567999995</v>
      </c>
      <c r="AF129">
        <v>200</v>
      </c>
      <c r="AG129" s="2">
        <v>1.8330274373920898E-2</v>
      </c>
      <c r="AH129">
        <v>1.7202246450457901E-2</v>
      </c>
      <c r="AI129">
        <v>1.2999999999999999E-3</v>
      </c>
      <c r="AJ129" s="44">
        <f t="shared" si="15"/>
        <v>0</v>
      </c>
      <c r="AK129" s="44">
        <f t="shared" si="16"/>
        <v>0.14216939931034686</v>
      </c>
      <c r="AL129" s="45">
        <f t="shared" si="17"/>
        <v>0.257855</v>
      </c>
      <c r="AM129" s="56">
        <f t="shared" si="18"/>
        <v>0.14216939931034686</v>
      </c>
    </row>
    <row r="130" spans="1:39" x14ac:dyDescent="0.25">
      <c r="A130" s="2" t="s">
        <v>55</v>
      </c>
      <c r="B130" t="s">
        <v>51</v>
      </c>
      <c r="C130">
        <v>15</v>
      </c>
      <c r="D130">
        <v>7.2</v>
      </c>
      <c r="E130">
        <v>34</v>
      </c>
      <c r="F130">
        <v>5</v>
      </c>
      <c r="G130" s="1"/>
      <c r="I130">
        <v>20.87</v>
      </c>
      <c r="J130">
        <v>90.14</v>
      </c>
      <c r="K130">
        <v>2.77</v>
      </c>
      <c r="L130">
        <v>323</v>
      </c>
      <c r="M130">
        <v>30.1</v>
      </c>
      <c r="N130">
        <v>1.51</v>
      </c>
      <c r="O130">
        <v>7.28</v>
      </c>
      <c r="P130" s="2">
        <v>7.99</v>
      </c>
      <c r="Q130">
        <v>4.66</v>
      </c>
      <c r="R130">
        <v>0.1</v>
      </c>
      <c r="S130">
        <v>197.11</v>
      </c>
      <c r="T130">
        <v>18.25</v>
      </c>
      <c r="U130" s="44">
        <f t="shared" si="22"/>
        <v>3.2699999999999996</v>
      </c>
      <c r="V130" s="44">
        <f t="shared" si="13"/>
        <v>3.9949999999999999E-2</v>
      </c>
      <c r="W130" s="44">
        <f t="shared" si="19"/>
        <v>4.0535741464157067E-2</v>
      </c>
      <c r="X130" s="44">
        <f t="shared" si="20"/>
        <v>2.3641621429658564E-2</v>
      </c>
      <c r="Y130" s="45">
        <f t="shared" si="21"/>
        <v>1.2000000000000002</v>
      </c>
      <c r="Z130">
        <v>34</v>
      </c>
      <c r="AA130">
        <v>7.2</v>
      </c>
      <c r="AB130">
        <v>50</v>
      </c>
      <c r="AC130" s="31">
        <v>4.0000000000000002E-4</v>
      </c>
      <c r="AD130" s="31">
        <f t="shared" si="14"/>
        <v>9.8728456800000017E-2</v>
      </c>
      <c r="AE130" s="31">
        <f t="shared" si="23"/>
        <v>1.8298360079999996</v>
      </c>
      <c r="AF130">
        <v>200</v>
      </c>
      <c r="AG130" s="2">
        <v>1.46499478152295E-2</v>
      </c>
      <c r="AJ130" s="44">
        <f t="shared" si="15"/>
        <v>0</v>
      </c>
      <c r="AK130" s="44">
        <f t="shared" si="16"/>
        <v>0</v>
      </c>
      <c r="AL130" s="45">
        <f t="shared" si="17"/>
        <v>0</v>
      </c>
      <c r="AM130" s="56">
        <f t="shared" si="18"/>
        <v>0</v>
      </c>
    </row>
    <row r="131" spans="1:39" x14ac:dyDescent="0.25">
      <c r="A131" s="2" t="s">
        <v>56</v>
      </c>
      <c r="B131" t="s">
        <v>49</v>
      </c>
      <c r="C131">
        <v>18</v>
      </c>
      <c r="D131">
        <v>7.1</v>
      </c>
      <c r="E131">
        <v>32.999999999999993</v>
      </c>
      <c r="F131">
        <v>5</v>
      </c>
      <c r="G131" s="1"/>
      <c r="I131">
        <v>22.45</v>
      </c>
      <c r="J131">
        <v>90.23</v>
      </c>
      <c r="K131">
        <v>2.46</v>
      </c>
      <c r="L131">
        <v>334</v>
      </c>
      <c r="M131">
        <v>28.4</v>
      </c>
      <c r="N131">
        <v>4.37</v>
      </c>
      <c r="O131">
        <v>7.3</v>
      </c>
      <c r="P131" s="2">
        <v>9.92</v>
      </c>
      <c r="Q131">
        <v>5.0999999999999996</v>
      </c>
      <c r="R131">
        <v>0.06</v>
      </c>
      <c r="S131">
        <v>200.89</v>
      </c>
      <c r="T131">
        <v>28.65</v>
      </c>
      <c r="U131" s="44">
        <f t="shared" si="22"/>
        <v>3.2699999999999996</v>
      </c>
      <c r="V131" s="44">
        <f t="shared" ref="V131:V194" si="24">P131/AF131</f>
        <v>4.9599999999999998E-2</v>
      </c>
      <c r="W131" s="44">
        <f t="shared" si="19"/>
        <v>4.9380257852556127E-2</v>
      </c>
      <c r="X131" s="44">
        <f t="shared" si="20"/>
        <v>2.5387027726616555E-2</v>
      </c>
      <c r="Y131" s="45">
        <f t="shared" si="21"/>
        <v>0.72</v>
      </c>
      <c r="Z131">
        <v>34</v>
      </c>
      <c r="AA131">
        <v>7.2</v>
      </c>
      <c r="AB131">
        <v>50</v>
      </c>
      <c r="AC131" s="31">
        <v>4.0000000000000002E-4</v>
      </c>
      <c r="AD131" s="31">
        <f t="shared" ref="AD131:AD194" si="25">AC131*I131*S131*0.06</f>
        <v>0.10823953199999999</v>
      </c>
      <c r="AE131" s="31">
        <f t="shared" si="23"/>
        <v>2.1491806463999996</v>
      </c>
      <c r="AF131">
        <v>200</v>
      </c>
      <c r="AG131" s="2">
        <v>4.7028840942344996E-3</v>
      </c>
      <c r="AJ131" s="44">
        <f t="shared" ref="AJ131:AJ194" si="26">IF(B131="Python",AG131*AF131/24,0)</f>
        <v>3.9190700785287497E-2</v>
      </c>
      <c r="AK131" s="44">
        <f t="shared" ref="AK131:AK194" si="27">IF(B131="Julia",AH131*S131/24,0)</f>
        <v>0</v>
      </c>
      <c r="AL131" s="45">
        <f t="shared" ref="AL131:AL194" si="28">AI131*S131</f>
        <v>0</v>
      </c>
      <c r="AM131" s="56">
        <f t="shared" ref="AM131:AM194" si="29">IF(IF(AND(AK131=0, AJ131=0),0, IF(AK131&gt;0,AK131,AJ131))=0,0,IF(AND(AK131=0, AJ131=0),0, IF(AK131&gt;0,AK131,AJ131)))</f>
        <v>3.9190700785287497E-2</v>
      </c>
    </row>
    <row r="132" spans="1:39" x14ac:dyDescent="0.25">
      <c r="A132" s="2" t="s">
        <v>57</v>
      </c>
      <c r="B132" t="s">
        <v>46</v>
      </c>
      <c r="C132">
        <v>18</v>
      </c>
      <c r="D132">
        <v>7.2</v>
      </c>
      <c r="E132">
        <v>34</v>
      </c>
      <c r="F132">
        <v>5</v>
      </c>
      <c r="G132" s="1"/>
      <c r="I132">
        <v>23.28</v>
      </c>
      <c r="J132">
        <v>89.65</v>
      </c>
      <c r="K132">
        <v>1.98</v>
      </c>
      <c r="L132">
        <v>312</v>
      </c>
      <c r="M132">
        <v>32</v>
      </c>
      <c r="N132">
        <v>2.17</v>
      </c>
      <c r="O132">
        <v>7.3</v>
      </c>
      <c r="P132" s="2">
        <v>9.8800000000000008</v>
      </c>
      <c r="Q132">
        <v>1.61</v>
      </c>
      <c r="R132">
        <v>0.2</v>
      </c>
      <c r="S132">
        <v>198.79</v>
      </c>
      <c r="T132">
        <v>29.45</v>
      </c>
      <c r="U132" s="44">
        <f t="shared" si="22"/>
        <v>3.2699999999999996</v>
      </c>
      <c r="V132" s="44">
        <f t="shared" si="24"/>
        <v>4.9400000000000006E-2</v>
      </c>
      <c r="W132" s="44">
        <f t="shared" ref="W132:W195" si="30">P132/S132</f>
        <v>4.9700689169475329E-2</v>
      </c>
      <c r="X132" s="44">
        <f t="shared" ref="X132:X195" si="31">Q132/S132</f>
        <v>8.0989989436088348E-3</v>
      </c>
      <c r="Y132" s="45">
        <f t="shared" ref="Y132:Y195" si="32">R132*12</f>
        <v>2.4000000000000004</v>
      </c>
      <c r="Z132">
        <v>34</v>
      </c>
      <c r="AA132">
        <v>7.2</v>
      </c>
      <c r="AB132">
        <v>50</v>
      </c>
      <c r="AC132" s="31">
        <v>4.0000000000000002E-4</v>
      </c>
      <c r="AD132" s="31">
        <f t="shared" si="25"/>
        <v>0.11106794880000001</v>
      </c>
      <c r="AE132" s="31">
        <f t="shared" si="23"/>
        <v>1.5257565215999995</v>
      </c>
      <c r="AF132">
        <v>200</v>
      </c>
      <c r="AG132" s="2">
        <v>1.99427982095755E-2</v>
      </c>
      <c r="AH132">
        <v>2.1798667275252499E-2</v>
      </c>
      <c r="AI132">
        <v>2.3233782231648101E-3</v>
      </c>
      <c r="AJ132" s="44">
        <f t="shared" si="26"/>
        <v>0</v>
      </c>
      <c r="AK132" s="44">
        <f t="shared" si="27"/>
        <v>0.18055654448531019</v>
      </c>
      <c r="AL132" s="45">
        <f t="shared" si="28"/>
        <v>0.4618643569829326</v>
      </c>
      <c r="AM132" s="56">
        <f t="shared" si="29"/>
        <v>0.18055654448531019</v>
      </c>
    </row>
    <row r="133" spans="1:39" x14ac:dyDescent="0.25">
      <c r="A133" s="2" t="s">
        <v>58</v>
      </c>
      <c r="B133" t="s">
        <v>51</v>
      </c>
      <c r="C133">
        <v>18</v>
      </c>
      <c r="D133">
        <v>7.1</v>
      </c>
      <c r="E133">
        <v>32.999999999999993</v>
      </c>
      <c r="F133">
        <v>5</v>
      </c>
      <c r="G133" s="1"/>
      <c r="I133">
        <v>23.85</v>
      </c>
      <c r="J133">
        <v>90.94</v>
      </c>
      <c r="K133">
        <v>1.88</v>
      </c>
      <c r="L133">
        <v>317</v>
      </c>
      <c r="M133">
        <v>31.5</v>
      </c>
      <c r="N133">
        <v>3</v>
      </c>
      <c r="O133">
        <v>7.28</v>
      </c>
      <c r="P133" s="2">
        <v>9.19</v>
      </c>
      <c r="Q133">
        <v>4.6399999999999997</v>
      </c>
      <c r="R133">
        <v>0.12</v>
      </c>
      <c r="S133">
        <v>206.76</v>
      </c>
      <c r="T133">
        <v>28.65</v>
      </c>
      <c r="U133" s="44">
        <f t="shared" si="22"/>
        <v>3.2699999999999996</v>
      </c>
      <c r="V133" s="44">
        <f t="shared" si="24"/>
        <v>4.5949999999999998E-2</v>
      </c>
      <c r="W133" s="44">
        <f t="shared" si="30"/>
        <v>4.4447668794737862E-2</v>
      </c>
      <c r="X133" s="44">
        <f t="shared" si="31"/>
        <v>2.2441478042174501E-2</v>
      </c>
      <c r="Y133" s="45">
        <f t="shared" si="32"/>
        <v>1.44</v>
      </c>
      <c r="Z133">
        <v>34</v>
      </c>
      <c r="AA133">
        <v>7.2</v>
      </c>
      <c r="AB133">
        <v>50</v>
      </c>
      <c r="AC133" s="31">
        <v>4.0000000000000002E-4</v>
      </c>
      <c r="AD133" s="31">
        <f t="shared" si="25"/>
        <v>0.11834942400000001</v>
      </c>
      <c r="AE133" s="31">
        <f t="shared" si="23"/>
        <v>2.2915270655999995</v>
      </c>
      <c r="AF133">
        <v>200</v>
      </c>
      <c r="AG133" s="2">
        <v>9.2168515111025005E-3</v>
      </c>
      <c r="AJ133" s="44">
        <f t="shared" si="26"/>
        <v>0</v>
      </c>
      <c r="AK133" s="44">
        <f t="shared" si="27"/>
        <v>0</v>
      </c>
      <c r="AL133" s="45">
        <f t="shared" si="28"/>
        <v>0</v>
      </c>
      <c r="AM133" s="56">
        <f t="shared" si="29"/>
        <v>0</v>
      </c>
    </row>
    <row r="134" spans="1:39" x14ac:dyDescent="0.25">
      <c r="A134" s="2" t="s">
        <v>59</v>
      </c>
      <c r="B134" t="s">
        <v>46</v>
      </c>
      <c r="C134">
        <v>15</v>
      </c>
      <c r="D134">
        <v>7.1</v>
      </c>
      <c r="E134">
        <v>32.999999999999993</v>
      </c>
      <c r="F134">
        <v>5</v>
      </c>
      <c r="G134" s="1"/>
      <c r="I134">
        <v>20.420000000000002</v>
      </c>
      <c r="J134">
        <v>90.86</v>
      </c>
      <c r="K134">
        <v>2.34</v>
      </c>
      <c r="L134">
        <v>312</v>
      </c>
      <c r="M134">
        <v>38.1</v>
      </c>
      <c r="N134">
        <v>1.51</v>
      </c>
      <c r="O134">
        <v>7.28</v>
      </c>
      <c r="P134" s="2">
        <v>8.31</v>
      </c>
      <c r="Q134">
        <v>2.52</v>
      </c>
      <c r="R134">
        <v>0.2</v>
      </c>
      <c r="S134">
        <v>199.01</v>
      </c>
      <c r="T134">
        <v>16.649999999999999</v>
      </c>
      <c r="U134" s="44">
        <f t="shared" si="22"/>
        <v>3.2699999999999978</v>
      </c>
      <c r="V134" s="44">
        <f t="shared" si="24"/>
        <v>4.1550000000000004E-2</v>
      </c>
      <c r="W134" s="44">
        <f t="shared" si="30"/>
        <v>4.175669564343501E-2</v>
      </c>
      <c r="X134" s="44">
        <f t="shared" si="31"/>
        <v>1.2662680267323251E-2</v>
      </c>
      <c r="Y134" s="45">
        <f t="shared" si="32"/>
        <v>2.4000000000000004</v>
      </c>
      <c r="Z134">
        <v>34</v>
      </c>
      <c r="AA134">
        <v>7.2</v>
      </c>
      <c r="AB134">
        <v>50</v>
      </c>
      <c r="AC134" s="31">
        <v>4.0000000000000002E-4</v>
      </c>
      <c r="AD134" s="31">
        <f t="shared" si="25"/>
        <v>9.7530820800000015E-2</v>
      </c>
      <c r="AE134" s="31">
        <f t="shared" si="23"/>
        <v>1.6216520111999995</v>
      </c>
      <c r="AF134">
        <v>200</v>
      </c>
      <c r="AG134" s="2">
        <v>2.3849140055574598E-2</v>
      </c>
      <c r="AH134">
        <v>1.9931869884600301E-2</v>
      </c>
      <c r="AI134">
        <v>1.2999999999999999E-3</v>
      </c>
      <c r="AJ134" s="44">
        <f t="shared" si="26"/>
        <v>0</v>
      </c>
      <c r="AK134" s="44">
        <f t="shared" si="27"/>
        <v>0.16527672607226274</v>
      </c>
      <c r="AL134" s="45">
        <f t="shared" si="28"/>
        <v>0.25871299999999997</v>
      </c>
      <c r="AM134" s="56">
        <f t="shared" si="29"/>
        <v>0.16527672607226274</v>
      </c>
    </row>
    <row r="135" spans="1:39" x14ac:dyDescent="0.25">
      <c r="A135" s="2" t="s">
        <v>60</v>
      </c>
      <c r="B135" t="s">
        <v>49</v>
      </c>
      <c r="C135">
        <v>15</v>
      </c>
      <c r="D135">
        <v>7.1</v>
      </c>
      <c r="E135">
        <v>32.999999999999993</v>
      </c>
      <c r="F135">
        <v>5</v>
      </c>
      <c r="G135" s="1"/>
      <c r="I135">
        <v>20.86</v>
      </c>
      <c r="J135">
        <v>92.65</v>
      </c>
      <c r="K135">
        <v>2.29</v>
      </c>
      <c r="L135">
        <v>335</v>
      </c>
      <c r="M135">
        <v>31.9</v>
      </c>
      <c r="N135">
        <v>4.43</v>
      </c>
      <c r="O135">
        <v>7.27</v>
      </c>
      <c r="P135" s="2">
        <v>11.11</v>
      </c>
      <c r="Q135">
        <v>4.5199999999999996</v>
      </c>
      <c r="R135">
        <v>0.16</v>
      </c>
      <c r="S135">
        <v>201.61</v>
      </c>
      <c r="T135">
        <v>16.649999999999999</v>
      </c>
      <c r="U135" s="44">
        <f t="shared" si="22"/>
        <v>3.2699999999999978</v>
      </c>
      <c r="V135" s="44">
        <f t="shared" si="24"/>
        <v>5.5549999999999995E-2</v>
      </c>
      <c r="W135" s="44">
        <f t="shared" si="30"/>
        <v>5.5106393532066852E-2</v>
      </c>
      <c r="X135" s="44">
        <f t="shared" si="31"/>
        <v>2.241952284112891E-2</v>
      </c>
      <c r="Y135" s="45">
        <f t="shared" si="32"/>
        <v>1.92</v>
      </c>
      <c r="Z135">
        <v>34</v>
      </c>
      <c r="AA135">
        <v>7.2</v>
      </c>
      <c r="AB135">
        <v>50</v>
      </c>
      <c r="AC135" s="31">
        <v>4.0000000000000002E-4</v>
      </c>
      <c r="AD135" s="31">
        <f t="shared" si="25"/>
        <v>0.10093403040000001</v>
      </c>
      <c r="AE135" s="31">
        <f t="shared" si="23"/>
        <v>2.11754088</v>
      </c>
      <c r="AF135">
        <v>200</v>
      </c>
      <c r="AG135" s="2">
        <v>1.38875999652251E-2</v>
      </c>
      <c r="AJ135" s="44">
        <f t="shared" si="26"/>
        <v>0.11572999971020916</v>
      </c>
      <c r="AK135" s="44">
        <f t="shared" si="27"/>
        <v>0</v>
      </c>
      <c r="AL135" s="45">
        <f t="shared" si="28"/>
        <v>0</v>
      </c>
      <c r="AM135" s="56">
        <f t="shared" si="29"/>
        <v>0.11572999971020916</v>
      </c>
    </row>
    <row r="136" spans="1:39" x14ac:dyDescent="0.25">
      <c r="A136" s="2" t="s">
        <v>61</v>
      </c>
      <c r="B136" t="s">
        <v>46</v>
      </c>
      <c r="C136">
        <v>15</v>
      </c>
      <c r="D136">
        <v>7.3</v>
      </c>
      <c r="E136">
        <v>35</v>
      </c>
      <c r="F136">
        <v>5</v>
      </c>
      <c r="G136" s="1"/>
      <c r="I136">
        <v>20.84</v>
      </c>
      <c r="J136">
        <v>92.76</v>
      </c>
      <c r="K136">
        <v>2.17</v>
      </c>
      <c r="L136">
        <v>305</v>
      </c>
      <c r="M136">
        <v>29.3</v>
      </c>
      <c r="N136">
        <v>1.47</v>
      </c>
      <c r="O136">
        <v>7.28</v>
      </c>
      <c r="P136" s="2">
        <v>9.2799999999999994</v>
      </c>
      <c r="Q136">
        <v>1.44</v>
      </c>
      <c r="R136">
        <v>0.2</v>
      </c>
      <c r="S136">
        <v>197.53</v>
      </c>
      <c r="T136">
        <v>17.63</v>
      </c>
      <c r="U136" s="44">
        <f t="shared" si="22"/>
        <v>4.2499999999999982</v>
      </c>
      <c r="V136" s="44">
        <f t="shared" si="24"/>
        <v>4.6399999999999997E-2</v>
      </c>
      <c r="W136" s="44">
        <f t="shared" si="30"/>
        <v>4.6980205538399225E-2</v>
      </c>
      <c r="X136" s="44">
        <f t="shared" si="31"/>
        <v>7.2900318938895351E-3</v>
      </c>
      <c r="Y136" s="45">
        <f t="shared" si="32"/>
        <v>2.4000000000000004</v>
      </c>
      <c r="Z136">
        <v>34</v>
      </c>
      <c r="AA136">
        <v>7.2</v>
      </c>
      <c r="AB136">
        <v>50</v>
      </c>
      <c r="AC136" s="31">
        <v>4.0000000000000002E-4</v>
      </c>
      <c r="AD136" s="31">
        <f t="shared" si="25"/>
        <v>9.8796604799999993E-2</v>
      </c>
      <c r="AE136" s="31">
        <f t="shared" si="23"/>
        <v>1.5490869840000001</v>
      </c>
      <c r="AF136">
        <v>200</v>
      </c>
      <c r="AG136" s="2">
        <v>3.0216911531463501E-2</v>
      </c>
      <c r="AH136">
        <v>2.2022153482366E-2</v>
      </c>
      <c r="AI136">
        <v>1.38983215193709E-3</v>
      </c>
      <c r="AJ136" s="44">
        <f t="shared" si="26"/>
        <v>0</v>
      </c>
      <c r="AK136" s="44">
        <f t="shared" si="27"/>
        <v>0.18125149905715651</v>
      </c>
      <c r="AL136" s="45">
        <f t="shared" si="28"/>
        <v>0.27453354497213339</v>
      </c>
      <c r="AM136" s="56">
        <f t="shared" si="29"/>
        <v>0.18125149905715651</v>
      </c>
    </row>
    <row r="137" spans="1:39" x14ac:dyDescent="0.25">
      <c r="A137" s="2" t="s">
        <v>62</v>
      </c>
      <c r="B137" t="s">
        <v>49</v>
      </c>
      <c r="C137">
        <v>18</v>
      </c>
      <c r="D137">
        <v>7.2</v>
      </c>
      <c r="E137">
        <v>34</v>
      </c>
      <c r="F137">
        <v>5</v>
      </c>
      <c r="G137" s="1"/>
      <c r="I137">
        <v>22.85</v>
      </c>
      <c r="J137">
        <v>92.35</v>
      </c>
      <c r="K137">
        <v>2.1</v>
      </c>
      <c r="L137">
        <v>324</v>
      </c>
      <c r="M137">
        <v>30.6</v>
      </c>
      <c r="N137">
        <v>3.77</v>
      </c>
      <c r="O137">
        <v>7.27</v>
      </c>
      <c r="P137" s="2">
        <v>9.9499999999999993</v>
      </c>
      <c r="Q137">
        <v>4.8499999999999996</v>
      </c>
      <c r="R137">
        <v>0.13</v>
      </c>
      <c r="S137">
        <v>200.16</v>
      </c>
      <c r="T137">
        <v>29.63</v>
      </c>
      <c r="U137" s="44">
        <f t="shared" si="22"/>
        <v>4.25</v>
      </c>
      <c r="V137" s="44">
        <f t="shared" si="24"/>
        <v>4.9749999999999996E-2</v>
      </c>
      <c r="W137" s="44">
        <f t="shared" si="30"/>
        <v>4.971023181454836E-2</v>
      </c>
      <c r="X137" s="44">
        <f t="shared" si="31"/>
        <v>2.4230615507593922E-2</v>
      </c>
      <c r="Y137" s="45">
        <f t="shared" si="32"/>
        <v>1.56</v>
      </c>
      <c r="Z137">
        <v>34</v>
      </c>
      <c r="AA137">
        <v>7.2</v>
      </c>
      <c r="AB137">
        <v>50</v>
      </c>
      <c r="AC137" s="31">
        <v>4.0000000000000002E-4</v>
      </c>
      <c r="AD137" s="31">
        <f t="shared" si="25"/>
        <v>0.109767744</v>
      </c>
      <c r="AE137" s="31">
        <f t="shared" si="23"/>
        <v>1.8868152959999995</v>
      </c>
      <c r="AF137">
        <v>200</v>
      </c>
      <c r="AG137" s="2">
        <v>9.5100602621331996E-3</v>
      </c>
      <c r="AJ137" s="44">
        <f t="shared" si="26"/>
        <v>7.9250502184443336E-2</v>
      </c>
      <c r="AK137" s="44">
        <f t="shared" si="27"/>
        <v>0</v>
      </c>
      <c r="AL137" s="45">
        <f t="shared" si="28"/>
        <v>0</v>
      </c>
      <c r="AM137" s="56">
        <f t="shared" si="29"/>
        <v>7.9250502184443336E-2</v>
      </c>
    </row>
    <row r="138" spans="1:39" x14ac:dyDescent="0.25">
      <c r="A138" s="2" t="s">
        <v>63</v>
      </c>
      <c r="B138" t="s">
        <v>51</v>
      </c>
      <c r="C138">
        <v>12</v>
      </c>
      <c r="D138">
        <v>7.1</v>
      </c>
      <c r="E138">
        <v>32.999999999999993</v>
      </c>
      <c r="F138">
        <v>5</v>
      </c>
      <c r="G138" s="1"/>
      <c r="I138">
        <v>20.2</v>
      </c>
      <c r="J138">
        <v>93.45</v>
      </c>
      <c r="K138">
        <v>2.4500000000000002</v>
      </c>
      <c r="L138">
        <v>317</v>
      </c>
      <c r="M138">
        <v>37.799999999999997</v>
      </c>
      <c r="N138">
        <v>1.87</v>
      </c>
      <c r="O138">
        <v>7.27</v>
      </c>
      <c r="P138" s="2">
        <v>7.36</v>
      </c>
      <c r="Q138">
        <v>3.94</v>
      </c>
      <c r="R138">
        <v>0.1</v>
      </c>
      <c r="S138">
        <v>197.04</v>
      </c>
      <c r="T138">
        <v>17.45</v>
      </c>
      <c r="U138" s="44">
        <f t="shared" si="22"/>
        <v>3.2699999999999996</v>
      </c>
      <c r="V138" s="44">
        <f t="shared" si="24"/>
        <v>3.6799999999999999E-2</v>
      </c>
      <c r="W138" s="44">
        <f t="shared" si="30"/>
        <v>3.7352821762078769E-2</v>
      </c>
      <c r="X138" s="44">
        <f t="shared" si="31"/>
        <v>1.9995939910678034E-2</v>
      </c>
      <c r="Y138" s="45">
        <f t="shared" si="32"/>
        <v>1.2000000000000002</v>
      </c>
      <c r="Z138">
        <v>34</v>
      </c>
      <c r="AA138">
        <v>7.2</v>
      </c>
      <c r="AB138">
        <v>50</v>
      </c>
      <c r="AC138" s="31">
        <v>4.0000000000000002E-4</v>
      </c>
      <c r="AD138" s="31">
        <f t="shared" si="25"/>
        <v>9.5524992000000003E-2</v>
      </c>
      <c r="AE138" s="31">
        <f t="shared" si="23"/>
        <v>1.8592349039999996</v>
      </c>
      <c r="AF138">
        <v>200</v>
      </c>
      <c r="AG138" s="2">
        <v>2.15245357049366E-2</v>
      </c>
      <c r="AJ138" s="44">
        <f t="shared" si="26"/>
        <v>0</v>
      </c>
      <c r="AK138" s="44">
        <f t="shared" si="27"/>
        <v>0</v>
      </c>
      <c r="AL138" s="45">
        <f t="shared" si="28"/>
        <v>0</v>
      </c>
      <c r="AM138" s="56">
        <f t="shared" si="29"/>
        <v>0</v>
      </c>
    </row>
    <row r="139" spans="1:39" x14ac:dyDescent="0.25">
      <c r="A139" s="2" t="s">
        <v>64</v>
      </c>
      <c r="B139" t="s">
        <v>46</v>
      </c>
      <c r="C139">
        <v>12</v>
      </c>
      <c r="D139">
        <v>7.1</v>
      </c>
      <c r="E139">
        <v>32.999999999999993</v>
      </c>
      <c r="F139">
        <v>5</v>
      </c>
      <c r="G139" s="1"/>
      <c r="I139">
        <v>19.920000000000002</v>
      </c>
      <c r="J139">
        <v>93.67</v>
      </c>
      <c r="K139">
        <v>2.2799999999999998</v>
      </c>
      <c r="L139">
        <v>312</v>
      </c>
      <c r="M139">
        <v>29.9</v>
      </c>
      <c r="N139">
        <v>2.63</v>
      </c>
      <c r="O139">
        <v>7.28</v>
      </c>
      <c r="P139" s="2">
        <v>8.57</v>
      </c>
      <c r="Q139">
        <v>1.64</v>
      </c>
      <c r="R139">
        <v>0.2</v>
      </c>
      <c r="S139">
        <v>198.15</v>
      </c>
      <c r="T139">
        <v>16.649999999999999</v>
      </c>
      <c r="U139" s="44">
        <f t="shared" si="22"/>
        <v>3.2699999999999978</v>
      </c>
      <c r="V139" s="44">
        <f t="shared" si="24"/>
        <v>4.2849999999999999E-2</v>
      </c>
      <c r="W139" s="44">
        <f t="shared" si="30"/>
        <v>4.3250063083522583E-2</v>
      </c>
      <c r="X139" s="44">
        <f t="shared" si="31"/>
        <v>8.2765581630078223E-3</v>
      </c>
      <c r="Y139" s="45">
        <f t="shared" si="32"/>
        <v>2.4000000000000004</v>
      </c>
      <c r="Z139">
        <v>34</v>
      </c>
      <c r="AA139">
        <v>7.2</v>
      </c>
      <c r="AB139">
        <v>50</v>
      </c>
      <c r="AC139" s="31">
        <v>4.0000000000000002E-4</v>
      </c>
      <c r="AD139" s="31">
        <f t="shared" si="25"/>
        <v>9.4731552000000024E-2</v>
      </c>
      <c r="AE139" s="31">
        <f t="shared" si="23"/>
        <v>1.61610228</v>
      </c>
      <c r="AF139">
        <v>200</v>
      </c>
      <c r="AG139" s="2">
        <v>2.8306534985264701E-2</v>
      </c>
      <c r="AH139">
        <v>2.4E-2</v>
      </c>
      <c r="AI139">
        <v>5.0839136387367803E-3</v>
      </c>
      <c r="AJ139" s="44">
        <f t="shared" si="26"/>
        <v>0</v>
      </c>
      <c r="AK139" s="44">
        <f t="shared" si="27"/>
        <v>0.19815000000000002</v>
      </c>
      <c r="AL139" s="45">
        <f t="shared" si="28"/>
        <v>1.0073774875156931</v>
      </c>
      <c r="AM139" s="56">
        <f t="shared" si="29"/>
        <v>0.19815000000000002</v>
      </c>
    </row>
    <row r="140" spans="1:39" x14ac:dyDescent="0.25">
      <c r="A140" s="2" t="s">
        <v>65</v>
      </c>
      <c r="B140" t="s">
        <v>49</v>
      </c>
      <c r="C140">
        <v>15</v>
      </c>
      <c r="D140">
        <v>7.3</v>
      </c>
      <c r="E140">
        <v>35</v>
      </c>
      <c r="F140">
        <v>5</v>
      </c>
      <c r="G140" s="1"/>
      <c r="I140">
        <v>21.36</v>
      </c>
      <c r="J140">
        <v>92.57</v>
      </c>
      <c r="K140">
        <v>2.38</v>
      </c>
      <c r="L140">
        <v>330</v>
      </c>
      <c r="M140">
        <v>31</v>
      </c>
      <c r="N140">
        <v>3.74</v>
      </c>
      <c r="O140">
        <v>7.27</v>
      </c>
      <c r="P140" s="2">
        <v>10.55</v>
      </c>
      <c r="Q140">
        <v>5.65</v>
      </c>
      <c r="R140">
        <v>0.15</v>
      </c>
      <c r="S140">
        <v>200.33</v>
      </c>
      <c r="T140">
        <v>17.45</v>
      </c>
      <c r="U140" s="44">
        <f t="shared" si="22"/>
        <v>3.2699999999999996</v>
      </c>
      <c r="V140" s="44">
        <f t="shared" si="24"/>
        <v>5.2750000000000005E-2</v>
      </c>
      <c r="W140" s="44">
        <f t="shared" si="30"/>
        <v>5.2663105875305746E-2</v>
      </c>
      <c r="X140" s="44">
        <f t="shared" si="31"/>
        <v>2.8203464283931515E-2</v>
      </c>
      <c r="Y140" s="45">
        <f t="shared" si="32"/>
        <v>1.7999999999999998</v>
      </c>
      <c r="Z140">
        <v>34</v>
      </c>
      <c r="AA140">
        <v>7.2</v>
      </c>
      <c r="AB140">
        <v>50</v>
      </c>
      <c r="AC140" s="31">
        <v>4.0000000000000002E-4</v>
      </c>
      <c r="AD140" s="31">
        <f t="shared" si="25"/>
        <v>0.10269717119999999</v>
      </c>
      <c r="AE140" s="31">
        <f t="shared" si="23"/>
        <v>1.9879402319999993</v>
      </c>
      <c r="AF140">
        <v>200</v>
      </c>
      <c r="AG140" s="2">
        <v>1.35950065895033E-2</v>
      </c>
      <c r="AJ140" s="44">
        <f t="shared" si="26"/>
        <v>0.11329172157919416</v>
      </c>
      <c r="AK140" s="44">
        <f t="shared" si="27"/>
        <v>0</v>
      </c>
      <c r="AL140" s="45">
        <f t="shared" si="28"/>
        <v>0</v>
      </c>
      <c r="AM140" s="56">
        <f t="shared" si="29"/>
        <v>0.11329172157919416</v>
      </c>
    </row>
    <row r="141" spans="1:39" x14ac:dyDescent="0.25">
      <c r="A141" s="2" t="s">
        <v>66</v>
      </c>
      <c r="B141" t="s">
        <v>46</v>
      </c>
      <c r="C141">
        <v>12</v>
      </c>
      <c r="D141">
        <v>7.2</v>
      </c>
      <c r="E141">
        <v>34</v>
      </c>
      <c r="F141">
        <v>5</v>
      </c>
      <c r="G141" s="1"/>
      <c r="I141">
        <v>20.43</v>
      </c>
      <c r="J141">
        <v>94.54</v>
      </c>
      <c r="K141">
        <v>1.96</v>
      </c>
      <c r="L141">
        <v>306</v>
      </c>
      <c r="M141">
        <v>35.200000000000003</v>
      </c>
      <c r="N141">
        <v>1.85</v>
      </c>
      <c r="O141">
        <v>7.26</v>
      </c>
      <c r="P141" s="2">
        <v>8.86</v>
      </c>
      <c r="Q141">
        <v>1.35</v>
      </c>
      <c r="R141">
        <v>0.2</v>
      </c>
      <c r="S141">
        <v>196.42</v>
      </c>
      <c r="T141">
        <v>18.25</v>
      </c>
      <c r="U141" s="44">
        <f t="shared" si="22"/>
        <v>3.2699999999999996</v>
      </c>
      <c r="V141" s="44">
        <f t="shared" si="24"/>
        <v>4.4299999999999999E-2</v>
      </c>
      <c r="W141" s="44">
        <f t="shared" si="30"/>
        <v>4.510742286936157E-2</v>
      </c>
      <c r="X141" s="44">
        <f t="shared" si="31"/>
        <v>6.8730271866408723E-3</v>
      </c>
      <c r="Y141" s="45">
        <f t="shared" si="32"/>
        <v>2.4000000000000004</v>
      </c>
      <c r="Z141">
        <v>34</v>
      </c>
      <c r="AA141">
        <v>7.2</v>
      </c>
      <c r="AB141">
        <v>50</v>
      </c>
      <c r="AC141" s="31">
        <v>4.0000000000000002E-4</v>
      </c>
      <c r="AD141" s="31">
        <f t="shared" si="25"/>
        <v>9.6308654399999999E-2</v>
      </c>
      <c r="AE141" s="31">
        <f t="shared" si="23"/>
        <v>1.9106570303999999</v>
      </c>
      <c r="AF141">
        <v>200</v>
      </c>
      <c r="AG141" s="2">
        <v>3.1835948330355898E-2</v>
      </c>
      <c r="AH141">
        <v>2.4E-2</v>
      </c>
      <c r="AI141">
        <v>6.7487319092825902E-3</v>
      </c>
      <c r="AJ141" s="44">
        <f t="shared" si="26"/>
        <v>0</v>
      </c>
      <c r="AK141" s="44">
        <f t="shared" si="27"/>
        <v>0.19642000000000001</v>
      </c>
      <c r="AL141" s="45">
        <f t="shared" si="28"/>
        <v>1.3255859216212862</v>
      </c>
      <c r="AM141" s="56">
        <f t="shared" si="29"/>
        <v>0.19642000000000001</v>
      </c>
    </row>
    <row r="142" spans="1:39" x14ac:dyDescent="0.25">
      <c r="A142" s="2" t="s">
        <v>67</v>
      </c>
      <c r="B142" t="s">
        <v>49</v>
      </c>
      <c r="C142">
        <v>12</v>
      </c>
      <c r="D142">
        <v>7.1</v>
      </c>
      <c r="E142">
        <v>32.999999999999993</v>
      </c>
      <c r="F142">
        <v>5</v>
      </c>
      <c r="G142" s="1"/>
      <c r="I142">
        <v>21.12</v>
      </c>
      <c r="J142">
        <v>93.5</v>
      </c>
      <c r="K142">
        <v>2.56</v>
      </c>
      <c r="L142">
        <v>334</v>
      </c>
      <c r="M142">
        <v>29.3</v>
      </c>
      <c r="N142">
        <v>3.22</v>
      </c>
      <c r="O142">
        <v>7.26</v>
      </c>
      <c r="P142" s="2">
        <v>11.33</v>
      </c>
      <c r="Q142">
        <v>4.0199999999999996</v>
      </c>
      <c r="R142">
        <v>0.18</v>
      </c>
      <c r="S142">
        <v>199.3</v>
      </c>
      <c r="T142">
        <v>17.45</v>
      </c>
      <c r="U142" s="44">
        <f t="shared" si="22"/>
        <v>3.2699999999999996</v>
      </c>
      <c r="V142" s="44">
        <f t="shared" si="24"/>
        <v>5.6649999999999999E-2</v>
      </c>
      <c r="W142" s="44">
        <f t="shared" si="30"/>
        <v>5.6848971399899646E-2</v>
      </c>
      <c r="X142" s="44">
        <f t="shared" si="31"/>
        <v>2.0170597089814345E-2</v>
      </c>
      <c r="Y142" s="45">
        <f t="shared" si="32"/>
        <v>2.16</v>
      </c>
      <c r="Z142">
        <v>34</v>
      </c>
      <c r="AA142">
        <v>7.2</v>
      </c>
      <c r="AB142">
        <v>50</v>
      </c>
      <c r="AC142" s="31">
        <v>4.0000000000000002E-4</v>
      </c>
      <c r="AD142" s="31">
        <f t="shared" si="25"/>
        <v>0.10102118400000001</v>
      </c>
      <c r="AE142" s="31">
        <f t="shared" si="23"/>
        <v>1.6478736767999997</v>
      </c>
      <c r="AF142">
        <v>200</v>
      </c>
      <c r="AG142" s="2">
        <v>1.40533484386441E-2</v>
      </c>
      <c r="AJ142" s="44">
        <f t="shared" si="26"/>
        <v>0.11711123698870084</v>
      </c>
      <c r="AK142" s="44">
        <f t="shared" si="27"/>
        <v>0</v>
      </c>
      <c r="AL142" s="45">
        <f t="shared" si="28"/>
        <v>0</v>
      </c>
      <c r="AM142" s="56">
        <f t="shared" si="29"/>
        <v>0.11711123698870084</v>
      </c>
    </row>
    <row r="143" spans="1:39" x14ac:dyDescent="0.25">
      <c r="A143" s="2" t="s">
        <v>68</v>
      </c>
      <c r="B143" t="s">
        <v>51</v>
      </c>
      <c r="C143">
        <v>12</v>
      </c>
      <c r="D143">
        <v>7.3</v>
      </c>
      <c r="E143">
        <v>35</v>
      </c>
      <c r="F143">
        <v>5</v>
      </c>
      <c r="G143" s="1"/>
      <c r="I143">
        <v>19.73</v>
      </c>
      <c r="J143">
        <v>92.56</v>
      </c>
      <c r="K143">
        <v>2.4700000000000002</v>
      </c>
      <c r="L143">
        <v>320</v>
      </c>
      <c r="M143">
        <v>38.1</v>
      </c>
      <c r="N143">
        <v>2.67</v>
      </c>
      <c r="O143">
        <v>7.28</v>
      </c>
      <c r="P143" s="2">
        <v>6.61</v>
      </c>
      <c r="Q143">
        <v>5.4</v>
      </c>
      <c r="R143">
        <v>0.09</v>
      </c>
      <c r="S143">
        <v>196.83</v>
      </c>
      <c r="T143">
        <v>17.45</v>
      </c>
      <c r="U143" s="44">
        <f t="shared" si="22"/>
        <v>3.2699999999999996</v>
      </c>
      <c r="V143" s="44">
        <f t="shared" si="24"/>
        <v>3.3050000000000003E-2</v>
      </c>
      <c r="W143" s="44">
        <f t="shared" si="30"/>
        <v>3.3582279124117258E-2</v>
      </c>
      <c r="X143" s="44">
        <f t="shared" si="31"/>
        <v>2.7434842249657063E-2</v>
      </c>
      <c r="Y143" s="45">
        <f t="shared" si="32"/>
        <v>1.08</v>
      </c>
      <c r="Z143">
        <v>34</v>
      </c>
      <c r="AA143">
        <v>7.2</v>
      </c>
      <c r="AB143">
        <v>50</v>
      </c>
      <c r="AC143" s="31">
        <v>4.0000000000000002E-4</v>
      </c>
      <c r="AD143" s="31">
        <f t="shared" si="25"/>
        <v>9.3202941600000005E-2</v>
      </c>
      <c r="AE143" s="31">
        <f t="shared" si="23"/>
        <v>1.7084139839999999</v>
      </c>
      <c r="AF143">
        <v>200</v>
      </c>
      <c r="AG143" s="2">
        <v>2.2889441660438901E-2</v>
      </c>
      <c r="AJ143" s="44">
        <f t="shared" si="26"/>
        <v>0</v>
      </c>
      <c r="AK143" s="44">
        <f t="shared" si="27"/>
        <v>0</v>
      </c>
      <c r="AL143" s="45">
        <f t="shared" si="28"/>
        <v>0</v>
      </c>
      <c r="AM143" s="56">
        <f t="shared" si="29"/>
        <v>0</v>
      </c>
    </row>
    <row r="144" spans="1:39" x14ac:dyDescent="0.25">
      <c r="A144" s="2" t="s">
        <v>69</v>
      </c>
      <c r="B144" t="s">
        <v>51</v>
      </c>
      <c r="C144">
        <v>15</v>
      </c>
      <c r="D144">
        <v>7.2</v>
      </c>
      <c r="E144">
        <v>34</v>
      </c>
      <c r="F144">
        <v>5</v>
      </c>
      <c r="G144" s="1"/>
      <c r="I144">
        <v>21.27</v>
      </c>
      <c r="J144">
        <v>92.18</v>
      </c>
      <c r="K144">
        <v>2.5299999999999998</v>
      </c>
      <c r="L144">
        <v>325</v>
      </c>
      <c r="M144">
        <v>37.299999999999997</v>
      </c>
      <c r="N144">
        <v>1.75</v>
      </c>
      <c r="O144">
        <v>7.29</v>
      </c>
      <c r="P144" s="2">
        <v>8.01</v>
      </c>
      <c r="Q144">
        <v>4.7699999999999996</v>
      </c>
      <c r="R144">
        <v>0.1</v>
      </c>
      <c r="S144">
        <v>199.23</v>
      </c>
      <c r="T144">
        <v>16.649999999999999</v>
      </c>
      <c r="U144" s="44">
        <f t="shared" si="22"/>
        <v>3.2699999999999978</v>
      </c>
      <c r="V144" s="44">
        <f t="shared" si="24"/>
        <v>4.0050000000000002E-2</v>
      </c>
      <c r="W144" s="44">
        <f t="shared" si="30"/>
        <v>4.0204788435476584E-2</v>
      </c>
      <c r="X144" s="44">
        <f t="shared" si="31"/>
        <v>2.3942177382924257E-2</v>
      </c>
      <c r="Y144" s="45">
        <f t="shared" si="32"/>
        <v>1.2000000000000002</v>
      </c>
      <c r="Z144">
        <v>34</v>
      </c>
      <c r="AA144">
        <v>7.2</v>
      </c>
      <c r="AB144">
        <v>50</v>
      </c>
      <c r="AC144" s="31">
        <v>4.0000000000000002E-4</v>
      </c>
      <c r="AD144" s="31">
        <f t="shared" si="25"/>
        <v>0.10170293039999999</v>
      </c>
      <c r="AE144" s="31">
        <f t="shared" si="23"/>
        <v>1.9036188863999999</v>
      </c>
      <c r="AF144">
        <v>200</v>
      </c>
      <c r="AG144" s="2">
        <v>1.2053138168873901E-2</v>
      </c>
      <c r="AJ144" s="44">
        <f t="shared" si="26"/>
        <v>0</v>
      </c>
      <c r="AK144" s="44">
        <f t="shared" si="27"/>
        <v>0</v>
      </c>
      <c r="AL144" s="45">
        <f t="shared" si="28"/>
        <v>0</v>
      </c>
      <c r="AM144" s="56">
        <f t="shared" si="29"/>
        <v>0</v>
      </c>
    </row>
    <row r="145" spans="1:39" x14ac:dyDescent="0.25">
      <c r="A145" s="2" t="s">
        <v>70</v>
      </c>
      <c r="B145" t="s">
        <v>51</v>
      </c>
      <c r="C145">
        <v>15</v>
      </c>
      <c r="D145">
        <v>7.2</v>
      </c>
      <c r="E145">
        <v>34</v>
      </c>
      <c r="F145">
        <v>5</v>
      </c>
      <c r="G145" s="1"/>
      <c r="I145">
        <v>21.36</v>
      </c>
      <c r="J145">
        <v>93.59</v>
      </c>
      <c r="K145">
        <v>2.31</v>
      </c>
      <c r="L145">
        <v>316</v>
      </c>
      <c r="M145">
        <v>28.7</v>
      </c>
      <c r="N145">
        <v>2.21</v>
      </c>
      <c r="O145">
        <v>7.28</v>
      </c>
      <c r="P145" s="2">
        <v>7.92</v>
      </c>
      <c r="Q145">
        <v>4.4000000000000004</v>
      </c>
      <c r="R145">
        <v>0.1</v>
      </c>
      <c r="S145">
        <v>197.72</v>
      </c>
      <c r="T145">
        <v>16.649999999999999</v>
      </c>
      <c r="U145" s="44">
        <f t="shared" si="22"/>
        <v>3.2699999999999978</v>
      </c>
      <c r="V145" s="44">
        <f t="shared" si="24"/>
        <v>3.9599999999999996E-2</v>
      </c>
      <c r="W145" s="44">
        <f t="shared" si="30"/>
        <v>4.0056645761683191E-2</v>
      </c>
      <c r="X145" s="44">
        <f t="shared" si="31"/>
        <v>2.2253692089823994E-2</v>
      </c>
      <c r="Y145" s="45">
        <f t="shared" si="32"/>
        <v>1.2000000000000002</v>
      </c>
      <c r="Z145">
        <v>34</v>
      </c>
      <c r="AA145">
        <v>7.2</v>
      </c>
      <c r="AB145">
        <v>50</v>
      </c>
      <c r="AC145" s="31">
        <v>4.0000000000000002E-4</v>
      </c>
      <c r="AD145" s="31">
        <f t="shared" si="25"/>
        <v>0.10135918079999999</v>
      </c>
      <c r="AE145" s="31">
        <f t="shared" si="23"/>
        <v>1.9540040399999998</v>
      </c>
      <c r="AF145">
        <v>200</v>
      </c>
      <c r="AG145" s="2">
        <v>1.32161526172781E-2</v>
      </c>
      <c r="AJ145" s="44">
        <f t="shared" si="26"/>
        <v>0</v>
      </c>
      <c r="AK145" s="44">
        <f t="shared" si="27"/>
        <v>0</v>
      </c>
      <c r="AL145" s="45">
        <f t="shared" si="28"/>
        <v>0</v>
      </c>
      <c r="AM145" s="56">
        <f t="shared" si="29"/>
        <v>0</v>
      </c>
    </row>
    <row r="146" spans="1:39" ht="15.75" thickBot="1" x14ac:dyDescent="0.3">
      <c r="A146" s="12" t="s">
        <v>71</v>
      </c>
      <c r="B146" s="13" t="s">
        <v>51</v>
      </c>
      <c r="C146" s="13">
        <v>15</v>
      </c>
      <c r="D146" s="13">
        <v>7.2</v>
      </c>
      <c r="E146" s="13">
        <v>34</v>
      </c>
      <c r="F146" s="13">
        <v>5</v>
      </c>
      <c r="G146" s="14"/>
      <c r="H146" s="12"/>
      <c r="I146" s="13">
        <v>21.34</v>
      </c>
      <c r="J146" s="13">
        <v>90.93</v>
      </c>
      <c r="K146" s="13">
        <v>2.4900000000000002</v>
      </c>
      <c r="L146" s="13">
        <v>316</v>
      </c>
      <c r="M146" s="13">
        <v>33</v>
      </c>
      <c r="N146" s="13">
        <v>1.58</v>
      </c>
      <c r="O146" s="13">
        <v>7.28</v>
      </c>
      <c r="P146" s="12">
        <v>7.23</v>
      </c>
      <c r="Q146" s="13">
        <v>4.7</v>
      </c>
      <c r="R146" s="13">
        <v>0.1</v>
      </c>
      <c r="S146" s="13">
        <v>198.35</v>
      </c>
      <c r="T146" s="13">
        <v>16.649999999999999</v>
      </c>
      <c r="U146" s="46">
        <f t="shared" si="22"/>
        <v>3.2699999999999978</v>
      </c>
      <c r="V146" s="46">
        <f t="shared" si="24"/>
        <v>3.6150000000000002E-2</v>
      </c>
      <c r="W146" s="46">
        <f t="shared" si="30"/>
        <v>3.6450718427022945E-2</v>
      </c>
      <c r="X146" s="46">
        <f t="shared" si="31"/>
        <v>2.3695487774136628E-2</v>
      </c>
      <c r="Y146" s="47">
        <f t="shared" si="32"/>
        <v>1.2000000000000002</v>
      </c>
      <c r="Z146" s="13">
        <v>34</v>
      </c>
      <c r="AA146" s="13">
        <v>7.2</v>
      </c>
      <c r="AB146" s="13">
        <v>50</v>
      </c>
      <c r="AC146" s="36">
        <v>4.0000000000000002E-4</v>
      </c>
      <c r="AD146" s="36">
        <f t="shared" si="25"/>
        <v>0.101586936</v>
      </c>
      <c r="AE146" s="36">
        <f t="shared" si="23"/>
        <v>1.6956618624000002</v>
      </c>
      <c r="AF146" s="13">
        <v>200</v>
      </c>
      <c r="AG146" s="12">
        <v>1.52424912645904E-2</v>
      </c>
      <c r="AH146" s="13"/>
      <c r="AI146" s="13"/>
      <c r="AJ146" s="46">
        <f t="shared" si="26"/>
        <v>0</v>
      </c>
      <c r="AK146" s="46">
        <f t="shared" si="27"/>
        <v>0</v>
      </c>
      <c r="AL146" s="47">
        <f t="shared" si="28"/>
        <v>0</v>
      </c>
      <c r="AM146" s="57">
        <f t="shared" si="29"/>
        <v>0</v>
      </c>
    </row>
    <row r="147" spans="1:39" x14ac:dyDescent="0.25">
      <c r="A147" s="7" t="s">
        <v>45</v>
      </c>
      <c r="B147" s="8" t="s">
        <v>46</v>
      </c>
      <c r="C147" s="8">
        <v>18</v>
      </c>
      <c r="D147" s="8">
        <v>7.1</v>
      </c>
      <c r="E147" s="8">
        <v>32.999999999999993</v>
      </c>
      <c r="F147" s="8">
        <v>6</v>
      </c>
      <c r="G147" s="9"/>
      <c r="H147" s="7">
        <v>3171.51</v>
      </c>
      <c r="I147" s="8">
        <v>22.22</v>
      </c>
      <c r="J147" s="8">
        <v>89.17</v>
      </c>
      <c r="K147" s="8">
        <v>1.88</v>
      </c>
      <c r="L147" s="8">
        <v>333</v>
      </c>
      <c r="M147" s="8">
        <v>33.200000000000003</v>
      </c>
      <c r="N147" s="8">
        <v>4</v>
      </c>
      <c r="O147" s="8">
        <v>7.3</v>
      </c>
      <c r="P147" s="7">
        <v>12.63</v>
      </c>
      <c r="Q147" s="8">
        <v>3.74</v>
      </c>
      <c r="R147" s="8">
        <v>0.13</v>
      </c>
      <c r="S147" s="8">
        <v>200.39</v>
      </c>
      <c r="T147" s="8">
        <v>32.729999999999997</v>
      </c>
      <c r="U147" s="8">
        <f t="shared" si="22"/>
        <v>3.2799999999999976</v>
      </c>
      <c r="V147" s="8">
        <f t="shared" si="24"/>
        <v>6.3149999999999998E-2</v>
      </c>
      <c r="W147" s="8">
        <f t="shared" si="30"/>
        <v>6.3027097160536963E-2</v>
      </c>
      <c r="X147" s="8">
        <f t="shared" si="31"/>
        <v>1.8663605968361696E-2</v>
      </c>
      <c r="Y147" s="75">
        <f t="shared" si="32"/>
        <v>1.56</v>
      </c>
      <c r="Z147" s="8">
        <v>34</v>
      </c>
      <c r="AA147" s="8">
        <v>7.2</v>
      </c>
      <c r="AB147" s="8">
        <v>50</v>
      </c>
      <c r="AC147" s="26">
        <v>4.0000000000000002E-4</v>
      </c>
      <c r="AD147" s="26">
        <f t="shared" si="25"/>
        <v>0.10686397919999999</v>
      </c>
      <c r="AE147" s="26">
        <f t="shared" si="23"/>
        <v>2.3989840127999997</v>
      </c>
      <c r="AF147" s="8">
        <v>200</v>
      </c>
      <c r="AG147" s="7">
        <v>5.8988416823447997E-3</v>
      </c>
      <c r="AH147" s="8">
        <v>6.6830980929354399E-3</v>
      </c>
      <c r="AI147" s="76">
        <v>9.9999999999999995E-8</v>
      </c>
      <c r="AJ147" s="8">
        <f t="shared" si="26"/>
        <v>0</v>
      </c>
      <c r="AK147" s="8">
        <f t="shared" si="27"/>
        <v>5.5801084451805531E-2</v>
      </c>
      <c r="AL147" s="75">
        <f t="shared" si="28"/>
        <v>2.0038999999999999E-5</v>
      </c>
      <c r="AM147" s="75">
        <f t="shared" si="29"/>
        <v>5.5801084451805531E-2</v>
      </c>
    </row>
    <row r="148" spans="1:39" x14ac:dyDescent="0.25">
      <c r="A148" s="2" t="s">
        <v>47</v>
      </c>
      <c r="B148" t="s">
        <v>46</v>
      </c>
      <c r="C148">
        <v>12</v>
      </c>
      <c r="D148">
        <v>7.3</v>
      </c>
      <c r="E148">
        <v>35</v>
      </c>
      <c r="F148">
        <v>6</v>
      </c>
      <c r="G148" s="1"/>
      <c r="H148" s="2">
        <v>2946.2849999999999</v>
      </c>
      <c r="I148">
        <v>22.3</v>
      </c>
      <c r="J148">
        <v>86.27</v>
      </c>
      <c r="K148">
        <v>2.23</v>
      </c>
      <c r="L148">
        <v>336</v>
      </c>
      <c r="M148">
        <v>29.7</v>
      </c>
      <c r="N148">
        <v>2.68</v>
      </c>
      <c r="O148">
        <v>7.28</v>
      </c>
      <c r="P148" s="2">
        <v>15.39</v>
      </c>
      <c r="Q148">
        <v>1.3</v>
      </c>
      <c r="R148">
        <v>0.14000000000000001</v>
      </c>
      <c r="S148">
        <v>199.02</v>
      </c>
      <c r="T148">
        <v>22.33</v>
      </c>
      <c r="U148">
        <f t="shared" si="22"/>
        <v>3.2799999999999976</v>
      </c>
      <c r="V148">
        <f t="shared" si="24"/>
        <v>7.6950000000000005E-2</v>
      </c>
      <c r="W148">
        <f t="shared" si="30"/>
        <v>7.7328911667169126E-2</v>
      </c>
      <c r="X148">
        <f t="shared" si="31"/>
        <v>6.5320068334840716E-3</v>
      </c>
      <c r="Y148" s="3">
        <f t="shared" si="32"/>
        <v>1.6800000000000002</v>
      </c>
      <c r="Z148">
        <v>34</v>
      </c>
      <c r="AA148">
        <v>7.2</v>
      </c>
      <c r="AB148">
        <v>50</v>
      </c>
      <c r="AC148" s="31">
        <v>4.0000000000000002E-4</v>
      </c>
      <c r="AD148" s="31">
        <f t="shared" si="25"/>
        <v>0.10651550400000001</v>
      </c>
      <c r="AE148" s="31">
        <f t="shared" si="23"/>
        <v>2.372652864</v>
      </c>
      <c r="AF148">
        <v>200</v>
      </c>
      <c r="AG148" s="2">
        <v>8.5517220013679E-3</v>
      </c>
      <c r="AH148">
        <v>1.28649790661739E-2</v>
      </c>
      <c r="AI148" s="74">
        <v>9.9999999999999995E-8</v>
      </c>
      <c r="AJ148">
        <f t="shared" si="26"/>
        <v>0</v>
      </c>
      <c r="AK148">
        <f t="shared" si="27"/>
        <v>0.10668283890624708</v>
      </c>
      <c r="AL148" s="3">
        <f t="shared" si="28"/>
        <v>1.9902E-5</v>
      </c>
      <c r="AM148" s="3">
        <f t="shared" si="29"/>
        <v>0.10668283890624708</v>
      </c>
    </row>
    <row r="149" spans="1:39" x14ac:dyDescent="0.25">
      <c r="A149" s="2" t="s">
        <v>48</v>
      </c>
      <c r="B149" t="s">
        <v>49</v>
      </c>
      <c r="C149">
        <v>12</v>
      </c>
      <c r="D149">
        <v>7.2</v>
      </c>
      <c r="E149">
        <v>34</v>
      </c>
      <c r="F149">
        <v>6</v>
      </c>
      <c r="G149" s="1"/>
      <c r="H149" s="2">
        <v>3281.2950000000001</v>
      </c>
      <c r="I149">
        <v>20.8</v>
      </c>
      <c r="J149">
        <v>92.87</v>
      </c>
      <c r="K149">
        <v>2.2000000000000002</v>
      </c>
      <c r="L149">
        <v>339</v>
      </c>
      <c r="M149">
        <v>31.7</v>
      </c>
      <c r="N149">
        <v>2.69</v>
      </c>
      <c r="O149">
        <v>7.25</v>
      </c>
      <c r="P149" s="2">
        <v>16.88</v>
      </c>
      <c r="Q149">
        <v>3.95</v>
      </c>
      <c r="R149">
        <v>0.15</v>
      </c>
      <c r="S149">
        <v>199.33</v>
      </c>
      <c r="T149">
        <v>22.33</v>
      </c>
      <c r="U149">
        <f t="shared" si="22"/>
        <v>3.2799999999999976</v>
      </c>
      <c r="V149">
        <f t="shared" si="24"/>
        <v>8.4399999999999989E-2</v>
      </c>
      <c r="W149">
        <f t="shared" si="30"/>
        <v>8.4683690362715086E-2</v>
      </c>
      <c r="X149">
        <f t="shared" si="31"/>
        <v>1.981638488937942E-2</v>
      </c>
      <c r="Y149" s="3">
        <f t="shared" si="32"/>
        <v>1.7999999999999998</v>
      </c>
      <c r="Z149">
        <v>34</v>
      </c>
      <c r="AA149">
        <v>7.2</v>
      </c>
      <c r="AB149">
        <v>50</v>
      </c>
      <c r="AC149" s="31">
        <v>4.0000000000000002E-4</v>
      </c>
      <c r="AD149" s="31">
        <f t="shared" si="25"/>
        <v>9.9505536000000019E-2</v>
      </c>
      <c r="AE149" s="31">
        <f t="shared" si="23"/>
        <v>2.3676253055999998</v>
      </c>
      <c r="AF149">
        <v>200</v>
      </c>
      <c r="AG149" s="2">
        <v>2E-3</v>
      </c>
      <c r="AJ149">
        <f t="shared" si="26"/>
        <v>1.6666666666666666E-2</v>
      </c>
      <c r="AK149">
        <f t="shared" si="27"/>
        <v>0</v>
      </c>
      <c r="AL149" s="3">
        <f t="shared" si="28"/>
        <v>0</v>
      </c>
      <c r="AM149" s="3">
        <f t="shared" si="29"/>
        <v>1.6666666666666666E-2</v>
      </c>
    </row>
    <row r="150" spans="1:39" x14ac:dyDescent="0.25">
      <c r="A150" s="2" t="s">
        <v>50</v>
      </c>
      <c r="B150" t="s">
        <v>51</v>
      </c>
      <c r="C150">
        <v>18</v>
      </c>
      <c r="D150">
        <v>7.3</v>
      </c>
      <c r="E150">
        <v>35</v>
      </c>
      <c r="F150">
        <v>6</v>
      </c>
      <c r="G150" s="1"/>
      <c r="H150" s="2">
        <v>3849.5250000000001</v>
      </c>
      <c r="I150">
        <v>22.05</v>
      </c>
      <c r="J150">
        <v>88.8</v>
      </c>
      <c r="K150">
        <v>1.93</v>
      </c>
      <c r="L150">
        <v>330</v>
      </c>
      <c r="M150">
        <v>26.4</v>
      </c>
      <c r="N150">
        <v>3.23</v>
      </c>
      <c r="O150">
        <v>7.3</v>
      </c>
      <c r="P150" s="2">
        <v>11.93</v>
      </c>
      <c r="Q150">
        <v>5.57</v>
      </c>
      <c r="R150">
        <v>0.1</v>
      </c>
      <c r="S150">
        <v>197</v>
      </c>
      <c r="T150">
        <v>33.53</v>
      </c>
      <c r="U150">
        <f t="shared" si="22"/>
        <v>3.2800000000000011</v>
      </c>
      <c r="V150">
        <f t="shared" si="24"/>
        <v>5.9650000000000002E-2</v>
      </c>
      <c r="W150">
        <f t="shared" si="30"/>
        <v>6.0558375634517762E-2</v>
      </c>
      <c r="X150">
        <f t="shared" si="31"/>
        <v>2.8274111675126903E-2</v>
      </c>
      <c r="Y150" s="3">
        <f t="shared" si="32"/>
        <v>1.2000000000000002</v>
      </c>
      <c r="Z150">
        <v>34</v>
      </c>
      <c r="AA150">
        <v>7.2</v>
      </c>
      <c r="AB150">
        <v>50</v>
      </c>
      <c r="AC150" s="31">
        <v>4.0000000000000002E-4</v>
      </c>
      <c r="AD150" s="31">
        <f t="shared" si="25"/>
        <v>0.10425240000000001</v>
      </c>
      <c r="AE150" s="31">
        <f t="shared" si="23"/>
        <v>2.7695796480000001</v>
      </c>
      <c r="AF150">
        <v>200</v>
      </c>
      <c r="AG150" s="2">
        <v>2.0000000343268999E-3</v>
      </c>
      <c r="AJ150">
        <f t="shared" si="26"/>
        <v>0</v>
      </c>
      <c r="AK150">
        <f t="shared" si="27"/>
        <v>0</v>
      </c>
      <c r="AL150" s="3">
        <f t="shared" si="28"/>
        <v>0</v>
      </c>
      <c r="AM150" s="3">
        <f t="shared" si="29"/>
        <v>0</v>
      </c>
    </row>
    <row r="151" spans="1:39" x14ac:dyDescent="0.25">
      <c r="A151" s="2" t="s">
        <v>52</v>
      </c>
      <c r="B151" t="s">
        <v>49</v>
      </c>
      <c r="C151">
        <v>18</v>
      </c>
      <c r="D151">
        <v>7.3</v>
      </c>
      <c r="E151">
        <v>35</v>
      </c>
      <c r="F151">
        <v>6</v>
      </c>
      <c r="G151" s="1"/>
      <c r="H151" s="2">
        <v>3520.2750000000001</v>
      </c>
      <c r="I151">
        <v>19.190000000000001</v>
      </c>
      <c r="J151">
        <v>90.26</v>
      </c>
      <c r="K151">
        <v>1.83</v>
      </c>
      <c r="L151">
        <v>321</v>
      </c>
      <c r="M151">
        <v>29.8</v>
      </c>
      <c r="N151">
        <v>2.02</v>
      </c>
      <c r="O151">
        <v>7.3</v>
      </c>
      <c r="P151" s="2">
        <v>10.37</v>
      </c>
      <c r="Q151">
        <v>4.96</v>
      </c>
      <c r="R151">
        <v>0.08</v>
      </c>
      <c r="S151">
        <v>197.51</v>
      </c>
      <c r="T151">
        <v>33.53</v>
      </c>
      <c r="U151">
        <f t="shared" si="22"/>
        <v>4.0800000000000018</v>
      </c>
      <c r="V151">
        <f t="shared" si="24"/>
        <v>5.1849999999999993E-2</v>
      </c>
      <c r="W151">
        <f t="shared" si="30"/>
        <v>5.2503670700217706E-2</v>
      </c>
      <c r="X151">
        <f t="shared" si="31"/>
        <v>2.5112652523922842E-2</v>
      </c>
      <c r="Y151" s="3">
        <f t="shared" si="32"/>
        <v>0.96</v>
      </c>
      <c r="Z151">
        <v>34</v>
      </c>
      <c r="AA151">
        <v>7.2</v>
      </c>
      <c r="AB151">
        <v>50</v>
      </c>
      <c r="AC151" s="31">
        <v>4.0000000000000002E-4</v>
      </c>
      <c r="AD151" s="31">
        <f t="shared" si="25"/>
        <v>9.0965205600000001E-2</v>
      </c>
      <c r="AE151" s="31">
        <f t="shared" si="23"/>
        <v>2.6219317823999999</v>
      </c>
      <c r="AF151">
        <v>200</v>
      </c>
      <c r="AG151" s="2">
        <v>1.12998440594404E-2</v>
      </c>
      <c r="AJ151">
        <f t="shared" si="26"/>
        <v>9.4165367162003341E-2</v>
      </c>
      <c r="AK151">
        <f t="shared" si="27"/>
        <v>0</v>
      </c>
      <c r="AL151" s="3">
        <f t="shared" si="28"/>
        <v>0</v>
      </c>
      <c r="AM151" s="3">
        <f t="shared" si="29"/>
        <v>9.4165367162003341E-2</v>
      </c>
    </row>
    <row r="152" spans="1:39" x14ac:dyDescent="0.25">
      <c r="A152" s="2" t="s">
        <v>53</v>
      </c>
      <c r="B152" t="s">
        <v>49</v>
      </c>
      <c r="C152">
        <v>12</v>
      </c>
      <c r="D152">
        <v>7.3</v>
      </c>
      <c r="E152">
        <v>35</v>
      </c>
      <c r="F152">
        <v>6</v>
      </c>
      <c r="G152" s="1"/>
      <c r="H152" s="2">
        <v>3445.29</v>
      </c>
      <c r="I152">
        <v>21.62</v>
      </c>
      <c r="J152">
        <v>92.67</v>
      </c>
      <c r="K152">
        <v>2.35</v>
      </c>
      <c r="L152">
        <v>351</v>
      </c>
      <c r="M152">
        <v>28.4</v>
      </c>
      <c r="N152">
        <v>3.95</v>
      </c>
      <c r="O152">
        <v>7.16</v>
      </c>
      <c r="P152" s="2">
        <v>18.239999999999998</v>
      </c>
      <c r="Q152">
        <v>4.7300000000000004</v>
      </c>
      <c r="R152">
        <v>0.17</v>
      </c>
      <c r="S152">
        <v>199.21</v>
      </c>
      <c r="T152">
        <v>23.13</v>
      </c>
      <c r="U152">
        <f t="shared" si="22"/>
        <v>3.2799999999999976</v>
      </c>
      <c r="V152">
        <f t="shared" si="24"/>
        <v>9.1199999999999989E-2</v>
      </c>
      <c r="W152">
        <f t="shared" si="30"/>
        <v>9.1561668590934175E-2</v>
      </c>
      <c r="X152">
        <f t="shared" si="31"/>
        <v>2.3743787962451687E-2</v>
      </c>
      <c r="Y152" s="3">
        <f t="shared" si="32"/>
        <v>2.04</v>
      </c>
      <c r="Z152">
        <v>34</v>
      </c>
      <c r="AA152">
        <v>7.2</v>
      </c>
      <c r="AB152">
        <v>50</v>
      </c>
      <c r="AC152" s="31">
        <v>4.0000000000000002E-4</v>
      </c>
      <c r="AD152" s="31">
        <f t="shared" si="25"/>
        <v>0.10336608480000001</v>
      </c>
      <c r="AE152" s="31">
        <f t="shared" si="23"/>
        <v>2.4540516864000002</v>
      </c>
      <c r="AF152">
        <v>200</v>
      </c>
      <c r="AG152" s="2">
        <v>2.0000000326787001E-3</v>
      </c>
      <c r="AJ152">
        <f t="shared" si="26"/>
        <v>1.6666666938989168E-2</v>
      </c>
      <c r="AK152">
        <f t="shared" si="27"/>
        <v>0</v>
      </c>
      <c r="AL152" s="3">
        <f t="shared" si="28"/>
        <v>0</v>
      </c>
      <c r="AM152" s="3">
        <f t="shared" si="29"/>
        <v>1.6666666938989168E-2</v>
      </c>
    </row>
    <row r="153" spans="1:39" x14ac:dyDescent="0.25">
      <c r="A153" s="2" t="s">
        <v>54</v>
      </c>
      <c r="B153" t="s">
        <v>46</v>
      </c>
      <c r="C153">
        <v>18</v>
      </c>
      <c r="D153">
        <v>7.3</v>
      </c>
      <c r="E153">
        <v>35</v>
      </c>
      <c r="F153">
        <v>6</v>
      </c>
      <c r="G153" s="1"/>
      <c r="H153" s="2">
        <v>3472.41</v>
      </c>
      <c r="I153">
        <v>22.61</v>
      </c>
      <c r="J153">
        <v>91.32</v>
      </c>
      <c r="K153">
        <v>2.04</v>
      </c>
      <c r="L153">
        <v>329</v>
      </c>
      <c r="M153">
        <v>28.2</v>
      </c>
      <c r="N153">
        <v>3.18</v>
      </c>
      <c r="O153">
        <v>7.29</v>
      </c>
      <c r="P153" s="2">
        <v>13.81</v>
      </c>
      <c r="Q153">
        <v>2.86</v>
      </c>
      <c r="R153">
        <v>0.14000000000000001</v>
      </c>
      <c r="S153">
        <v>200.4</v>
      </c>
      <c r="T153">
        <v>32.729999999999997</v>
      </c>
      <c r="U153">
        <f t="shared" si="22"/>
        <v>3.2799999999999976</v>
      </c>
      <c r="V153">
        <f t="shared" si="24"/>
        <v>6.905E-2</v>
      </c>
      <c r="W153">
        <f t="shared" si="30"/>
        <v>6.8912175648702598E-2</v>
      </c>
      <c r="X153">
        <f t="shared" si="31"/>
        <v>1.4271457085828342E-2</v>
      </c>
      <c r="Y153" s="3">
        <f t="shared" si="32"/>
        <v>1.6800000000000002</v>
      </c>
      <c r="Z153">
        <v>34</v>
      </c>
      <c r="AA153">
        <v>7.2</v>
      </c>
      <c r="AB153">
        <v>50</v>
      </c>
      <c r="AC153" s="31">
        <v>4.0000000000000002E-4</v>
      </c>
      <c r="AD153" s="31">
        <f t="shared" si="25"/>
        <v>0.10874505600000001</v>
      </c>
      <c r="AE153" s="31">
        <f t="shared" si="23"/>
        <v>2.3901016319999995</v>
      </c>
      <c r="AF153">
        <v>200</v>
      </c>
      <c r="AG153" s="2">
        <v>2E-3</v>
      </c>
      <c r="AH153">
        <v>1.6333821528231599E-2</v>
      </c>
      <c r="AI153" s="74">
        <v>9.9999999999999995E-8</v>
      </c>
      <c r="AJ153">
        <f t="shared" si="26"/>
        <v>0</v>
      </c>
      <c r="AK153">
        <f t="shared" si="27"/>
        <v>0.13638740976073385</v>
      </c>
      <c r="AL153" s="3">
        <f t="shared" si="28"/>
        <v>2.0040000000000001E-5</v>
      </c>
      <c r="AM153" s="3">
        <f t="shared" si="29"/>
        <v>0.13638740976073385</v>
      </c>
    </row>
    <row r="154" spans="1:39" x14ac:dyDescent="0.25">
      <c r="A154" s="2" t="s">
        <v>55</v>
      </c>
      <c r="B154" t="s">
        <v>51</v>
      </c>
      <c r="C154">
        <v>15</v>
      </c>
      <c r="D154">
        <v>7.2</v>
      </c>
      <c r="E154">
        <v>34</v>
      </c>
      <c r="F154">
        <v>6</v>
      </c>
      <c r="G154" s="1"/>
      <c r="H154" s="2">
        <v>3303.7950000000001</v>
      </c>
      <c r="I154">
        <v>18.09</v>
      </c>
      <c r="J154">
        <v>88.32</v>
      </c>
      <c r="K154">
        <v>2.4300000000000002</v>
      </c>
      <c r="L154">
        <v>328</v>
      </c>
      <c r="M154">
        <v>29.9</v>
      </c>
      <c r="N154">
        <v>1.94</v>
      </c>
      <c r="O154">
        <v>7.3</v>
      </c>
      <c r="P154" s="2">
        <v>10.48</v>
      </c>
      <c r="Q154">
        <v>4.66</v>
      </c>
      <c r="R154">
        <v>0.09</v>
      </c>
      <c r="S154">
        <v>197.2</v>
      </c>
      <c r="T154">
        <v>21.53</v>
      </c>
      <c r="U154">
        <f t="shared" si="22"/>
        <v>3.2800000000000011</v>
      </c>
      <c r="V154">
        <f t="shared" si="24"/>
        <v>5.2400000000000002E-2</v>
      </c>
      <c r="W154">
        <f t="shared" si="30"/>
        <v>5.3144016227180534E-2</v>
      </c>
      <c r="X154">
        <f t="shared" si="31"/>
        <v>2.3630831643002032E-2</v>
      </c>
      <c r="Y154" s="3">
        <f t="shared" si="32"/>
        <v>1.08</v>
      </c>
      <c r="Z154">
        <v>34</v>
      </c>
      <c r="AA154">
        <v>7.2</v>
      </c>
      <c r="AB154">
        <v>50</v>
      </c>
      <c r="AC154" s="31">
        <v>4.0000000000000002E-4</v>
      </c>
      <c r="AD154" s="31">
        <f t="shared" si="25"/>
        <v>8.5616352000000007E-2</v>
      </c>
      <c r="AE154" s="31">
        <f t="shared" si="23"/>
        <v>2.3694829632000003</v>
      </c>
      <c r="AF154">
        <v>200</v>
      </c>
      <c r="AG154" s="2">
        <v>2.3146548762429E-3</v>
      </c>
      <c r="AJ154">
        <f t="shared" si="26"/>
        <v>0</v>
      </c>
      <c r="AK154">
        <f t="shared" si="27"/>
        <v>0</v>
      </c>
      <c r="AL154" s="3">
        <f t="shared" si="28"/>
        <v>0</v>
      </c>
      <c r="AM154" s="3">
        <f t="shared" si="29"/>
        <v>0</v>
      </c>
    </row>
    <row r="155" spans="1:39" x14ac:dyDescent="0.25">
      <c r="A155" s="2" t="s">
        <v>56</v>
      </c>
      <c r="B155" t="s">
        <v>49</v>
      </c>
      <c r="C155">
        <v>18</v>
      </c>
      <c r="D155">
        <v>7.1</v>
      </c>
      <c r="E155">
        <v>32.999999999999993</v>
      </c>
      <c r="F155">
        <v>6</v>
      </c>
      <c r="G155" s="1"/>
      <c r="H155" s="2">
        <v>3601.9949999999999</v>
      </c>
      <c r="I155">
        <v>19.53</v>
      </c>
      <c r="J155">
        <v>86.98</v>
      </c>
      <c r="K155">
        <v>2.16</v>
      </c>
      <c r="L155">
        <v>331</v>
      </c>
      <c r="M155">
        <v>28.6</v>
      </c>
      <c r="N155">
        <v>2.39</v>
      </c>
      <c r="O155">
        <v>7.29</v>
      </c>
      <c r="P155" s="2">
        <v>11.44</v>
      </c>
      <c r="Q155">
        <v>5.0999999999999996</v>
      </c>
      <c r="R155">
        <v>0.04</v>
      </c>
      <c r="S155">
        <v>199.63</v>
      </c>
      <c r="T155">
        <v>31.93</v>
      </c>
      <c r="U155">
        <f t="shared" si="22"/>
        <v>3.2800000000000011</v>
      </c>
      <c r="V155">
        <f t="shared" si="24"/>
        <v>5.7200000000000001E-2</v>
      </c>
      <c r="W155">
        <f t="shared" si="30"/>
        <v>5.7306016129840202E-2</v>
      </c>
      <c r="X155">
        <f t="shared" si="31"/>
        <v>2.5547262435505685E-2</v>
      </c>
      <c r="Y155" s="3">
        <f t="shared" si="32"/>
        <v>0.48</v>
      </c>
      <c r="Z155">
        <v>34</v>
      </c>
      <c r="AA155">
        <v>7.2</v>
      </c>
      <c r="AB155">
        <v>50</v>
      </c>
      <c r="AC155" s="31">
        <v>4.0000000000000002E-4</v>
      </c>
      <c r="AD155" s="31">
        <f t="shared" si="25"/>
        <v>9.3570573600000012E-2</v>
      </c>
      <c r="AE155" s="31">
        <f t="shared" si="23"/>
        <v>2.5977487679999998</v>
      </c>
      <c r="AF155">
        <v>200</v>
      </c>
      <c r="AG155" s="2">
        <v>6.9499866455023001E-3</v>
      </c>
      <c r="AJ155">
        <f t="shared" si="26"/>
        <v>5.791655537918583E-2</v>
      </c>
      <c r="AK155">
        <f>IF(B155="Julia",AH155*S155/24,0)</f>
        <v>0</v>
      </c>
      <c r="AL155" s="3">
        <f t="shared" si="28"/>
        <v>0</v>
      </c>
      <c r="AM155" s="3">
        <f t="shared" si="29"/>
        <v>5.791655537918583E-2</v>
      </c>
    </row>
    <row r="156" spans="1:39" x14ac:dyDescent="0.25">
      <c r="A156" s="2" t="s">
        <v>57</v>
      </c>
      <c r="B156" t="s">
        <v>46</v>
      </c>
      <c r="C156">
        <v>18</v>
      </c>
      <c r="D156">
        <v>7.2</v>
      </c>
      <c r="E156">
        <v>34</v>
      </c>
      <c r="F156">
        <v>6</v>
      </c>
      <c r="G156" s="1"/>
      <c r="H156" s="2">
        <v>3215.55</v>
      </c>
      <c r="I156">
        <v>22.46</v>
      </c>
      <c r="J156">
        <v>91.09</v>
      </c>
      <c r="K156">
        <v>1.75</v>
      </c>
      <c r="L156">
        <v>331</v>
      </c>
      <c r="M156">
        <v>29.1</v>
      </c>
      <c r="N156">
        <v>3.71</v>
      </c>
      <c r="O156">
        <v>7.28</v>
      </c>
      <c r="P156" s="2">
        <v>14.88</v>
      </c>
      <c r="Q156">
        <v>2.0699999999999998</v>
      </c>
      <c r="R156">
        <v>0.18</v>
      </c>
      <c r="S156">
        <v>201.21</v>
      </c>
      <c r="T156">
        <v>32.729999999999997</v>
      </c>
      <c r="U156">
        <f t="shared" ref="U156:U219" si="33">T156-T132</f>
        <v>3.2799999999999976</v>
      </c>
      <c r="V156">
        <f t="shared" si="24"/>
        <v>7.4400000000000008E-2</v>
      </c>
      <c r="W156">
        <f t="shared" si="30"/>
        <v>7.3952586849560159E-2</v>
      </c>
      <c r="X156">
        <f t="shared" si="31"/>
        <v>1.0287759057700909E-2</v>
      </c>
      <c r="Y156" s="3">
        <f t="shared" si="32"/>
        <v>2.16</v>
      </c>
      <c r="Z156">
        <v>34</v>
      </c>
      <c r="AA156">
        <v>7.2</v>
      </c>
      <c r="AB156">
        <v>50</v>
      </c>
      <c r="AC156" s="31">
        <v>4.0000000000000002E-4</v>
      </c>
      <c r="AD156" s="31">
        <f t="shared" si="25"/>
        <v>0.10846023840000001</v>
      </c>
      <c r="AE156" s="31">
        <f t="shared" si="23"/>
        <v>2.6656307712</v>
      </c>
      <c r="AF156">
        <v>200</v>
      </c>
      <c r="AG156" s="2">
        <v>5.4886702615738999E-3</v>
      </c>
      <c r="AH156">
        <v>1.42343454327532E-2</v>
      </c>
      <c r="AI156" s="74">
        <v>9.9999999999999995E-8</v>
      </c>
      <c r="AJ156">
        <f t="shared" si="26"/>
        <v>0</v>
      </c>
      <c r="AK156">
        <f>IF(B156="Julia",AH156*S156/24,0)</f>
        <v>0.11933719352184465</v>
      </c>
      <c r="AL156" s="3">
        <f t="shared" si="28"/>
        <v>2.0120999999999999E-5</v>
      </c>
      <c r="AM156" s="3">
        <f t="shared" si="29"/>
        <v>0.11933719352184465</v>
      </c>
    </row>
    <row r="157" spans="1:39" x14ac:dyDescent="0.25">
      <c r="A157" s="2" t="s">
        <v>58</v>
      </c>
      <c r="B157" t="s">
        <v>51</v>
      </c>
      <c r="C157">
        <v>18</v>
      </c>
      <c r="D157">
        <v>7.1</v>
      </c>
      <c r="E157">
        <v>32.999999999999993</v>
      </c>
      <c r="F157">
        <v>6</v>
      </c>
      <c r="G157" s="1"/>
      <c r="H157" s="2">
        <v>3583.44</v>
      </c>
      <c r="I157">
        <v>21.13</v>
      </c>
      <c r="J157">
        <v>87.63</v>
      </c>
      <c r="K157">
        <v>1.55</v>
      </c>
      <c r="L157">
        <v>325</v>
      </c>
      <c r="M157">
        <v>28.8</v>
      </c>
      <c r="N157">
        <v>3.47</v>
      </c>
      <c r="O157">
        <v>7.31</v>
      </c>
      <c r="P157" s="2">
        <v>12.2</v>
      </c>
      <c r="Q157">
        <v>4.6399999999999997</v>
      </c>
      <c r="R157">
        <v>0.11</v>
      </c>
      <c r="S157">
        <v>207.36</v>
      </c>
      <c r="T157">
        <v>31.93</v>
      </c>
      <c r="U157">
        <f t="shared" si="33"/>
        <v>3.2800000000000011</v>
      </c>
      <c r="V157">
        <f t="shared" si="24"/>
        <v>6.0999999999999999E-2</v>
      </c>
      <c r="W157">
        <f t="shared" si="30"/>
        <v>5.8834876543209867E-2</v>
      </c>
      <c r="X157">
        <f t="shared" si="31"/>
        <v>2.2376543209876538E-2</v>
      </c>
      <c r="Y157" s="3">
        <f t="shared" si="32"/>
        <v>1.32</v>
      </c>
      <c r="Z157">
        <v>34</v>
      </c>
      <c r="AA157">
        <v>7.2</v>
      </c>
      <c r="AB157">
        <v>50</v>
      </c>
      <c r="AC157" s="31">
        <v>4.0000000000000002E-4</v>
      </c>
      <c r="AD157" s="31">
        <f t="shared" si="25"/>
        <v>0.1051564032</v>
      </c>
      <c r="AE157" s="31">
        <f t="shared" si="23"/>
        <v>2.840386176</v>
      </c>
      <c r="AF157">
        <v>200</v>
      </c>
      <c r="AG157" s="2">
        <v>5.1550218089927002E-3</v>
      </c>
      <c r="AJ157">
        <f t="shared" si="26"/>
        <v>0</v>
      </c>
      <c r="AK157">
        <f t="shared" si="27"/>
        <v>0</v>
      </c>
      <c r="AL157" s="3">
        <f t="shared" si="28"/>
        <v>0</v>
      </c>
      <c r="AM157" s="3">
        <f t="shared" si="29"/>
        <v>0</v>
      </c>
    </row>
    <row r="158" spans="1:39" x14ac:dyDescent="0.25">
      <c r="A158" s="2" t="s">
        <v>59</v>
      </c>
      <c r="B158" t="s">
        <v>46</v>
      </c>
      <c r="C158">
        <v>15</v>
      </c>
      <c r="D158">
        <v>7.1</v>
      </c>
      <c r="E158">
        <v>32.999999999999993</v>
      </c>
      <c r="F158">
        <v>6</v>
      </c>
      <c r="G158" s="1"/>
      <c r="H158" s="2">
        <v>2810.4450000000002</v>
      </c>
      <c r="I158">
        <v>20.399999999999999</v>
      </c>
      <c r="J158">
        <v>91.56</v>
      </c>
      <c r="K158">
        <v>2.0499999999999998</v>
      </c>
      <c r="L158">
        <v>332</v>
      </c>
      <c r="M158">
        <v>32.799999999999997</v>
      </c>
      <c r="N158">
        <v>3.74</v>
      </c>
      <c r="O158">
        <v>7.28</v>
      </c>
      <c r="P158" s="2">
        <v>13.29</v>
      </c>
      <c r="Q158">
        <v>2.78</v>
      </c>
      <c r="R158">
        <v>0.17</v>
      </c>
      <c r="S158">
        <v>201.93</v>
      </c>
      <c r="T158">
        <v>19.93</v>
      </c>
      <c r="U158">
        <f t="shared" si="33"/>
        <v>3.2800000000000011</v>
      </c>
      <c r="V158">
        <f t="shared" si="24"/>
        <v>6.6449999999999995E-2</v>
      </c>
      <c r="W158">
        <f t="shared" si="30"/>
        <v>6.5814886346753823E-2</v>
      </c>
      <c r="X158">
        <f t="shared" si="31"/>
        <v>1.3767147031149406E-2</v>
      </c>
      <c r="Y158" s="3">
        <f t="shared" si="32"/>
        <v>2.04</v>
      </c>
      <c r="Z158">
        <v>34</v>
      </c>
      <c r="AA158">
        <v>7.2</v>
      </c>
      <c r="AB158">
        <v>50</v>
      </c>
      <c r="AC158" s="31">
        <v>4.0000000000000002E-4</v>
      </c>
      <c r="AD158" s="31">
        <f t="shared" si="25"/>
        <v>9.8864928000000005E-2</v>
      </c>
      <c r="AE158" s="31">
        <f t="shared" si="23"/>
        <v>2.3407396992000002</v>
      </c>
      <c r="AF158">
        <v>200</v>
      </c>
      <c r="AG158" s="2">
        <v>1.15039579208423E-2</v>
      </c>
      <c r="AH158">
        <v>1.07576694801719E-2</v>
      </c>
      <c r="AI158" s="74">
        <v>9.9999999999999995E-8</v>
      </c>
      <c r="AJ158">
        <f t="shared" si="26"/>
        <v>0</v>
      </c>
      <c r="AK158">
        <f t="shared" si="27"/>
        <v>9.0512341588796327E-2</v>
      </c>
      <c r="AL158" s="3">
        <f t="shared" si="28"/>
        <v>2.0193000000000001E-5</v>
      </c>
      <c r="AM158" s="3">
        <f t="shared" si="29"/>
        <v>9.0512341588796327E-2</v>
      </c>
    </row>
    <row r="159" spans="1:39" x14ac:dyDescent="0.25">
      <c r="A159" s="2" t="s">
        <v>60</v>
      </c>
      <c r="B159" t="s">
        <v>49</v>
      </c>
      <c r="C159">
        <v>15</v>
      </c>
      <c r="D159">
        <v>7.1</v>
      </c>
      <c r="E159">
        <v>32.999999999999993</v>
      </c>
      <c r="F159">
        <v>6</v>
      </c>
      <c r="G159" s="1"/>
      <c r="H159" s="2">
        <v>3449.2049999999999</v>
      </c>
      <c r="I159">
        <v>21.48</v>
      </c>
      <c r="J159">
        <v>90.38</v>
      </c>
      <c r="K159">
        <v>1.95</v>
      </c>
      <c r="L159">
        <v>338</v>
      </c>
      <c r="M159">
        <v>32.9</v>
      </c>
      <c r="N159">
        <v>3.72</v>
      </c>
      <c r="O159">
        <v>7.28</v>
      </c>
      <c r="P159" s="2">
        <v>14.98</v>
      </c>
      <c r="Q159">
        <v>4.5199999999999996</v>
      </c>
      <c r="R159">
        <v>0.12</v>
      </c>
      <c r="S159">
        <v>202.03</v>
      </c>
      <c r="T159">
        <v>19.93</v>
      </c>
      <c r="U159">
        <f t="shared" si="33"/>
        <v>3.2800000000000011</v>
      </c>
      <c r="V159">
        <f t="shared" si="24"/>
        <v>7.4900000000000008E-2</v>
      </c>
      <c r="W159">
        <f t="shared" si="30"/>
        <v>7.4147403850913229E-2</v>
      </c>
      <c r="X159">
        <f t="shared" si="31"/>
        <v>2.2372914913626685E-2</v>
      </c>
      <c r="Y159" s="3">
        <f t="shared" si="32"/>
        <v>1.44</v>
      </c>
      <c r="Z159">
        <v>34</v>
      </c>
      <c r="AA159">
        <v>7.2</v>
      </c>
      <c r="AB159">
        <v>50</v>
      </c>
      <c r="AC159" s="31">
        <v>4.0000000000000002E-4</v>
      </c>
      <c r="AD159" s="31">
        <f t="shared" si="25"/>
        <v>0.10415050560000001</v>
      </c>
      <c r="AE159" s="31">
        <f t="shared" si="23"/>
        <v>2.4224167296000001</v>
      </c>
      <c r="AF159">
        <v>200</v>
      </c>
      <c r="AG159" s="2">
        <v>2E-3</v>
      </c>
      <c r="AJ159">
        <f t="shared" si="26"/>
        <v>1.6666666666666666E-2</v>
      </c>
      <c r="AK159">
        <f t="shared" si="27"/>
        <v>0</v>
      </c>
      <c r="AL159" s="3">
        <f t="shared" si="28"/>
        <v>0</v>
      </c>
      <c r="AM159" s="3">
        <f t="shared" si="29"/>
        <v>1.6666666666666666E-2</v>
      </c>
    </row>
    <row r="160" spans="1:39" x14ac:dyDescent="0.25">
      <c r="A160" s="2" t="s">
        <v>61</v>
      </c>
      <c r="B160" t="s">
        <v>46</v>
      </c>
      <c r="C160">
        <v>15</v>
      </c>
      <c r="D160">
        <v>7.3</v>
      </c>
      <c r="E160">
        <v>35</v>
      </c>
      <c r="F160">
        <v>6</v>
      </c>
      <c r="G160" s="1"/>
      <c r="H160" s="2">
        <v>3342.9900000000002</v>
      </c>
      <c r="I160">
        <v>24.99</v>
      </c>
      <c r="J160">
        <v>92.37</v>
      </c>
      <c r="K160">
        <v>1.81</v>
      </c>
      <c r="L160">
        <v>325</v>
      </c>
      <c r="M160">
        <v>28.6</v>
      </c>
      <c r="N160">
        <v>3.37</v>
      </c>
      <c r="O160">
        <v>7.29</v>
      </c>
      <c r="P160" s="2">
        <v>14.29</v>
      </c>
      <c r="Q160">
        <v>1.72</v>
      </c>
      <c r="R160">
        <v>0.18</v>
      </c>
      <c r="S160">
        <v>199.5</v>
      </c>
      <c r="T160">
        <v>20.9</v>
      </c>
      <c r="U160">
        <f t="shared" si="33"/>
        <v>3.2699999999999996</v>
      </c>
      <c r="V160">
        <f t="shared" si="24"/>
        <v>7.145E-2</v>
      </c>
      <c r="W160">
        <f t="shared" si="30"/>
        <v>7.1629072681704251E-2</v>
      </c>
      <c r="X160">
        <f t="shared" si="31"/>
        <v>8.6215538847117801E-3</v>
      </c>
      <c r="Y160" s="3">
        <f t="shared" si="32"/>
        <v>2.16</v>
      </c>
      <c r="Z160">
        <v>34</v>
      </c>
      <c r="AA160">
        <v>7.2</v>
      </c>
      <c r="AB160">
        <v>50</v>
      </c>
      <c r="AC160" s="31">
        <v>4.0000000000000002E-4</v>
      </c>
      <c r="AD160" s="31">
        <f t="shared" si="25"/>
        <v>0.11965212</v>
      </c>
      <c r="AE160" s="31">
        <f t="shared" si="23"/>
        <v>2.3711185152000001</v>
      </c>
      <c r="AF160">
        <v>200</v>
      </c>
      <c r="AG160" s="2">
        <v>2.0000001534516E-3</v>
      </c>
      <c r="AH160">
        <v>1.9089930201559999E-2</v>
      </c>
      <c r="AI160" s="74">
        <v>9.9999999999999995E-8</v>
      </c>
      <c r="AJ160">
        <f t="shared" si="26"/>
        <v>0</v>
      </c>
      <c r="AK160">
        <f t="shared" si="27"/>
        <v>0.1586850448004675</v>
      </c>
      <c r="AL160" s="3">
        <f t="shared" si="28"/>
        <v>1.995E-5</v>
      </c>
      <c r="AM160" s="3">
        <f t="shared" si="29"/>
        <v>0.1586850448004675</v>
      </c>
    </row>
    <row r="161" spans="1:39" x14ac:dyDescent="0.25">
      <c r="A161" s="2" t="s">
        <v>62</v>
      </c>
      <c r="B161" t="s">
        <v>49</v>
      </c>
      <c r="C161">
        <v>18</v>
      </c>
      <c r="D161">
        <v>7.2</v>
      </c>
      <c r="E161">
        <v>34</v>
      </c>
      <c r="F161">
        <v>6</v>
      </c>
      <c r="G161" s="1"/>
      <c r="H161" s="2">
        <v>3745.4300000000003</v>
      </c>
      <c r="I161">
        <v>22.29</v>
      </c>
      <c r="J161">
        <v>90.86</v>
      </c>
      <c r="K161">
        <v>1.75</v>
      </c>
      <c r="L161">
        <v>331</v>
      </c>
      <c r="M161">
        <v>28.4</v>
      </c>
      <c r="N161">
        <v>3.73</v>
      </c>
      <c r="O161">
        <v>7.3</v>
      </c>
      <c r="P161" s="2">
        <v>13.07</v>
      </c>
      <c r="Q161">
        <v>4.8499999999999996</v>
      </c>
      <c r="R161">
        <v>0.08</v>
      </c>
      <c r="S161">
        <v>200.48</v>
      </c>
      <c r="T161">
        <v>32.9</v>
      </c>
      <c r="U161">
        <f t="shared" si="33"/>
        <v>3.2699999999999996</v>
      </c>
      <c r="V161">
        <f t="shared" si="24"/>
        <v>6.5350000000000005E-2</v>
      </c>
      <c r="W161">
        <f t="shared" si="30"/>
        <v>6.5193535514764575E-2</v>
      </c>
      <c r="X161">
        <f t="shared" si="31"/>
        <v>2.419193934557063E-2</v>
      </c>
      <c r="Y161" s="3">
        <f t="shared" si="32"/>
        <v>0.96</v>
      </c>
      <c r="Z161">
        <v>34</v>
      </c>
      <c r="AA161">
        <v>7.2</v>
      </c>
      <c r="AB161">
        <v>50</v>
      </c>
      <c r="AC161" s="31">
        <v>4.0000000000000002E-4</v>
      </c>
      <c r="AD161" s="31">
        <f t="shared" si="25"/>
        <v>0.10724878079999998</v>
      </c>
      <c r="AE161" s="31">
        <f t="shared" si="23"/>
        <v>2.634425856</v>
      </c>
      <c r="AF161">
        <v>200</v>
      </c>
      <c r="AG161" s="2">
        <v>2E-3</v>
      </c>
      <c r="AJ161">
        <f t="shared" si="26"/>
        <v>1.6666666666666666E-2</v>
      </c>
      <c r="AK161">
        <f t="shared" si="27"/>
        <v>0</v>
      </c>
      <c r="AL161" s="3">
        <f t="shared" si="28"/>
        <v>0</v>
      </c>
      <c r="AM161" s="3">
        <f t="shared" si="29"/>
        <v>1.6666666666666666E-2</v>
      </c>
    </row>
    <row r="162" spans="1:39" x14ac:dyDescent="0.25">
      <c r="A162" s="2" t="s">
        <v>63</v>
      </c>
      <c r="B162" t="s">
        <v>51</v>
      </c>
      <c r="C162">
        <v>12</v>
      </c>
      <c r="D162">
        <v>7.1</v>
      </c>
      <c r="E162">
        <v>32.999999999999993</v>
      </c>
      <c r="F162">
        <v>6</v>
      </c>
      <c r="G162" s="1"/>
      <c r="H162" s="2">
        <v>2853.66</v>
      </c>
      <c r="I162">
        <v>18.05</v>
      </c>
      <c r="J162">
        <v>91.25</v>
      </c>
      <c r="K162">
        <v>2.27</v>
      </c>
      <c r="L162">
        <v>323</v>
      </c>
      <c r="M162">
        <v>30.4</v>
      </c>
      <c r="N162">
        <v>2.36</v>
      </c>
      <c r="O162">
        <v>7.28</v>
      </c>
      <c r="P162" s="2">
        <v>9.7899999999999991</v>
      </c>
      <c r="Q162">
        <v>3.94</v>
      </c>
      <c r="R162">
        <v>0.09</v>
      </c>
      <c r="S162">
        <v>197.2</v>
      </c>
      <c r="T162">
        <v>20.73</v>
      </c>
      <c r="U162">
        <f t="shared" si="33"/>
        <v>3.2800000000000011</v>
      </c>
      <c r="V162">
        <f t="shared" si="24"/>
        <v>4.8949999999999994E-2</v>
      </c>
      <c r="W162">
        <f t="shared" si="30"/>
        <v>4.9645030425963486E-2</v>
      </c>
      <c r="X162">
        <f t="shared" si="31"/>
        <v>1.9979716024340771E-2</v>
      </c>
      <c r="Y162" s="3">
        <f t="shared" si="32"/>
        <v>1.08</v>
      </c>
      <c r="Z162">
        <v>34</v>
      </c>
      <c r="AA162">
        <v>7.2</v>
      </c>
      <c r="AB162">
        <v>50</v>
      </c>
      <c r="AC162" s="31">
        <v>4.0000000000000002E-4</v>
      </c>
      <c r="AD162" s="31">
        <f t="shared" si="25"/>
        <v>8.542704000000001E-2</v>
      </c>
      <c r="AE162" s="31">
        <f t="shared" si="23"/>
        <v>2.2925998080000003</v>
      </c>
      <c r="AF162">
        <v>200</v>
      </c>
      <c r="AG162" s="2">
        <v>9.8420551885688001E-3</v>
      </c>
      <c r="AJ162">
        <f t="shared" si="26"/>
        <v>0</v>
      </c>
      <c r="AK162">
        <f t="shared" si="27"/>
        <v>0</v>
      </c>
      <c r="AL162" s="3">
        <f t="shared" si="28"/>
        <v>0</v>
      </c>
      <c r="AM162" s="3">
        <f t="shared" si="29"/>
        <v>0</v>
      </c>
    </row>
    <row r="163" spans="1:39" x14ac:dyDescent="0.25">
      <c r="A163" s="2" t="s">
        <v>64</v>
      </c>
      <c r="B163" t="s">
        <v>46</v>
      </c>
      <c r="C163">
        <v>12</v>
      </c>
      <c r="D163">
        <v>7.1</v>
      </c>
      <c r="E163">
        <v>32.999999999999993</v>
      </c>
      <c r="F163">
        <v>6</v>
      </c>
      <c r="G163" s="1"/>
      <c r="H163" s="2">
        <v>2762.5650000000001</v>
      </c>
      <c r="I163">
        <v>18.940000000000001</v>
      </c>
      <c r="J163">
        <v>93.11</v>
      </c>
      <c r="K163">
        <v>1.96</v>
      </c>
      <c r="L163">
        <v>333</v>
      </c>
      <c r="M163">
        <v>28.1</v>
      </c>
      <c r="N163">
        <v>3.93</v>
      </c>
      <c r="O163">
        <v>7.28</v>
      </c>
      <c r="P163" s="2">
        <v>13.65</v>
      </c>
      <c r="Q163">
        <v>2.64</v>
      </c>
      <c r="R163">
        <v>0.2</v>
      </c>
      <c r="S163">
        <v>200.7</v>
      </c>
      <c r="T163">
        <v>19.93</v>
      </c>
      <c r="U163">
        <f t="shared" si="33"/>
        <v>3.2800000000000011</v>
      </c>
      <c r="V163">
        <f t="shared" si="24"/>
        <v>6.8250000000000005E-2</v>
      </c>
      <c r="W163">
        <f t="shared" si="30"/>
        <v>6.8011958146487306E-2</v>
      </c>
      <c r="X163">
        <f t="shared" si="31"/>
        <v>1.3153961136023918E-2</v>
      </c>
      <c r="Y163" s="3">
        <f t="shared" si="32"/>
        <v>2.4000000000000004</v>
      </c>
      <c r="Z163">
        <v>34</v>
      </c>
      <c r="AA163">
        <v>7.2</v>
      </c>
      <c r="AB163">
        <v>50</v>
      </c>
      <c r="AC163" s="31">
        <v>4.0000000000000002E-4</v>
      </c>
      <c r="AD163" s="31">
        <f t="shared" si="25"/>
        <v>9.1230192000000002E-2</v>
      </c>
      <c r="AE163" s="31">
        <f t="shared" si="23"/>
        <v>2.2735572480000004</v>
      </c>
      <c r="AF163">
        <v>200</v>
      </c>
      <c r="AG163" s="2">
        <v>1.2609577687708999E-2</v>
      </c>
      <c r="AH163">
        <v>1.1383572770302599E-2</v>
      </c>
      <c r="AI163" s="74">
        <v>9.9999999999999995E-8</v>
      </c>
      <c r="AJ163">
        <f t="shared" si="26"/>
        <v>0</v>
      </c>
      <c r="AK163">
        <f t="shared" si="27"/>
        <v>9.5195127291655482E-2</v>
      </c>
      <c r="AL163" s="3">
        <f t="shared" si="28"/>
        <v>2.0069999999999999E-5</v>
      </c>
      <c r="AM163" s="3">
        <f t="shared" si="29"/>
        <v>9.5195127291655482E-2</v>
      </c>
    </row>
    <row r="164" spans="1:39" x14ac:dyDescent="0.25">
      <c r="A164" s="2" t="s">
        <v>65</v>
      </c>
      <c r="B164" t="s">
        <v>49</v>
      </c>
      <c r="C164">
        <v>15</v>
      </c>
      <c r="D164">
        <v>7.3</v>
      </c>
      <c r="E164">
        <v>35</v>
      </c>
      <c r="F164">
        <v>6</v>
      </c>
      <c r="G164" s="1"/>
      <c r="H164" s="2">
        <v>3669.5250000000001</v>
      </c>
      <c r="I164">
        <v>22.32</v>
      </c>
      <c r="J164">
        <v>91.37</v>
      </c>
      <c r="K164">
        <v>2.0499999999999998</v>
      </c>
      <c r="L164">
        <v>336</v>
      </c>
      <c r="M164">
        <v>30.1</v>
      </c>
      <c r="N164">
        <v>3.4</v>
      </c>
      <c r="O164">
        <v>7.3</v>
      </c>
      <c r="P164" s="2">
        <v>14.28</v>
      </c>
      <c r="Q164">
        <v>5.65</v>
      </c>
      <c r="R164">
        <v>0.11</v>
      </c>
      <c r="S164">
        <v>200.91</v>
      </c>
      <c r="T164">
        <v>20.73</v>
      </c>
      <c r="U164">
        <f t="shared" si="33"/>
        <v>3.2800000000000011</v>
      </c>
      <c r="V164">
        <f t="shared" si="24"/>
        <v>7.1399999999999991E-2</v>
      </c>
      <c r="W164">
        <f t="shared" si="30"/>
        <v>7.1076601463341799E-2</v>
      </c>
      <c r="X164">
        <f t="shared" si="31"/>
        <v>2.8122044696630336E-2</v>
      </c>
      <c r="Y164" s="3">
        <f t="shared" si="32"/>
        <v>1.32</v>
      </c>
      <c r="Z164">
        <v>34</v>
      </c>
      <c r="AA164">
        <v>7.2</v>
      </c>
      <c r="AB164">
        <v>50</v>
      </c>
      <c r="AC164" s="31">
        <v>4.0000000000000002E-4</v>
      </c>
      <c r="AD164" s="31">
        <f t="shared" si="25"/>
        <v>0.1076234688</v>
      </c>
      <c r="AE164" s="31">
        <f t="shared" si="23"/>
        <v>2.4647321087999998</v>
      </c>
      <c r="AF164">
        <v>200</v>
      </c>
      <c r="AG164" s="2">
        <v>2.0000006627049999E-3</v>
      </c>
      <c r="AJ164">
        <f t="shared" si="26"/>
        <v>1.6666672189208333E-2</v>
      </c>
      <c r="AK164">
        <f t="shared" si="27"/>
        <v>0</v>
      </c>
      <c r="AL164" s="3">
        <f t="shared" si="28"/>
        <v>0</v>
      </c>
      <c r="AM164" s="3">
        <f t="shared" si="29"/>
        <v>1.6666672189208333E-2</v>
      </c>
    </row>
    <row r="165" spans="1:39" x14ac:dyDescent="0.25">
      <c r="A165" s="2" t="s">
        <v>66</v>
      </c>
      <c r="B165" t="s">
        <v>46</v>
      </c>
      <c r="C165">
        <v>12</v>
      </c>
      <c r="D165">
        <v>7.2</v>
      </c>
      <c r="E165">
        <v>34</v>
      </c>
      <c r="F165">
        <v>6</v>
      </c>
      <c r="G165" s="1"/>
      <c r="H165" s="2">
        <v>3059.085</v>
      </c>
      <c r="I165">
        <v>20.91</v>
      </c>
      <c r="J165">
        <v>94.04</v>
      </c>
      <c r="K165">
        <v>1.59</v>
      </c>
      <c r="L165">
        <v>329</v>
      </c>
      <c r="M165">
        <v>33.5</v>
      </c>
      <c r="N165">
        <v>3.76</v>
      </c>
      <c r="O165">
        <v>7.3</v>
      </c>
      <c r="P165" s="2">
        <v>13.89</v>
      </c>
      <c r="Q165">
        <v>2.68</v>
      </c>
      <c r="R165">
        <v>0.2</v>
      </c>
      <c r="S165">
        <v>199.87</v>
      </c>
      <c r="T165">
        <v>21.53</v>
      </c>
      <c r="U165">
        <f t="shared" si="33"/>
        <v>3.2800000000000011</v>
      </c>
      <c r="V165">
        <f t="shared" si="24"/>
        <v>6.9449999999999998E-2</v>
      </c>
      <c r="W165">
        <f t="shared" si="30"/>
        <v>6.9495171861710114E-2</v>
      </c>
      <c r="X165">
        <f t="shared" si="31"/>
        <v>1.3408715665182369E-2</v>
      </c>
      <c r="Y165" s="3">
        <f t="shared" si="32"/>
        <v>2.4000000000000004</v>
      </c>
      <c r="Z165">
        <v>34</v>
      </c>
      <c r="AA165">
        <v>7.2</v>
      </c>
      <c r="AB165">
        <v>50</v>
      </c>
      <c r="AC165" s="31">
        <v>4.0000000000000002E-4</v>
      </c>
      <c r="AD165" s="31">
        <f t="shared" si="25"/>
        <v>0.10030276079999999</v>
      </c>
      <c r="AE165" s="31">
        <f t="shared" si="23"/>
        <v>2.3114077055999998</v>
      </c>
      <c r="AF165">
        <v>200</v>
      </c>
      <c r="AG165" s="2">
        <v>7.3308706165030003E-3</v>
      </c>
      <c r="AH165">
        <v>9.5590625860746993E-3</v>
      </c>
      <c r="AI165" s="74">
        <v>9.9999999999999995E-8</v>
      </c>
      <c r="AJ165">
        <f t="shared" si="26"/>
        <v>0</v>
      </c>
      <c r="AK165">
        <f t="shared" si="27"/>
        <v>7.9607076628281259E-2</v>
      </c>
      <c r="AL165" s="3">
        <f t="shared" si="28"/>
        <v>1.9987E-5</v>
      </c>
      <c r="AM165" s="3">
        <f t="shared" si="29"/>
        <v>7.9607076628281259E-2</v>
      </c>
    </row>
    <row r="166" spans="1:39" x14ac:dyDescent="0.25">
      <c r="A166" s="2" t="s">
        <v>67</v>
      </c>
      <c r="B166" t="s">
        <v>49</v>
      </c>
      <c r="C166">
        <v>12</v>
      </c>
      <c r="D166">
        <v>7.1</v>
      </c>
      <c r="E166">
        <v>32.999999999999993</v>
      </c>
      <c r="F166">
        <v>6</v>
      </c>
      <c r="G166" s="1"/>
      <c r="H166" s="2">
        <v>3040.2449999999999</v>
      </c>
      <c r="I166">
        <v>20.7</v>
      </c>
      <c r="J166">
        <v>91.18</v>
      </c>
      <c r="K166">
        <v>2.2599999999999998</v>
      </c>
      <c r="L166">
        <v>339</v>
      </c>
      <c r="M166">
        <v>27.9</v>
      </c>
      <c r="N166">
        <v>2.46</v>
      </c>
      <c r="O166">
        <v>7.28</v>
      </c>
      <c r="P166" s="2">
        <v>15.8</v>
      </c>
      <c r="Q166">
        <v>4.0199999999999996</v>
      </c>
      <c r="R166">
        <v>0.12</v>
      </c>
      <c r="S166">
        <v>199.68</v>
      </c>
      <c r="T166">
        <v>20.73</v>
      </c>
      <c r="U166">
        <f t="shared" si="33"/>
        <v>3.2800000000000011</v>
      </c>
      <c r="V166">
        <f t="shared" si="24"/>
        <v>7.9000000000000001E-2</v>
      </c>
      <c r="W166">
        <f t="shared" si="30"/>
        <v>7.9126602564102561E-2</v>
      </c>
      <c r="X166">
        <f t="shared" si="31"/>
        <v>2.0132211538461536E-2</v>
      </c>
      <c r="Y166" s="3">
        <f t="shared" si="32"/>
        <v>1.44</v>
      </c>
      <c r="Z166">
        <v>34</v>
      </c>
      <c r="AA166">
        <v>7.2</v>
      </c>
      <c r="AB166">
        <v>50</v>
      </c>
      <c r="AC166" s="31">
        <v>4.0000000000000002E-4</v>
      </c>
      <c r="AD166" s="31">
        <f t="shared" si="25"/>
        <v>9.9201024000000013E-2</v>
      </c>
      <c r="AE166" s="31">
        <f t="shared" si="23"/>
        <v>2.4245084160000001</v>
      </c>
      <c r="AF166">
        <v>200</v>
      </c>
      <c r="AG166" s="2">
        <v>5.8283441133836003E-3</v>
      </c>
      <c r="AJ166">
        <f t="shared" si="26"/>
        <v>4.8569534278196665E-2</v>
      </c>
      <c r="AK166">
        <f t="shared" si="27"/>
        <v>0</v>
      </c>
      <c r="AL166" s="3">
        <f t="shared" si="28"/>
        <v>0</v>
      </c>
      <c r="AM166" s="3">
        <f t="shared" si="29"/>
        <v>4.8569534278196665E-2</v>
      </c>
    </row>
    <row r="167" spans="1:39" x14ac:dyDescent="0.25">
      <c r="A167" s="2" t="s">
        <v>68</v>
      </c>
      <c r="B167" t="s">
        <v>51</v>
      </c>
      <c r="C167">
        <v>12</v>
      </c>
      <c r="D167">
        <v>7.3</v>
      </c>
      <c r="E167">
        <v>35</v>
      </c>
      <c r="F167">
        <v>6</v>
      </c>
      <c r="G167" s="1"/>
      <c r="H167" s="2">
        <v>2953.29</v>
      </c>
      <c r="I167">
        <v>18.739999999999998</v>
      </c>
      <c r="J167">
        <v>91.37</v>
      </c>
      <c r="K167">
        <v>2.2999999999999998</v>
      </c>
      <c r="L167">
        <v>328</v>
      </c>
      <c r="M167">
        <v>32.799999999999997</v>
      </c>
      <c r="N167">
        <v>3.03</v>
      </c>
      <c r="O167">
        <v>7.29</v>
      </c>
      <c r="P167" s="2">
        <v>8.99</v>
      </c>
      <c r="Q167">
        <v>5.4</v>
      </c>
      <c r="R167">
        <v>0.09</v>
      </c>
      <c r="S167">
        <v>197</v>
      </c>
      <c r="T167">
        <v>20.73</v>
      </c>
      <c r="U167">
        <f t="shared" si="33"/>
        <v>3.2800000000000011</v>
      </c>
      <c r="V167">
        <f t="shared" si="24"/>
        <v>4.4950000000000004E-2</v>
      </c>
      <c r="W167">
        <f t="shared" si="30"/>
        <v>4.5634517766497462E-2</v>
      </c>
      <c r="X167">
        <f t="shared" si="31"/>
        <v>2.7411167512690356E-2</v>
      </c>
      <c r="Y167" s="3">
        <f t="shared" si="32"/>
        <v>1.08</v>
      </c>
      <c r="Z167">
        <v>34</v>
      </c>
      <c r="AA167">
        <v>7.2</v>
      </c>
      <c r="AB167">
        <v>50</v>
      </c>
      <c r="AC167" s="31">
        <v>4.0000000000000002E-4</v>
      </c>
      <c r="AD167" s="31">
        <f t="shared" si="25"/>
        <v>8.8602719999999996E-2</v>
      </c>
      <c r="AE167" s="31">
        <f t="shared" si="23"/>
        <v>2.2368705984000004</v>
      </c>
      <c r="AF167">
        <v>200</v>
      </c>
      <c r="AG167" s="2">
        <v>1.0311549896525E-2</v>
      </c>
      <c r="AJ167">
        <f t="shared" si="26"/>
        <v>0</v>
      </c>
      <c r="AK167">
        <f t="shared" si="27"/>
        <v>0</v>
      </c>
      <c r="AL167" s="3">
        <f t="shared" si="28"/>
        <v>0</v>
      </c>
      <c r="AM167" s="3">
        <f t="shared" si="29"/>
        <v>0</v>
      </c>
    </row>
    <row r="168" spans="1:39" x14ac:dyDescent="0.25">
      <c r="A168" s="2" t="s">
        <v>69</v>
      </c>
      <c r="B168" t="s">
        <v>51</v>
      </c>
      <c r="C168">
        <v>15</v>
      </c>
      <c r="D168">
        <v>7.2</v>
      </c>
      <c r="E168">
        <v>34</v>
      </c>
      <c r="F168">
        <v>6</v>
      </c>
      <c r="G168" s="1"/>
      <c r="H168" s="2">
        <v>3273.57</v>
      </c>
      <c r="I168">
        <v>20.13</v>
      </c>
      <c r="J168">
        <v>90.56</v>
      </c>
      <c r="K168">
        <v>2.35</v>
      </c>
      <c r="L168">
        <v>332</v>
      </c>
      <c r="M168">
        <v>32.5</v>
      </c>
      <c r="N168">
        <v>2.42</v>
      </c>
      <c r="O168">
        <v>7.29</v>
      </c>
      <c r="P168" s="2">
        <v>10.62</v>
      </c>
      <c r="Q168">
        <v>4.7699999999999996</v>
      </c>
      <c r="R168">
        <v>0.1</v>
      </c>
      <c r="S168">
        <v>199.84</v>
      </c>
      <c r="T168">
        <v>19.93</v>
      </c>
      <c r="U168">
        <f t="shared" si="33"/>
        <v>3.2800000000000011</v>
      </c>
      <c r="V168">
        <f t="shared" si="24"/>
        <v>5.3099999999999994E-2</v>
      </c>
      <c r="W168">
        <f t="shared" si="30"/>
        <v>5.3142514011208959E-2</v>
      </c>
      <c r="X168">
        <f t="shared" si="31"/>
        <v>2.3869095276220973E-2</v>
      </c>
      <c r="Y168" s="3">
        <f t="shared" si="32"/>
        <v>1.2000000000000002</v>
      </c>
      <c r="Z168">
        <v>34</v>
      </c>
      <c r="AA168">
        <v>7.2</v>
      </c>
      <c r="AB168">
        <v>50</v>
      </c>
      <c r="AC168" s="31">
        <v>4.0000000000000002E-4</v>
      </c>
      <c r="AD168" s="31">
        <f t="shared" si="25"/>
        <v>9.6546700799999996E-2</v>
      </c>
      <c r="AE168" s="31">
        <f t="shared" si="23"/>
        <v>2.4408703295999996</v>
      </c>
      <c r="AF168">
        <v>200</v>
      </c>
      <c r="AG168" s="2">
        <v>2.1457651519994E-3</v>
      </c>
      <c r="AJ168">
        <f t="shared" si="26"/>
        <v>0</v>
      </c>
      <c r="AK168">
        <f t="shared" si="27"/>
        <v>0</v>
      </c>
      <c r="AL168" s="3">
        <f t="shared" si="28"/>
        <v>0</v>
      </c>
      <c r="AM168" s="3">
        <f t="shared" si="29"/>
        <v>0</v>
      </c>
    </row>
    <row r="169" spans="1:39" x14ac:dyDescent="0.25">
      <c r="A169" s="2" t="s">
        <v>70</v>
      </c>
      <c r="B169" t="s">
        <v>51</v>
      </c>
      <c r="C169">
        <v>15</v>
      </c>
      <c r="D169">
        <v>7.2</v>
      </c>
      <c r="E169">
        <v>34</v>
      </c>
      <c r="F169">
        <v>6</v>
      </c>
      <c r="G169" s="1"/>
      <c r="H169" s="2">
        <v>3422.49</v>
      </c>
      <c r="I169">
        <v>19.059999999999999</v>
      </c>
      <c r="J169">
        <v>91.84</v>
      </c>
      <c r="K169">
        <v>2.0099999999999998</v>
      </c>
      <c r="L169">
        <v>324</v>
      </c>
      <c r="M169">
        <v>26.7</v>
      </c>
      <c r="N169">
        <v>2.95</v>
      </c>
      <c r="O169">
        <v>7.31</v>
      </c>
      <c r="P169" s="2">
        <v>10.51</v>
      </c>
      <c r="Q169">
        <v>4.4000000000000004</v>
      </c>
      <c r="R169">
        <v>0.09</v>
      </c>
      <c r="S169">
        <v>197.93</v>
      </c>
      <c r="T169">
        <v>19.93</v>
      </c>
      <c r="U169">
        <f t="shared" si="33"/>
        <v>3.2800000000000011</v>
      </c>
      <c r="V169">
        <f t="shared" si="24"/>
        <v>5.2549999999999999E-2</v>
      </c>
      <c r="W169">
        <f t="shared" si="30"/>
        <v>5.3099580659829226E-2</v>
      </c>
      <c r="X169">
        <f t="shared" si="31"/>
        <v>2.2230081341888547E-2</v>
      </c>
      <c r="Y169" s="3">
        <f t="shared" si="32"/>
        <v>1.08</v>
      </c>
      <c r="Z169">
        <v>34</v>
      </c>
      <c r="AA169">
        <v>7.2</v>
      </c>
      <c r="AB169">
        <v>50</v>
      </c>
      <c r="AC169" s="31">
        <v>4.0000000000000002E-4</v>
      </c>
      <c r="AD169" s="31">
        <f t="shared" si="25"/>
        <v>9.0541099200000003E-2</v>
      </c>
      <c r="AE169" s="31">
        <f t="shared" si="23"/>
        <v>2.4326203391999996</v>
      </c>
      <c r="AF169">
        <v>200</v>
      </c>
      <c r="AG169" s="2">
        <v>2.5161359276455E-3</v>
      </c>
      <c r="AJ169">
        <f t="shared" si="26"/>
        <v>0</v>
      </c>
      <c r="AK169">
        <f t="shared" si="27"/>
        <v>0</v>
      </c>
      <c r="AL169" s="3">
        <f t="shared" si="28"/>
        <v>0</v>
      </c>
      <c r="AM169" s="3">
        <f t="shared" si="29"/>
        <v>0</v>
      </c>
    </row>
    <row r="170" spans="1:39" ht="15.75" thickBot="1" x14ac:dyDescent="0.3">
      <c r="A170" s="2" t="s">
        <v>71</v>
      </c>
      <c r="B170" t="s">
        <v>51</v>
      </c>
      <c r="C170">
        <v>15</v>
      </c>
      <c r="D170">
        <v>7.2</v>
      </c>
      <c r="E170">
        <v>34</v>
      </c>
      <c r="F170">
        <v>6</v>
      </c>
      <c r="G170" s="1"/>
      <c r="H170" s="2">
        <v>3145.41</v>
      </c>
      <c r="I170">
        <v>18.809999999999999</v>
      </c>
      <c r="J170">
        <v>89.72</v>
      </c>
      <c r="K170">
        <v>2.14</v>
      </c>
      <c r="L170">
        <v>327</v>
      </c>
      <c r="M170">
        <v>33.299999999999997</v>
      </c>
      <c r="N170">
        <v>2.39</v>
      </c>
      <c r="O170">
        <v>7.29</v>
      </c>
      <c r="P170" s="2">
        <v>9.83</v>
      </c>
      <c r="Q170">
        <v>4.7</v>
      </c>
      <c r="R170">
        <v>0.09</v>
      </c>
      <c r="S170">
        <v>198.74</v>
      </c>
      <c r="T170">
        <v>19.93</v>
      </c>
      <c r="U170">
        <f t="shared" si="33"/>
        <v>3.2800000000000011</v>
      </c>
      <c r="V170">
        <f t="shared" si="24"/>
        <v>4.9149999999999999E-2</v>
      </c>
      <c r="W170">
        <f t="shared" si="30"/>
        <v>4.9461608131226728E-2</v>
      </c>
      <c r="X170">
        <f t="shared" si="31"/>
        <v>2.364898862835866E-2</v>
      </c>
      <c r="Y170" s="3">
        <f t="shared" si="32"/>
        <v>1.08</v>
      </c>
      <c r="Z170">
        <v>34</v>
      </c>
      <c r="AA170">
        <v>7.2</v>
      </c>
      <c r="AB170">
        <v>50</v>
      </c>
      <c r="AC170" s="31">
        <v>4.0000000000000002E-4</v>
      </c>
      <c r="AD170" s="31">
        <f t="shared" si="25"/>
        <v>8.9719185599999987E-2</v>
      </c>
      <c r="AE170" s="31">
        <f t="shared" si="23"/>
        <v>2.438086464</v>
      </c>
      <c r="AF170">
        <v>200</v>
      </c>
      <c r="AG170" s="2">
        <v>7.8767728684031903E-3</v>
      </c>
      <c r="AJ170">
        <f t="shared" si="26"/>
        <v>0</v>
      </c>
      <c r="AK170">
        <f t="shared" si="27"/>
        <v>0</v>
      </c>
      <c r="AL170" s="3">
        <f t="shared" si="28"/>
        <v>0</v>
      </c>
      <c r="AM170" s="3">
        <f t="shared" si="29"/>
        <v>0</v>
      </c>
    </row>
    <row r="171" spans="1:39" x14ac:dyDescent="0.25">
      <c r="A171" s="7" t="s">
        <v>45</v>
      </c>
      <c r="B171" s="8" t="s">
        <v>46</v>
      </c>
      <c r="C171" s="8">
        <v>18</v>
      </c>
      <c r="D171" s="8">
        <v>7.1</v>
      </c>
      <c r="E171" s="8">
        <v>32.999999999999993</v>
      </c>
      <c r="F171" s="8">
        <v>7</v>
      </c>
      <c r="G171" s="9"/>
      <c r="H171" s="7"/>
      <c r="I171" s="8">
        <v>21.54</v>
      </c>
      <c r="J171" s="8">
        <v>89.25</v>
      </c>
      <c r="K171" s="8">
        <v>1.66</v>
      </c>
      <c r="L171" s="8">
        <v>333</v>
      </c>
      <c r="M171" s="8">
        <v>31.2</v>
      </c>
      <c r="N171" s="8">
        <v>3.49</v>
      </c>
      <c r="O171" s="8">
        <v>7.3</v>
      </c>
      <c r="P171" s="7">
        <v>15.64</v>
      </c>
      <c r="Q171" s="8">
        <v>3.74</v>
      </c>
      <c r="R171" s="8">
        <v>0.06</v>
      </c>
      <c r="S171" s="8">
        <v>200.88</v>
      </c>
      <c r="T171" s="8">
        <v>35.479999999999997</v>
      </c>
      <c r="U171" s="8">
        <f t="shared" si="33"/>
        <v>2.75</v>
      </c>
      <c r="V171" s="8">
        <f t="shared" si="24"/>
        <v>7.8200000000000006E-2</v>
      </c>
      <c r="W171" s="8">
        <f t="shared" si="30"/>
        <v>7.7857427319792921E-2</v>
      </c>
      <c r="X171" s="8">
        <f t="shared" si="31"/>
        <v>1.8618080446037438E-2</v>
      </c>
      <c r="Y171" s="75">
        <f t="shared" si="32"/>
        <v>0.72</v>
      </c>
      <c r="Z171" s="8">
        <v>34</v>
      </c>
      <c r="AA171" s="8">
        <v>7.2</v>
      </c>
      <c r="AB171" s="8">
        <v>50</v>
      </c>
      <c r="AC171" s="26">
        <v>4.0000000000000002E-4</v>
      </c>
      <c r="AD171" s="26">
        <f t="shared" si="25"/>
        <v>0.10384692479999999</v>
      </c>
      <c r="AE171" s="26">
        <f t="shared" si="23"/>
        <v>2.5647355007999995</v>
      </c>
      <c r="AF171" s="8">
        <v>200</v>
      </c>
      <c r="AG171" s="7">
        <v>2.0000000006096001E-3</v>
      </c>
      <c r="AH171">
        <v>1.46841786657334E-2</v>
      </c>
      <c r="AI171">
        <v>0</v>
      </c>
      <c r="AJ171" s="8">
        <f t="shared" si="26"/>
        <v>0</v>
      </c>
      <c r="AK171" s="8">
        <f t="shared" si="27"/>
        <v>0.12290657543218857</v>
      </c>
      <c r="AL171" s="75">
        <f t="shared" si="28"/>
        <v>0</v>
      </c>
      <c r="AM171" s="75">
        <f t="shared" si="29"/>
        <v>0.12290657543218857</v>
      </c>
    </row>
    <row r="172" spans="1:39" x14ac:dyDescent="0.25">
      <c r="A172" s="2" t="s">
        <v>47</v>
      </c>
      <c r="B172" t="s">
        <v>46</v>
      </c>
      <c r="C172">
        <v>12</v>
      </c>
      <c r="D172">
        <v>7.3</v>
      </c>
      <c r="E172">
        <v>35</v>
      </c>
      <c r="F172">
        <v>7</v>
      </c>
      <c r="G172" s="1"/>
      <c r="I172">
        <v>23.02</v>
      </c>
      <c r="J172">
        <v>83.66</v>
      </c>
      <c r="K172">
        <v>1.7</v>
      </c>
      <c r="L172">
        <v>342</v>
      </c>
      <c r="M172">
        <v>34.5</v>
      </c>
      <c r="N172">
        <v>3.01</v>
      </c>
      <c r="O172">
        <v>7.31</v>
      </c>
      <c r="P172" s="2">
        <v>18.88</v>
      </c>
      <c r="Q172">
        <v>1.3</v>
      </c>
      <c r="R172">
        <v>0.11</v>
      </c>
      <c r="S172">
        <v>200</v>
      </c>
      <c r="T172">
        <v>25.08</v>
      </c>
      <c r="U172">
        <f t="shared" si="33"/>
        <v>2.75</v>
      </c>
      <c r="V172">
        <f t="shared" si="24"/>
        <v>9.4399999999999998E-2</v>
      </c>
      <c r="W172">
        <f t="shared" si="30"/>
        <v>9.4399999999999998E-2</v>
      </c>
      <c r="X172">
        <f t="shared" si="31"/>
        <v>6.5000000000000006E-3</v>
      </c>
      <c r="Y172" s="3">
        <f t="shared" si="32"/>
        <v>1.32</v>
      </c>
      <c r="Z172">
        <v>34</v>
      </c>
      <c r="AA172">
        <v>7.2</v>
      </c>
      <c r="AB172">
        <v>50</v>
      </c>
      <c r="AC172" s="31">
        <v>4.0000000000000002E-4</v>
      </c>
      <c r="AD172" s="31">
        <f t="shared" si="25"/>
        <v>0.110496</v>
      </c>
      <c r="AE172" s="31">
        <f t="shared" si="23"/>
        <v>2.5563720960000005</v>
      </c>
      <c r="AF172">
        <v>200</v>
      </c>
      <c r="AG172" s="2">
        <v>4.9202324994003996E-3</v>
      </c>
      <c r="AH172">
        <v>1.5594274146456101E-2</v>
      </c>
      <c r="AI172" s="74">
        <v>9.9999999999999995E-8</v>
      </c>
      <c r="AJ172">
        <f t="shared" si="26"/>
        <v>0</v>
      </c>
      <c r="AK172">
        <f t="shared" si="27"/>
        <v>0.12995228455380084</v>
      </c>
      <c r="AL172" s="3">
        <f t="shared" si="28"/>
        <v>1.9999999999999998E-5</v>
      </c>
      <c r="AM172" s="3">
        <f t="shared" si="29"/>
        <v>0.12995228455380084</v>
      </c>
    </row>
    <row r="173" spans="1:39" x14ac:dyDescent="0.25">
      <c r="A173" s="2" t="s">
        <v>48</v>
      </c>
      <c r="B173" t="s">
        <v>49</v>
      </c>
      <c r="C173">
        <v>12</v>
      </c>
      <c r="D173">
        <v>7.2</v>
      </c>
      <c r="E173">
        <v>34</v>
      </c>
      <c r="F173">
        <v>7</v>
      </c>
      <c r="G173" s="1"/>
      <c r="I173">
        <v>19.93</v>
      </c>
      <c r="J173">
        <v>90.32</v>
      </c>
      <c r="K173">
        <v>1.75</v>
      </c>
      <c r="L173">
        <v>336</v>
      </c>
      <c r="M173">
        <v>32.4</v>
      </c>
      <c r="N173">
        <v>0.9</v>
      </c>
      <c r="O173">
        <v>7.31</v>
      </c>
      <c r="P173" s="2">
        <v>20.25</v>
      </c>
      <c r="Q173">
        <v>5.01</v>
      </c>
      <c r="R173">
        <v>0.02</v>
      </c>
      <c r="S173">
        <v>200.66</v>
      </c>
      <c r="T173">
        <v>25.08</v>
      </c>
      <c r="U173">
        <f t="shared" si="33"/>
        <v>2.75</v>
      </c>
      <c r="V173">
        <f t="shared" si="24"/>
        <v>0.10125000000000001</v>
      </c>
      <c r="W173">
        <f t="shared" si="30"/>
        <v>0.1009169739858467</v>
      </c>
      <c r="X173">
        <f t="shared" si="31"/>
        <v>2.4967606897239109E-2</v>
      </c>
      <c r="Y173" s="3">
        <f t="shared" si="32"/>
        <v>0.24</v>
      </c>
      <c r="Z173">
        <v>34</v>
      </c>
      <c r="AA173">
        <v>7.2</v>
      </c>
      <c r="AB173">
        <v>50</v>
      </c>
      <c r="AC173" s="31">
        <v>4.0000000000000002E-4</v>
      </c>
      <c r="AD173" s="31">
        <f t="shared" si="25"/>
        <v>9.5979691199999995E-2</v>
      </c>
      <c r="AE173" s="31">
        <f t="shared" si="23"/>
        <v>2.3881328640000006</v>
      </c>
      <c r="AF173">
        <v>200</v>
      </c>
      <c r="AG173" s="2">
        <v>2E-3</v>
      </c>
      <c r="AJ173">
        <f t="shared" si="26"/>
        <v>1.6666666666666666E-2</v>
      </c>
      <c r="AK173">
        <f t="shared" si="27"/>
        <v>0</v>
      </c>
      <c r="AL173" s="3">
        <f t="shared" si="28"/>
        <v>0</v>
      </c>
      <c r="AM173" s="3">
        <f t="shared" si="29"/>
        <v>1.6666666666666666E-2</v>
      </c>
    </row>
    <row r="174" spans="1:39" x14ac:dyDescent="0.25">
      <c r="A174" s="2" t="s">
        <v>50</v>
      </c>
      <c r="B174" t="s">
        <v>51</v>
      </c>
      <c r="C174">
        <v>18</v>
      </c>
      <c r="D174">
        <v>7.3</v>
      </c>
      <c r="E174">
        <v>35</v>
      </c>
      <c r="F174">
        <v>7</v>
      </c>
      <c r="G174" s="1"/>
      <c r="I174">
        <v>21.06</v>
      </c>
      <c r="J174">
        <v>89.39</v>
      </c>
      <c r="K174">
        <v>1.56</v>
      </c>
      <c r="L174">
        <v>339</v>
      </c>
      <c r="M174">
        <v>26.9</v>
      </c>
      <c r="N174">
        <v>3.07</v>
      </c>
      <c r="O174">
        <v>7.31</v>
      </c>
      <c r="P174" s="2">
        <v>14.58</v>
      </c>
      <c r="Q174">
        <v>5.57</v>
      </c>
      <c r="R174">
        <v>0.1</v>
      </c>
      <c r="S174">
        <v>198.13</v>
      </c>
      <c r="T174">
        <v>35.299999999999997</v>
      </c>
      <c r="U174">
        <f t="shared" si="33"/>
        <v>1.769999999999996</v>
      </c>
      <c r="V174">
        <f t="shared" si="24"/>
        <v>7.2900000000000006E-2</v>
      </c>
      <c r="W174">
        <f t="shared" si="30"/>
        <v>7.3588048251148244E-2</v>
      </c>
      <c r="X174">
        <f t="shared" si="31"/>
        <v>2.8112855196083381E-2</v>
      </c>
      <c r="Y174" s="3">
        <f t="shared" si="32"/>
        <v>1.2000000000000002</v>
      </c>
      <c r="Z174">
        <v>34</v>
      </c>
      <c r="AA174">
        <v>7.2</v>
      </c>
      <c r="AB174">
        <v>50</v>
      </c>
      <c r="AC174" s="31">
        <v>4.0000000000000002E-4</v>
      </c>
      <c r="AD174" s="31">
        <f t="shared" si="25"/>
        <v>0.10014282719999999</v>
      </c>
      <c r="AE174" s="31">
        <f t="shared" si="23"/>
        <v>2.5020576000000001</v>
      </c>
      <c r="AF174">
        <v>200</v>
      </c>
      <c r="AG174" s="2">
        <v>2.0000000168288999E-3</v>
      </c>
      <c r="AJ174">
        <f t="shared" si="26"/>
        <v>0</v>
      </c>
      <c r="AK174">
        <f t="shared" si="27"/>
        <v>0</v>
      </c>
      <c r="AL174" s="3">
        <f t="shared" si="28"/>
        <v>0</v>
      </c>
      <c r="AM174" s="3">
        <f t="shared" si="29"/>
        <v>0</v>
      </c>
    </row>
    <row r="175" spans="1:39" x14ac:dyDescent="0.25">
      <c r="A175" s="2" t="s">
        <v>52</v>
      </c>
      <c r="B175" t="s">
        <v>49</v>
      </c>
      <c r="C175">
        <v>18</v>
      </c>
      <c r="D175">
        <v>7.3</v>
      </c>
      <c r="E175">
        <v>35</v>
      </c>
      <c r="F175">
        <v>7</v>
      </c>
      <c r="G175" s="1"/>
      <c r="I175">
        <v>19.690000000000001</v>
      </c>
      <c r="J175">
        <v>88.84</v>
      </c>
      <c r="K175">
        <v>1.47</v>
      </c>
      <c r="L175">
        <v>363</v>
      </c>
      <c r="M175">
        <v>31.3</v>
      </c>
      <c r="N175">
        <v>2.17</v>
      </c>
      <c r="O175">
        <v>7.31</v>
      </c>
      <c r="P175" s="2">
        <v>12.35</v>
      </c>
      <c r="Q175">
        <v>4.96</v>
      </c>
      <c r="R175">
        <v>0.09</v>
      </c>
      <c r="S175">
        <v>197.76</v>
      </c>
      <c r="T175">
        <v>36.28</v>
      </c>
      <c r="U175">
        <f t="shared" si="33"/>
        <v>2.75</v>
      </c>
      <c r="V175">
        <f t="shared" si="24"/>
        <v>6.1749999999999999E-2</v>
      </c>
      <c r="W175">
        <f t="shared" si="30"/>
        <v>6.2449433656957931E-2</v>
      </c>
      <c r="X175">
        <f t="shared" si="31"/>
        <v>2.5080906148867314E-2</v>
      </c>
      <c r="Y175" s="3">
        <f t="shared" si="32"/>
        <v>1.08</v>
      </c>
      <c r="Z175">
        <v>34</v>
      </c>
      <c r="AA175">
        <v>7.2</v>
      </c>
      <c r="AB175">
        <v>50</v>
      </c>
      <c r="AC175" s="31">
        <v>4.0000000000000002E-4</v>
      </c>
      <c r="AD175" s="31">
        <f t="shared" si="25"/>
        <v>9.3453465600000007E-2</v>
      </c>
      <c r="AE175" s="31">
        <f t="shared" si="23"/>
        <v>2.1831649344000001</v>
      </c>
      <c r="AF175">
        <v>200</v>
      </c>
      <c r="AG175" s="2">
        <v>9.4387480012367003E-3</v>
      </c>
      <c r="AJ175">
        <f t="shared" si="26"/>
        <v>7.8656233343639165E-2</v>
      </c>
      <c r="AK175">
        <f t="shared" si="27"/>
        <v>0</v>
      </c>
      <c r="AL175" s="3">
        <f t="shared" si="28"/>
        <v>0</v>
      </c>
      <c r="AM175" s="3">
        <f t="shared" si="29"/>
        <v>7.8656233343639165E-2</v>
      </c>
    </row>
    <row r="176" spans="1:39" x14ac:dyDescent="0.25">
      <c r="A176" s="2" t="s">
        <v>53</v>
      </c>
      <c r="B176" t="s">
        <v>49</v>
      </c>
      <c r="C176">
        <v>12</v>
      </c>
      <c r="D176">
        <v>7.3</v>
      </c>
      <c r="E176">
        <v>35</v>
      </c>
      <c r="F176">
        <v>7</v>
      </c>
      <c r="G176" s="1"/>
      <c r="I176">
        <v>22.03</v>
      </c>
      <c r="J176">
        <v>90.72</v>
      </c>
      <c r="K176">
        <v>1.92</v>
      </c>
      <c r="L176">
        <v>355</v>
      </c>
      <c r="M176">
        <v>29.2</v>
      </c>
      <c r="N176">
        <v>2.91</v>
      </c>
      <c r="O176">
        <v>7.23</v>
      </c>
      <c r="P176" s="2">
        <v>22.29</v>
      </c>
      <c r="Q176">
        <v>4.7300000000000004</v>
      </c>
      <c r="R176">
        <v>0.02</v>
      </c>
      <c r="S176">
        <v>200.81</v>
      </c>
      <c r="T176">
        <v>24.9</v>
      </c>
      <c r="U176">
        <f t="shared" si="33"/>
        <v>1.7699999999999996</v>
      </c>
      <c r="V176">
        <f t="shared" si="24"/>
        <v>0.11144999999999999</v>
      </c>
      <c r="W176">
        <f t="shared" si="30"/>
        <v>0.11100044818485134</v>
      </c>
      <c r="X176">
        <f t="shared" si="31"/>
        <v>2.3554603854389723E-2</v>
      </c>
      <c r="Y176" s="3">
        <f t="shared" si="32"/>
        <v>0.24</v>
      </c>
      <c r="Z176">
        <v>34</v>
      </c>
      <c r="AA176">
        <v>7.2</v>
      </c>
      <c r="AB176">
        <v>50</v>
      </c>
      <c r="AC176" s="31">
        <v>4.0000000000000002E-4</v>
      </c>
      <c r="AD176" s="31">
        <f t="shared" si="25"/>
        <v>0.10617226320000001</v>
      </c>
      <c r="AE176" s="31">
        <f t="shared" si="23"/>
        <v>2.4807860352000004</v>
      </c>
      <c r="AF176">
        <v>200</v>
      </c>
      <c r="AG176" s="2">
        <v>2E-3</v>
      </c>
      <c r="AJ176">
        <f t="shared" si="26"/>
        <v>1.6666666666666666E-2</v>
      </c>
      <c r="AK176">
        <f t="shared" si="27"/>
        <v>0</v>
      </c>
      <c r="AL176" s="3">
        <f t="shared" si="28"/>
        <v>0</v>
      </c>
      <c r="AM176" s="3">
        <f t="shared" si="29"/>
        <v>1.6666666666666666E-2</v>
      </c>
    </row>
    <row r="177" spans="1:39" x14ac:dyDescent="0.25">
      <c r="A177" s="2" t="s">
        <v>54</v>
      </c>
      <c r="B177" t="s">
        <v>46</v>
      </c>
      <c r="C177">
        <v>18</v>
      </c>
      <c r="D177">
        <v>7.3</v>
      </c>
      <c r="E177">
        <v>35</v>
      </c>
      <c r="F177">
        <v>7</v>
      </c>
      <c r="G177" s="1"/>
      <c r="I177">
        <v>23.99</v>
      </c>
      <c r="J177">
        <v>89.22</v>
      </c>
      <c r="K177">
        <v>1.59</v>
      </c>
      <c r="L177" s="78">
        <v>0</v>
      </c>
      <c r="M177">
        <v>29.8</v>
      </c>
      <c r="N177">
        <v>2.85</v>
      </c>
      <c r="O177">
        <v>7.31</v>
      </c>
      <c r="P177" s="2">
        <v>17.440000000000001</v>
      </c>
      <c r="Q177">
        <v>2.86</v>
      </c>
      <c r="R177">
        <v>0.14000000000000001</v>
      </c>
      <c r="S177">
        <v>202.22</v>
      </c>
      <c r="T177">
        <v>34.5</v>
      </c>
      <c r="U177">
        <f t="shared" si="33"/>
        <v>1.7700000000000031</v>
      </c>
      <c r="V177">
        <f t="shared" si="24"/>
        <v>8.72E-2</v>
      </c>
      <c r="W177">
        <f t="shared" si="30"/>
        <v>8.6242705963801805E-2</v>
      </c>
      <c r="X177">
        <f t="shared" si="31"/>
        <v>1.4143012560577588E-2</v>
      </c>
      <c r="Y177" s="3">
        <f t="shared" si="32"/>
        <v>1.6800000000000002</v>
      </c>
      <c r="Z177">
        <v>34</v>
      </c>
      <c r="AA177">
        <v>7.2</v>
      </c>
      <c r="AB177">
        <v>50</v>
      </c>
      <c r="AC177" s="31">
        <v>4.0000000000000002E-4</v>
      </c>
      <c r="AD177" s="31">
        <f t="shared" si="25"/>
        <v>0.11643018719999999</v>
      </c>
      <c r="AE177" s="31">
        <f t="shared" si="23"/>
        <v>2.6098813440000002</v>
      </c>
      <c r="AF177">
        <v>200</v>
      </c>
      <c r="AG177" s="2">
        <v>2E-3</v>
      </c>
      <c r="AH177">
        <v>1.24654394765683E-2</v>
      </c>
      <c r="AI177" s="74">
        <v>9.9999999999999995E-8</v>
      </c>
      <c r="AJ177">
        <f t="shared" si="26"/>
        <v>0</v>
      </c>
      <c r="AK177">
        <f t="shared" si="27"/>
        <v>0.1050317154563184</v>
      </c>
      <c r="AL177" s="3">
        <f t="shared" si="28"/>
        <v>2.0222000000000001E-5</v>
      </c>
      <c r="AM177" s="3">
        <f t="shared" si="29"/>
        <v>0.1050317154563184</v>
      </c>
    </row>
    <row r="178" spans="1:39" x14ac:dyDescent="0.25">
      <c r="A178" s="2" t="s">
        <v>55</v>
      </c>
      <c r="B178" t="s">
        <v>51</v>
      </c>
      <c r="C178">
        <v>15</v>
      </c>
      <c r="D178">
        <v>7.2</v>
      </c>
      <c r="E178">
        <v>34</v>
      </c>
      <c r="F178">
        <v>7</v>
      </c>
      <c r="G178" s="1"/>
      <c r="I178">
        <v>18.32</v>
      </c>
      <c r="J178">
        <v>86.99</v>
      </c>
      <c r="K178">
        <v>2.09</v>
      </c>
      <c r="L178">
        <v>334</v>
      </c>
      <c r="M178">
        <v>31.2</v>
      </c>
      <c r="N178">
        <v>2.0499999999999998</v>
      </c>
      <c r="O178">
        <v>7.32</v>
      </c>
      <c r="P178" s="2">
        <v>12.7</v>
      </c>
      <c r="Q178">
        <v>4.66</v>
      </c>
      <c r="R178">
        <v>0.09</v>
      </c>
      <c r="S178">
        <v>198.43</v>
      </c>
      <c r="T178">
        <v>23.3</v>
      </c>
      <c r="U178">
        <f t="shared" si="33"/>
        <v>1.7699999999999996</v>
      </c>
      <c r="V178">
        <f t="shared" si="24"/>
        <v>6.3500000000000001E-2</v>
      </c>
      <c r="W178">
        <f t="shared" si="30"/>
        <v>6.4002418989064142E-2</v>
      </c>
      <c r="X178">
        <f t="shared" si="31"/>
        <v>2.3484352164491257E-2</v>
      </c>
      <c r="Y178" s="3">
        <f t="shared" si="32"/>
        <v>1.08</v>
      </c>
      <c r="Z178">
        <v>34</v>
      </c>
      <c r="AA178">
        <v>7.2</v>
      </c>
      <c r="AB178">
        <v>50</v>
      </c>
      <c r="AC178" s="31">
        <v>4.0000000000000002E-4</v>
      </c>
      <c r="AD178" s="31">
        <f t="shared" si="25"/>
        <v>8.72457024E-2</v>
      </c>
      <c r="AE178" s="31">
        <f t="shared" si="23"/>
        <v>2.0547924480000002</v>
      </c>
      <c r="AF178">
        <v>200</v>
      </c>
      <c r="AG178" s="2">
        <v>5.0257341141739997E-3</v>
      </c>
      <c r="AJ178">
        <f t="shared" si="26"/>
        <v>0</v>
      </c>
      <c r="AK178">
        <f t="shared" si="27"/>
        <v>0</v>
      </c>
      <c r="AL178" s="3">
        <f t="shared" si="28"/>
        <v>0</v>
      </c>
      <c r="AM178" s="3">
        <f t="shared" si="29"/>
        <v>0</v>
      </c>
    </row>
    <row r="179" spans="1:39" x14ac:dyDescent="0.25">
      <c r="A179" s="2" t="s">
        <v>56</v>
      </c>
      <c r="B179" t="s">
        <v>49</v>
      </c>
      <c r="C179">
        <v>18</v>
      </c>
      <c r="D179">
        <v>7.1</v>
      </c>
      <c r="E179">
        <v>32.999999999999993</v>
      </c>
      <c r="F179">
        <v>7</v>
      </c>
      <c r="G179" s="1"/>
      <c r="I179">
        <v>19.829999999999998</v>
      </c>
      <c r="J179">
        <v>82.54</v>
      </c>
      <c r="K179">
        <v>1.69</v>
      </c>
      <c r="L179">
        <v>329</v>
      </c>
      <c r="M179">
        <v>34</v>
      </c>
      <c r="N179">
        <v>1.2</v>
      </c>
      <c r="O179">
        <v>7.32</v>
      </c>
      <c r="P179" s="2">
        <v>12.49</v>
      </c>
      <c r="Q179">
        <v>6</v>
      </c>
      <c r="R179">
        <v>0.06</v>
      </c>
      <c r="S179">
        <v>200.64</v>
      </c>
      <c r="T179">
        <v>33.700000000000003</v>
      </c>
      <c r="U179">
        <f t="shared" si="33"/>
        <v>1.7700000000000031</v>
      </c>
      <c r="V179">
        <f t="shared" si="24"/>
        <v>6.2449999999999999E-2</v>
      </c>
      <c r="W179">
        <f t="shared" si="30"/>
        <v>6.2250797448165876E-2</v>
      </c>
      <c r="X179">
        <f t="shared" si="31"/>
        <v>2.9904306220095697E-2</v>
      </c>
      <c r="Y179" s="3">
        <f t="shared" si="32"/>
        <v>0.72</v>
      </c>
      <c r="Z179">
        <v>34</v>
      </c>
      <c r="AA179">
        <v>7.2</v>
      </c>
      <c r="AB179">
        <v>50</v>
      </c>
      <c r="AC179" s="31">
        <v>4.0000000000000002E-4</v>
      </c>
      <c r="AD179" s="31">
        <f t="shared" si="25"/>
        <v>9.5488588799999982E-2</v>
      </c>
      <c r="AE179" s="31">
        <f t="shared" ref="AE179:AE242" si="34">AD155*24</f>
        <v>2.2456937664000005</v>
      </c>
      <c r="AF179">
        <v>200</v>
      </c>
      <c r="AG179" s="2">
        <v>2E-3</v>
      </c>
      <c r="AJ179">
        <f t="shared" si="26"/>
        <v>1.6666666666666666E-2</v>
      </c>
      <c r="AK179">
        <f t="shared" si="27"/>
        <v>0</v>
      </c>
      <c r="AL179" s="3">
        <f t="shared" si="28"/>
        <v>0</v>
      </c>
      <c r="AM179" s="3">
        <f t="shared" si="29"/>
        <v>1.6666666666666666E-2</v>
      </c>
    </row>
    <row r="180" spans="1:39" x14ac:dyDescent="0.25">
      <c r="A180" s="2" t="s">
        <v>57</v>
      </c>
      <c r="B180" t="s">
        <v>46</v>
      </c>
      <c r="C180">
        <v>18</v>
      </c>
      <c r="D180">
        <v>7.2</v>
      </c>
      <c r="E180">
        <v>34</v>
      </c>
      <c r="F180">
        <v>7</v>
      </c>
      <c r="G180" s="1"/>
      <c r="I180">
        <v>22.12</v>
      </c>
      <c r="J180">
        <v>89.5</v>
      </c>
      <c r="K180">
        <v>1.4</v>
      </c>
      <c r="L180">
        <v>342</v>
      </c>
      <c r="M180">
        <v>29.6</v>
      </c>
      <c r="N180">
        <v>3.89</v>
      </c>
      <c r="O180">
        <v>7.31</v>
      </c>
      <c r="P180" s="2">
        <v>19.41</v>
      </c>
      <c r="Q180">
        <v>2.0699999999999998</v>
      </c>
      <c r="R180">
        <v>0.12</v>
      </c>
      <c r="S180">
        <v>203.5</v>
      </c>
      <c r="T180">
        <v>34.5</v>
      </c>
      <c r="U180">
        <f t="shared" si="33"/>
        <v>1.7700000000000031</v>
      </c>
      <c r="V180">
        <f t="shared" si="24"/>
        <v>9.7049999999999997E-2</v>
      </c>
      <c r="W180">
        <f t="shared" si="30"/>
        <v>9.5380835380835388E-2</v>
      </c>
      <c r="X180">
        <f t="shared" si="31"/>
        <v>1.0171990171990171E-2</v>
      </c>
      <c r="Y180" s="3">
        <f t="shared" si="32"/>
        <v>1.44</v>
      </c>
      <c r="Z180">
        <v>34</v>
      </c>
      <c r="AA180">
        <v>7.2</v>
      </c>
      <c r="AB180">
        <v>50</v>
      </c>
      <c r="AC180" s="31">
        <v>4.0000000000000002E-4</v>
      </c>
      <c r="AD180" s="31">
        <f t="shared" si="25"/>
        <v>0.10803407999999999</v>
      </c>
      <c r="AE180" s="31">
        <f t="shared" si="34"/>
        <v>2.6030457216</v>
      </c>
      <c r="AF180">
        <v>200</v>
      </c>
      <c r="AG180" s="2">
        <v>2E-3</v>
      </c>
      <c r="AH180">
        <v>8.25331900079849E-3</v>
      </c>
      <c r="AI180" s="74">
        <v>9.9999999999999995E-8</v>
      </c>
      <c r="AJ180">
        <f t="shared" si="26"/>
        <v>0</v>
      </c>
      <c r="AK180">
        <f t="shared" si="27"/>
        <v>6.9981267360937197E-2</v>
      </c>
      <c r="AL180" s="3">
        <f t="shared" si="28"/>
        <v>2.035E-5</v>
      </c>
      <c r="AM180" s="3">
        <f t="shared" si="29"/>
        <v>6.9981267360937197E-2</v>
      </c>
    </row>
    <row r="181" spans="1:39" x14ac:dyDescent="0.25">
      <c r="A181" s="2" t="s">
        <v>58</v>
      </c>
      <c r="B181" t="s">
        <v>51</v>
      </c>
      <c r="C181">
        <v>18</v>
      </c>
      <c r="D181">
        <v>7.1</v>
      </c>
      <c r="E181">
        <v>32.999999999999993</v>
      </c>
      <c r="F181">
        <v>7</v>
      </c>
      <c r="G181" s="1"/>
      <c r="I181">
        <v>19.760000000000002</v>
      </c>
      <c r="J181">
        <v>86.57</v>
      </c>
      <c r="K181">
        <v>1.24</v>
      </c>
      <c r="L181">
        <v>331</v>
      </c>
      <c r="M181">
        <v>30.7</v>
      </c>
      <c r="N181">
        <v>3.48</v>
      </c>
      <c r="O181">
        <v>7.31</v>
      </c>
      <c r="P181" s="2">
        <v>14.87</v>
      </c>
      <c r="Q181">
        <v>4.6399999999999997</v>
      </c>
      <c r="R181">
        <v>0.1</v>
      </c>
      <c r="S181">
        <v>208.96</v>
      </c>
      <c r="T181">
        <v>33.700000000000003</v>
      </c>
      <c r="U181">
        <f t="shared" si="33"/>
        <v>1.7700000000000031</v>
      </c>
      <c r="V181">
        <f t="shared" si="24"/>
        <v>7.4349999999999999E-2</v>
      </c>
      <c r="W181">
        <f t="shared" si="30"/>
        <v>7.1161944869831545E-2</v>
      </c>
      <c r="X181">
        <f t="shared" si="31"/>
        <v>2.2205206738131696E-2</v>
      </c>
      <c r="Y181" s="3">
        <f t="shared" si="32"/>
        <v>1.2000000000000002</v>
      </c>
      <c r="Z181">
        <v>34</v>
      </c>
      <c r="AA181">
        <v>7.2</v>
      </c>
      <c r="AB181">
        <v>50</v>
      </c>
      <c r="AC181" s="31">
        <v>4.0000000000000002E-4</v>
      </c>
      <c r="AD181" s="31">
        <f t="shared" si="25"/>
        <v>9.9097190400000021E-2</v>
      </c>
      <c r="AE181" s="31">
        <f t="shared" si="34"/>
        <v>2.5237536768000002</v>
      </c>
      <c r="AF181">
        <v>200</v>
      </c>
      <c r="AG181" s="2">
        <v>2E-3</v>
      </c>
      <c r="AJ181">
        <f t="shared" si="26"/>
        <v>0</v>
      </c>
      <c r="AK181">
        <f t="shared" si="27"/>
        <v>0</v>
      </c>
      <c r="AL181" s="3">
        <f t="shared" si="28"/>
        <v>0</v>
      </c>
      <c r="AM181" s="3">
        <f t="shared" si="29"/>
        <v>0</v>
      </c>
    </row>
    <row r="182" spans="1:39" x14ac:dyDescent="0.25">
      <c r="A182" s="2" t="s">
        <v>59</v>
      </c>
      <c r="B182" t="s">
        <v>46</v>
      </c>
      <c r="C182">
        <v>15</v>
      </c>
      <c r="D182">
        <v>7.1</v>
      </c>
      <c r="E182">
        <v>32.999999999999993</v>
      </c>
      <c r="F182">
        <v>7</v>
      </c>
      <c r="G182" s="1"/>
      <c r="I182">
        <v>20.6</v>
      </c>
      <c r="J182">
        <v>90.27</v>
      </c>
      <c r="K182">
        <v>1.69</v>
      </c>
      <c r="L182">
        <v>340</v>
      </c>
      <c r="M182">
        <v>29.8</v>
      </c>
      <c r="N182">
        <v>3.58</v>
      </c>
      <c r="O182">
        <v>7.3</v>
      </c>
      <c r="P182" s="2">
        <v>17.41</v>
      </c>
      <c r="Q182">
        <v>2.78</v>
      </c>
      <c r="R182">
        <v>0.09</v>
      </c>
      <c r="S182">
        <v>204.03</v>
      </c>
      <c r="T182">
        <v>21.7</v>
      </c>
      <c r="U182">
        <f t="shared" si="33"/>
        <v>1.7699999999999996</v>
      </c>
      <c r="V182">
        <f t="shared" si="24"/>
        <v>8.7050000000000002E-2</v>
      </c>
      <c r="W182">
        <f t="shared" si="30"/>
        <v>8.5330588638925647E-2</v>
      </c>
      <c r="X182">
        <f t="shared" si="31"/>
        <v>1.3625447238151251E-2</v>
      </c>
      <c r="Y182" s="3">
        <f t="shared" si="32"/>
        <v>1.08</v>
      </c>
      <c r="Z182">
        <v>34</v>
      </c>
      <c r="AA182">
        <v>7.2</v>
      </c>
      <c r="AB182">
        <v>50</v>
      </c>
      <c r="AC182" s="31">
        <v>4.0000000000000002E-4</v>
      </c>
      <c r="AD182" s="31">
        <f t="shared" si="25"/>
        <v>0.10087243200000001</v>
      </c>
      <c r="AE182" s="31">
        <f t="shared" si="34"/>
        <v>2.372758272</v>
      </c>
      <c r="AF182">
        <v>200</v>
      </c>
      <c r="AG182" s="2">
        <v>2E-3</v>
      </c>
      <c r="AH182">
        <v>1.6003130718207199E-2</v>
      </c>
      <c r="AI182" s="74">
        <v>9.9999999999999995E-8</v>
      </c>
      <c r="AJ182">
        <f t="shared" si="26"/>
        <v>0</v>
      </c>
      <c r="AK182">
        <f t="shared" si="27"/>
        <v>0.13604661501815896</v>
      </c>
      <c r="AL182" s="3">
        <f t="shared" si="28"/>
        <v>2.0402999999999998E-5</v>
      </c>
      <c r="AM182" s="3">
        <f t="shared" si="29"/>
        <v>0.13604661501815896</v>
      </c>
    </row>
    <row r="183" spans="1:39" x14ac:dyDescent="0.25">
      <c r="A183" s="2" t="s">
        <v>60</v>
      </c>
      <c r="B183" t="s">
        <v>49</v>
      </c>
      <c r="C183">
        <v>15</v>
      </c>
      <c r="D183">
        <v>7.1</v>
      </c>
      <c r="E183">
        <v>32.999999999999993</v>
      </c>
      <c r="F183">
        <v>7</v>
      </c>
      <c r="G183" s="1"/>
      <c r="I183">
        <v>21.21</v>
      </c>
      <c r="J183">
        <v>89.6</v>
      </c>
      <c r="K183">
        <v>1.63</v>
      </c>
      <c r="L183">
        <v>332</v>
      </c>
      <c r="M183">
        <v>31.4</v>
      </c>
      <c r="N183">
        <v>1.77</v>
      </c>
      <c r="O183">
        <v>7.32</v>
      </c>
      <c r="P183" s="2">
        <v>17.809999999999999</v>
      </c>
      <c r="Q183">
        <v>4.5199999999999996</v>
      </c>
      <c r="R183">
        <v>0.02</v>
      </c>
      <c r="S183">
        <v>203.11</v>
      </c>
      <c r="T183">
        <v>21.7</v>
      </c>
      <c r="U183">
        <f t="shared" si="33"/>
        <v>1.7699999999999996</v>
      </c>
      <c r="V183">
        <f t="shared" si="24"/>
        <v>8.904999999999999E-2</v>
      </c>
      <c r="W183">
        <f t="shared" si="30"/>
        <v>8.7686475308945883E-2</v>
      </c>
      <c r="X183">
        <f t="shared" si="31"/>
        <v>2.2253951061001424E-2</v>
      </c>
      <c r="Y183" s="3">
        <f t="shared" si="32"/>
        <v>0.24</v>
      </c>
      <c r="Z183">
        <v>34</v>
      </c>
      <c r="AA183">
        <v>7.2</v>
      </c>
      <c r="AB183">
        <v>50</v>
      </c>
      <c r="AC183" s="31">
        <v>4.0000000000000002E-4</v>
      </c>
      <c r="AD183" s="31">
        <f t="shared" si="25"/>
        <v>0.1033911144</v>
      </c>
      <c r="AE183" s="31">
        <f t="shared" si="34"/>
        <v>2.4996121344000004</v>
      </c>
      <c r="AF183">
        <v>200</v>
      </c>
      <c r="AG183" s="2">
        <v>2E-3</v>
      </c>
      <c r="AJ183">
        <f t="shared" si="26"/>
        <v>1.6666666666666666E-2</v>
      </c>
      <c r="AK183">
        <f t="shared" si="27"/>
        <v>0</v>
      </c>
      <c r="AL183" s="3">
        <f t="shared" si="28"/>
        <v>0</v>
      </c>
      <c r="AM183" s="3">
        <f t="shared" si="29"/>
        <v>1.6666666666666666E-2</v>
      </c>
    </row>
    <row r="184" spans="1:39" x14ac:dyDescent="0.25">
      <c r="A184" s="2" t="s">
        <v>61</v>
      </c>
      <c r="B184" t="s">
        <v>46</v>
      </c>
      <c r="C184">
        <v>15</v>
      </c>
      <c r="D184">
        <v>7.3</v>
      </c>
      <c r="E184">
        <v>35</v>
      </c>
      <c r="F184">
        <v>7</v>
      </c>
      <c r="G184" s="1"/>
      <c r="I184">
        <v>22.05</v>
      </c>
      <c r="J184">
        <v>91.14</v>
      </c>
      <c r="K184">
        <v>1.49</v>
      </c>
      <c r="L184">
        <v>336</v>
      </c>
      <c r="M184">
        <v>28.8</v>
      </c>
      <c r="N184">
        <v>3.19</v>
      </c>
      <c r="O184">
        <v>7.3</v>
      </c>
      <c r="P184" s="2">
        <v>18.899999999999999</v>
      </c>
      <c r="Q184">
        <v>1.72</v>
      </c>
      <c r="R184">
        <v>0.16</v>
      </c>
      <c r="S184">
        <v>201.7</v>
      </c>
      <c r="T184">
        <v>22.68</v>
      </c>
      <c r="U184">
        <f t="shared" si="33"/>
        <v>1.7800000000000011</v>
      </c>
      <c r="V184">
        <f t="shared" si="24"/>
        <v>9.4499999999999987E-2</v>
      </c>
      <c r="W184">
        <f t="shared" si="30"/>
        <v>9.3703520079325725E-2</v>
      </c>
      <c r="X184">
        <f t="shared" si="31"/>
        <v>8.5275161130391672E-3</v>
      </c>
      <c r="Y184" s="3">
        <f t="shared" si="32"/>
        <v>1.92</v>
      </c>
      <c r="Z184">
        <v>34</v>
      </c>
      <c r="AA184">
        <v>7.2</v>
      </c>
      <c r="AB184">
        <v>50</v>
      </c>
      <c r="AC184" s="31">
        <v>4.0000000000000002E-4</v>
      </c>
      <c r="AD184" s="31">
        <f t="shared" si="25"/>
        <v>0.10673964000000001</v>
      </c>
      <c r="AE184" s="31">
        <f t="shared" si="34"/>
        <v>2.8716508799999998</v>
      </c>
      <c r="AF184">
        <v>200</v>
      </c>
      <c r="AG184" s="2">
        <v>2.0000000235005999E-3</v>
      </c>
      <c r="AH184">
        <v>5.5107458810757003E-3</v>
      </c>
      <c r="AI184" s="74">
        <v>9.9999999999999995E-8</v>
      </c>
      <c r="AJ184">
        <f t="shared" si="26"/>
        <v>0</v>
      </c>
      <c r="AK184">
        <f t="shared" si="27"/>
        <v>4.6313226842207032E-2</v>
      </c>
      <c r="AL184" s="3">
        <f t="shared" si="28"/>
        <v>2.0169999999999998E-5</v>
      </c>
      <c r="AM184" s="3">
        <f t="shared" si="29"/>
        <v>4.6313226842207032E-2</v>
      </c>
    </row>
    <row r="185" spans="1:39" x14ac:dyDescent="0.25">
      <c r="A185" s="2" t="s">
        <v>62</v>
      </c>
      <c r="B185" t="s">
        <v>49</v>
      </c>
      <c r="C185">
        <v>18</v>
      </c>
      <c r="D185">
        <v>7.2</v>
      </c>
      <c r="E185">
        <v>34</v>
      </c>
      <c r="F185">
        <v>7</v>
      </c>
      <c r="G185" s="1"/>
      <c r="I185">
        <v>20.97</v>
      </c>
      <c r="J185">
        <v>89.01</v>
      </c>
      <c r="K185">
        <v>1.32</v>
      </c>
      <c r="L185" s="78">
        <v>0</v>
      </c>
      <c r="M185">
        <v>32.299999999999997</v>
      </c>
      <c r="N185">
        <v>2.73</v>
      </c>
      <c r="O185">
        <v>7.31</v>
      </c>
      <c r="P185" s="2">
        <v>15.03</v>
      </c>
      <c r="Q185">
        <v>4.8499999999999996</v>
      </c>
      <c r="R185">
        <v>0.02</v>
      </c>
      <c r="S185">
        <v>201.24</v>
      </c>
      <c r="T185">
        <v>34.68</v>
      </c>
      <c r="U185">
        <f t="shared" si="33"/>
        <v>1.7800000000000011</v>
      </c>
      <c r="V185">
        <f t="shared" si="24"/>
        <v>7.5149999999999995E-2</v>
      </c>
      <c r="W185">
        <f t="shared" si="30"/>
        <v>7.4686940966010723E-2</v>
      </c>
      <c r="X185">
        <f t="shared" si="31"/>
        <v>2.4100576426157819E-2</v>
      </c>
      <c r="Y185" s="3">
        <f t="shared" si="32"/>
        <v>0.24</v>
      </c>
      <c r="Z185">
        <v>34</v>
      </c>
      <c r="AA185">
        <v>7.2</v>
      </c>
      <c r="AB185">
        <v>50</v>
      </c>
      <c r="AC185" s="31">
        <v>4.0000000000000002E-4</v>
      </c>
      <c r="AD185" s="31">
        <f t="shared" si="25"/>
        <v>0.1012800672</v>
      </c>
      <c r="AE185" s="31">
        <f t="shared" si="34"/>
        <v>2.5739707391999995</v>
      </c>
      <c r="AF185">
        <v>200</v>
      </c>
      <c r="AG185" s="2">
        <v>2.0000000023469998E-3</v>
      </c>
      <c r="AJ185">
        <f t="shared" si="26"/>
        <v>1.6666666686225001E-2</v>
      </c>
      <c r="AK185">
        <f t="shared" si="27"/>
        <v>0</v>
      </c>
      <c r="AL185" s="3">
        <f t="shared" si="28"/>
        <v>0</v>
      </c>
      <c r="AM185" s="3">
        <f t="shared" si="29"/>
        <v>1.6666666686225001E-2</v>
      </c>
    </row>
    <row r="186" spans="1:39" x14ac:dyDescent="0.25">
      <c r="A186" s="2" t="s">
        <v>63</v>
      </c>
      <c r="B186" t="s">
        <v>51</v>
      </c>
      <c r="C186">
        <v>12</v>
      </c>
      <c r="D186">
        <v>7.1</v>
      </c>
      <c r="E186">
        <v>32.999999999999993</v>
      </c>
      <c r="F186">
        <v>7</v>
      </c>
      <c r="G186" s="1"/>
      <c r="I186">
        <v>18.32</v>
      </c>
      <c r="J186">
        <v>90.47</v>
      </c>
      <c r="K186">
        <v>1.61</v>
      </c>
      <c r="L186">
        <v>358</v>
      </c>
      <c r="M186">
        <v>39.299999999999997</v>
      </c>
      <c r="N186">
        <v>2.15</v>
      </c>
      <c r="O186">
        <v>7.33</v>
      </c>
      <c r="P186" s="2">
        <v>12.01</v>
      </c>
      <c r="Q186">
        <v>3.94</v>
      </c>
      <c r="R186">
        <v>0.09</v>
      </c>
      <c r="S186">
        <v>198.35</v>
      </c>
      <c r="T186">
        <v>22.5</v>
      </c>
      <c r="U186">
        <f t="shared" si="33"/>
        <v>1.7699999999999996</v>
      </c>
      <c r="V186">
        <f t="shared" si="24"/>
        <v>6.0049999999999999E-2</v>
      </c>
      <c r="W186">
        <f t="shared" si="30"/>
        <v>6.0549533652634234E-2</v>
      </c>
      <c r="X186">
        <f t="shared" si="31"/>
        <v>1.9863876985127302E-2</v>
      </c>
      <c r="Y186" s="3">
        <f t="shared" si="32"/>
        <v>1.08</v>
      </c>
      <c r="Z186">
        <v>34</v>
      </c>
      <c r="AA186">
        <v>7.2</v>
      </c>
      <c r="AB186">
        <v>50</v>
      </c>
      <c r="AC186" s="31">
        <v>4.0000000000000002E-4</v>
      </c>
      <c r="AD186" s="31">
        <f t="shared" si="25"/>
        <v>8.7210527999999995E-2</v>
      </c>
      <c r="AE186" s="31">
        <f t="shared" si="34"/>
        <v>2.0502489600000002</v>
      </c>
      <c r="AF186">
        <v>200</v>
      </c>
      <c r="AG186" s="2">
        <v>1.0514942708317E-2</v>
      </c>
      <c r="AJ186">
        <f t="shared" si="26"/>
        <v>0</v>
      </c>
      <c r="AK186">
        <f t="shared" si="27"/>
        <v>0</v>
      </c>
      <c r="AL186" s="3">
        <f t="shared" si="28"/>
        <v>0</v>
      </c>
      <c r="AM186" s="3">
        <f t="shared" si="29"/>
        <v>0</v>
      </c>
    </row>
    <row r="187" spans="1:39" x14ac:dyDescent="0.25">
      <c r="A187" s="2" t="s">
        <v>64</v>
      </c>
      <c r="B187" t="s">
        <v>46</v>
      </c>
      <c r="C187">
        <v>12</v>
      </c>
      <c r="D187">
        <v>7.1</v>
      </c>
      <c r="E187">
        <v>32.999999999999993</v>
      </c>
      <c r="F187">
        <v>7</v>
      </c>
      <c r="G187" s="1"/>
      <c r="I187">
        <v>20.2</v>
      </c>
      <c r="J187">
        <v>91.3</v>
      </c>
      <c r="K187">
        <v>1.8</v>
      </c>
      <c r="L187" s="78">
        <v>702</v>
      </c>
      <c r="M187">
        <v>28.7</v>
      </c>
      <c r="N187">
        <v>5.59</v>
      </c>
      <c r="O187">
        <v>7.2</v>
      </c>
      <c r="P187" s="2">
        <v>18.64</v>
      </c>
      <c r="Q187">
        <v>2.64</v>
      </c>
      <c r="R187">
        <v>0.1</v>
      </c>
      <c r="S187">
        <v>202.4</v>
      </c>
      <c r="T187">
        <v>22.5</v>
      </c>
      <c r="U187">
        <f t="shared" si="33"/>
        <v>2.5700000000000003</v>
      </c>
      <c r="V187">
        <f t="shared" si="24"/>
        <v>9.3200000000000005E-2</v>
      </c>
      <c r="W187">
        <f t="shared" si="30"/>
        <v>9.2094861660079047E-2</v>
      </c>
      <c r="X187">
        <f t="shared" si="31"/>
        <v>1.3043478260869566E-2</v>
      </c>
      <c r="Y187" s="3">
        <f t="shared" si="32"/>
        <v>1.2000000000000002</v>
      </c>
      <c r="Z187">
        <v>34</v>
      </c>
      <c r="AA187">
        <v>7.2</v>
      </c>
      <c r="AB187">
        <v>50</v>
      </c>
      <c r="AC187" s="31">
        <v>4.0000000000000002E-4</v>
      </c>
      <c r="AD187" s="31">
        <f t="shared" si="25"/>
        <v>9.8123520000000006E-2</v>
      </c>
      <c r="AE187" s="31">
        <f t="shared" si="34"/>
        <v>2.1895246080000001</v>
      </c>
      <c r="AF187">
        <v>200</v>
      </c>
      <c r="AG187" s="2">
        <v>2.0000000100982998E-3</v>
      </c>
      <c r="AH187">
        <v>5.1755097437583197E-3</v>
      </c>
      <c r="AI187" s="74">
        <v>9.9999999999999995E-8</v>
      </c>
      <c r="AJ187">
        <f t="shared" si="26"/>
        <v>0</v>
      </c>
      <c r="AK187">
        <f t="shared" si="27"/>
        <v>4.36467988390285E-2</v>
      </c>
      <c r="AL187" s="3">
        <f t="shared" si="28"/>
        <v>2.0239999999999999E-5</v>
      </c>
      <c r="AM187" s="3">
        <f t="shared" si="29"/>
        <v>4.36467988390285E-2</v>
      </c>
    </row>
    <row r="188" spans="1:39" x14ac:dyDescent="0.25">
      <c r="A188" s="2" t="s">
        <v>65</v>
      </c>
      <c r="B188" t="s">
        <v>49</v>
      </c>
      <c r="C188">
        <v>15</v>
      </c>
      <c r="D188">
        <v>7.3</v>
      </c>
      <c r="E188">
        <v>35</v>
      </c>
      <c r="F188">
        <v>7</v>
      </c>
      <c r="G188" s="1"/>
      <c r="I188">
        <v>19.739999999999998</v>
      </c>
      <c r="J188">
        <v>90.14</v>
      </c>
      <c r="K188">
        <v>1.68</v>
      </c>
      <c r="L188" s="78">
        <v>2146</v>
      </c>
      <c r="M188">
        <v>31.2</v>
      </c>
      <c r="N188">
        <v>2.25</v>
      </c>
      <c r="O188">
        <v>7.31</v>
      </c>
      <c r="P188" s="2">
        <v>17.079999999999998</v>
      </c>
      <c r="Q188">
        <v>5.65</v>
      </c>
      <c r="R188">
        <v>0.02</v>
      </c>
      <c r="S188">
        <v>202.16</v>
      </c>
      <c r="T188">
        <v>22.5</v>
      </c>
      <c r="U188">
        <f t="shared" si="33"/>
        <v>1.7699999999999996</v>
      </c>
      <c r="V188">
        <f t="shared" si="24"/>
        <v>8.539999999999999E-2</v>
      </c>
      <c r="W188">
        <f t="shared" si="30"/>
        <v>8.4487534626038779E-2</v>
      </c>
      <c r="X188">
        <f t="shared" si="31"/>
        <v>2.7948159873367632E-2</v>
      </c>
      <c r="Y188" s="3">
        <f t="shared" si="32"/>
        <v>0.24</v>
      </c>
      <c r="Z188">
        <v>34</v>
      </c>
      <c r="AA188">
        <v>7.2</v>
      </c>
      <c r="AB188">
        <v>50</v>
      </c>
      <c r="AC188" s="31">
        <v>4.0000000000000002E-4</v>
      </c>
      <c r="AD188" s="31">
        <f t="shared" si="25"/>
        <v>9.5775321599999991E-2</v>
      </c>
      <c r="AE188" s="31">
        <f t="shared" si="34"/>
        <v>2.5829632511999998</v>
      </c>
      <c r="AF188">
        <v>200</v>
      </c>
      <c r="AG188" s="2">
        <v>2E-3</v>
      </c>
      <c r="AJ188">
        <f t="shared" si="26"/>
        <v>1.6666666666666666E-2</v>
      </c>
      <c r="AK188">
        <f t="shared" si="27"/>
        <v>0</v>
      </c>
      <c r="AL188" s="3">
        <f t="shared" si="28"/>
        <v>0</v>
      </c>
      <c r="AM188" s="3">
        <f t="shared" si="29"/>
        <v>1.6666666666666666E-2</v>
      </c>
    </row>
    <row r="189" spans="1:39" x14ac:dyDescent="0.25">
      <c r="A189" s="2" t="s">
        <v>66</v>
      </c>
      <c r="B189" t="s">
        <v>46</v>
      </c>
      <c r="C189">
        <v>12</v>
      </c>
      <c r="D189">
        <v>7.2</v>
      </c>
      <c r="E189">
        <v>34</v>
      </c>
      <c r="F189">
        <v>7</v>
      </c>
      <c r="G189" s="1"/>
      <c r="I189">
        <v>21.91</v>
      </c>
      <c r="J189">
        <v>91.61</v>
      </c>
      <c r="K189">
        <v>1.55</v>
      </c>
      <c r="L189">
        <v>353</v>
      </c>
      <c r="M189">
        <v>33.1</v>
      </c>
      <c r="N189">
        <v>6.11</v>
      </c>
      <c r="O189">
        <v>7.21</v>
      </c>
      <c r="P189" s="2">
        <v>18.829999999999998</v>
      </c>
      <c r="Q189">
        <v>2.68</v>
      </c>
      <c r="R189">
        <v>0.08</v>
      </c>
      <c r="S189">
        <v>202.64</v>
      </c>
      <c r="T189">
        <v>23.3</v>
      </c>
      <c r="U189">
        <f t="shared" si="33"/>
        <v>1.7699999999999996</v>
      </c>
      <c r="V189">
        <f t="shared" si="24"/>
        <v>9.4149999999999998E-2</v>
      </c>
      <c r="W189">
        <f t="shared" si="30"/>
        <v>9.2923410975128309E-2</v>
      </c>
      <c r="X189">
        <f t="shared" si="31"/>
        <v>1.32254243979471E-2</v>
      </c>
      <c r="Y189" s="3">
        <f t="shared" si="32"/>
        <v>0.96</v>
      </c>
      <c r="Z189">
        <v>34</v>
      </c>
      <c r="AA189">
        <v>7.2</v>
      </c>
      <c r="AB189">
        <v>50</v>
      </c>
      <c r="AC189" s="31">
        <v>4.0000000000000002E-4</v>
      </c>
      <c r="AD189" s="31">
        <f t="shared" si="25"/>
        <v>0.1065562176</v>
      </c>
      <c r="AE189" s="31">
        <f t="shared" si="34"/>
        <v>2.4072662591999996</v>
      </c>
      <c r="AF189">
        <v>200</v>
      </c>
      <c r="AG189" s="2">
        <v>2.0000000091995999E-3</v>
      </c>
      <c r="AH189">
        <v>4.3843014225786302E-3</v>
      </c>
      <c r="AI189" s="74">
        <v>9.9999999999999995E-8</v>
      </c>
      <c r="AJ189">
        <f t="shared" si="26"/>
        <v>0</v>
      </c>
      <c r="AK189">
        <f t="shared" si="27"/>
        <v>3.7018118344638896E-2</v>
      </c>
      <c r="AL189" s="3">
        <f t="shared" si="28"/>
        <v>2.0263999999999998E-5</v>
      </c>
      <c r="AM189" s="3">
        <f t="shared" si="29"/>
        <v>3.7018118344638896E-2</v>
      </c>
    </row>
    <row r="190" spans="1:39" x14ac:dyDescent="0.25">
      <c r="A190" s="2" t="s">
        <v>67</v>
      </c>
      <c r="B190" t="s">
        <v>49</v>
      </c>
      <c r="C190">
        <v>12</v>
      </c>
      <c r="D190">
        <v>7.1</v>
      </c>
      <c r="E190">
        <v>32.999999999999993</v>
      </c>
      <c r="F190">
        <v>7</v>
      </c>
      <c r="G190" s="1"/>
      <c r="I190">
        <v>19.329999999999998</v>
      </c>
      <c r="J190">
        <v>89.68</v>
      </c>
      <c r="K190">
        <v>1.95</v>
      </c>
      <c r="L190">
        <v>334</v>
      </c>
      <c r="M190">
        <v>28.1</v>
      </c>
      <c r="N190">
        <v>0.54</v>
      </c>
      <c r="O190">
        <v>7.32</v>
      </c>
      <c r="P190" s="2">
        <v>18.75</v>
      </c>
      <c r="Q190">
        <v>5.26</v>
      </c>
      <c r="R190">
        <v>0.05</v>
      </c>
      <c r="S190">
        <v>201.63</v>
      </c>
      <c r="T190">
        <v>22.5</v>
      </c>
      <c r="U190">
        <f t="shared" si="33"/>
        <v>1.7699999999999996</v>
      </c>
      <c r="V190">
        <f t="shared" si="24"/>
        <v>9.375E-2</v>
      </c>
      <c r="W190">
        <f t="shared" si="30"/>
        <v>9.2992114268710013E-2</v>
      </c>
      <c r="X190">
        <f t="shared" si="31"/>
        <v>2.608738778951545E-2</v>
      </c>
      <c r="Y190" s="3">
        <f t="shared" si="32"/>
        <v>0.60000000000000009</v>
      </c>
      <c r="Z190">
        <v>34</v>
      </c>
      <c r="AA190">
        <v>7.2</v>
      </c>
      <c r="AB190">
        <v>50</v>
      </c>
      <c r="AC190" s="31">
        <v>4.0000000000000002E-4</v>
      </c>
      <c r="AD190" s="31">
        <f t="shared" si="25"/>
        <v>9.354018959999999E-2</v>
      </c>
      <c r="AE190" s="31">
        <f t="shared" si="34"/>
        <v>2.3808245760000002</v>
      </c>
      <c r="AF190">
        <v>200</v>
      </c>
      <c r="AG190" s="2">
        <v>2E-3</v>
      </c>
      <c r="AJ190">
        <f t="shared" si="26"/>
        <v>1.6666666666666666E-2</v>
      </c>
      <c r="AK190">
        <f t="shared" si="27"/>
        <v>0</v>
      </c>
      <c r="AL190" s="3">
        <f t="shared" si="28"/>
        <v>0</v>
      </c>
      <c r="AM190" s="3">
        <f t="shared" si="29"/>
        <v>1.6666666666666666E-2</v>
      </c>
    </row>
    <row r="191" spans="1:39" x14ac:dyDescent="0.25">
      <c r="A191" s="2" t="s">
        <v>68</v>
      </c>
      <c r="B191" t="s">
        <v>51</v>
      </c>
      <c r="C191">
        <v>12</v>
      </c>
      <c r="D191">
        <v>7.3</v>
      </c>
      <c r="E191">
        <v>35</v>
      </c>
      <c r="F191">
        <v>7</v>
      </c>
      <c r="G191" s="1"/>
      <c r="I191">
        <v>18.46</v>
      </c>
      <c r="J191">
        <v>89.4</v>
      </c>
      <c r="K191">
        <v>1.87</v>
      </c>
      <c r="L191">
        <v>329</v>
      </c>
      <c r="M191">
        <v>35.5</v>
      </c>
      <c r="N191">
        <v>2.98</v>
      </c>
      <c r="O191">
        <v>7.31</v>
      </c>
      <c r="P191" s="2">
        <v>11.27</v>
      </c>
      <c r="Q191">
        <v>5.4</v>
      </c>
      <c r="R191">
        <v>0.09</v>
      </c>
      <c r="S191">
        <v>198.37</v>
      </c>
      <c r="T191">
        <v>22.5</v>
      </c>
      <c r="U191">
        <f t="shared" si="33"/>
        <v>1.7699999999999996</v>
      </c>
      <c r="V191">
        <f t="shared" si="24"/>
        <v>5.6349999999999997E-2</v>
      </c>
      <c r="W191">
        <f t="shared" si="30"/>
        <v>5.6813026163230321E-2</v>
      </c>
      <c r="X191">
        <f t="shared" si="31"/>
        <v>2.7221858143872561E-2</v>
      </c>
      <c r="Y191" s="3">
        <f t="shared" si="32"/>
        <v>1.08</v>
      </c>
      <c r="Z191">
        <v>34</v>
      </c>
      <c r="AA191">
        <v>7.2</v>
      </c>
      <c r="AB191">
        <v>50</v>
      </c>
      <c r="AC191" s="31">
        <v>4.0000000000000002E-4</v>
      </c>
      <c r="AD191" s="31">
        <f t="shared" si="25"/>
        <v>8.7885844800000001E-2</v>
      </c>
      <c r="AE191" s="31">
        <f t="shared" si="34"/>
        <v>2.1264652799999997</v>
      </c>
      <c r="AF191">
        <v>200</v>
      </c>
      <c r="AG191" s="2">
        <v>2.0000000107349E-3</v>
      </c>
      <c r="AJ191">
        <f t="shared" si="26"/>
        <v>0</v>
      </c>
      <c r="AK191">
        <f t="shared" si="27"/>
        <v>0</v>
      </c>
      <c r="AL191" s="3">
        <f t="shared" si="28"/>
        <v>0</v>
      </c>
      <c r="AM191" s="3">
        <f t="shared" si="29"/>
        <v>0</v>
      </c>
    </row>
    <row r="192" spans="1:39" x14ac:dyDescent="0.25">
      <c r="A192" s="2" t="s">
        <v>69</v>
      </c>
      <c r="B192" t="s">
        <v>51</v>
      </c>
      <c r="C192">
        <v>15</v>
      </c>
      <c r="D192">
        <v>7.2</v>
      </c>
      <c r="E192">
        <v>34</v>
      </c>
      <c r="F192">
        <v>7</v>
      </c>
      <c r="G192" s="1"/>
      <c r="I192">
        <v>18.95</v>
      </c>
      <c r="J192">
        <v>89.53</v>
      </c>
      <c r="K192">
        <v>1.92</v>
      </c>
      <c r="L192">
        <v>337</v>
      </c>
      <c r="M192">
        <v>33.700000000000003</v>
      </c>
      <c r="N192">
        <v>2.61</v>
      </c>
      <c r="O192">
        <v>7.31</v>
      </c>
      <c r="P192" s="2">
        <v>13.08</v>
      </c>
      <c r="Q192">
        <v>4.7699999999999996</v>
      </c>
      <c r="R192">
        <v>0.09</v>
      </c>
      <c r="S192">
        <v>201.55</v>
      </c>
      <c r="T192">
        <v>21.7</v>
      </c>
      <c r="U192">
        <f t="shared" si="33"/>
        <v>1.7699999999999996</v>
      </c>
      <c r="V192">
        <f t="shared" si="24"/>
        <v>6.54E-2</v>
      </c>
      <c r="W192">
        <f t="shared" si="30"/>
        <v>6.4897047878938227E-2</v>
      </c>
      <c r="X192">
        <f t="shared" si="31"/>
        <v>2.3666583974199948E-2</v>
      </c>
      <c r="Y192" s="3">
        <f t="shared" si="32"/>
        <v>1.08</v>
      </c>
      <c r="Z192">
        <v>34</v>
      </c>
      <c r="AA192">
        <v>7.2</v>
      </c>
      <c r="AB192">
        <v>50</v>
      </c>
      <c r="AC192" s="31">
        <v>4.0000000000000002E-4</v>
      </c>
      <c r="AD192" s="31">
        <f t="shared" si="25"/>
        <v>9.166494E-2</v>
      </c>
      <c r="AE192" s="31">
        <f t="shared" si="34"/>
        <v>2.3171208191999999</v>
      </c>
      <c r="AF192">
        <v>200</v>
      </c>
      <c r="AG192" s="2">
        <v>6.3557571003017002E-3</v>
      </c>
      <c r="AJ192">
        <f t="shared" si="26"/>
        <v>0</v>
      </c>
      <c r="AK192">
        <f t="shared" si="27"/>
        <v>0</v>
      </c>
      <c r="AL192" s="3">
        <f t="shared" si="28"/>
        <v>0</v>
      </c>
      <c r="AM192" s="3">
        <f t="shared" si="29"/>
        <v>0</v>
      </c>
    </row>
    <row r="193" spans="1:39" x14ac:dyDescent="0.25">
      <c r="A193" s="2" t="s">
        <v>70</v>
      </c>
      <c r="B193" t="s">
        <v>51</v>
      </c>
      <c r="C193">
        <v>15</v>
      </c>
      <c r="D193">
        <v>7.2</v>
      </c>
      <c r="E193">
        <v>34</v>
      </c>
      <c r="F193">
        <v>7</v>
      </c>
      <c r="G193" s="1"/>
      <c r="I193">
        <v>19.61</v>
      </c>
      <c r="J193">
        <v>89.49</v>
      </c>
      <c r="K193">
        <v>1.66</v>
      </c>
      <c r="L193" s="78">
        <v>0</v>
      </c>
      <c r="M193">
        <v>28.7</v>
      </c>
      <c r="N193">
        <v>3.29</v>
      </c>
      <c r="O193">
        <v>7.3</v>
      </c>
      <c r="P193" s="2">
        <v>12.86</v>
      </c>
      <c r="Q193">
        <v>4.4000000000000004</v>
      </c>
      <c r="R193">
        <v>0.09</v>
      </c>
      <c r="S193">
        <v>199.27</v>
      </c>
      <c r="T193">
        <v>21.7</v>
      </c>
      <c r="U193">
        <f t="shared" si="33"/>
        <v>1.7699999999999996</v>
      </c>
      <c r="V193">
        <f t="shared" si="24"/>
        <v>6.4299999999999996E-2</v>
      </c>
      <c r="W193">
        <f t="shared" si="30"/>
        <v>6.4535554774928477E-2</v>
      </c>
      <c r="X193">
        <f t="shared" si="31"/>
        <v>2.2080594168715814E-2</v>
      </c>
      <c r="Y193" s="3">
        <f t="shared" si="32"/>
        <v>1.08</v>
      </c>
      <c r="Z193">
        <v>34</v>
      </c>
      <c r="AA193">
        <v>7.2</v>
      </c>
      <c r="AB193">
        <v>50</v>
      </c>
      <c r="AC193" s="31">
        <v>4.0000000000000002E-4</v>
      </c>
      <c r="AD193" s="31">
        <f t="shared" si="25"/>
        <v>9.3784432800000012E-2</v>
      </c>
      <c r="AE193" s="31">
        <f t="shared" si="34"/>
        <v>2.1729863808000003</v>
      </c>
      <c r="AF193">
        <v>200</v>
      </c>
      <c r="AG193" s="2">
        <v>3.6299992040052E-3</v>
      </c>
      <c r="AJ193">
        <f t="shared" si="26"/>
        <v>0</v>
      </c>
      <c r="AK193">
        <f t="shared" si="27"/>
        <v>0</v>
      </c>
      <c r="AL193" s="3">
        <f t="shared" si="28"/>
        <v>0</v>
      </c>
      <c r="AM193" s="3">
        <f t="shared" si="29"/>
        <v>0</v>
      </c>
    </row>
    <row r="194" spans="1:39" ht="15.75" thickBot="1" x14ac:dyDescent="0.3">
      <c r="A194" s="12" t="s">
        <v>71</v>
      </c>
      <c r="B194" s="13" t="s">
        <v>51</v>
      </c>
      <c r="C194" s="13">
        <v>15</v>
      </c>
      <c r="D194" s="13">
        <v>7.2</v>
      </c>
      <c r="E194" s="13">
        <v>34</v>
      </c>
      <c r="F194" s="13">
        <v>7</v>
      </c>
      <c r="G194" s="14"/>
      <c r="H194" s="12"/>
      <c r="I194" s="13">
        <v>16.690000000000001</v>
      </c>
      <c r="J194" s="13">
        <v>87.34</v>
      </c>
      <c r="K194" s="13">
        <v>1.74</v>
      </c>
      <c r="L194" s="13">
        <v>332</v>
      </c>
      <c r="M194" s="13">
        <v>35</v>
      </c>
      <c r="N194" s="13">
        <v>2.64</v>
      </c>
      <c r="O194" s="13">
        <v>7.32</v>
      </c>
      <c r="P194" s="12">
        <v>12.1</v>
      </c>
      <c r="Q194" s="13">
        <v>4.7</v>
      </c>
      <c r="R194" s="13">
        <v>0.08</v>
      </c>
      <c r="S194" s="13">
        <v>200.26</v>
      </c>
      <c r="T194" s="13">
        <v>21.7</v>
      </c>
      <c r="U194" s="13">
        <f t="shared" si="33"/>
        <v>1.7699999999999996</v>
      </c>
      <c r="V194" s="13">
        <f t="shared" si="24"/>
        <v>6.0499999999999998E-2</v>
      </c>
      <c r="W194" s="13">
        <f t="shared" si="30"/>
        <v>6.0421452112254068E-2</v>
      </c>
      <c r="X194" s="13">
        <f t="shared" si="31"/>
        <v>2.3469489663437534E-2</v>
      </c>
      <c r="Y194" s="77">
        <f t="shared" si="32"/>
        <v>0.96</v>
      </c>
      <c r="Z194" s="13">
        <v>34</v>
      </c>
      <c r="AA194" s="13">
        <v>7.2</v>
      </c>
      <c r="AB194" s="13">
        <v>50</v>
      </c>
      <c r="AC194" s="36">
        <v>4.0000000000000002E-4</v>
      </c>
      <c r="AD194" s="36">
        <f t="shared" si="25"/>
        <v>8.0216145599999997E-2</v>
      </c>
      <c r="AE194" s="36">
        <f t="shared" si="34"/>
        <v>2.1532604543999998</v>
      </c>
      <c r="AF194" s="13">
        <v>200</v>
      </c>
      <c r="AG194" s="12">
        <v>1.22982613951402E-2</v>
      </c>
      <c r="AH194" s="13"/>
      <c r="AI194" s="13"/>
      <c r="AJ194" s="13">
        <f t="shared" si="26"/>
        <v>0</v>
      </c>
      <c r="AK194" s="13">
        <f t="shared" si="27"/>
        <v>0</v>
      </c>
      <c r="AL194" s="77">
        <f t="shared" si="28"/>
        <v>0</v>
      </c>
      <c r="AM194" s="77">
        <f t="shared" si="29"/>
        <v>0</v>
      </c>
    </row>
    <row r="195" spans="1:39" x14ac:dyDescent="0.25">
      <c r="A195" s="7" t="s">
        <v>45</v>
      </c>
      <c r="B195" s="8" t="s">
        <v>46</v>
      </c>
      <c r="C195" s="8">
        <v>18</v>
      </c>
      <c r="D195" s="8">
        <v>7.1</v>
      </c>
      <c r="E195" s="8">
        <v>32.999999999999993</v>
      </c>
      <c r="F195" s="8">
        <v>8</v>
      </c>
      <c r="G195" s="9"/>
      <c r="H195" s="7">
        <v>4408.0349999999999</v>
      </c>
      <c r="I195" s="8">
        <v>19.760000000000002</v>
      </c>
      <c r="J195" s="8">
        <v>87.38</v>
      </c>
      <c r="K195" s="8">
        <v>1.33</v>
      </c>
      <c r="L195" s="8">
        <v>330</v>
      </c>
      <c r="M195" s="8">
        <v>30.4</v>
      </c>
      <c r="N195" s="8">
        <v>1.86</v>
      </c>
      <c r="O195" s="8">
        <v>7.31</v>
      </c>
      <c r="P195" s="7">
        <v>17.07</v>
      </c>
      <c r="Q195" s="8">
        <v>3.74</v>
      </c>
      <c r="R195" s="8">
        <v>0.12</v>
      </c>
      <c r="S195" s="8">
        <v>199.57</v>
      </c>
      <c r="T195" s="8">
        <v>38.75</v>
      </c>
      <c r="U195" s="8">
        <f t="shared" si="33"/>
        <v>3.2700000000000031</v>
      </c>
      <c r="V195" s="8">
        <f t="shared" ref="V195:V242" si="35">P195/AF195</f>
        <v>8.5349999999999995E-2</v>
      </c>
      <c r="W195" s="8">
        <f t="shared" si="30"/>
        <v>8.5533897880442952E-2</v>
      </c>
      <c r="X195" s="8">
        <f t="shared" si="31"/>
        <v>1.8740291626998046E-2</v>
      </c>
      <c r="Y195" s="75">
        <f t="shared" si="32"/>
        <v>1.44</v>
      </c>
      <c r="Z195" s="8">
        <v>34</v>
      </c>
      <c r="AA195" s="8">
        <v>7.2</v>
      </c>
      <c r="AB195" s="8">
        <v>50</v>
      </c>
      <c r="AC195" s="26">
        <v>4.0000000000000002E-4</v>
      </c>
      <c r="AD195" s="26">
        <f t="shared" ref="AD195:AD242" si="36">AC195*I195*S195*0.06</f>
        <v>9.4644076800000004E-2</v>
      </c>
      <c r="AE195" s="26">
        <f t="shared" si="34"/>
        <v>2.4923261951999995</v>
      </c>
      <c r="AF195" s="8">
        <v>200</v>
      </c>
      <c r="AG195" s="7">
        <v>1.0000000007380999E-3</v>
      </c>
      <c r="AH195">
        <v>1.1270202414991499E-2</v>
      </c>
      <c r="AI195">
        <v>0</v>
      </c>
      <c r="AJ195" s="8">
        <f t="shared" ref="AJ195:AJ242" si="37">IF(B195="Python",AG195*AF195/24,0)</f>
        <v>0</v>
      </c>
      <c r="AK195" s="8">
        <f t="shared" ref="AK195:AK242" si="38">IF(B195="Julia",AH195*S195/24,0)</f>
        <v>9.3716428998327231E-2</v>
      </c>
      <c r="AL195" s="75">
        <f t="shared" ref="AL195:AL242" si="39">AI195*S195</f>
        <v>0</v>
      </c>
      <c r="AM195" s="75">
        <f t="shared" ref="AM195:AM242" si="40">IF(IF(AND(AK195=0, AJ195=0),0, IF(AK195&gt;0,AK195,AJ195))=0,0,IF(AND(AK195=0, AJ195=0),0, IF(AK195&gt;0,AK195,AJ195)))</f>
        <v>9.3716428998327231E-2</v>
      </c>
    </row>
    <row r="196" spans="1:39" x14ac:dyDescent="0.25">
      <c r="A196" s="2" t="s">
        <v>47</v>
      </c>
      <c r="B196" t="s">
        <v>46</v>
      </c>
      <c r="C196">
        <v>12</v>
      </c>
      <c r="D196">
        <v>7.3</v>
      </c>
      <c r="E196">
        <v>35</v>
      </c>
      <c r="F196">
        <v>8</v>
      </c>
      <c r="G196" s="1"/>
      <c r="H196" s="2">
        <v>4162.2150000000001</v>
      </c>
      <c r="I196">
        <v>19.73</v>
      </c>
      <c r="J196">
        <v>82.47</v>
      </c>
      <c r="K196">
        <v>1.58</v>
      </c>
      <c r="L196" s="78">
        <v>0</v>
      </c>
      <c r="M196">
        <v>32.4</v>
      </c>
      <c r="N196">
        <v>2.48</v>
      </c>
      <c r="O196">
        <v>7.31</v>
      </c>
      <c r="P196" s="2">
        <v>21.17</v>
      </c>
      <c r="Q196">
        <v>1.3</v>
      </c>
      <c r="R196">
        <v>0.13</v>
      </c>
      <c r="S196">
        <v>199.49</v>
      </c>
      <c r="T196">
        <v>28.35</v>
      </c>
      <c r="U196">
        <f t="shared" si="33"/>
        <v>3.2700000000000031</v>
      </c>
      <c r="V196">
        <f t="shared" si="35"/>
        <v>0.10585000000000001</v>
      </c>
      <c r="W196">
        <f t="shared" ref="W196:W242" si="41">P196/S196</f>
        <v>0.1061206075492506</v>
      </c>
      <c r="X196">
        <f t="shared" ref="X196:X242" si="42">Q196/S196</f>
        <v>6.516617374304476E-3</v>
      </c>
      <c r="Y196" s="3">
        <f t="shared" ref="Y196:Y242" si="43">R196*12</f>
        <v>1.56</v>
      </c>
      <c r="Z196">
        <v>34</v>
      </c>
      <c r="AA196">
        <v>7.2</v>
      </c>
      <c r="AB196">
        <v>50</v>
      </c>
      <c r="AC196" s="31">
        <v>4.0000000000000002E-4</v>
      </c>
      <c r="AD196" s="31">
        <f t="shared" si="36"/>
        <v>9.4462504799999999E-2</v>
      </c>
      <c r="AE196" s="31">
        <f t="shared" si="34"/>
        <v>2.651904</v>
      </c>
      <c r="AF196">
        <v>200</v>
      </c>
      <c r="AG196" s="2">
        <v>1.0000000044537E-3</v>
      </c>
      <c r="AH196">
        <v>1.6592831008579001E-2</v>
      </c>
      <c r="AI196" s="74">
        <v>9.9999999999999995E-8</v>
      </c>
      <c r="AJ196">
        <f t="shared" si="37"/>
        <v>0</v>
      </c>
      <c r="AK196">
        <f t="shared" si="38"/>
        <v>0.13792099407922606</v>
      </c>
      <c r="AL196" s="3">
        <f t="shared" si="39"/>
        <v>1.9949000000000002E-5</v>
      </c>
      <c r="AM196" s="3">
        <f t="shared" si="40"/>
        <v>0.13792099407922606</v>
      </c>
    </row>
    <row r="197" spans="1:39" x14ac:dyDescent="0.25">
      <c r="A197" s="2" t="s">
        <v>48</v>
      </c>
      <c r="B197" t="s">
        <v>49</v>
      </c>
      <c r="C197">
        <v>12</v>
      </c>
      <c r="D197">
        <v>7.2</v>
      </c>
      <c r="E197">
        <v>34</v>
      </c>
      <c r="F197">
        <v>8</v>
      </c>
      <c r="G197" s="1"/>
      <c r="H197" s="2">
        <v>4467.8999999999996</v>
      </c>
      <c r="I197">
        <v>18.71</v>
      </c>
      <c r="J197">
        <v>86.96</v>
      </c>
      <c r="K197">
        <v>1.4</v>
      </c>
      <c r="L197" s="78">
        <v>0</v>
      </c>
      <c r="M197">
        <v>35.5</v>
      </c>
      <c r="N197">
        <v>0.25</v>
      </c>
      <c r="O197">
        <v>7.33</v>
      </c>
      <c r="P197" s="2">
        <v>20.6</v>
      </c>
      <c r="Q197">
        <v>6.39</v>
      </c>
      <c r="R197">
        <v>0.02</v>
      </c>
      <c r="S197">
        <v>199.57</v>
      </c>
      <c r="T197">
        <v>28.35</v>
      </c>
      <c r="U197">
        <f t="shared" si="33"/>
        <v>3.2700000000000031</v>
      </c>
      <c r="V197">
        <f t="shared" si="35"/>
        <v>0.10300000000000001</v>
      </c>
      <c r="W197">
        <f t="shared" si="41"/>
        <v>0.10322192714335823</v>
      </c>
      <c r="X197">
        <f t="shared" si="42"/>
        <v>3.2018840507090245E-2</v>
      </c>
      <c r="Y197" s="3">
        <f t="shared" si="43"/>
        <v>0.24</v>
      </c>
      <c r="Z197">
        <v>34</v>
      </c>
      <c r="AA197">
        <v>7.2</v>
      </c>
      <c r="AB197">
        <v>50</v>
      </c>
      <c r="AC197" s="31">
        <v>4.0000000000000002E-4</v>
      </c>
      <c r="AD197" s="31">
        <f t="shared" si="36"/>
        <v>8.9614912800000016E-2</v>
      </c>
      <c r="AE197" s="31">
        <f t="shared" si="34"/>
        <v>2.3035125887999999</v>
      </c>
      <c r="AF197">
        <v>200</v>
      </c>
      <c r="AG197" s="2">
        <v>1E-3</v>
      </c>
      <c r="AJ197">
        <f t="shared" si="37"/>
        <v>8.3333333333333332E-3</v>
      </c>
      <c r="AK197">
        <f t="shared" si="38"/>
        <v>0</v>
      </c>
      <c r="AL197" s="3">
        <f t="shared" si="39"/>
        <v>0</v>
      </c>
      <c r="AM197" s="3">
        <f t="shared" si="40"/>
        <v>8.3333333333333332E-3</v>
      </c>
    </row>
    <row r="198" spans="1:39" x14ac:dyDescent="0.25">
      <c r="A198" s="2" t="s">
        <v>50</v>
      </c>
      <c r="B198" t="s">
        <v>51</v>
      </c>
      <c r="C198">
        <v>18</v>
      </c>
      <c r="D198">
        <v>7.3</v>
      </c>
      <c r="E198">
        <v>35</v>
      </c>
      <c r="F198">
        <v>8</v>
      </c>
      <c r="G198" s="1"/>
      <c r="H198" s="2">
        <v>4975.6350000000002</v>
      </c>
      <c r="I198">
        <v>19.07</v>
      </c>
      <c r="J198">
        <v>87.26</v>
      </c>
      <c r="K198">
        <v>1.42</v>
      </c>
      <c r="L198" s="78">
        <v>1322</v>
      </c>
      <c r="M198">
        <v>26.9</v>
      </c>
      <c r="N198">
        <v>2.97</v>
      </c>
      <c r="O198">
        <v>7.31</v>
      </c>
      <c r="P198" s="2">
        <v>16.62</v>
      </c>
      <c r="Q198">
        <v>5.57</v>
      </c>
      <c r="R198">
        <v>0.09</v>
      </c>
      <c r="S198">
        <v>197.05</v>
      </c>
      <c r="T198">
        <v>38.58</v>
      </c>
      <c r="U198">
        <f t="shared" si="33"/>
        <v>3.2800000000000011</v>
      </c>
      <c r="V198">
        <f t="shared" si="35"/>
        <v>8.3100000000000007E-2</v>
      </c>
      <c r="W198">
        <f t="shared" si="41"/>
        <v>8.4344075107840644E-2</v>
      </c>
      <c r="X198">
        <f t="shared" si="42"/>
        <v>2.826693732555189E-2</v>
      </c>
      <c r="Y198" s="3">
        <f t="shared" si="43"/>
        <v>1.08</v>
      </c>
      <c r="Z198">
        <v>34</v>
      </c>
      <c r="AA198">
        <v>7.2</v>
      </c>
      <c r="AB198">
        <v>50</v>
      </c>
      <c r="AC198" s="31">
        <v>4.0000000000000002E-4</v>
      </c>
      <c r="AD198" s="31">
        <f t="shared" si="36"/>
        <v>9.0185844000000001E-2</v>
      </c>
      <c r="AE198" s="31">
        <f t="shared" si="34"/>
        <v>2.4034278527999997</v>
      </c>
      <c r="AF198">
        <v>200</v>
      </c>
      <c r="AG198" s="2">
        <v>1E-3</v>
      </c>
      <c r="AJ198">
        <f t="shared" si="37"/>
        <v>0</v>
      </c>
      <c r="AK198">
        <f t="shared" si="38"/>
        <v>0</v>
      </c>
      <c r="AL198" s="3">
        <f t="shared" si="39"/>
        <v>0</v>
      </c>
      <c r="AM198" s="3">
        <f t="shared" si="40"/>
        <v>0</v>
      </c>
    </row>
    <row r="199" spans="1:39" x14ac:dyDescent="0.25">
      <c r="A199" s="2" t="s">
        <v>52</v>
      </c>
      <c r="B199" t="s">
        <v>49</v>
      </c>
      <c r="C199">
        <v>18</v>
      </c>
      <c r="D199">
        <v>7.3</v>
      </c>
      <c r="E199">
        <v>35</v>
      </c>
      <c r="F199">
        <v>8</v>
      </c>
      <c r="G199" s="1"/>
      <c r="H199" s="2">
        <v>4436.2349999999997</v>
      </c>
      <c r="I199">
        <v>20.54</v>
      </c>
      <c r="J199">
        <v>87.02</v>
      </c>
      <c r="K199">
        <v>1.1200000000000001</v>
      </c>
      <c r="L199" s="78">
        <v>0</v>
      </c>
      <c r="M199">
        <v>33.4</v>
      </c>
      <c r="N199">
        <v>2.2400000000000002</v>
      </c>
      <c r="O199">
        <v>7.31</v>
      </c>
      <c r="P199" s="2">
        <v>14.23</v>
      </c>
      <c r="Q199">
        <v>4.96</v>
      </c>
      <c r="R199">
        <v>0.08</v>
      </c>
      <c r="S199">
        <v>197.12</v>
      </c>
      <c r="T199">
        <v>39.549999999999997</v>
      </c>
      <c r="U199">
        <f t="shared" si="33"/>
        <v>3.269999999999996</v>
      </c>
      <c r="V199">
        <f t="shared" si="35"/>
        <v>7.1150000000000005E-2</v>
      </c>
      <c r="W199">
        <f t="shared" si="41"/>
        <v>7.2189529220779217E-2</v>
      </c>
      <c r="X199">
        <f t="shared" si="42"/>
        <v>2.516233766233766E-2</v>
      </c>
      <c r="Y199" s="3">
        <f t="shared" si="43"/>
        <v>0.96</v>
      </c>
      <c r="Z199">
        <v>34</v>
      </c>
      <c r="AA199">
        <v>7.2</v>
      </c>
      <c r="AB199">
        <v>50</v>
      </c>
      <c r="AC199" s="31">
        <v>4.0000000000000002E-4</v>
      </c>
      <c r="AD199" s="31">
        <f t="shared" si="36"/>
        <v>9.7172275199999991E-2</v>
      </c>
      <c r="AE199" s="31">
        <f t="shared" si="34"/>
        <v>2.2428831744000002</v>
      </c>
      <c r="AF199">
        <v>200</v>
      </c>
      <c r="AG199" s="2">
        <v>5.6638160799607996E-3</v>
      </c>
      <c r="AJ199">
        <f t="shared" si="37"/>
        <v>4.7198467333006665E-2</v>
      </c>
      <c r="AK199">
        <f t="shared" si="38"/>
        <v>0</v>
      </c>
      <c r="AL199" s="3">
        <f t="shared" si="39"/>
        <v>0</v>
      </c>
      <c r="AM199" s="3">
        <f t="shared" si="40"/>
        <v>4.7198467333006665E-2</v>
      </c>
    </row>
    <row r="200" spans="1:39" x14ac:dyDescent="0.25">
      <c r="A200" s="2" t="s">
        <v>53</v>
      </c>
      <c r="B200" t="s">
        <v>49</v>
      </c>
      <c r="C200">
        <v>12</v>
      </c>
      <c r="D200">
        <v>7.3</v>
      </c>
      <c r="E200">
        <v>35</v>
      </c>
      <c r="F200">
        <v>8</v>
      </c>
      <c r="G200" s="1"/>
      <c r="H200" s="2">
        <v>4555.9799999999996</v>
      </c>
      <c r="I200">
        <v>19.98</v>
      </c>
      <c r="J200">
        <v>85.03</v>
      </c>
      <c r="K200">
        <v>1.5</v>
      </c>
      <c r="L200">
        <v>290</v>
      </c>
      <c r="M200">
        <v>30.8</v>
      </c>
      <c r="N200">
        <v>0.09</v>
      </c>
      <c r="O200">
        <v>7.34</v>
      </c>
      <c r="P200" s="2">
        <v>22.63</v>
      </c>
      <c r="Q200">
        <v>6.19</v>
      </c>
      <c r="R200">
        <v>0.02</v>
      </c>
      <c r="S200">
        <v>199.43</v>
      </c>
      <c r="T200">
        <v>28.18</v>
      </c>
      <c r="U200">
        <f t="shared" si="33"/>
        <v>3.2800000000000011</v>
      </c>
      <c r="V200">
        <f t="shared" si="35"/>
        <v>0.11315</v>
      </c>
      <c r="W200">
        <f t="shared" si="41"/>
        <v>0.1134733991876849</v>
      </c>
      <c r="X200">
        <f t="shared" si="42"/>
        <v>3.1038459609888183E-2</v>
      </c>
      <c r="Y200" s="3">
        <f t="shared" si="43"/>
        <v>0.24</v>
      </c>
      <c r="Z200">
        <v>34</v>
      </c>
      <c r="AA200">
        <v>7.2</v>
      </c>
      <c r="AB200">
        <v>50</v>
      </c>
      <c r="AC200" s="31">
        <v>4.0000000000000002E-4</v>
      </c>
      <c r="AD200" s="31">
        <f t="shared" si="36"/>
        <v>9.5630673600000007E-2</v>
      </c>
      <c r="AE200" s="31">
        <f t="shared" si="34"/>
        <v>2.5481343168000001</v>
      </c>
      <c r="AF200">
        <v>200</v>
      </c>
      <c r="AG200" s="2">
        <v>1.0000000216939E-3</v>
      </c>
      <c r="AJ200">
        <f t="shared" si="37"/>
        <v>8.3333335141158333E-3</v>
      </c>
      <c r="AK200">
        <f t="shared" si="38"/>
        <v>0</v>
      </c>
      <c r="AL200" s="3">
        <f t="shared" si="39"/>
        <v>0</v>
      </c>
      <c r="AM200" s="3">
        <f t="shared" si="40"/>
        <v>8.3333335141158333E-3</v>
      </c>
    </row>
    <row r="201" spans="1:39" x14ac:dyDescent="0.25">
      <c r="A201" s="2" t="s">
        <v>54</v>
      </c>
      <c r="B201" t="s">
        <v>46</v>
      </c>
      <c r="C201">
        <v>18</v>
      </c>
      <c r="D201">
        <v>7.3</v>
      </c>
      <c r="E201">
        <v>35</v>
      </c>
      <c r="F201">
        <v>8</v>
      </c>
      <c r="G201" s="1"/>
      <c r="H201" s="2">
        <v>4830.4949999999999</v>
      </c>
      <c r="I201">
        <v>22.03</v>
      </c>
      <c r="J201">
        <v>86.75</v>
      </c>
      <c r="K201">
        <v>1.47</v>
      </c>
      <c r="L201" s="78">
        <v>0</v>
      </c>
      <c r="M201">
        <v>30.1</v>
      </c>
      <c r="N201">
        <v>2.42</v>
      </c>
      <c r="O201">
        <v>7.3</v>
      </c>
      <c r="P201" s="2">
        <v>20.149999999999999</v>
      </c>
      <c r="Q201">
        <v>2.86</v>
      </c>
      <c r="R201">
        <v>0.11</v>
      </c>
      <c r="S201">
        <v>201.76</v>
      </c>
      <c r="T201">
        <v>37.78</v>
      </c>
      <c r="U201">
        <f t="shared" si="33"/>
        <v>3.2800000000000011</v>
      </c>
      <c r="V201">
        <f t="shared" si="35"/>
        <v>0.10074999999999999</v>
      </c>
      <c r="W201">
        <f t="shared" si="41"/>
        <v>9.9871134020618549E-2</v>
      </c>
      <c r="X201">
        <f t="shared" si="42"/>
        <v>1.4175257731958763E-2</v>
      </c>
      <c r="Y201" s="3">
        <f t="shared" si="43"/>
        <v>1.32</v>
      </c>
      <c r="Z201">
        <v>34</v>
      </c>
      <c r="AA201">
        <v>7.2</v>
      </c>
      <c r="AB201">
        <v>50</v>
      </c>
      <c r="AC201" s="31">
        <v>4.0000000000000002E-4</v>
      </c>
      <c r="AD201" s="31">
        <f t="shared" si="36"/>
        <v>0.10667454719999998</v>
      </c>
      <c r="AE201" s="31">
        <f t="shared" si="34"/>
        <v>2.7943244927999999</v>
      </c>
      <c r="AF201">
        <v>200</v>
      </c>
      <c r="AG201" s="2">
        <v>1.0000000043486001E-3</v>
      </c>
      <c r="AH201">
        <v>1.67717452728617E-2</v>
      </c>
      <c r="AI201" s="74">
        <v>9.9999999999999995E-8</v>
      </c>
      <c r="AJ201">
        <f t="shared" si="37"/>
        <v>0</v>
      </c>
      <c r="AK201">
        <f t="shared" si="38"/>
        <v>0.1409944719271907</v>
      </c>
      <c r="AL201" s="3">
        <f t="shared" si="39"/>
        <v>2.0175999999999998E-5</v>
      </c>
      <c r="AM201" s="3">
        <f t="shared" si="40"/>
        <v>0.1409944719271907</v>
      </c>
    </row>
    <row r="202" spans="1:39" x14ac:dyDescent="0.25">
      <c r="A202" s="2" t="s">
        <v>55</v>
      </c>
      <c r="B202" t="s">
        <v>51</v>
      </c>
      <c r="C202">
        <v>15</v>
      </c>
      <c r="D202">
        <v>7.2</v>
      </c>
      <c r="E202">
        <v>34</v>
      </c>
      <c r="F202">
        <v>8</v>
      </c>
      <c r="G202" s="1"/>
      <c r="H202" s="2">
        <v>4161</v>
      </c>
      <c r="I202">
        <v>18.93</v>
      </c>
      <c r="J202">
        <v>85.86</v>
      </c>
      <c r="K202">
        <v>1.91</v>
      </c>
      <c r="L202" s="78">
        <v>0</v>
      </c>
      <c r="M202">
        <v>31.2</v>
      </c>
      <c r="N202">
        <v>1.98</v>
      </c>
      <c r="O202">
        <v>7.3</v>
      </c>
      <c r="P202" s="2">
        <v>14.52</v>
      </c>
      <c r="Q202">
        <v>4.66</v>
      </c>
      <c r="R202">
        <v>0.09</v>
      </c>
      <c r="S202">
        <v>197.66</v>
      </c>
      <c r="T202">
        <v>26.58</v>
      </c>
      <c r="U202">
        <f t="shared" si="33"/>
        <v>3.2799999999999976</v>
      </c>
      <c r="V202">
        <f t="shared" si="35"/>
        <v>7.2599999999999998E-2</v>
      </c>
      <c r="W202">
        <f t="shared" si="41"/>
        <v>7.3459475867651516E-2</v>
      </c>
      <c r="X202">
        <f t="shared" si="42"/>
        <v>2.3575837296367502E-2</v>
      </c>
      <c r="Y202" s="3">
        <f t="shared" si="43"/>
        <v>1.08</v>
      </c>
      <c r="Z202">
        <v>34</v>
      </c>
      <c r="AA202">
        <v>7.2</v>
      </c>
      <c r="AB202">
        <v>50</v>
      </c>
      <c r="AC202" s="31">
        <v>4.0000000000000002E-4</v>
      </c>
      <c r="AD202" s="31">
        <f t="shared" si="36"/>
        <v>8.9800891199999996E-2</v>
      </c>
      <c r="AE202" s="31">
        <f t="shared" si="34"/>
        <v>2.0938968575999999</v>
      </c>
      <c r="AF202">
        <v>200</v>
      </c>
      <c r="AG202" s="2">
        <v>8.7066282782583999E-3</v>
      </c>
      <c r="AJ202">
        <f t="shared" si="37"/>
        <v>0</v>
      </c>
      <c r="AK202">
        <f t="shared" si="38"/>
        <v>0</v>
      </c>
      <c r="AL202" s="3">
        <f t="shared" si="39"/>
        <v>0</v>
      </c>
      <c r="AM202" s="3">
        <f t="shared" si="40"/>
        <v>0</v>
      </c>
    </row>
    <row r="203" spans="1:39" x14ac:dyDescent="0.25">
      <c r="A203" s="2" t="s">
        <v>56</v>
      </c>
      <c r="B203" t="s">
        <v>49</v>
      </c>
      <c r="C203">
        <v>18</v>
      </c>
      <c r="D203">
        <v>7.1</v>
      </c>
      <c r="E203">
        <v>32.999999999999993</v>
      </c>
      <c r="F203">
        <v>8</v>
      </c>
      <c r="G203" s="1"/>
      <c r="H203" s="2">
        <v>4362.09</v>
      </c>
      <c r="I203">
        <v>20.12</v>
      </c>
      <c r="J203">
        <v>80.56</v>
      </c>
      <c r="K203">
        <v>1.44</v>
      </c>
      <c r="L203" s="78">
        <v>0</v>
      </c>
      <c r="M203">
        <v>33.200000000000003</v>
      </c>
      <c r="N203">
        <v>2.69</v>
      </c>
      <c r="O203">
        <v>7.31</v>
      </c>
      <c r="P203" s="2">
        <v>13.54</v>
      </c>
      <c r="Q203">
        <v>6</v>
      </c>
      <c r="R203">
        <v>0.02</v>
      </c>
      <c r="S203">
        <v>199.18</v>
      </c>
      <c r="T203">
        <v>36.979999999999997</v>
      </c>
      <c r="U203">
        <f t="shared" si="33"/>
        <v>3.279999999999994</v>
      </c>
      <c r="V203">
        <f t="shared" si="35"/>
        <v>6.7699999999999996E-2</v>
      </c>
      <c r="W203">
        <f t="shared" si="41"/>
        <v>6.7978712722160856E-2</v>
      </c>
      <c r="X203">
        <f t="shared" si="42"/>
        <v>3.0123506376142181E-2</v>
      </c>
      <c r="Y203" s="3">
        <f t="shared" si="43"/>
        <v>0.24</v>
      </c>
      <c r="Z203">
        <v>34</v>
      </c>
      <c r="AA203">
        <v>7.2</v>
      </c>
      <c r="AB203">
        <v>50</v>
      </c>
      <c r="AC203" s="31">
        <v>4.0000000000000002E-4</v>
      </c>
      <c r="AD203" s="31">
        <f t="shared" si="36"/>
        <v>9.6180038400000015E-2</v>
      </c>
      <c r="AE203" s="31">
        <f t="shared" si="34"/>
        <v>2.2917261311999995</v>
      </c>
      <c r="AF203">
        <v>200</v>
      </c>
      <c r="AG203" s="2">
        <v>4.7408047146185999E-3</v>
      </c>
      <c r="AJ203">
        <f t="shared" si="37"/>
        <v>3.9506705955155E-2</v>
      </c>
      <c r="AK203">
        <f t="shared" si="38"/>
        <v>0</v>
      </c>
      <c r="AL203" s="3">
        <f t="shared" si="39"/>
        <v>0</v>
      </c>
      <c r="AM203" s="3">
        <f t="shared" si="40"/>
        <v>3.9506705955155E-2</v>
      </c>
    </row>
    <row r="204" spans="1:39" x14ac:dyDescent="0.25">
      <c r="A204" s="2" t="s">
        <v>57</v>
      </c>
      <c r="B204" t="s">
        <v>46</v>
      </c>
      <c r="C204">
        <v>18</v>
      </c>
      <c r="D204">
        <v>7.2</v>
      </c>
      <c r="E204">
        <v>34</v>
      </c>
      <c r="F204">
        <v>8</v>
      </c>
      <c r="G204" s="1"/>
      <c r="H204" s="2">
        <v>4503.165</v>
      </c>
      <c r="I204">
        <v>20.57</v>
      </c>
      <c r="J204">
        <v>87.69</v>
      </c>
      <c r="K204">
        <v>1.1299999999999999</v>
      </c>
      <c r="L204" s="78">
        <v>0</v>
      </c>
      <c r="M204">
        <v>32.6</v>
      </c>
      <c r="N204">
        <v>2.25</v>
      </c>
      <c r="O204">
        <v>7.31</v>
      </c>
      <c r="P204" s="2">
        <v>21.71</v>
      </c>
      <c r="Q204">
        <v>2.0699999999999998</v>
      </c>
      <c r="R204">
        <v>7.0000000000000007E-2</v>
      </c>
      <c r="S204">
        <v>202.39</v>
      </c>
      <c r="T204">
        <v>37.78</v>
      </c>
      <c r="U204">
        <f t="shared" si="33"/>
        <v>3.2800000000000011</v>
      </c>
      <c r="V204">
        <f t="shared" si="35"/>
        <v>0.10855000000000001</v>
      </c>
      <c r="W204">
        <f t="shared" si="41"/>
        <v>0.10726814565937054</v>
      </c>
      <c r="X204">
        <f t="shared" si="42"/>
        <v>1.0227778052275311E-2</v>
      </c>
      <c r="Y204" s="3">
        <f t="shared" si="43"/>
        <v>0.84000000000000008</v>
      </c>
      <c r="Z204">
        <v>34</v>
      </c>
      <c r="AA204">
        <v>7.2</v>
      </c>
      <c r="AB204">
        <v>50</v>
      </c>
      <c r="AC204" s="31">
        <v>4.0000000000000002E-4</v>
      </c>
      <c r="AD204" s="31">
        <f t="shared" si="36"/>
        <v>9.9915895199999993E-2</v>
      </c>
      <c r="AE204" s="31">
        <f t="shared" si="34"/>
        <v>2.5928179199999999</v>
      </c>
      <c r="AF204">
        <v>200</v>
      </c>
      <c r="AG204" s="2">
        <v>1E-3</v>
      </c>
      <c r="AH204">
        <v>1.7083296313655801E-2</v>
      </c>
      <c r="AI204" s="74">
        <v>9.9999999999999995E-8</v>
      </c>
      <c r="AJ204">
        <f t="shared" si="37"/>
        <v>0</v>
      </c>
      <c r="AK204">
        <f t="shared" si="38"/>
        <v>0.1440620142050332</v>
      </c>
      <c r="AL204" s="3">
        <f t="shared" si="39"/>
        <v>2.0238999999999997E-5</v>
      </c>
      <c r="AM204" s="3">
        <f t="shared" si="40"/>
        <v>0.1440620142050332</v>
      </c>
    </row>
    <row r="205" spans="1:39" x14ac:dyDescent="0.25">
      <c r="A205" s="2" t="s">
        <v>58</v>
      </c>
      <c r="B205" t="s">
        <v>51</v>
      </c>
      <c r="C205">
        <v>18</v>
      </c>
      <c r="D205">
        <v>7.1</v>
      </c>
      <c r="E205">
        <v>32.999999999999993</v>
      </c>
      <c r="F205">
        <v>8</v>
      </c>
      <c r="G205" s="1"/>
      <c r="H205" s="2">
        <v>4726.0200000000004</v>
      </c>
      <c r="I205">
        <v>19.52</v>
      </c>
      <c r="J205">
        <v>86.08</v>
      </c>
      <c r="K205">
        <v>1.01</v>
      </c>
      <c r="L205">
        <v>331</v>
      </c>
      <c r="M205">
        <v>31.1</v>
      </c>
      <c r="N205">
        <v>3.35</v>
      </c>
      <c r="O205">
        <v>7.31</v>
      </c>
      <c r="P205" s="2">
        <v>16.91</v>
      </c>
      <c r="Q205">
        <v>4.6399999999999997</v>
      </c>
      <c r="R205">
        <v>0.1</v>
      </c>
      <c r="S205">
        <v>208.31</v>
      </c>
      <c r="T205">
        <v>36.979999999999997</v>
      </c>
      <c r="U205">
        <f t="shared" si="33"/>
        <v>3.279999999999994</v>
      </c>
      <c r="V205">
        <f t="shared" si="35"/>
        <v>8.455E-2</v>
      </c>
      <c r="W205">
        <f t="shared" si="41"/>
        <v>8.1177091834285439E-2</v>
      </c>
      <c r="X205">
        <f t="shared" si="42"/>
        <v>2.2274494743411262E-2</v>
      </c>
      <c r="Y205" s="3">
        <f t="shared" si="43"/>
        <v>1.2000000000000002</v>
      </c>
      <c r="Z205">
        <v>34</v>
      </c>
      <c r="AA205">
        <v>7.2</v>
      </c>
      <c r="AB205">
        <v>50</v>
      </c>
      <c r="AC205" s="31">
        <v>4.0000000000000002E-4</v>
      </c>
      <c r="AD205" s="31">
        <f t="shared" si="36"/>
        <v>9.7589068799999998E-2</v>
      </c>
      <c r="AE205" s="31">
        <f t="shared" si="34"/>
        <v>2.3783325696000004</v>
      </c>
      <c r="AF205">
        <v>200</v>
      </c>
      <c r="AG205" s="2">
        <v>1.0000000017913999E-3</v>
      </c>
      <c r="AJ205">
        <f t="shared" si="37"/>
        <v>0</v>
      </c>
      <c r="AK205">
        <f t="shared" si="38"/>
        <v>0</v>
      </c>
      <c r="AL205" s="3">
        <f t="shared" si="39"/>
        <v>0</v>
      </c>
      <c r="AM205" s="3">
        <f t="shared" si="40"/>
        <v>0</v>
      </c>
    </row>
    <row r="206" spans="1:39" x14ac:dyDescent="0.25">
      <c r="A206" s="2" t="s">
        <v>59</v>
      </c>
      <c r="B206" t="s">
        <v>46</v>
      </c>
      <c r="C206">
        <v>15</v>
      </c>
      <c r="D206">
        <v>7.1</v>
      </c>
      <c r="E206">
        <v>32.999999999999993</v>
      </c>
      <c r="F206">
        <v>8</v>
      </c>
      <c r="G206" s="1"/>
      <c r="H206" s="2">
        <v>4117.47</v>
      </c>
      <c r="I206">
        <v>19.57</v>
      </c>
      <c r="J206">
        <v>88.52</v>
      </c>
      <c r="K206">
        <v>1.52</v>
      </c>
      <c r="L206" s="78">
        <v>0</v>
      </c>
      <c r="M206">
        <v>30.9</v>
      </c>
      <c r="N206">
        <v>2.12</v>
      </c>
      <c r="O206">
        <v>7.31</v>
      </c>
      <c r="P206" s="2">
        <v>19.41</v>
      </c>
      <c r="Q206">
        <v>2.78</v>
      </c>
      <c r="R206">
        <v>0.14000000000000001</v>
      </c>
      <c r="S206">
        <v>202.9</v>
      </c>
      <c r="T206">
        <v>24.98</v>
      </c>
      <c r="U206">
        <f t="shared" si="33"/>
        <v>3.2800000000000011</v>
      </c>
      <c r="V206">
        <f t="shared" si="35"/>
        <v>9.7049999999999997E-2</v>
      </c>
      <c r="W206">
        <f t="shared" si="41"/>
        <v>9.5662888122227702E-2</v>
      </c>
      <c r="X206">
        <f t="shared" si="42"/>
        <v>1.3701330704780679E-2</v>
      </c>
      <c r="Y206" s="3">
        <f t="shared" si="43"/>
        <v>1.6800000000000002</v>
      </c>
      <c r="Z206">
        <v>34</v>
      </c>
      <c r="AA206">
        <v>7.2</v>
      </c>
      <c r="AB206">
        <v>50</v>
      </c>
      <c r="AC206" s="31">
        <v>4.0000000000000002E-4</v>
      </c>
      <c r="AD206" s="31">
        <f t="shared" si="36"/>
        <v>9.5298071999999998E-2</v>
      </c>
      <c r="AE206" s="31">
        <f t="shared" si="34"/>
        <v>2.4209383680000003</v>
      </c>
      <c r="AF206">
        <v>200</v>
      </c>
      <c r="AG206" s="2">
        <v>1E-3</v>
      </c>
      <c r="AH206">
        <v>1.6559944231810401E-2</v>
      </c>
      <c r="AI206" s="74">
        <v>9.9999999999999995E-8</v>
      </c>
      <c r="AJ206">
        <f t="shared" si="37"/>
        <v>0</v>
      </c>
      <c r="AK206">
        <f t="shared" si="38"/>
        <v>0.14000052852643044</v>
      </c>
      <c r="AL206" s="3">
        <f t="shared" si="39"/>
        <v>2.0290000000000001E-5</v>
      </c>
      <c r="AM206" s="3">
        <f t="shared" si="40"/>
        <v>0.14000052852643044</v>
      </c>
    </row>
    <row r="207" spans="1:39" x14ac:dyDescent="0.25">
      <c r="A207" s="2" t="s">
        <v>60</v>
      </c>
      <c r="B207" t="s">
        <v>49</v>
      </c>
      <c r="C207">
        <v>15</v>
      </c>
      <c r="D207">
        <v>7.1</v>
      </c>
      <c r="E207">
        <v>32.999999999999993</v>
      </c>
      <c r="F207">
        <v>8</v>
      </c>
      <c r="G207" s="1"/>
      <c r="H207" s="2">
        <v>4643.8500000000004</v>
      </c>
      <c r="I207">
        <v>19.28</v>
      </c>
      <c r="J207">
        <v>86.95</v>
      </c>
      <c r="K207">
        <v>1.31</v>
      </c>
      <c r="L207">
        <v>325</v>
      </c>
      <c r="M207">
        <v>35.9</v>
      </c>
      <c r="N207">
        <v>0.19</v>
      </c>
      <c r="O207">
        <v>7.32</v>
      </c>
      <c r="P207" s="2">
        <v>18.149999999999999</v>
      </c>
      <c r="Q207">
        <v>5.95</v>
      </c>
      <c r="R207">
        <v>0.02</v>
      </c>
      <c r="S207">
        <v>202.37</v>
      </c>
      <c r="T207">
        <v>24.98</v>
      </c>
      <c r="U207">
        <f t="shared" si="33"/>
        <v>3.2800000000000011</v>
      </c>
      <c r="V207">
        <f t="shared" si="35"/>
        <v>9.0749999999999997E-2</v>
      </c>
      <c r="W207">
        <f t="shared" si="41"/>
        <v>8.9687206601769029E-2</v>
      </c>
      <c r="X207">
        <f t="shared" si="42"/>
        <v>2.940159114493255E-2</v>
      </c>
      <c r="Y207" s="3">
        <f t="shared" si="43"/>
        <v>0.24</v>
      </c>
      <c r="Z207">
        <v>34</v>
      </c>
      <c r="AA207">
        <v>7.2</v>
      </c>
      <c r="AB207">
        <v>50</v>
      </c>
      <c r="AC207" s="31">
        <v>4.0000000000000002E-4</v>
      </c>
      <c r="AD207" s="31">
        <f t="shared" si="36"/>
        <v>9.3640646400000013E-2</v>
      </c>
      <c r="AE207" s="31">
        <f t="shared" si="34"/>
        <v>2.4813867456000001</v>
      </c>
      <c r="AF207">
        <v>200</v>
      </c>
      <c r="AG207" s="2">
        <v>1E-3</v>
      </c>
      <c r="AJ207">
        <f t="shared" si="37"/>
        <v>8.3333333333333332E-3</v>
      </c>
      <c r="AK207">
        <f t="shared" si="38"/>
        <v>0</v>
      </c>
      <c r="AL207" s="3">
        <f t="shared" si="39"/>
        <v>0</v>
      </c>
      <c r="AM207" s="3">
        <f t="shared" si="40"/>
        <v>8.3333333333333332E-3</v>
      </c>
    </row>
    <row r="208" spans="1:39" x14ac:dyDescent="0.25">
      <c r="A208" s="2" t="s">
        <v>61</v>
      </c>
      <c r="B208" t="s">
        <v>46</v>
      </c>
      <c r="C208">
        <v>15</v>
      </c>
      <c r="D208">
        <v>7.3</v>
      </c>
      <c r="E208">
        <v>35</v>
      </c>
      <c r="F208">
        <v>8</v>
      </c>
      <c r="G208" s="1"/>
      <c r="H208" s="2">
        <v>4672.1400000000003</v>
      </c>
      <c r="I208">
        <v>23</v>
      </c>
      <c r="J208">
        <v>90.14</v>
      </c>
      <c r="K208">
        <v>1.34</v>
      </c>
      <c r="L208" s="78">
        <v>0</v>
      </c>
      <c r="M208">
        <v>28.4</v>
      </c>
      <c r="N208">
        <v>2.31</v>
      </c>
      <c r="O208">
        <v>7.3</v>
      </c>
      <c r="P208" s="2">
        <v>21.69</v>
      </c>
      <c r="Q208">
        <v>1.72</v>
      </c>
      <c r="R208">
        <v>0.05</v>
      </c>
      <c r="S208">
        <v>200.52</v>
      </c>
      <c r="T208">
        <v>25.95</v>
      </c>
      <c r="U208">
        <f t="shared" si="33"/>
        <v>3.2699999999999996</v>
      </c>
      <c r="V208">
        <f t="shared" si="35"/>
        <v>0.10845</v>
      </c>
      <c r="W208">
        <f t="shared" si="41"/>
        <v>0.10816876122082586</v>
      </c>
      <c r="X208">
        <f t="shared" si="42"/>
        <v>8.5776979852383792E-3</v>
      </c>
      <c r="Y208" s="3">
        <f t="shared" si="43"/>
        <v>0.60000000000000009</v>
      </c>
      <c r="Z208">
        <v>34</v>
      </c>
      <c r="AA208">
        <v>7.2</v>
      </c>
      <c r="AB208">
        <v>50</v>
      </c>
      <c r="AC208" s="31">
        <v>4.0000000000000002E-4</v>
      </c>
      <c r="AD208" s="31">
        <f t="shared" si="36"/>
        <v>0.11068704</v>
      </c>
      <c r="AE208" s="31">
        <f t="shared" si="34"/>
        <v>2.5617513600000001</v>
      </c>
      <c r="AF208">
        <v>200</v>
      </c>
      <c r="AG208" s="2">
        <v>1.0000004317363999E-3</v>
      </c>
      <c r="AH208">
        <v>1.7213758315845502E-2</v>
      </c>
      <c r="AI208" s="74">
        <v>9.9999999999999995E-8</v>
      </c>
      <c r="AJ208">
        <f t="shared" si="37"/>
        <v>0</v>
      </c>
      <c r="AK208">
        <f t="shared" si="38"/>
        <v>0.14382095072888917</v>
      </c>
      <c r="AL208" s="3">
        <f t="shared" si="39"/>
        <v>2.0052E-5</v>
      </c>
      <c r="AM208" s="3">
        <f t="shared" si="40"/>
        <v>0.14382095072888917</v>
      </c>
    </row>
    <row r="209" spans="1:39" x14ac:dyDescent="0.25">
      <c r="A209" s="2" t="s">
        <v>62</v>
      </c>
      <c r="B209" t="s">
        <v>49</v>
      </c>
      <c r="C209">
        <v>18</v>
      </c>
      <c r="D209">
        <v>7.2</v>
      </c>
      <c r="E209">
        <v>34</v>
      </c>
      <c r="F209">
        <v>8</v>
      </c>
      <c r="G209" s="1"/>
      <c r="H209" s="2">
        <v>4679.3549999999996</v>
      </c>
      <c r="I209">
        <v>20.059999999999999</v>
      </c>
      <c r="J209">
        <v>87.1</v>
      </c>
      <c r="K209">
        <v>1</v>
      </c>
      <c r="L209" s="78">
        <v>0</v>
      </c>
      <c r="M209">
        <v>37.799999999999997</v>
      </c>
      <c r="N209">
        <v>1.23</v>
      </c>
      <c r="O209">
        <v>7.33</v>
      </c>
      <c r="P209" s="2">
        <v>15.37</v>
      </c>
      <c r="Q209">
        <v>5.74</v>
      </c>
      <c r="R209">
        <v>0.02</v>
      </c>
      <c r="S209">
        <v>199.76</v>
      </c>
      <c r="T209">
        <v>37.950000000000003</v>
      </c>
      <c r="U209">
        <f t="shared" si="33"/>
        <v>3.2700000000000031</v>
      </c>
      <c r="V209">
        <f t="shared" si="35"/>
        <v>7.6850000000000002E-2</v>
      </c>
      <c r="W209">
        <f t="shared" si="41"/>
        <v>7.6942330796956351E-2</v>
      </c>
      <c r="X209">
        <f t="shared" si="42"/>
        <v>2.8734481377653186E-2</v>
      </c>
      <c r="Y209" s="3">
        <f t="shared" si="43"/>
        <v>0.24</v>
      </c>
      <c r="Z209">
        <v>34</v>
      </c>
      <c r="AA209">
        <v>7.2</v>
      </c>
      <c r="AB209">
        <v>50</v>
      </c>
      <c r="AC209" s="31">
        <v>4.0000000000000002E-4</v>
      </c>
      <c r="AD209" s="31">
        <f t="shared" si="36"/>
        <v>9.6172454399999996E-2</v>
      </c>
      <c r="AE209" s="31">
        <f t="shared" si="34"/>
        <v>2.4307216128000002</v>
      </c>
      <c r="AF209">
        <v>200</v>
      </c>
      <c r="AG209" s="2">
        <v>1E-3</v>
      </c>
      <c r="AJ209">
        <f t="shared" si="37"/>
        <v>8.3333333333333332E-3</v>
      </c>
      <c r="AK209">
        <f t="shared" si="38"/>
        <v>0</v>
      </c>
      <c r="AL209" s="3">
        <f t="shared" si="39"/>
        <v>0</v>
      </c>
      <c r="AM209" s="3">
        <f t="shared" si="40"/>
        <v>8.3333333333333332E-3</v>
      </c>
    </row>
    <row r="210" spans="1:39" x14ac:dyDescent="0.25">
      <c r="A210" s="2" t="s">
        <v>63</v>
      </c>
      <c r="B210" t="s">
        <v>51</v>
      </c>
      <c r="C210">
        <v>12</v>
      </c>
      <c r="D210">
        <v>7.1</v>
      </c>
      <c r="E210">
        <v>32.999999999999993</v>
      </c>
      <c r="F210">
        <v>8</v>
      </c>
      <c r="G210" s="1"/>
      <c r="H210" s="2">
        <v>3908.7049999999999</v>
      </c>
      <c r="I210">
        <v>17</v>
      </c>
      <c r="J210">
        <v>90.53</v>
      </c>
      <c r="K210">
        <v>1.56</v>
      </c>
      <c r="L210" s="78">
        <v>0</v>
      </c>
      <c r="M210">
        <v>38</v>
      </c>
      <c r="N210">
        <v>2.41</v>
      </c>
      <c r="O210">
        <v>7.3</v>
      </c>
      <c r="P210" s="2">
        <v>13.79</v>
      </c>
      <c r="Q210">
        <v>3.94</v>
      </c>
      <c r="R210">
        <v>0.08</v>
      </c>
      <c r="S210">
        <v>197.72</v>
      </c>
      <c r="T210">
        <v>25.78</v>
      </c>
      <c r="U210">
        <f t="shared" si="33"/>
        <v>3.2800000000000011</v>
      </c>
      <c r="V210">
        <f>P210/AF210</f>
        <v>6.8949999999999997E-2</v>
      </c>
      <c r="W210">
        <f t="shared" si="41"/>
        <v>6.9745094072425642E-2</v>
      </c>
      <c r="X210">
        <f t="shared" si="42"/>
        <v>1.9927169734978756E-2</v>
      </c>
      <c r="Y210" s="3">
        <f t="shared" si="43"/>
        <v>0.96</v>
      </c>
      <c r="Z210">
        <v>34</v>
      </c>
      <c r="AA210">
        <v>7.2</v>
      </c>
      <c r="AB210">
        <v>50</v>
      </c>
      <c r="AC210" s="31">
        <v>4.0000000000000002E-4</v>
      </c>
      <c r="AD210" s="31">
        <f t="shared" si="36"/>
        <v>8.0669760000000007E-2</v>
      </c>
      <c r="AE210" s="31">
        <f t="shared" si="34"/>
        <v>2.0930526719999998</v>
      </c>
      <c r="AF210">
        <v>200</v>
      </c>
      <c r="AG210" s="2">
        <v>7.5232839682831997E-3</v>
      </c>
      <c r="AJ210">
        <f t="shared" si="37"/>
        <v>0</v>
      </c>
      <c r="AK210">
        <f t="shared" si="38"/>
        <v>0</v>
      </c>
      <c r="AL210" s="3">
        <f t="shared" si="39"/>
        <v>0</v>
      </c>
      <c r="AM210" s="3">
        <f t="shared" si="40"/>
        <v>0</v>
      </c>
    </row>
    <row r="211" spans="1:39" x14ac:dyDescent="0.25">
      <c r="A211" s="2" t="s">
        <v>64</v>
      </c>
      <c r="B211" t="s">
        <v>46</v>
      </c>
      <c r="C211">
        <v>12</v>
      </c>
      <c r="D211">
        <v>7.1</v>
      </c>
      <c r="E211">
        <v>32.999999999999993</v>
      </c>
      <c r="F211">
        <v>8</v>
      </c>
      <c r="G211" s="1"/>
      <c r="H211" s="2">
        <v>4085.31</v>
      </c>
      <c r="I211">
        <v>18.239999999999998</v>
      </c>
      <c r="J211">
        <v>89.29</v>
      </c>
      <c r="K211">
        <v>1.57</v>
      </c>
      <c r="L211">
        <v>343</v>
      </c>
      <c r="M211">
        <v>28.1</v>
      </c>
      <c r="N211">
        <v>3.33</v>
      </c>
      <c r="O211">
        <v>7.25</v>
      </c>
      <c r="P211" s="2">
        <v>20.48</v>
      </c>
      <c r="Q211">
        <v>2.64</v>
      </c>
      <c r="R211">
        <v>0.04</v>
      </c>
      <c r="S211">
        <v>200.45</v>
      </c>
      <c r="T211">
        <v>25.78</v>
      </c>
      <c r="U211">
        <f t="shared" si="33"/>
        <v>3.2800000000000011</v>
      </c>
      <c r="V211">
        <f t="shared" si="35"/>
        <v>0.1024</v>
      </c>
      <c r="W211">
        <f t="shared" si="41"/>
        <v>0.10217011723621852</v>
      </c>
      <c r="X211">
        <f t="shared" si="42"/>
        <v>1.3170366674981294E-2</v>
      </c>
      <c r="Y211" s="3">
        <f t="shared" si="43"/>
        <v>0.48</v>
      </c>
      <c r="Z211">
        <v>34</v>
      </c>
      <c r="AA211">
        <v>7.2</v>
      </c>
      <c r="AB211">
        <v>50</v>
      </c>
      <c r="AC211" s="31">
        <v>4.0000000000000002E-4</v>
      </c>
      <c r="AD211" s="31">
        <f t="shared" si="36"/>
        <v>8.7748991999999984E-2</v>
      </c>
      <c r="AE211" s="31">
        <f t="shared" si="34"/>
        <v>2.35496448</v>
      </c>
      <c r="AF211">
        <v>200</v>
      </c>
      <c r="AG211" s="2">
        <v>1.0000000002101E-3</v>
      </c>
      <c r="AH211">
        <v>1.73369278359722E-2</v>
      </c>
      <c r="AI211" s="74">
        <v>9.9999999999999995E-8</v>
      </c>
      <c r="AJ211">
        <f t="shared" si="37"/>
        <v>0</v>
      </c>
      <c r="AK211">
        <f t="shared" si="38"/>
        <v>0.14479946603002614</v>
      </c>
      <c r="AL211" s="3">
        <f t="shared" si="39"/>
        <v>2.0044999999999999E-5</v>
      </c>
      <c r="AM211" s="3">
        <f t="shared" si="40"/>
        <v>0.14479946603002614</v>
      </c>
    </row>
    <row r="212" spans="1:39" x14ac:dyDescent="0.25">
      <c r="A212" s="2" t="s">
        <v>65</v>
      </c>
      <c r="B212" t="s">
        <v>49</v>
      </c>
      <c r="C212">
        <v>15</v>
      </c>
      <c r="D212">
        <v>7.3</v>
      </c>
      <c r="E212">
        <v>35</v>
      </c>
      <c r="F212">
        <v>8</v>
      </c>
      <c r="G212" s="1"/>
      <c r="H212" s="2">
        <v>4629.3049999999994</v>
      </c>
      <c r="I212">
        <v>20.72</v>
      </c>
      <c r="J212">
        <v>88.18</v>
      </c>
      <c r="K212">
        <v>1.42</v>
      </c>
      <c r="L212">
        <v>326</v>
      </c>
      <c r="M212">
        <v>35</v>
      </c>
      <c r="N212">
        <v>0.47</v>
      </c>
      <c r="O212">
        <v>7.31</v>
      </c>
      <c r="P212" s="2">
        <v>17.43</v>
      </c>
      <c r="Q212">
        <v>6.93</v>
      </c>
      <c r="R212">
        <v>0.02</v>
      </c>
      <c r="S212">
        <v>201.08</v>
      </c>
      <c r="T212">
        <v>25.78</v>
      </c>
      <c r="U212">
        <f t="shared" si="33"/>
        <v>3.2800000000000011</v>
      </c>
      <c r="V212">
        <f t="shared" si="35"/>
        <v>8.7150000000000005E-2</v>
      </c>
      <c r="W212">
        <f t="shared" si="41"/>
        <v>8.6681917644718512E-2</v>
      </c>
      <c r="X212">
        <f t="shared" si="42"/>
        <v>3.4463894967177236E-2</v>
      </c>
      <c r="Y212" s="3">
        <f t="shared" si="43"/>
        <v>0.24</v>
      </c>
      <c r="Z212">
        <v>34</v>
      </c>
      <c r="AA212">
        <v>7.2</v>
      </c>
      <c r="AB212">
        <v>50</v>
      </c>
      <c r="AC212" s="31">
        <v>4.0000000000000002E-4</v>
      </c>
      <c r="AD212" s="31">
        <f t="shared" si="36"/>
        <v>9.9993062399999999E-2</v>
      </c>
      <c r="AE212" s="31">
        <f t="shared" si="34"/>
        <v>2.2986077183999996</v>
      </c>
      <c r="AF212">
        <v>200</v>
      </c>
      <c r="AG212" s="2">
        <v>1.0000000007913E-3</v>
      </c>
      <c r="AJ212">
        <f t="shared" si="37"/>
        <v>8.3333333399274994E-3</v>
      </c>
      <c r="AK212">
        <f t="shared" si="38"/>
        <v>0</v>
      </c>
      <c r="AL212" s="3">
        <f t="shared" si="39"/>
        <v>0</v>
      </c>
      <c r="AM212" s="3">
        <f t="shared" si="40"/>
        <v>8.3333333399274994E-3</v>
      </c>
    </row>
    <row r="213" spans="1:39" x14ac:dyDescent="0.25">
      <c r="A213" s="2" t="s">
        <v>66</v>
      </c>
      <c r="B213" t="s">
        <v>46</v>
      </c>
      <c r="C213">
        <v>12</v>
      </c>
      <c r="D213">
        <v>7.2</v>
      </c>
      <c r="E213">
        <v>34</v>
      </c>
      <c r="F213">
        <v>8</v>
      </c>
      <c r="G213" s="1"/>
      <c r="H213" s="2">
        <v>4361.8950000000004</v>
      </c>
      <c r="I213">
        <v>20.260000000000002</v>
      </c>
      <c r="J213">
        <v>90.38</v>
      </c>
      <c r="K213">
        <v>1.27</v>
      </c>
      <c r="L213" s="78">
        <v>0</v>
      </c>
      <c r="M213">
        <v>31.4</v>
      </c>
      <c r="N213">
        <v>3.61</v>
      </c>
      <c r="O213">
        <v>7.27</v>
      </c>
      <c r="P213" s="2">
        <v>20.38</v>
      </c>
      <c r="Q213">
        <v>2.68</v>
      </c>
      <c r="R213">
        <v>0.04</v>
      </c>
      <c r="S213">
        <v>200.59</v>
      </c>
      <c r="T213">
        <v>26.58</v>
      </c>
      <c r="U213">
        <f t="shared" si="33"/>
        <v>3.2799999999999976</v>
      </c>
      <c r="V213">
        <f t="shared" si="35"/>
        <v>0.10189999999999999</v>
      </c>
      <c r="W213">
        <f t="shared" si="41"/>
        <v>0.10160027917642953</v>
      </c>
      <c r="X213">
        <f t="shared" si="42"/>
        <v>1.3360586270502019E-2</v>
      </c>
      <c r="Y213" s="3">
        <f t="shared" si="43"/>
        <v>0.48</v>
      </c>
      <c r="Z213">
        <v>34</v>
      </c>
      <c r="AA213">
        <v>7.2</v>
      </c>
      <c r="AB213">
        <v>50</v>
      </c>
      <c r="AC213" s="31">
        <v>4.0000000000000002E-4</v>
      </c>
      <c r="AD213" s="31">
        <f t="shared" si="36"/>
        <v>9.7534881600000026E-2</v>
      </c>
      <c r="AE213" s="31">
        <f t="shared" si="34"/>
        <v>2.5573492224000001</v>
      </c>
      <c r="AF213">
        <v>200</v>
      </c>
      <c r="AG213" s="2">
        <v>1.0000000042481999E-3</v>
      </c>
      <c r="AH213">
        <v>1.74120771298421E-2</v>
      </c>
      <c r="AI213" s="74">
        <v>9.9999999999999995E-8</v>
      </c>
      <c r="AJ213">
        <f t="shared" si="37"/>
        <v>0</v>
      </c>
      <c r="AK213">
        <f t="shared" si="38"/>
        <v>0.14552868964479279</v>
      </c>
      <c r="AL213" s="3">
        <f t="shared" si="39"/>
        <v>2.0058999999999999E-5</v>
      </c>
      <c r="AM213" s="3">
        <f t="shared" si="40"/>
        <v>0.14552868964479279</v>
      </c>
    </row>
    <row r="214" spans="1:39" x14ac:dyDescent="0.25">
      <c r="A214" s="2" t="s">
        <v>67</v>
      </c>
      <c r="B214" t="s">
        <v>49</v>
      </c>
      <c r="C214">
        <v>12</v>
      </c>
      <c r="D214">
        <v>7.1</v>
      </c>
      <c r="E214">
        <v>32.999999999999993</v>
      </c>
      <c r="F214">
        <v>8</v>
      </c>
      <c r="G214" s="1"/>
      <c r="H214" s="2">
        <v>4334.5200000000004</v>
      </c>
      <c r="I214">
        <v>19.05</v>
      </c>
      <c r="J214">
        <v>87.8</v>
      </c>
      <c r="K214">
        <v>1.77</v>
      </c>
      <c r="L214" s="78">
        <v>0</v>
      </c>
      <c r="M214">
        <v>29</v>
      </c>
      <c r="N214">
        <v>0.78</v>
      </c>
      <c r="O214">
        <v>7.3</v>
      </c>
      <c r="P214" s="2">
        <v>19.68</v>
      </c>
      <c r="Q214">
        <v>6.38</v>
      </c>
      <c r="R214">
        <v>0.02</v>
      </c>
      <c r="S214">
        <v>200.27</v>
      </c>
      <c r="T214">
        <v>25.78</v>
      </c>
      <c r="U214">
        <f t="shared" si="33"/>
        <v>3.2800000000000011</v>
      </c>
      <c r="V214">
        <f t="shared" si="35"/>
        <v>9.8400000000000001E-2</v>
      </c>
      <c r="W214">
        <f t="shared" si="41"/>
        <v>9.8267339092225486E-2</v>
      </c>
      <c r="X214">
        <f t="shared" si="42"/>
        <v>3.1856993059369849E-2</v>
      </c>
      <c r="Y214" s="3">
        <f t="shared" si="43"/>
        <v>0.24</v>
      </c>
      <c r="Z214">
        <v>34</v>
      </c>
      <c r="AA214">
        <v>7.2</v>
      </c>
      <c r="AB214">
        <v>50</v>
      </c>
      <c r="AC214" s="31">
        <v>4.0000000000000002E-4</v>
      </c>
      <c r="AD214" s="31">
        <f t="shared" si="36"/>
        <v>9.1563444000000008E-2</v>
      </c>
      <c r="AE214" s="31">
        <f t="shared" si="34"/>
        <v>2.2449645503999998</v>
      </c>
      <c r="AF214">
        <v>200</v>
      </c>
      <c r="AG214" s="2">
        <v>1.0000000002950999E-3</v>
      </c>
      <c r="AJ214">
        <f t="shared" si="37"/>
        <v>8.333333335792498E-3</v>
      </c>
      <c r="AK214">
        <f t="shared" si="38"/>
        <v>0</v>
      </c>
      <c r="AL214" s="3">
        <f t="shared" si="39"/>
        <v>0</v>
      </c>
      <c r="AM214" s="3">
        <f t="shared" si="40"/>
        <v>8.333333335792498E-3</v>
      </c>
    </row>
    <row r="215" spans="1:39" x14ac:dyDescent="0.25">
      <c r="A215" s="2" t="s">
        <v>68</v>
      </c>
      <c r="B215" t="s">
        <v>51</v>
      </c>
      <c r="C215">
        <v>12</v>
      </c>
      <c r="D215">
        <v>7.3</v>
      </c>
      <c r="E215">
        <v>35</v>
      </c>
      <c r="F215">
        <v>8</v>
      </c>
      <c r="G215" s="1"/>
      <c r="H215" s="2">
        <v>3946.44</v>
      </c>
      <c r="I215">
        <v>16.73</v>
      </c>
      <c r="J215">
        <v>89.89</v>
      </c>
      <c r="K215">
        <v>1.62</v>
      </c>
      <c r="L215" s="78">
        <v>0</v>
      </c>
      <c r="M215">
        <v>37.799999999999997</v>
      </c>
      <c r="N215">
        <v>3.02</v>
      </c>
      <c r="O215">
        <v>7.32</v>
      </c>
      <c r="P215" s="2">
        <v>13.07</v>
      </c>
      <c r="Q215">
        <v>5.4</v>
      </c>
      <c r="R215">
        <v>0.08</v>
      </c>
      <c r="S215">
        <v>197.6</v>
      </c>
      <c r="T215">
        <v>25.78</v>
      </c>
      <c r="U215">
        <f t="shared" si="33"/>
        <v>3.2800000000000011</v>
      </c>
      <c r="V215">
        <f t="shared" si="35"/>
        <v>6.5350000000000005E-2</v>
      </c>
      <c r="W215">
        <f t="shared" si="41"/>
        <v>6.6143724696356279E-2</v>
      </c>
      <c r="X215">
        <f t="shared" si="42"/>
        <v>2.7327935222672066E-2</v>
      </c>
      <c r="Y215" s="3">
        <f t="shared" si="43"/>
        <v>0.96</v>
      </c>
      <c r="Z215">
        <v>34</v>
      </c>
      <c r="AA215">
        <v>7.2</v>
      </c>
      <c r="AB215">
        <v>50</v>
      </c>
      <c r="AC215" s="31">
        <v>4.0000000000000002E-4</v>
      </c>
      <c r="AD215" s="31">
        <f t="shared" si="36"/>
        <v>7.9340352000000003E-2</v>
      </c>
      <c r="AE215" s="31">
        <f t="shared" si="34"/>
        <v>2.1092602752</v>
      </c>
      <c r="AF215">
        <v>200</v>
      </c>
      <c r="AG215" s="2">
        <v>1.9757521655335E-3</v>
      </c>
      <c r="AJ215">
        <f t="shared" si="37"/>
        <v>0</v>
      </c>
      <c r="AK215">
        <f t="shared" si="38"/>
        <v>0</v>
      </c>
      <c r="AL215" s="3">
        <f t="shared" si="39"/>
        <v>0</v>
      </c>
      <c r="AM215" s="3">
        <f t="shared" si="40"/>
        <v>0</v>
      </c>
    </row>
    <row r="216" spans="1:39" x14ac:dyDescent="0.25">
      <c r="A216" s="2" t="s">
        <v>69</v>
      </c>
      <c r="B216" t="s">
        <v>51</v>
      </c>
      <c r="C216">
        <v>15</v>
      </c>
      <c r="D216">
        <v>7.2</v>
      </c>
      <c r="E216">
        <v>34</v>
      </c>
      <c r="F216">
        <v>8</v>
      </c>
      <c r="G216" s="1"/>
      <c r="H216" s="2">
        <v>4365.33</v>
      </c>
      <c r="I216">
        <v>18.28</v>
      </c>
      <c r="J216">
        <v>89.84</v>
      </c>
      <c r="K216">
        <v>1.72</v>
      </c>
      <c r="L216" s="78">
        <v>0</v>
      </c>
      <c r="M216">
        <v>35.1</v>
      </c>
      <c r="N216">
        <v>2.64</v>
      </c>
      <c r="O216">
        <v>7.3</v>
      </c>
      <c r="P216" s="2">
        <v>14.98</v>
      </c>
      <c r="Q216">
        <v>4.7699999999999996</v>
      </c>
      <c r="R216">
        <v>0.09</v>
      </c>
      <c r="S216">
        <v>200.94</v>
      </c>
      <c r="T216">
        <v>24.98</v>
      </c>
      <c r="U216">
        <f t="shared" si="33"/>
        <v>3.2800000000000011</v>
      </c>
      <c r="V216">
        <f t="shared" si="35"/>
        <v>7.4900000000000008E-2</v>
      </c>
      <c r="W216">
        <f t="shared" si="41"/>
        <v>7.454961680103514E-2</v>
      </c>
      <c r="X216">
        <f t="shared" si="42"/>
        <v>2.3738429381905044E-2</v>
      </c>
      <c r="Y216" s="3">
        <f t="shared" si="43"/>
        <v>1.08</v>
      </c>
      <c r="Z216">
        <v>34</v>
      </c>
      <c r="AA216">
        <v>7.2</v>
      </c>
      <c r="AB216">
        <v>50</v>
      </c>
      <c r="AC216" s="31">
        <v>4.0000000000000002E-4</v>
      </c>
      <c r="AD216" s="31">
        <f t="shared" si="36"/>
        <v>8.8156396800000009E-2</v>
      </c>
      <c r="AE216" s="31">
        <f t="shared" si="34"/>
        <v>2.1999585599999998</v>
      </c>
      <c r="AF216">
        <v>200</v>
      </c>
      <c r="AG216" s="2">
        <v>3.9685696762302002E-3</v>
      </c>
      <c r="AJ216">
        <f t="shared" si="37"/>
        <v>0</v>
      </c>
      <c r="AK216">
        <f t="shared" si="38"/>
        <v>0</v>
      </c>
      <c r="AL216" s="3">
        <f t="shared" si="39"/>
        <v>0</v>
      </c>
      <c r="AM216" s="3">
        <f t="shared" si="40"/>
        <v>0</v>
      </c>
    </row>
    <row r="217" spans="1:39" x14ac:dyDescent="0.25">
      <c r="A217" s="2" t="s">
        <v>70</v>
      </c>
      <c r="B217" t="s">
        <v>51</v>
      </c>
      <c r="C217">
        <v>15</v>
      </c>
      <c r="D217">
        <v>7.2</v>
      </c>
      <c r="E217">
        <v>34</v>
      </c>
      <c r="F217">
        <v>8</v>
      </c>
      <c r="G217" s="1"/>
      <c r="H217" s="2">
        <v>4380.84</v>
      </c>
      <c r="I217">
        <v>19.93</v>
      </c>
      <c r="J217">
        <v>90.3</v>
      </c>
      <c r="K217">
        <v>1.41</v>
      </c>
      <c r="L217">
        <v>341</v>
      </c>
      <c r="M217">
        <v>30.4</v>
      </c>
      <c r="N217">
        <v>3.39</v>
      </c>
      <c r="O217">
        <v>7.31</v>
      </c>
      <c r="P217" s="2">
        <v>14.81</v>
      </c>
      <c r="Q217">
        <v>4.4000000000000004</v>
      </c>
      <c r="R217">
        <v>0.09</v>
      </c>
      <c r="S217">
        <v>198.52</v>
      </c>
      <c r="T217">
        <v>24.98</v>
      </c>
      <c r="U217">
        <f t="shared" si="33"/>
        <v>3.2800000000000011</v>
      </c>
      <c r="V217">
        <f t="shared" si="35"/>
        <v>7.4050000000000005E-2</v>
      </c>
      <c r="W217">
        <f t="shared" si="41"/>
        <v>7.4602055208543225E-2</v>
      </c>
      <c r="X217">
        <f t="shared" si="42"/>
        <v>2.2164013701390289E-2</v>
      </c>
      <c r="Y217" s="3">
        <f t="shared" si="43"/>
        <v>1.08</v>
      </c>
      <c r="Z217">
        <v>34</v>
      </c>
      <c r="AA217">
        <v>7.2</v>
      </c>
      <c r="AB217">
        <v>50</v>
      </c>
      <c r="AC217" s="31">
        <v>4.0000000000000002E-4</v>
      </c>
      <c r="AD217" s="31">
        <f t="shared" si="36"/>
        <v>9.49560864E-2</v>
      </c>
      <c r="AE217" s="31">
        <f t="shared" si="34"/>
        <v>2.2508263872000001</v>
      </c>
      <c r="AF217">
        <v>200</v>
      </c>
      <c r="AG217" s="2">
        <v>3.5894588917501002E-3</v>
      </c>
      <c r="AJ217">
        <f t="shared" si="37"/>
        <v>0</v>
      </c>
      <c r="AK217">
        <f t="shared" si="38"/>
        <v>0</v>
      </c>
      <c r="AL217" s="3">
        <f t="shared" si="39"/>
        <v>0</v>
      </c>
      <c r="AM217" s="3">
        <f t="shared" si="40"/>
        <v>0</v>
      </c>
    </row>
    <row r="218" spans="1:39" ht="15.75" thickBot="1" x14ac:dyDescent="0.3">
      <c r="A218" s="12" t="s">
        <v>71</v>
      </c>
      <c r="B218" s="13" t="s">
        <v>51</v>
      </c>
      <c r="C218" s="13">
        <v>15</v>
      </c>
      <c r="D218" s="13">
        <v>7.2</v>
      </c>
      <c r="E218" s="13">
        <v>34</v>
      </c>
      <c r="F218" s="13">
        <v>8</v>
      </c>
      <c r="G218" s="14"/>
      <c r="H218" s="12">
        <v>4027.125</v>
      </c>
      <c r="I218" s="13">
        <v>17.59</v>
      </c>
      <c r="J218" s="13">
        <v>87.1</v>
      </c>
      <c r="K218" s="13">
        <v>1.62</v>
      </c>
      <c r="L218" s="79">
        <v>2243</v>
      </c>
      <c r="M218" s="13">
        <v>33.5</v>
      </c>
      <c r="N218" s="13">
        <v>2.59</v>
      </c>
      <c r="O218" s="13">
        <v>7.3</v>
      </c>
      <c r="P218" s="12">
        <v>13.76</v>
      </c>
      <c r="Q218" s="13">
        <v>4.7</v>
      </c>
      <c r="R218" s="13">
        <v>0.08</v>
      </c>
      <c r="S218" s="13">
        <v>199.47</v>
      </c>
      <c r="T218" s="13">
        <v>24.98</v>
      </c>
      <c r="U218" s="13">
        <f t="shared" si="33"/>
        <v>3.2800000000000011</v>
      </c>
      <c r="V218" s="13">
        <f t="shared" si="35"/>
        <v>6.88E-2</v>
      </c>
      <c r="W218" s="13">
        <f t="shared" si="41"/>
        <v>6.8982804431744121E-2</v>
      </c>
      <c r="X218" s="13">
        <f t="shared" si="42"/>
        <v>2.3562440467238183E-2</v>
      </c>
      <c r="Y218" s="77">
        <f t="shared" si="43"/>
        <v>0.96</v>
      </c>
      <c r="Z218" s="13">
        <v>34</v>
      </c>
      <c r="AA218" s="13">
        <v>7.2</v>
      </c>
      <c r="AB218" s="13">
        <v>50</v>
      </c>
      <c r="AC218" s="36">
        <v>4.0000000000000002E-4</v>
      </c>
      <c r="AD218" s="36">
        <f t="shared" si="36"/>
        <v>8.4208255200000012E-2</v>
      </c>
      <c r="AE218" s="36">
        <f t="shared" si="34"/>
        <v>1.9251874943999998</v>
      </c>
      <c r="AF218" s="13">
        <v>200</v>
      </c>
      <c r="AG218" s="12">
        <v>1.1172884080812601E-2</v>
      </c>
      <c r="AH218" s="13"/>
      <c r="AI218" s="13"/>
      <c r="AJ218" s="13">
        <f t="shared" si="37"/>
        <v>0</v>
      </c>
      <c r="AK218" s="13">
        <f t="shared" si="38"/>
        <v>0</v>
      </c>
      <c r="AL218" s="77">
        <f t="shared" si="39"/>
        <v>0</v>
      </c>
      <c r="AM218" s="77">
        <f t="shared" si="40"/>
        <v>0</v>
      </c>
    </row>
    <row r="219" spans="1:39" x14ac:dyDescent="0.25">
      <c r="A219" t="s">
        <v>45</v>
      </c>
      <c r="B219" t="s">
        <v>46</v>
      </c>
      <c r="C219">
        <v>18</v>
      </c>
      <c r="D219">
        <v>7.1</v>
      </c>
      <c r="E219">
        <v>32.999999999999993</v>
      </c>
      <c r="F219">
        <v>9</v>
      </c>
      <c r="G219" s="1"/>
      <c r="I219">
        <v>18.12</v>
      </c>
      <c r="J219">
        <v>83.77</v>
      </c>
      <c r="K219">
        <v>1.1599999999999999</v>
      </c>
      <c r="M219">
        <v>30.2</v>
      </c>
      <c r="N219">
        <v>2.34</v>
      </c>
      <c r="O219">
        <v>7.3</v>
      </c>
      <c r="P219" s="2">
        <v>19.809999999999999</v>
      </c>
      <c r="Q219">
        <v>3.74</v>
      </c>
      <c r="R219">
        <v>0.09</v>
      </c>
      <c r="S219">
        <v>200.67</v>
      </c>
      <c r="T219">
        <v>41.5</v>
      </c>
      <c r="U219">
        <f t="shared" si="33"/>
        <v>2.75</v>
      </c>
      <c r="V219">
        <f t="shared" si="35"/>
        <v>9.9049999999999999E-2</v>
      </c>
      <c r="W219">
        <f t="shared" si="41"/>
        <v>9.8719290377236257E-2</v>
      </c>
      <c r="X219">
        <f t="shared" si="42"/>
        <v>1.8637564160063787E-2</v>
      </c>
      <c r="Y219" s="3">
        <f t="shared" si="43"/>
        <v>1.08</v>
      </c>
      <c r="Z219">
        <v>34</v>
      </c>
      <c r="AA219">
        <v>7.2</v>
      </c>
      <c r="AB219">
        <v>50</v>
      </c>
      <c r="AC219" s="31">
        <v>4.0000000000000002E-4</v>
      </c>
      <c r="AD219" s="31">
        <f t="shared" si="36"/>
        <v>8.7267369600000005E-2</v>
      </c>
      <c r="AE219" s="31">
        <f t="shared" si="34"/>
        <v>2.2714578432000003</v>
      </c>
      <c r="AF219">
        <v>200</v>
      </c>
      <c r="AG219" s="2">
        <v>2E-3</v>
      </c>
      <c r="AH219">
        <v>5.2753909999999999E-3</v>
      </c>
      <c r="AI219">
        <v>2.383689E-3</v>
      </c>
      <c r="AJ219">
        <f t="shared" si="37"/>
        <v>0</v>
      </c>
      <c r="AK219">
        <f t="shared" si="38"/>
        <v>4.4108862998749998E-2</v>
      </c>
      <c r="AL219" s="3">
        <f t="shared" si="39"/>
        <v>0.47833487162999999</v>
      </c>
      <c r="AM219" s="3">
        <f t="shared" si="40"/>
        <v>4.4108862998749998E-2</v>
      </c>
    </row>
    <row r="220" spans="1:39" x14ac:dyDescent="0.25">
      <c r="A220" t="s">
        <v>47</v>
      </c>
      <c r="B220" t="s">
        <v>46</v>
      </c>
      <c r="C220">
        <v>12</v>
      </c>
      <c r="D220">
        <v>7.3</v>
      </c>
      <c r="E220">
        <v>35</v>
      </c>
      <c r="F220">
        <v>9</v>
      </c>
      <c r="G220" s="1"/>
      <c r="I220">
        <v>19</v>
      </c>
      <c r="J220">
        <v>82.29</v>
      </c>
      <c r="K220">
        <v>1.37</v>
      </c>
      <c r="M220">
        <v>32.799999999999997</v>
      </c>
      <c r="N220">
        <v>2.2999999999999998</v>
      </c>
      <c r="O220">
        <v>7.3</v>
      </c>
      <c r="P220" s="2">
        <v>24.16</v>
      </c>
      <c r="Q220">
        <v>1.3</v>
      </c>
      <c r="R220">
        <v>0.14000000000000001</v>
      </c>
      <c r="S220">
        <v>200.33</v>
      </c>
      <c r="T220">
        <v>31.1</v>
      </c>
      <c r="U220">
        <f t="shared" ref="U220:U242" si="44">T220-T196</f>
        <v>2.75</v>
      </c>
      <c r="V220">
        <f t="shared" si="35"/>
        <v>0.1208</v>
      </c>
      <c r="W220">
        <f t="shared" si="41"/>
        <v>0.12060100833624519</v>
      </c>
      <c r="X220">
        <f t="shared" si="42"/>
        <v>6.4892926670992862E-3</v>
      </c>
      <c r="Y220" s="3">
        <f t="shared" si="43"/>
        <v>1.6800000000000002</v>
      </c>
      <c r="Z220">
        <v>34</v>
      </c>
      <c r="AA220">
        <v>7.2</v>
      </c>
      <c r="AB220">
        <v>50</v>
      </c>
      <c r="AC220" s="31">
        <v>4.0000000000000002E-4</v>
      </c>
      <c r="AD220" s="31">
        <f t="shared" si="36"/>
        <v>9.1350480000000012E-2</v>
      </c>
      <c r="AE220" s="31">
        <f t="shared" si="34"/>
        <v>2.2671001151999999</v>
      </c>
      <c r="AF220">
        <v>200</v>
      </c>
      <c r="AG220" s="2">
        <v>2E-3</v>
      </c>
      <c r="AH220">
        <v>2.41040265263148E-3</v>
      </c>
      <c r="AI220" s="74">
        <v>9.9999999999999995E-8</v>
      </c>
      <c r="AJ220">
        <f t="shared" si="37"/>
        <v>0</v>
      </c>
      <c r="AK220">
        <f t="shared" si="38"/>
        <v>2.0119831808402683E-2</v>
      </c>
      <c r="AL220" s="3">
        <f t="shared" si="39"/>
        <v>2.0032999999999999E-5</v>
      </c>
      <c r="AM220" s="3">
        <f t="shared" si="40"/>
        <v>2.0119831808402683E-2</v>
      </c>
    </row>
    <row r="221" spans="1:39" x14ac:dyDescent="0.25">
      <c r="A221" t="s">
        <v>48</v>
      </c>
      <c r="B221" t="s">
        <v>49</v>
      </c>
      <c r="C221">
        <v>12</v>
      </c>
      <c r="D221">
        <v>7.2</v>
      </c>
      <c r="E221">
        <v>34</v>
      </c>
      <c r="F221">
        <v>9</v>
      </c>
      <c r="G221" s="1"/>
      <c r="H221" s="2">
        <v>4742.07</v>
      </c>
      <c r="I221">
        <v>18.04</v>
      </c>
      <c r="J221">
        <v>83.41</v>
      </c>
      <c r="K221">
        <v>1.1200000000000001</v>
      </c>
      <c r="L221">
        <v>347</v>
      </c>
      <c r="M221">
        <v>39.700000000000003</v>
      </c>
      <c r="N221">
        <v>0.85</v>
      </c>
      <c r="O221">
        <v>7.31</v>
      </c>
      <c r="P221" s="2">
        <v>20.96</v>
      </c>
      <c r="Q221">
        <v>7.46</v>
      </c>
      <c r="R221">
        <v>0.01</v>
      </c>
      <c r="S221">
        <v>197.61</v>
      </c>
      <c r="T221">
        <v>31.1</v>
      </c>
      <c r="U221">
        <f t="shared" si="44"/>
        <v>2.75</v>
      </c>
      <c r="V221">
        <f t="shared" si="35"/>
        <v>0.1048</v>
      </c>
      <c r="W221">
        <f t="shared" si="41"/>
        <v>0.10606750670512625</v>
      </c>
      <c r="X221">
        <f t="shared" si="42"/>
        <v>3.7751125955164208E-2</v>
      </c>
      <c r="Y221" s="3">
        <f t="shared" si="43"/>
        <v>0.12</v>
      </c>
      <c r="Z221">
        <v>34</v>
      </c>
      <c r="AA221">
        <v>7.2</v>
      </c>
      <c r="AB221">
        <v>50</v>
      </c>
      <c r="AC221" s="31">
        <v>4.0000000000000002E-4</v>
      </c>
      <c r="AD221" s="31">
        <f t="shared" si="36"/>
        <v>8.5557225599999995E-2</v>
      </c>
      <c r="AE221" s="31">
        <f t="shared" si="34"/>
        <v>2.1507579072000005</v>
      </c>
      <c r="AF221">
        <v>200</v>
      </c>
      <c r="AG221" s="2">
        <v>2E-3</v>
      </c>
      <c r="AJ221">
        <f t="shared" si="37"/>
        <v>1.6666666666666666E-2</v>
      </c>
      <c r="AK221">
        <f t="shared" si="38"/>
        <v>0</v>
      </c>
      <c r="AL221" s="3">
        <f t="shared" si="39"/>
        <v>0</v>
      </c>
      <c r="AM221" s="3">
        <f t="shared" si="40"/>
        <v>1.6666666666666666E-2</v>
      </c>
    </row>
    <row r="222" spans="1:39" x14ac:dyDescent="0.25">
      <c r="A222" t="s">
        <v>50</v>
      </c>
      <c r="B222" t="s">
        <v>51</v>
      </c>
      <c r="C222">
        <v>18</v>
      </c>
      <c r="D222">
        <v>7.3</v>
      </c>
      <c r="E222">
        <v>35</v>
      </c>
      <c r="F222">
        <v>9</v>
      </c>
      <c r="G222" s="1"/>
      <c r="I222">
        <v>20.25</v>
      </c>
      <c r="J222">
        <v>84.68</v>
      </c>
      <c r="K222">
        <v>1.1399999999999999</v>
      </c>
      <c r="M222">
        <v>27.6</v>
      </c>
      <c r="N222">
        <v>2.31</v>
      </c>
      <c r="O222">
        <v>7.3</v>
      </c>
      <c r="P222" s="2">
        <v>18.7</v>
      </c>
      <c r="Q222">
        <v>5.57</v>
      </c>
      <c r="R222">
        <v>0.1</v>
      </c>
      <c r="S222">
        <v>196.64</v>
      </c>
      <c r="T222">
        <v>41.33</v>
      </c>
      <c r="U222">
        <f t="shared" si="44"/>
        <v>2.75</v>
      </c>
      <c r="V222">
        <f t="shared" si="35"/>
        <v>9.35E-2</v>
      </c>
      <c r="W222">
        <f t="shared" si="41"/>
        <v>9.5097640358014643E-2</v>
      </c>
      <c r="X222">
        <f t="shared" si="42"/>
        <v>2.8325874694873885E-2</v>
      </c>
      <c r="Y222" s="3">
        <f t="shared" si="43"/>
        <v>1.2000000000000002</v>
      </c>
      <c r="Z222">
        <v>34</v>
      </c>
      <c r="AA222">
        <v>7.2</v>
      </c>
      <c r="AB222">
        <v>50</v>
      </c>
      <c r="AC222" s="31">
        <v>4.0000000000000002E-4</v>
      </c>
      <c r="AD222" s="31">
        <f t="shared" si="36"/>
        <v>9.5567039999999978E-2</v>
      </c>
      <c r="AE222" s="31">
        <f t="shared" si="34"/>
        <v>2.1644602559999999</v>
      </c>
      <c r="AF222">
        <v>200</v>
      </c>
      <c r="AG222" s="2">
        <v>2E-3</v>
      </c>
      <c r="AJ222">
        <f t="shared" si="37"/>
        <v>0</v>
      </c>
      <c r="AK222">
        <f t="shared" si="38"/>
        <v>0</v>
      </c>
      <c r="AL222" s="3">
        <f t="shared" si="39"/>
        <v>0</v>
      </c>
      <c r="AM222" s="3">
        <f t="shared" si="40"/>
        <v>0</v>
      </c>
    </row>
    <row r="223" spans="1:39" x14ac:dyDescent="0.25">
      <c r="A223" t="s">
        <v>52</v>
      </c>
      <c r="B223" t="s">
        <v>49</v>
      </c>
      <c r="C223">
        <v>18</v>
      </c>
      <c r="D223">
        <v>7.3</v>
      </c>
      <c r="E223">
        <v>35</v>
      </c>
      <c r="F223">
        <v>9</v>
      </c>
      <c r="G223" s="1"/>
      <c r="H223" s="2">
        <v>5114.58</v>
      </c>
      <c r="I223">
        <v>18.36</v>
      </c>
      <c r="J223">
        <v>86.7</v>
      </c>
      <c r="K223">
        <v>1</v>
      </c>
      <c r="L223">
        <v>331</v>
      </c>
      <c r="M223">
        <v>34.200000000000003</v>
      </c>
      <c r="N223">
        <v>2.09</v>
      </c>
      <c r="O223">
        <v>7.31</v>
      </c>
      <c r="P223" s="2">
        <v>15.92</v>
      </c>
      <c r="Q223">
        <v>4.96</v>
      </c>
      <c r="R223">
        <v>0.05</v>
      </c>
      <c r="S223">
        <v>195.41</v>
      </c>
      <c r="T223">
        <v>42.3</v>
      </c>
      <c r="U223">
        <f t="shared" si="44"/>
        <v>2.75</v>
      </c>
      <c r="V223">
        <f t="shared" si="35"/>
        <v>7.9600000000000004E-2</v>
      </c>
      <c r="W223">
        <f t="shared" si="41"/>
        <v>8.1469730310628929E-2</v>
      </c>
      <c r="X223">
        <f t="shared" si="42"/>
        <v>2.5382529041502483E-2</v>
      </c>
      <c r="Y223" s="3">
        <f t="shared" si="43"/>
        <v>0.60000000000000009</v>
      </c>
      <c r="Z223">
        <v>34</v>
      </c>
      <c r="AA223">
        <v>7.2</v>
      </c>
      <c r="AB223">
        <v>50</v>
      </c>
      <c r="AC223" s="31">
        <v>4.0000000000000002E-4</v>
      </c>
      <c r="AD223" s="31">
        <f t="shared" si="36"/>
        <v>8.6105462399999985E-2</v>
      </c>
      <c r="AE223" s="31">
        <f t="shared" si="34"/>
        <v>2.3321346047999998</v>
      </c>
      <c r="AF223">
        <v>200</v>
      </c>
      <c r="AG223" s="2">
        <v>2.0000000000080999E-3</v>
      </c>
      <c r="AJ223">
        <f t="shared" si="37"/>
        <v>1.6666666666734168E-2</v>
      </c>
      <c r="AK223">
        <f t="shared" si="38"/>
        <v>0</v>
      </c>
      <c r="AL223" s="3">
        <f t="shared" si="39"/>
        <v>0</v>
      </c>
      <c r="AM223" s="3">
        <f t="shared" si="40"/>
        <v>1.6666666666734168E-2</v>
      </c>
    </row>
    <row r="224" spans="1:39" x14ac:dyDescent="0.25">
      <c r="A224" t="s">
        <v>53</v>
      </c>
      <c r="B224" t="s">
        <v>49</v>
      </c>
      <c r="C224">
        <v>12</v>
      </c>
      <c r="D224">
        <v>7.3</v>
      </c>
      <c r="E224">
        <v>35</v>
      </c>
      <c r="F224">
        <v>9</v>
      </c>
      <c r="G224" s="1"/>
      <c r="H224" s="2">
        <v>4932.03</v>
      </c>
      <c r="I224">
        <v>19.96</v>
      </c>
      <c r="J224">
        <v>80.95</v>
      </c>
      <c r="K224">
        <v>0.98</v>
      </c>
      <c r="L224">
        <v>350</v>
      </c>
      <c r="M224">
        <v>38.9</v>
      </c>
      <c r="N224">
        <v>0.41</v>
      </c>
      <c r="O224">
        <v>7.33</v>
      </c>
      <c r="P224" s="2">
        <v>22.99</v>
      </c>
      <c r="Q224">
        <v>7.48</v>
      </c>
      <c r="R224">
        <v>0.01</v>
      </c>
      <c r="S224">
        <v>197.3</v>
      </c>
      <c r="T224">
        <v>30.93</v>
      </c>
      <c r="U224">
        <f t="shared" si="44"/>
        <v>2.75</v>
      </c>
      <c r="V224">
        <f t="shared" si="35"/>
        <v>0.11495</v>
      </c>
      <c r="W224">
        <f t="shared" si="41"/>
        <v>0.116523061327927</v>
      </c>
      <c r="X224">
        <f t="shared" si="42"/>
        <v>3.7911809427268121E-2</v>
      </c>
      <c r="Y224" s="3">
        <f t="shared" si="43"/>
        <v>0.12</v>
      </c>
      <c r="Z224">
        <v>34</v>
      </c>
      <c r="AA224">
        <v>7.2</v>
      </c>
      <c r="AB224">
        <v>50</v>
      </c>
      <c r="AC224" s="31">
        <v>4.0000000000000002E-4</v>
      </c>
      <c r="AD224" s="31">
        <f t="shared" si="36"/>
        <v>9.4514592000000008E-2</v>
      </c>
      <c r="AE224" s="31">
        <f t="shared" si="34"/>
        <v>2.2951361664000003</v>
      </c>
      <c r="AF224">
        <v>200</v>
      </c>
      <c r="AG224" s="2">
        <v>2E-3</v>
      </c>
      <c r="AJ224">
        <f t="shared" si="37"/>
        <v>1.6666666666666666E-2</v>
      </c>
      <c r="AK224">
        <f t="shared" si="38"/>
        <v>0</v>
      </c>
      <c r="AL224" s="3">
        <f t="shared" si="39"/>
        <v>0</v>
      </c>
      <c r="AM224" s="3">
        <f t="shared" si="40"/>
        <v>1.6666666666666666E-2</v>
      </c>
    </row>
    <row r="225" spans="1:39" x14ac:dyDescent="0.25">
      <c r="A225" t="s">
        <v>54</v>
      </c>
      <c r="B225" t="s">
        <v>46</v>
      </c>
      <c r="C225">
        <v>18</v>
      </c>
      <c r="D225">
        <v>7.3</v>
      </c>
      <c r="E225">
        <v>35</v>
      </c>
      <c r="F225">
        <v>9</v>
      </c>
      <c r="G225" s="1"/>
      <c r="I225">
        <v>21.76</v>
      </c>
      <c r="J225">
        <v>85.44</v>
      </c>
      <c r="K225">
        <v>1.17</v>
      </c>
      <c r="M225">
        <v>29.5</v>
      </c>
      <c r="N225">
        <v>1.36</v>
      </c>
      <c r="O225">
        <v>7.3</v>
      </c>
      <c r="P225" s="2">
        <v>22.66</v>
      </c>
      <c r="Q225">
        <v>2.86</v>
      </c>
      <c r="R225">
        <v>0.14000000000000001</v>
      </c>
      <c r="S225">
        <v>201.99</v>
      </c>
      <c r="T225">
        <v>40.53</v>
      </c>
      <c r="U225">
        <f t="shared" si="44"/>
        <v>2.75</v>
      </c>
      <c r="V225">
        <f t="shared" si="35"/>
        <v>0.1133</v>
      </c>
      <c r="W225">
        <f t="shared" si="41"/>
        <v>0.11218377147383533</v>
      </c>
      <c r="X225">
        <f t="shared" si="42"/>
        <v>1.4159116787959799E-2</v>
      </c>
      <c r="Y225" s="3">
        <f t="shared" si="43"/>
        <v>1.6800000000000002</v>
      </c>
      <c r="Z225">
        <v>34</v>
      </c>
      <c r="AA225">
        <v>7.2</v>
      </c>
      <c r="AB225">
        <v>50</v>
      </c>
      <c r="AC225" s="31">
        <v>4.0000000000000002E-4</v>
      </c>
      <c r="AD225" s="31">
        <f t="shared" si="36"/>
        <v>0.10548725760000002</v>
      </c>
      <c r="AE225" s="31">
        <f t="shared" si="34"/>
        <v>2.5601891327999997</v>
      </c>
      <c r="AF225">
        <v>200</v>
      </c>
      <c r="AG225" s="2">
        <v>2E-3</v>
      </c>
      <c r="AH225">
        <v>2.3667020798430801E-3</v>
      </c>
      <c r="AI225" s="74">
        <v>9.9999999999999995E-8</v>
      </c>
      <c r="AJ225">
        <f t="shared" si="37"/>
        <v>0</v>
      </c>
      <c r="AK225">
        <f t="shared" si="38"/>
        <v>1.9918756379479322E-2</v>
      </c>
      <c r="AL225" s="3">
        <f t="shared" si="39"/>
        <v>2.0199000000000001E-5</v>
      </c>
      <c r="AM225" s="3">
        <f t="shared" si="40"/>
        <v>1.9918756379479322E-2</v>
      </c>
    </row>
    <row r="226" spans="1:39" x14ac:dyDescent="0.25">
      <c r="A226" t="s">
        <v>55</v>
      </c>
      <c r="B226" t="s">
        <v>51</v>
      </c>
      <c r="C226">
        <v>15</v>
      </c>
      <c r="D226">
        <v>7.2</v>
      </c>
      <c r="E226">
        <v>34</v>
      </c>
      <c r="F226">
        <v>9</v>
      </c>
      <c r="G226" s="1"/>
      <c r="I226">
        <v>16.93</v>
      </c>
      <c r="J226">
        <v>85.38</v>
      </c>
      <c r="K226">
        <v>1.66</v>
      </c>
      <c r="M226">
        <v>33.1</v>
      </c>
      <c r="N226">
        <v>2.04</v>
      </c>
      <c r="O226">
        <v>7.31</v>
      </c>
      <c r="P226" s="2">
        <v>16.55</v>
      </c>
      <c r="Q226">
        <v>4.66</v>
      </c>
      <c r="R226">
        <v>0.08</v>
      </c>
      <c r="S226">
        <v>196.93</v>
      </c>
      <c r="T226">
        <v>30.3</v>
      </c>
      <c r="U226">
        <f t="shared" si="44"/>
        <v>3.7200000000000024</v>
      </c>
      <c r="V226">
        <f t="shared" si="35"/>
        <v>8.2750000000000004E-2</v>
      </c>
      <c r="W226">
        <f t="shared" si="41"/>
        <v>8.4040014218250136E-2</v>
      </c>
      <c r="X226">
        <f t="shared" si="42"/>
        <v>2.3663230589549587E-2</v>
      </c>
      <c r="Y226" s="3">
        <f t="shared" si="43"/>
        <v>0.96</v>
      </c>
      <c r="Z226">
        <v>34</v>
      </c>
      <c r="AA226">
        <v>7.2</v>
      </c>
      <c r="AB226">
        <v>50</v>
      </c>
      <c r="AC226" s="31">
        <v>4.0000000000000002E-4</v>
      </c>
      <c r="AD226" s="31">
        <f t="shared" si="36"/>
        <v>8.0016597600000003E-2</v>
      </c>
      <c r="AE226" s="31">
        <f t="shared" si="34"/>
        <v>2.1552213887999998</v>
      </c>
      <c r="AF226">
        <v>200</v>
      </c>
      <c r="AG226" s="2">
        <v>8.8961023466145005E-3</v>
      </c>
      <c r="AJ226">
        <f t="shared" si="37"/>
        <v>0</v>
      </c>
      <c r="AK226">
        <f t="shared" si="38"/>
        <v>0</v>
      </c>
      <c r="AL226" s="3">
        <f t="shared" si="39"/>
        <v>0</v>
      </c>
      <c r="AM226" s="3">
        <f t="shared" si="40"/>
        <v>0</v>
      </c>
    </row>
    <row r="227" spans="1:39" x14ac:dyDescent="0.25">
      <c r="A227" t="s">
        <v>56</v>
      </c>
      <c r="B227" t="s">
        <v>49</v>
      </c>
      <c r="C227">
        <v>18</v>
      </c>
      <c r="D227">
        <v>7.1</v>
      </c>
      <c r="E227">
        <v>32.999999999999993</v>
      </c>
      <c r="F227">
        <v>9</v>
      </c>
      <c r="G227" s="1"/>
      <c r="H227" s="2">
        <v>4746.5249999999996</v>
      </c>
      <c r="I227">
        <v>17.79</v>
      </c>
      <c r="J227">
        <v>78.05</v>
      </c>
      <c r="K227">
        <v>1</v>
      </c>
      <c r="L227">
        <v>345</v>
      </c>
      <c r="M227">
        <v>41</v>
      </c>
      <c r="N227">
        <v>1.22</v>
      </c>
      <c r="O227">
        <v>7.32</v>
      </c>
      <c r="P227" s="2">
        <v>13.97</v>
      </c>
      <c r="Q227">
        <v>6.89</v>
      </c>
      <c r="R227">
        <v>0.04</v>
      </c>
      <c r="S227">
        <v>197.29</v>
      </c>
      <c r="T227">
        <v>39.729999999999997</v>
      </c>
      <c r="U227">
        <f t="shared" si="44"/>
        <v>2.75</v>
      </c>
      <c r="V227">
        <f t="shared" si="35"/>
        <v>6.9850000000000009E-2</v>
      </c>
      <c r="W227">
        <f t="shared" si="41"/>
        <v>7.0809468295402717E-2</v>
      </c>
      <c r="X227">
        <f t="shared" si="42"/>
        <v>3.4923209488570126E-2</v>
      </c>
      <c r="Y227" s="3">
        <f t="shared" si="43"/>
        <v>0.48</v>
      </c>
      <c r="Z227">
        <v>34</v>
      </c>
      <c r="AA227">
        <v>7.2</v>
      </c>
      <c r="AB227">
        <v>50</v>
      </c>
      <c r="AC227" s="31">
        <v>4.0000000000000002E-4</v>
      </c>
      <c r="AD227" s="31">
        <f t="shared" si="36"/>
        <v>8.4234938399999987E-2</v>
      </c>
      <c r="AE227" s="31">
        <f t="shared" si="34"/>
        <v>2.3083209216000005</v>
      </c>
      <c r="AF227">
        <v>200</v>
      </c>
      <c r="AG227" s="2">
        <v>1.6433115383455099E-2</v>
      </c>
      <c r="AJ227">
        <f t="shared" si="37"/>
        <v>0.13694262819545916</v>
      </c>
      <c r="AK227">
        <f t="shared" si="38"/>
        <v>0</v>
      </c>
      <c r="AL227" s="3">
        <f t="shared" si="39"/>
        <v>0</v>
      </c>
      <c r="AM227" s="3">
        <f t="shared" si="40"/>
        <v>0.13694262819545916</v>
      </c>
    </row>
    <row r="228" spans="1:39" x14ac:dyDescent="0.25">
      <c r="A228" t="s">
        <v>57</v>
      </c>
      <c r="B228" t="s">
        <v>46</v>
      </c>
      <c r="C228">
        <v>18</v>
      </c>
      <c r="D228">
        <v>7.2</v>
      </c>
      <c r="E228">
        <v>34</v>
      </c>
      <c r="F228">
        <v>9</v>
      </c>
      <c r="G228" s="1"/>
      <c r="I228">
        <v>18.79</v>
      </c>
      <c r="J228">
        <v>84.92</v>
      </c>
      <c r="K228">
        <v>1.01</v>
      </c>
      <c r="M228">
        <v>31.6</v>
      </c>
      <c r="N228">
        <v>0.59</v>
      </c>
      <c r="O228">
        <v>7.31</v>
      </c>
      <c r="P228" s="2">
        <v>23.47</v>
      </c>
      <c r="Q228">
        <v>2.0699999999999998</v>
      </c>
      <c r="R228">
        <v>0.14000000000000001</v>
      </c>
      <c r="S228">
        <v>202.49</v>
      </c>
      <c r="T228">
        <v>40.53</v>
      </c>
      <c r="U228">
        <f t="shared" si="44"/>
        <v>2.75</v>
      </c>
      <c r="V228">
        <f t="shared" si="35"/>
        <v>0.11735</v>
      </c>
      <c r="W228">
        <f t="shared" si="41"/>
        <v>0.11590695836831448</v>
      </c>
      <c r="X228">
        <f t="shared" si="42"/>
        <v>1.0222727048249294E-2</v>
      </c>
      <c r="Y228" s="3">
        <f t="shared" si="43"/>
        <v>1.6800000000000002</v>
      </c>
      <c r="Z228">
        <v>34</v>
      </c>
      <c r="AA228">
        <v>7.2</v>
      </c>
      <c r="AB228">
        <v>50</v>
      </c>
      <c r="AC228" s="31">
        <v>4.0000000000000002E-4</v>
      </c>
      <c r="AD228" s="31">
        <f t="shared" si="36"/>
        <v>9.1314890400000001E-2</v>
      </c>
      <c r="AE228" s="31">
        <f t="shared" si="34"/>
        <v>2.3979814847999998</v>
      </c>
      <c r="AF228">
        <v>200</v>
      </c>
      <c r="AG228" s="2">
        <v>2E-3</v>
      </c>
      <c r="AH228">
        <v>2.0781870797288399E-3</v>
      </c>
      <c r="AI228" s="74">
        <v>9.9999999999999995E-8</v>
      </c>
      <c r="AJ228">
        <f t="shared" si="37"/>
        <v>0</v>
      </c>
      <c r="AK228">
        <f t="shared" si="38"/>
        <v>1.7533837573928866E-2</v>
      </c>
      <c r="AL228" s="3">
        <f t="shared" si="39"/>
        <v>2.0248999999999999E-5</v>
      </c>
      <c r="AM228" s="3">
        <f t="shared" si="40"/>
        <v>1.7533837573928866E-2</v>
      </c>
    </row>
    <row r="229" spans="1:39" x14ac:dyDescent="0.25">
      <c r="A229" t="s">
        <v>58</v>
      </c>
      <c r="B229" t="s">
        <v>51</v>
      </c>
      <c r="C229">
        <v>18</v>
      </c>
      <c r="D229">
        <v>7.1</v>
      </c>
      <c r="E229">
        <v>32.999999999999993</v>
      </c>
      <c r="F229">
        <v>9</v>
      </c>
      <c r="G229" s="1"/>
      <c r="I229">
        <v>18.8</v>
      </c>
      <c r="J229">
        <v>85.64</v>
      </c>
      <c r="K229">
        <v>0.79</v>
      </c>
      <c r="M229">
        <v>31.8</v>
      </c>
      <c r="N229">
        <v>3.03</v>
      </c>
      <c r="O229">
        <v>7.3</v>
      </c>
      <c r="P229" s="2">
        <v>19.149999999999999</v>
      </c>
      <c r="Q229">
        <v>4.6399999999999997</v>
      </c>
      <c r="R229">
        <v>0.09</v>
      </c>
      <c r="S229">
        <v>208.97</v>
      </c>
      <c r="T229">
        <v>39.729999999999997</v>
      </c>
      <c r="U229">
        <f t="shared" si="44"/>
        <v>2.75</v>
      </c>
      <c r="V229">
        <f t="shared" si="35"/>
        <v>9.5749999999999988E-2</v>
      </c>
      <c r="W229">
        <f t="shared" si="41"/>
        <v>9.1639948317940367E-2</v>
      </c>
      <c r="X229">
        <f t="shared" si="42"/>
        <v>2.2204144135521842E-2</v>
      </c>
      <c r="Y229" s="3">
        <f t="shared" si="43"/>
        <v>1.08</v>
      </c>
      <c r="Z229">
        <v>34</v>
      </c>
      <c r="AA229">
        <v>7.2</v>
      </c>
      <c r="AB229">
        <v>50</v>
      </c>
      <c r="AC229" s="31">
        <v>4.0000000000000002E-4</v>
      </c>
      <c r="AD229" s="31">
        <f t="shared" si="36"/>
        <v>9.428726400000001E-2</v>
      </c>
      <c r="AE229" s="31">
        <f t="shared" si="34"/>
        <v>2.3421376511999998</v>
      </c>
      <c r="AF229">
        <v>200</v>
      </c>
      <c r="AG229" s="2">
        <v>2E-3</v>
      </c>
      <c r="AJ229">
        <f t="shared" si="37"/>
        <v>0</v>
      </c>
      <c r="AK229">
        <f t="shared" si="38"/>
        <v>0</v>
      </c>
      <c r="AL229" s="3">
        <f t="shared" si="39"/>
        <v>0</v>
      </c>
      <c r="AM229" s="3">
        <f t="shared" si="40"/>
        <v>0</v>
      </c>
    </row>
    <row r="230" spans="1:39" x14ac:dyDescent="0.25">
      <c r="A230" t="s">
        <v>59</v>
      </c>
      <c r="B230" t="s">
        <v>46</v>
      </c>
      <c r="C230">
        <v>15</v>
      </c>
      <c r="D230">
        <v>7.1</v>
      </c>
      <c r="E230">
        <v>32.999999999999993</v>
      </c>
      <c r="F230">
        <v>9</v>
      </c>
      <c r="G230" s="1"/>
      <c r="I230">
        <v>18.3</v>
      </c>
      <c r="J230">
        <v>88.06</v>
      </c>
      <c r="K230">
        <v>1.32</v>
      </c>
      <c r="M230">
        <v>30.2</v>
      </c>
      <c r="N230">
        <v>1.85</v>
      </c>
      <c r="O230">
        <v>7.3</v>
      </c>
      <c r="P230" s="2">
        <v>22.54</v>
      </c>
      <c r="Q230">
        <v>2.78</v>
      </c>
      <c r="R230">
        <v>0.14000000000000001</v>
      </c>
      <c r="S230">
        <v>204.33</v>
      </c>
      <c r="T230">
        <v>27.73</v>
      </c>
      <c r="U230">
        <f t="shared" si="44"/>
        <v>2.75</v>
      </c>
      <c r="V230">
        <f t="shared" si="35"/>
        <v>0.11269999999999999</v>
      </c>
      <c r="W230">
        <f t="shared" si="41"/>
        <v>0.11031175059952038</v>
      </c>
      <c r="X230">
        <f t="shared" si="42"/>
        <v>1.3605442176870746E-2</v>
      </c>
      <c r="Y230" s="3">
        <f t="shared" si="43"/>
        <v>1.6800000000000002</v>
      </c>
      <c r="Z230">
        <v>34</v>
      </c>
      <c r="AA230">
        <v>7.2</v>
      </c>
      <c r="AB230">
        <v>50</v>
      </c>
      <c r="AC230" s="31">
        <v>4.0000000000000002E-4</v>
      </c>
      <c r="AD230" s="31">
        <f t="shared" si="36"/>
        <v>8.9741736000000016E-2</v>
      </c>
      <c r="AE230" s="31">
        <f t="shared" si="34"/>
        <v>2.2871537279999998</v>
      </c>
      <c r="AF230">
        <v>200</v>
      </c>
      <c r="AG230" s="2">
        <v>2E-3</v>
      </c>
      <c r="AH230">
        <v>3.7045076837450802E-3</v>
      </c>
      <c r="AI230" s="74">
        <v>9.9999999999999995E-8</v>
      </c>
      <c r="AJ230">
        <f t="shared" si="37"/>
        <v>0</v>
      </c>
      <c r="AK230">
        <f t="shared" si="38"/>
        <v>3.1539252292484679E-2</v>
      </c>
      <c r="AL230" s="3">
        <f t="shared" si="39"/>
        <v>2.0432999999999999E-5</v>
      </c>
      <c r="AM230" s="3">
        <f t="shared" si="40"/>
        <v>3.1539252292484679E-2</v>
      </c>
    </row>
    <row r="231" spans="1:39" x14ac:dyDescent="0.25">
      <c r="A231" t="s">
        <v>60</v>
      </c>
      <c r="B231" t="s">
        <v>49</v>
      </c>
      <c r="C231">
        <v>15</v>
      </c>
      <c r="D231">
        <v>7.1</v>
      </c>
      <c r="E231">
        <v>32.999999999999993</v>
      </c>
      <c r="F231">
        <v>9</v>
      </c>
      <c r="G231" s="1"/>
      <c r="H231" s="2">
        <v>4920.6149999999998</v>
      </c>
      <c r="I231">
        <v>18.2</v>
      </c>
      <c r="J231">
        <v>83.24</v>
      </c>
      <c r="K231">
        <v>1.05</v>
      </c>
      <c r="L231">
        <v>435</v>
      </c>
      <c r="M231">
        <v>37</v>
      </c>
      <c r="N231">
        <v>1.1399999999999999</v>
      </c>
      <c r="O231">
        <v>7.31</v>
      </c>
      <c r="P231" s="2">
        <v>18.52</v>
      </c>
      <c r="Q231">
        <v>6.89</v>
      </c>
      <c r="R231">
        <v>0.01</v>
      </c>
      <c r="S231">
        <v>200.44</v>
      </c>
      <c r="T231">
        <v>27.73</v>
      </c>
      <c r="U231">
        <f t="shared" si="44"/>
        <v>2.75</v>
      </c>
      <c r="V231">
        <f t="shared" si="35"/>
        <v>9.2600000000000002E-2</v>
      </c>
      <c r="W231">
        <f t="shared" si="41"/>
        <v>9.2396727200159651E-2</v>
      </c>
      <c r="X231">
        <f t="shared" si="42"/>
        <v>3.4374376371981638E-2</v>
      </c>
      <c r="Y231" s="3">
        <f t="shared" si="43"/>
        <v>0.12</v>
      </c>
      <c r="Z231">
        <v>34</v>
      </c>
      <c r="AA231">
        <v>7.2</v>
      </c>
      <c r="AB231">
        <v>50</v>
      </c>
      <c r="AC231" s="31">
        <v>4.0000000000000002E-4</v>
      </c>
      <c r="AD231" s="31">
        <f t="shared" si="36"/>
        <v>8.7552191999999987E-2</v>
      </c>
      <c r="AE231" s="31">
        <f t="shared" si="34"/>
        <v>2.2473755136000002</v>
      </c>
      <c r="AF231">
        <v>200</v>
      </c>
      <c r="AG231" s="2">
        <v>2E-3</v>
      </c>
      <c r="AJ231">
        <f t="shared" si="37"/>
        <v>1.6666666666666666E-2</v>
      </c>
      <c r="AK231">
        <f t="shared" si="38"/>
        <v>0</v>
      </c>
      <c r="AL231" s="3">
        <f t="shared" si="39"/>
        <v>0</v>
      </c>
      <c r="AM231" s="3">
        <f t="shared" si="40"/>
        <v>1.6666666666666666E-2</v>
      </c>
    </row>
    <row r="232" spans="1:39" x14ac:dyDescent="0.25">
      <c r="A232" t="s">
        <v>61</v>
      </c>
      <c r="B232" t="s">
        <v>46</v>
      </c>
      <c r="C232">
        <v>15</v>
      </c>
      <c r="D232">
        <v>7.3</v>
      </c>
      <c r="E232">
        <v>35</v>
      </c>
      <c r="F232">
        <v>9</v>
      </c>
      <c r="G232" s="1"/>
      <c r="I232">
        <v>22.69</v>
      </c>
      <c r="J232">
        <v>86.63</v>
      </c>
      <c r="K232">
        <v>0.95</v>
      </c>
      <c r="M232">
        <v>35.1</v>
      </c>
      <c r="N232">
        <v>0.17</v>
      </c>
      <c r="O232">
        <v>7.33</v>
      </c>
      <c r="P232" s="2">
        <v>22.89</v>
      </c>
      <c r="Q232">
        <v>1.72</v>
      </c>
      <c r="R232">
        <v>0.14000000000000001</v>
      </c>
      <c r="S232">
        <v>199.98</v>
      </c>
      <c r="T232">
        <v>28.7</v>
      </c>
      <c r="U232">
        <f t="shared" si="44"/>
        <v>2.75</v>
      </c>
      <c r="V232">
        <f t="shared" si="35"/>
        <v>0.11445</v>
      </c>
      <c r="W232">
        <f t="shared" si="41"/>
        <v>0.11446144614461447</v>
      </c>
      <c r="X232">
        <f t="shared" si="42"/>
        <v>8.6008600860086014E-3</v>
      </c>
      <c r="Y232" s="3">
        <f t="shared" si="43"/>
        <v>1.6800000000000002</v>
      </c>
      <c r="Z232">
        <v>34</v>
      </c>
      <c r="AA232">
        <v>7.2</v>
      </c>
      <c r="AB232">
        <v>50</v>
      </c>
      <c r="AC232" s="31">
        <v>4.0000000000000002E-4</v>
      </c>
      <c r="AD232" s="31">
        <f t="shared" si="36"/>
        <v>0.10890110879999999</v>
      </c>
      <c r="AE232" s="31">
        <f t="shared" si="34"/>
        <v>2.6564889599999999</v>
      </c>
      <c r="AF232">
        <v>200</v>
      </c>
      <c r="AG232" s="2">
        <v>2E-3</v>
      </c>
      <c r="AH232">
        <v>3.2888057667161902E-3</v>
      </c>
      <c r="AI232" s="74">
        <v>9.9999999999999995E-8</v>
      </c>
      <c r="AJ232">
        <f t="shared" si="37"/>
        <v>0</v>
      </c>
      <c r="AK232">
        <f t="shared" si="38"/>
        <v>2.7403974051162655E-2</v>
      </c>
      <c r="AL232" s="3">
        <f t="shared" si="39"/>
        <v>1.9997999999999997E-5</v>
      </c>
      <c r="AM232" s="3">
        <f t="shared" si="40"/>
        <v>2.7403974051162655E-2</v>
      </c>
    </row>
    <row r="233" spans="1:39" x14ac:dyDescent="0.25">
      <c r="A233" t="s">
        <v>62</v>
      </c>
      <c r="B233" t="s">
        <v>49</v>
      </c>
      <c r="C233">
        <v>18</v>
      </c>
      <c r="D233">
        <v>7.2</v>
      </c>
      <c r="E233">
        <v>34</v>
      </c>
      <c r="F233">
        <v>9</v>
      </c>
      <c r="G233" s="1"/>
      <c r="H233" s="2">
        <v>4821.0749999999998</v>
      </c>
      <c r="I233">
        <v>19.510000000000002</v>
      </c>
      <c r="J233">
        <v>84.07</v>
      </c>
      <c r="K233">
        <v>0.69</v>
      </c>
      <c r="L233">
        <v>337</v>
      </c>
      <c r="M233">
        <v>40.1</v>
      </c>
      <c r="N233">
        <v>1.4</v>
      </c>
      <c r="O233">
        <v>7.31</v>
      </c>
      <c r="P233" s="2">
        <v>15.74</v>
      </c>
      <c r="Q233">
        <v>6.54</v>
      </c>
      <c r="R233">
        <v>0.01</v>
      </c>
      <c r="S233">
        <v>197.51</v>
      </c>
      <c r="T233">
        <v>40.700000000000003</v>
      </c>
      <c r="U233">
        <f t="shared" si="44"/>
        <v>2.75</v>
      </c>
      <c r="V233">
        <f t="shared" si="35"/>
        <v>7.8700000000000006E-2</v>
      </c>
      <c r="W233">
        <f t="shared" si="41"/>
        <v>7.9692167485190632E-2</v>
      </c>
      <c r="X233">
        <f t="shared" si="42"/>
        <v>3.3112247481140195E-2</v>
      </c>
      <c r="Y233" s="3">
        <f t="shared" si="43"/>
        <v>0.12</v>
      </c>
      <c r="Z233">
        <v>34</v>
      </c>
      <c r="AA233">
        <v>7.2</v>
      </c>
      <c r="AB233">
        <v>50</v>
      </c>
      <c r="AC233" s="31">
        <v>4.0000000000000002E-4</v>
      </c>
      <c r="AD233" s="31">
        <f t="shared" si="36"/>
        <v>9.2482082399999999E-2</v>
      </c>
      <c r="AE233" s="31">
        <f t="shared" si="34"/>
        <v>2.3081389055999999</v>
      </c>
      <c r="AF233">
        <v>200</v>
      </c>
      <c r="AG233" s="2">
        <v>3.0104191104762998E-3</v>
      </c>
      <c r="AJ233">
        <f t="shared" si="37"/>
        <v>2.5086825920635835E-2</v>
      </c>
      <c r="AK233">
        <f t="shared" si="38"/>
        <v>0</v>
      </c>
      <c r="AL233" s="3">
        <f t="shared" si="39"/>
        <v>0</v>
      </c>
      <c r="AM233" s="3">
        <f t="shared" si="40"/>
        <v>2.5086825920635835E-2</v>
      </c>
    </row>
    <row r="234" spans="1:39" x14ac:dyDescent="0.25">
      <c r="A234" t="s">
        <v>63</v>
      </c>
      <c r="B234" t="s">
        <v>51</v>
      </c>
      <c r="C234">
        <v>12</v>
      </c>
      <c r="D234">
        <v>7.1</v>
      </c>
      <c r="E234">
        <v>32.999999999999993</v>
      </c>
      <c r="F234">
        <v>9</v>
      </c>
      <c r="G234" s="1"/>
      <c r="I234">
        <v>14.32</v>
      </c>
      <c r="J234">
        <v>89.64</v>
      </c>
      <c r="K234">
        <v>1.44</v>
      </c>
      <c r="M234">
        <v>34.5</v>
      </c>
      <c r="N234">
        <v>2.31</v>
      </c>
      <c r="O234">
        <v>7.3</v>
      </c>
      <c r="P234" s="2">
        <v>15.63</v>
      </c>
      <c r="Q234">
        <v>3.94</v>
      </c>
      <c r="R234">
        <v>7.0000000000000007E-2</v>
      </c>
      <c r="S234">
        <v>198.08</v>
      </c>
      <c r="T234">
        <v>28.53</v>
      </c>
      <c r="U234">
        <f t="shared" si="44"/>
        <v>2.75</v>
      </c>
      <c r="V234">
        <f t="shared" si="35"/>
        <v>7.8149999999999997E-2</v>
      </c>
      <c r="W234">
        <f t="shared" si="41"/>
        <v>7.8907512116316636E-2</v>
      </c>
      <c r="X234">
        <f t="shared" si="42"/>
        <v>1.9890953150242325E-2</v>
      </c>
      <c r="Y234" s="3">
        <f t="shared" si="43"/>
        <v>0.84000000000000008</v>
      </c>
      <c r="Z234">
        <v>34</v>
      </c>
      <c r="AA234">
        <v>7.2</v>
      </c>
      <c r="AB234">
        <v>50</v>
      </c>
      <c r="AC234" s="31">
        <v>4.0000000000000002E-4</v>
      </c>
      <c r="AD234" s="31">
        <f t="shared" si="36"/>
        <v>6.8076134400000016E-2</v>
      </c>
      <c r="AE234" s="31">
        <f t="shared" si="34"/>
        <v>1.9360742400000002</v>
      </c>
      <c r="AF234">
        <v>200</v>
      </c>
      <c r="AG234" s="2">
        <v>2.0000000003656E-3</v>
      </c>
      <c r="AJ234">
        <f t="shared" si="37"/>
        <v>0</v>
      </c>
      <c r="AK234">
        <f t="shared" si="38"/>
        <v>0</v>
      </c>
      <c r="AL234" s="3">
        <f t="shared" si="39"/>
        <v>0</v>
      </c>
      <c r="AM234" s="3">
        <f t="shared" si="40"/>
        <v>0</v>
      </c>
    </row>
    <row r="235" spans="1:39" x14ac:dyDescent="0.25">
      <c r="A235" t="s">
        <v>64</v>
      </c>
      <c r="B235" t="s">
        <v>46</v>
      </c>
      <c r="C235">
        <v>12</v>
      </c>
      <c r="D235">
        <v>7.1</v>
      </c>
      <c r="E235">
        <v>32.999999999999993</v>
      </c>
      <c r="F235">
        <v>9</v>
      </c>
      <c r="G235" s="1"/>
      <c r="I235">
        <v>18.399999999999999</v>
      </c>
      <c r="J235">
        <v>87.44</v>
      </c>
      <c r="K235">
        <v>1.17</v>
      </c>
      <c r="M235">
        <v>29.6</v>
      </c>
      <c r="N235">
        <v>0.57999999999999996</v>
      </c>
      <c r="O235">
        <v>7.31</v>
      </c>
      <c r="P235" s="2">
        <v>21.59</v>
      </c>
      <c r="Q235">
        <v>2.64</v>
      </c>
      <c r="R235">
        <v>0.14000000000000001</v>
      </c>
      <c r="S235">
        <v>199.45</v>
      </c>
      <c r="T235">
        <v>28.53</v>
      </c>
      <c r="U235">
        <f t="shared" si="44"/>
        <v>2.75</v>
      </c>
      <c r="V235">
        <f t="shared" si="35"/>
        <v>0.10795</v>
      </c>
      <c r="W235">
        <f t="shared" si="41"/>
        <v>0.1082476811230885</v>
      </c>
      <c r="X235">
        <f t="shared" si="42"/>
        <v>1.3236400100275761E-2</v>
      </c>
      <c r="Y235" s="3">
        <f t="shared" si="43"/>
        <v>1.6800000000000002</v>
      </c>
      <c r="Z235">
        <v>34</v>
      </c>
      <c r="AA235">
        <v>7.2</v>
      </c>
      <c r="AB235">
        <v>50</v>
      </c>
      <c r="AC235" s="31">
        <v>4.0000000000000002E-4</v>
      </c>
      <c r="AD235" s="31">
        <f t="shared" si="36"/>
        <v>8.8077119999999981E-2</v>
      </c>
      <c r="AE235" s="31">
        <f t="shared" si="34"/>
        <v>2.1059758079999997</v>
      </c>
      <c r="AF235">
        <v>200</v>
      </c>
      <c r="AG235" s="2">
        <v>2E-3</v>
      </c>
      <c r="AH235">
        <v>3.2476644028474199E-3</v>
      </c>
      <c r="AI235" s="74">
        <v>9.9999999999999995E-8</v>
      </c>
      <c r="AJ235">
        <f t="shared" si="37"/>
        <v>0</v>
      </c>
      <c r="AK235">
        <f t="shared" si="38"/>
        <v>2.6989444381163245E-2</v>
      </c>
      <c r="AL235" s="3">
        <f t="shared" si="39"/>
        <v>1.9945E-5</v>
      </c>
      <c r="AM235" s="3">
        <f t="shared" si="40"/>
        <v>2.6989444381163245E-2</v>
      </c>
    </row>
    <row r="236" spans="1:39" x14ac:dyDescent="0.25">
      <c r="A236" t="s">
        <v>65</v>
      </c>
      <c r="B236" t="s">
        <v>49</v>
      </c>
      <c r="C236">
        <v>15</v>
      </c>
      <c r="D236">
        <v>7.3</v>
      </c>
      <c r="E236">
        <v>35</v>
      </c>
      <c r="F236">
        <v>9</v>
      </c>
      <c r="G236" s="1"/>
      <c r="H236" s="2">
        <v>5012.13</v>
      </c>
      <c r="I236">
        <v>19.86</v>
      </c>
      <c r="J236">
        <v>83.66</v>
      </c>
      <c r="K236">
        <v>1.03</v>
      </c>
      <c r="L236">
        <v>342</v>
      </c>
      <c r="M236">
        <v>38.1</v>
      </c>
      <c r="N236">
        <v>1.1399999999999999</v>
      </c>
      <c r="O236">
        <v>7.31</v>
      </c>
      <c r="P236" s="2">
        <v>17.8</v>
      </c>
      <c r="Q236">
        <v>7.87</v>
      </c>
      <c r="R236">
        <v>0.01</v>
      </c>
      <c r="S236">
        <v>198.75</v>
      </c>
      <c r="T236">
        <v>28.53</v>
      </c>
      <c r="U236">
        <f t="shared" si="44"/>
        <v>2.75</v>
      </c>
      <c r="V236">
        <f t="shared" si="35"/>
        <v>8.900000000000001E-2</v>
      </c>
      <c r="W236">
        <f t="shared" si="41"/>
        <v>8.9559748427672961E-2</v>
      </c>
      <c r="X236">
        <f t="shared" si="42"/>
        <v>3.9597484276729558E-2</v>
      </c>
      <c r="Y236" s="3">
        <f t="shared" si="43"/>
        <v>0.12</v>
      </c>
      <c r="Z236">
        <v>34</v>
      </c>
      <c r="AA236">
        <v>7.2</v>
      </c>
      <c r="AB236">
        <v>50</v>
      </c>
      <c r="AC236" s="31">
        <v>4.0000000000000002E-4</v>
      </c>
      <c r="AD236" s="31">
        <f t="shared" si="36"/>
        <v>9.4732200000000003E-2</v>
      </c>
      <c r="AE236" s="31">
        <f t="shared" si="34"/>
        <v>2.3998334976</v>
      </c>
      <c r="AF236">
        <v>200</v>
      </c>
      <c r="AG236" s="2">
        <v>2E-3</v>
      </c>
      <c r="AJ236">
        <f t="shared" si="37"/>
        <v>1.6666666666666666E-2</v>
      </c>
      <c r="AK236">
        <f t="shared" si="38"/>
        <v>0</v>
      </c>
      <c r="AL236" s="3">
        <f t="shared" si="39"/>
        <v>0</v>
      </c>
      <c r="AM236" s="3">
        <f t="shared" si="40"/>
        <v>1.6666666666666666E-2</v>
      </c>
    </row>
    <row r="237" spans="1:39" x14ac:dyDescent="0.25">
      <c r="A237" t="s">
        <v>66</v>
      </c>
      <c r="B237" t="s">
        <v>46</v>
      </c>
      <c r="C237">
        <v>12</v>
      </c>
      <c r="D237">
        <v>7.2</v>
      </c>
      <c r="E237">
        <v>34</v>
      </c>
      <c r="F237">
        <v>9</v>
      </c>
      <c r="G237" s="1"/>
      <c r="I237">
        <v>20.37</v>
      </c>
      <c r="J237">
        <v>86.7</v>
      </c>
      <c r="K237">
        <v>0.88</v>
      </c>
      <c r="M237">
        <v>37.299999999999997</v>
      </c>
      <c r="N237">
        <v>1.02</v>
      </c>
      <c r="O237">
        <v>7.31</v>
      </c>
      <c r="P237" s="2">
        <v>21.3</v>
      </c>
      <c r="Q237">
        <v>2.68</v>
      </c>
      <c r="R237">
        <v>0.15</v>
      </c>
      <c r="S237">
        <v>200.58</v>
      </c>
      <c r="T237">
        <v>28.35</v>
      </c>
      <c r="U237">
        <f t="shared" si="44"/>
        <v>1.7700000000000031</v>
      </c>
      <c r="V237">
        <f t="shared" si="35"/>
        <v>0.1065</v>
      </c>
      <c r="W237">
        <f t="shared" si="41"/>
        <v>0.10619204307508226</v>
      </c>
      <c r="X237">
        <f t="shared" si="42"/>
        <v>1.3361252368132416E-2</v>
      </c>
      <c r="Y237" s="3">
        <f t="shared" si="43"/>
        <v>1.7999999999999998</v>
      </c>
      <c r="Z237">
        <v>34</v>
      </c>
      <c r="AA237">
        <v>7.2</v>
      </c>
      <c r="AB237">
        <v>50</v>
      </c>
      <c r="AC237" s="31">
        <v>4.0000000000000002E-4</v>
      </c>
      <c r="AD237" s="31">
        <f t="shared" si="36"/>
        <v>9.8059550400000015E-2</v>
      </c>
      <c r="AE237" s="31">
        <f t="shared" si="34"/>
        <v>2.3408371584000007</v>
      </c>
      <c r="AF237">
        <v>200</v>
      </c>
      <c r="AG237" s="2">
        <v>2E-3</v>
      </c>
      <c r="AH237">
        <v>2E-3</v>
      </c>
      <c r="AI237" s="74">
        <v>9.9999999999999995E-8</v>
      </c>
      <c r="AJ237">
        <f t="shared" si="37"/>
        <v>0</v>
      </c>
      <c r="AK237">
        <f t="shared" si="38"/>
        <v>1.6715000000000001E-2</v>
      </c>
      <c r="AL237" s="3">
        <f t="shared" si="39"/>
        <v>2.0058E-5</v>
      </c>
      <c r="AM237" s="3">
        <f t="shared" si="40"/>
        <v>1.6715000000000001E-2</v>
      </c>
    </row>
    <row r="238" spans="1:39" x14ac:dyDescent="0.25">
      <c r="A238" t="s">
        <v>67</v>
      </c>
      <c r="B238" t="s">
        <v>49</v>
      </c>
      <c r="C238">
        <v>12</v>
      </c>
      <c r="D238">
        <v>7.1</v>
      </c>
      <c r="E238">
        <v>32.999999999999993</v>
      </c>
      <c r="F238">
        <v>9</v>
      </c>
      <c r="G238" s="1"/>
      <c r="H238" s="2">
        <v>4595.5050000000001</v>
      </c>
      <c r="I238">
        <v>18.16</v>
      </c>
      <c r="J238">
        <v>84.25</v>
      </c>
      <c r="K238">
        <v>1.1499999999999999</v>
      </c>
      <c r="L238">
        <v>355</v>
      </c>
      <c r="M238">
        <v>38.9</v>
      </c>
      <c r="N238">
        <v>0.61</v>
      </c>
      <c r="O238">
        <v>7.33</v>
      </c>
      <c r="P238" s="2">
        <v>20.059999999999999</v>
      </c>
      <c r="Q238">
        <v>7.58</v>
      </c>
      <c r="R238">
        <v>0.01</v>
      </c>
      <c r="S238">
        <v>199.18</v>
      </c>
      <c r="T238">
        <v>27.55</v>
      </c>
      <c r="U238">
        <f t="shared" si="44"/>
        <v>1.7699999999999996</v>
      </c>
      <c r="V238">
        <f t="shared" si="35"/>
        <v>0.1003</v>
      </c>
      <c r="W238">
        <f t="shared" si="41"/>
        <v>0.10071292298423536</v>
      </c>
      <c r="X238">
        <f t="shared" si="42"/>
        <v>3.8056029721859626E-2</v>
      </c>
      <c r="Y238" s="3">
        <f t="shared" si="43"/>
        <v>0.12</v>
      </c>
      <c r="Z238">
        <v>34</v>
      </c>
      <c r="AA238">
        <v>7.2</v>
      </c>
      <c r="AB238">
        <v>50</v>
      </c>
      <c r="AC238" s="31">
        <v>4.0000000000000002E-4</v>
      </c>
      <c r="AD238" s="31">
        <f t="shared" si="36"/>
        <v>8.6810611199999999E-2</v>
      </c>
      <c r="AE238" s="31">
        <f t="shared" si="34"/>
        <v>2.1975226560000003</v>
      </c>
      <c r="AF238">
        <v>200</v>
      </c>
      <c r="AG238" s="2">
        <v>3.0777856386022999E-3</v>
      </c>
      <c r="AJ238">
        <f t="shared" si="37"/>
        <v>2.5648213655019167E-2</v>
      </c>
      <c r="AK238">
        <f t="shared" si="38"/>
        <v>0</v>
      </c>
      <c r="AL238" s="3">
        <f t="shared" si="39"/>
        <v>0</v>
      </c>
      <c r="AM238" s="3">
        <f t="shared" si="40"/>
        <v>2.5648213655019167E-2</v>
      </c>
    </row>
    <row r="239" spans="1:39" x14ac:dyDescent="0.25">
      <c r="A239" t="s">
        <v>68</v>
      </c>
      <c r="B239" t="s">
        <v>51</v>
      </c>
      <c r="C239">
        <v>12</v>
      </c>
      <c r="D239">
        <v>7.3</v>
      </c>
      <c r="E239">
        <v>35</v>
      </c>
      <c r="F239">
        <v>9</v>
      </c>
      <c r="G239" s="1"/>
      <c r="I239">
        <v>14.85</v>
      </c>
      <c r="J239">
        <v>89.52</v>
      </c>
      <c r="K239">
        <v>1.53</v>
      </c>
      <c r="M239">
        <v>34.9</v>
      </c>
      <c r="N239">
        <v>2.82</v>
      </c>
      <c r="O239">
        <v>7.29</v>
      </c>
      <c r="P239" s="2">
        <v>14.9</v>
      </c>
      <c r="Q239">
        <v>5.4</v>
      </c>
      <c r="R239">
        <v>7.0000000000000007E-2</v>
      </c>
      <c r="S239">
        <v>198.64</v>
      </c>
      <c r="T239">
        <v>27.55</v>
      </c>
      <c r="U239">
        <f t="shared" si="44"/>
        <v>1.7699999999999996</v>
      </c>
      <c r="V239">
        <f t="shared" si="35"/>
        <v>7.4499999999999997E-2</v>
      </c>
      <c r="W239">
        <f t="shared" si="41"/>
        <v>7.5010068465565849E-2</v>
      </c>
      <c r="X239">
        <f t="shared" si="42"/>
        <v>2.7184857027788969E-2</v>
      </c>
      <c r="Y239" s="3">
        <f t="shared" si="43"/>
        <v>0.84000000000000008</v>
      </c>
      <c r="Z239">
        <v>34</v>
      </c>
      <c r="AA239">
        <v>7.2</v>
      </c>
      <c r="AB239">
        <v>50</v>
      </c>
      <c r="AC239" s="31">
        <v>4.0000000000000002E-4</v>
      </c>
      <c r="AD239" s="31">
        <f t="shared" si="36"/>
        <v>7.0795295999999994E-2</v>
      </c>
      <c r="AE239" s="31">
        <f t="shared" si="34"/>
        <v>1.9041684480000001</v>
      </c>
      <c r="AF239">
        <v>200</v>
      </c>
      <c r="AG239" s="2">
        <v>1.4668047397136201E-2</v>
      </c>
      <c r="AJ239">
        <f t="shared" si="37"/>
        <v>0</v>
      </c>
      <c r="AK239">
        <f t="shared" si="38"/>
        <v>0</v>
      </c>
      <c r="AL239" s="3">
        <f t="shared" si="39"/>
        <v>0</v>
      </c>
      <c r="AM239" s="3">
        <f t="shared" si="40"/>
        <v>0</v>
      </c>
    </row>
    <row r="240" spans="1:39" x14ac:dyDescent="0.25">
      <c r="A240" t="s">
        <v>69</v>
      </c>
      <c r="B240" t="s">
        <v>51</v>
      </c>
      <c r="C240">
        <v>15</v>
      </c>
      <c r="D240">
        <v>7.2</v>
      </c>
      <c r="E240">
        <v>34</v>
      </c>
      <c r="F240">
        <v>9</v>
      </c>
      <c r="G240" s="1"/>
      <c r="I240">
        <v>16.670000000000002</v>
      </c>
      <c r="J240">
        <v>88.7</v>
      </c>
      <c r="K240">
        <v>1.63</v>
      </c>
      <c r="M240">
        <v>31.7</v>
      </c>
      <c r="N240">
        <v>2.4700000000000002</v>
      </c>
      <c r="O240">
        <v>7.29</v>
      </c>
      <c r="P240" s="2">
        <v>17</v>
      </c>
      <c r="Q240">
        <v>4.7699999999999996</v>
      </c>
      <c r="R240">
        <v>0.08</v>
      </c>
      <c r="S240">
        <v>202.3</v>
      </c>
      <c r="T240">
        <v>26.75</v>
      </c>
      <c r="U240">
        <f t="shared" si="44"/>
        <v>1.7699999999999996</v>
      </c>
      <c r="V240">
        <f t="shared" si="35"/>
        <v>8.5000000000000006E-2</v>
      </c>
      <c r="W240">
        <f t="shared" si="41"/>
        <v>8.4033613445378144E-2</v>
      </c>
      <c r="X240">
        <f t="shared" si="42"/>
        <v>2.357884330202669E-2</v>
      </c>
      <c r="Y240" s="3">
        <f t="shared" si="43"/>
        <v>0.96</v>
      </c>
      <c r="Z240">
        <v>34</v>
      </c>
      <c r="AA240">
        <v>7.2</v>
      </c>
      <c r="AB240">
        <v>50</v>
      </c>
      <c r="AC240" s="31">
        <v>4.0000000000000002E-4</v>
      </c>
      <c r="AD240" s="31">
        <f t="shared" si="36"/>
        <v>8.0936184000000022E-2</v>
      </c>
      <c r="AE240" s="31">
        <f t="shared" si="34"/>
        <v>2.1157535232000004</v>
      </c>
      <c r="AF240">
        <v>200</v>
      </c>
      <c r="AG240" s="2">
        <v>2.0000000000082001E-3</v>
      </c>
      <c r="AJ240">
        <f t="shared" si="37"/>
        <v>0</v>
      </c>
      <c r="AK240">
        <f t="shared" si="38"/>
        <v>0</v>
      </c>
      <c r="AL240" s="3">
        <f t="shared" si="39"/>
        <v>0</v>
      </c>
      <c r="AM240" s="3">
        <f t="shared" si="40"/>
        <v>0</v>
      </c>
    </row>
    <row r="241" spans="1:39" x14ac:dyDescent="0.25">
      <c r="A241" t="s">
        <v>70</v>
      </c>
      <c r="B241" t="s">
        <v>51</v>
      </c>
      <c r="C241">
        <v>15</v>
      </c>
      <c r="D241">
        <v>7.2</v>
      </c>
      <c r="E241">
        <v>34</v>
      </c>
      <c r="F241">
        <v>9</v>
      </c>
      <c r="G241" s="1"/>
      <c r="I241">
        <v>19.079999999999998</v>
      </c>
      <c r="J241">
        <v>90.5</v>
      </c>
      <c r="K241">
        <v>1.1499999999999999</v>
      </c>
      <c r="M241">
        <v>29.8</v>
      </c>
      <c r="N241">
        <v>3.39</v>
      </c>
      <c r="O241">
        <v>7.29</v>
      </c>
      <c r="P241" s="2">
        <v>17</v>
      </c>
      <c r="Q241">
        <v>4.4000000000000004</v>
      </c>
      <c r="R241">
        <v>0.09</v>
      </c>
      <c r="S241">
        <v>199.86</v>
      </c>
      <c r="T241">
        <v>26.75</v>
      </c>
      <c r="U241">
        <f t="shared" si="44"/>
        <v>1.7699999999999996</v>
      </c>
      <c r="V241">
        <f t="shared" si="35"/>
        <v>8.5000000000000006E-2</v>
      </c>
      <c r="W241">
        <f t="shared" si="41"/>
        <v>8.5059541679175413E-2</v>
      </c>
      <c r="X241">
        <f t="shared" si="42"/>
        <v>2.2015410787551287E-2</v>
      </c>
      <c r="Y241" s="3">
        <f t="shared" si="43"/>
        <v>1.08</v>
      </c>
      <c r="Z241">
        <v>34</v>
      </c>
      <c r="AA241">
        <v>7.2</v>
      </c>
      <c r="AB241">
        <v>50</v>
      </c>
      <c r="AC241" s="31">
        <v>4.0000000000000002E-4</v>
      </c>
      <c r="AD241" s="31">
        <f t="shared" si="36"/>
        <v>9.1519891200000009E-2</v>
      </c>
      <c r="AE241" s="31">
        <f t="shared" si="34"/>
        <v>2.2789460736000002</v>
      </c>
      <c r="AF241">
        <v>200</v>
      </c>
      <c r="AG241" s="2">
        <v>2E-3</v>
      </c>
      <c r="AJ241">
        <f t="shared" si="37"/>
        <v>0</v>
      </c>
      <c r="AK241">
        <f t="shared" si="38"/>
        <v>0</v>
      </c>
      <c r="AL241" s="3">
        <f t="shared" si="39"/>
        <v>0</v>
      </c>
      <c r="AM241" s="3">
        <f t="shared" si="40"/>
        <v>0</v>
      </c>
    </row>
    <row r="242" spans="1:39" ht="15.75" thickBot="1" x14ac:dyDescent="0.3">
      <c r="A242" t="s">
        <v>71</v>
      </c>
      <c r="B242" t="s">
        <v>51</v>
      </c>
      <c r="C242">
        <v>15</v>
      </c>
      <c r="D242">
        <v>7.2</v>
      </c>
      <c r="E242">
        <v>34</v>
      </c>
      <c r="F242">
        <v>9</v>
      </c>
      <c r="G242" s="1"/>
      <c r="I242">
        <v>16.57</v>
      </c>
      <c r="J242">
        <v>86.55</v>
      </c>
      <c r="K242">
        <v>1.23</v>
      </c>
      <c r="M242">
        <v>38.799999999999997</v>
      </c>
      <c r="N242">
        <v>2.73</v>
      </c>
      <c r="O242">
        <v>7.31</v>
      </c>
      <c r="P242" s="2">
        <v>15.71</v>
      </c>
      <c r="Q242">
        <v>4.7</v>
      </c>
      <c r="R242">
        <v>0.08</v>
      </c>
      <c r="S242">
        <v>200.86</v>
      </c>
      <c r="T242">
        <v>26.75</v>
      </c>
      <c r="U242">
        <f t="shared" si="44"/>
        <v>1.7699999999999996</v>
      </c>
      <c r="V242">
        <f t="shared" si="35"/>
        <v>7.8550000000000009E-2</v>
      </c>
      <c r="W242">
        <f t="shared" si="41"/>
        <v>7.8213681170964847E-2</v>
      </c>
      <c r="X242">
        <f t="shared" si="42"/>
        <v>2.3399382654585282E-2</v>
      </c>
      <c r="Y242" s="3">
        <f t="shared" si="43"/>
        <v>0.96</v>
      </c>
      <c r="Z242">
        <v>34</v>
      </c>
      <c r="AA242">
        <v>7.2</v>
      </c>
      <c r="AB242">
        <v>50</v>
      </c>
      <c r="AC242" s="31">
        <v>4.0000000000000002E-4</v>
      </c>
      <c r="AD242" s="31">
        <f t="shared" si="36"/>
        <v>7.9878004799999999E-2</v>
      </c>
      <c r="AE242" s="31">
        <f t="shared" si="34"/>
        <v>2.0209981248000002</v>
      </c>
      <c r="AF242">
        <v>200</v>
      </c>
      <c r="AG242" s="2">
        <v>6.9066046547166396E-3</v>
      </c>
      <c r="AJ242">
        <f t="shared" si="37"/>
        <v>0</v>
      </c>
      <c r="AK242">
        <f t="shared" si="38"/>
        <v>0</v>
      </c>
      <c r="AL242" s="3">
        <f t="shared" si="39"/>
        <v>0</v>
      </c>
      <c r="AM242" s="3">
        <f t="shared" si="40"/>
        <v>0</v>
      </c>
    </row>
    <row r="243" spans="1:39" x14ac:dyDescent="0.25">
      <c r="A243" s="7" t="s">
        <v>45</v>
      </c>
      <c r="B243" s="8" t="s">
        <v>46</v>
      </c>
      <c r="C243" s="8">
        <v>18</v>
      </c>
      <c r="D243" s="8">
        <v>7.1</v>
      </c>
      <c r="E243" s="8">
        <v>32.999999999999993</v>
      </c>
      <c r="F243" s="8">
        <v>10</v>
      </c>
      <c r="G243" s="9"/>
      <c r="H243" s="7">
        <v>5622.96</v>
      </c>
      <c r="I243" s="8">
        <v>17.12</v>
      </c>
      <c r="J243" s="8">
        <v>84.01</v>
      </c>
      <c r="K243" s="8">
        <v>1.26</v>
      </c>
      <c r="L243" s="8"/>
      <c r="M243" s="8">
        <v>30</v>
      </c>
      <c r="N243" s="8">
        <v>2.65</v>
      </c>
      <c r="O243" s="8">
        <v>7.19</v>
      </c>
      <c r="P243" s="7">
        <v>22.01</v>
      </c>
      <c r="Q243" s="8">
        <v>4.22</v>
      </c>
      <c r="R243" s="8">
        <v>0.04</v>
      </c>
      <c r="S243" s="8">
        <v>200.49</v>
      </c>
      <c r="T243" s="8">
        <v>44.78</v>
      </c>
      <c r="U243" s="8">
        <f t="shared" ref="U243:U266" si="45">T243-T219</f>
        <v>3.2800000000000011</v>
      </c>
      <c r="V243" s="8">
        <f t="shared" ref="V243:V266" si="46">P243/AF243</f>
        <v>0.11005000000000001</v>
      </c>
      <c r="W243" s="8">
        <f t="shared" ref="W243:W266" si="47">P243/S243</f>
        <v>0.10978103646067136</v>
      </c>
      <c r="X243" s="8">
        <f t="shared" ref="X243:X266" si="48">Q243/S243</f>
        <v>2.1048431343209134E-2</v>
      </c>
      <c r="Y243" s="75">
        <f t="shared" ref="Y243:Y266" si="49">R243*12</f>
        <v>0.48</v>
      </c>
      <c r="Z243" s="8">
        <v>32.999999999999993</v>
      </c>
      <c r="AA243" s="8">
        <v>7.1</v>
      </c>
      <c r="AB243" s="8">
        <v>50</v>
      </c>
      <c r="AC243" s="26">
        <v>4.0000000000000002E-4</v>
      </c>
      <c r="AD243" s="26">
        <f t="shared" ref="AD243:AD266" si="50">AC243*I243*S243*0.06</f>
        <v>8.2377331200000015E-2</v>
      </c>
      <c r="AE243" s="26">
        <f t="shared" ref="AE243:AE266" si="51">AD219*24</f>
        <v>2.0944168703999999</v>
      </c>
      <c r="AF243" s="8">
        <v>200</v>
      </c>
      <c r="AG243" s="7">
        <v>2E-3</v>
      </c>
      <c r="AH243">
        <v>6.3192888523827097E-3</v>
      </c>
      <c r="AI243">
        <v>3.0560347009460399E-3</v>
      </c>
      <c r="AJ243" s="8">
        <f t="shared" ref="AJ243:AJ266" si="52">IF(B243="Python",AG243*AF243/24,0)</f>
        <v>0</v>
      </c>
      <c r="AK243" s="8">
        <f t="shared" ref="AK243:AK266" si="53">IF(B243="Julia",AH243*S243/24,0)</f>
        <v>5.2789759250592067E-2</v>
      </c>
      <c r="AL243" s="75">
        <f t="shared" ref="AL243:AL266" si="54">AI243*S243</f>
        <v>0.61270439719267156</v>
      </c>
      <c r="AM243" s="75">
        <f t="shared" ref="AM243:AM266" si="55">IF(IF(AND(AK243=0, AJ243=0),0, IF(AK243&gt;0,AK243,AJ243))=0,0,IF(AND(AK243=0, AJ243=0),0, IF(AK243&gt;0,AK243,AJ243)))</f>
        <v>5.2789759250592067E-2</v>
      </c>
    </row>
    <row r="244" spans="1:39" x14ac:dyDescent="0.25">
      <c r="A244" s="2" t="s">
        <v>47</v>
      </c>
      <c r="B244" t="s">
        <v>46</v>
      </c>
      <c r="C244">
        <v>12</v>
      </c>
      <c r="D244">
        <v>7.3</v>
      </c>
      <c r="E244">
        <v>35</v>
      </c>
      <c r="F244">
        <v>10</v>
      </c>
      <c r="G244" s="1"/>
      <c r="H244" s="2">
        <v>5341.95</v>
      </c>
      <c r="I244">
        <v>15.75</v>
      </c>
      <c r="J244">
        <v>84.11</v>
      </c>
      <c r="K244">
        <v>0.87</v>
      </c>
      <c r="M244">
        <v>31.4</v>
      </c>
      <c r="N244">
        <v>0.93</v>
      </c>
      <c r="O244">
        <v>7.4</v>
      </c>
      <c r="P244" s="2">
        <v>27.15</v>
      </c>
      <c r="Q244">
        <v>1.3</v>
      </c>
      <c r="R244">
        <v>0.02</v>
      </c>
      <c r="S244">
        <v>199.59</v>
      </c>
      <c r="T244">
        <v>34.380000000000003</v>
      </c>
      <c r="U244">
        <f t="shared" si="45"/>
        <v>3.2800000000000011</v>
      </c>
      <c r="V244">
        <f t="shared" si="46"/>
        <v>0.13574999999999998</v>
      </c>
      <c r="W244">
        <f t="shared" si="47"/>
        <v>0.13602885916128063</v>
      </c>
      <c r="X244">
        <f t="shared" si="48"/>
        <v>6.513352372363345E-3</v>
      </c>
      <c r="Y244" s="3">
        <f t="shared" si="49"/>
        <v>0.24</v>
      </c>
      <c r="Z244">
        <v>35</v>
      </c>
      <c r="AA244">
        <v>7.3</v>
      </c>
      <c r="AB244">
        <v>50</v>
      </c>
      <c r="AC244" s="31">
        <v>4.0000000000000002E-4</v>
      </c>
      <c r="AD244" s="31">
        <f t="shared" si="50"/>
        <v>7.5445020000000002E-2</v>
      </c>
      <c r="AE244" s="31">
        <f t="shared" si="51"/>
        <v>2.1924115200000003</v>
      </c>
      <c r="AF244">
        <v>200</v>
      </c>
      <c r="AG244" s="2">
        <v>2E-3</v>
      </c>
      <c r="AH244">
        <v>1.4345432254478201E-2</v>
      </c>
      <c r="AI244">
        <v>8.3760707921762493E-3</v>
      </c>
      <c r="AJ244">
        <f t="shared" si="52"/>
        <v>0</v>
      </c>
      <c r="AK244">
        <f t="shared" si="53"/>
        <v>0.11930020098630434</v>
      </c>
      <c r="AL244" s="3">
        <f t="shared" si="54"/>
        <v>1.6717799694104576</v>
      </c>
      <c r="AM244" s="3">
        <f t="shared" si="55"/>
        <v>0.11930020098630434</v>
      </c>
    </row>
    <row r="245" spans="1:39" x14ac:dyDescent="0.25">
      <c r="A245" s="2" t="s">
        <v>48</v>
      </c>
      <c r="B245" t="s">
        <v>49</v>
      </c>
      <c r="C245">
        <v>12</v>
      </c>
      <c r="D245">
        <v>7.2</v>
      </c>
      <c r="E245">
        <v>34</v>
      </c>
      <c r="F245">
        <v>10</v>
      </c>
      <c r="G245" s="1"/>
      <c r="H245" s="2">
        <v>4896.03</v>
      </c>
      <c r="I245">
        <v>16.61</v>
      </c>
      <c r="J245">
        <v>77.87</v>
      </c>
      <c r="K245">
        <v>0.76</v>
      </c>
      <c r="L245">
        <v>352</v>
      </c>
      <c r="M245">
        <v>42</v>
      </c>
      <c r="N245">
        <v>0.91</v>
      </c>
      <c r="O245">
        <v>7.32</v>
      </c>
      <c r="P245" s="2">
        <v>21.22</v>
      </c>
      <c r="Q245">
        <v>8.5</v>
      </c>
      <c r="R245">
        <v>0.02</v>
      </c>
      <c r="S245">
        <v>196.14</v>
      </c>
      <c r="T245">
        <v>35.880000000000003</v>
      </c>
      <c r="U245">
        <f t="shared" si="45"/>
        <v>4.7800000000000011</v>
      </c>
      <c r="V245">
        <f t="shared" si="46"/>
        <v>0.1061</v>
      </c>
      <c r="W245">
        <f t="shared" si="47"/>
        <v>0.1081880289589069</v>
      </c>
      <c r="X245">
        <f t="shared" si="48"/>
        <v>4.3336392372794942E-2</v>
      </c>
      <c r="Y245" s="3">
        <f t="shared" si="49"/>
        <v>0.24</v>
      </c>
      <c r="Z245">
        <v>34</v>
      </c>
      <c r="AA245">
        <v>7.2</v>
      </c>
      <c r="AB245">
        <v>50</v>
      </c>
      <c r="AC245" s="31">
        <v>4.0000000000000002E-4</v>
      </c>
      <c r="AD245" s="31">
        <f t="shared" si="50"/>
        <v>7.8189249599999983E-2</v>
      </c>
      <c r="AE245" s="31">
        <f t="shared" si="51"/>
        <v>2.0533734143999998</v>
      </c>
      <c r="AF245">
        <v>200</v>
      </c>
      <c r="AG245" s="2">
        <v>4.9999999999977299E-2</v>
      </c>
      <c r="AJ245">
        <f t="shared" si="52"/>
        <v>0.4166666666664775</v>
      </c>
      <c r="AK245">
        <f t="shared" si="53"/>
        <v>0</v>
      </c>
      <c r="AL245" s="3">
        <f t="shared" si="54"/>
        <v>0</v>
      </c>
      <c r="AM245" s="3">
        <f t="shared" si="55"/>
        <v>0.4166666666664775</v>
      </c>
    </row>
    <row r="246" spans="1:39" x14ac:dyDescent="0.25">
      <c r="A246" s="2" t="s">
        <v>50</v>
      </c>
      <c r="B246" t="s">
        <v>51</v>
      </c>
      <c r="C246">
        <v>18</v>
      </c>
      <c r="D246">
        <v>7.3</v>
      </c>
      <c r="E246">
        <v>35</v>
      </c>
      <c r="F246">
        <v>10</v>
      </c>
      <c r="G246" s="1"/>
      <c r="H246" s="2">
        <v>6169.74</v>
      </c>
      <c r="I246">
        <v>18.77</v>
      </c>
      <c r="J246">
        <v>83.85</v>
      </c>
      <c r="K246">
        <v>0.56000000000000005</v>
      </c>
      <c r="M246">
        <v>27</v>
      </c>
      <c r="N246">
        <v>0.81</v>
      </c>
      <c r="O246">
        <v>7.42</v>
      </c>
      <c r="P246" s="2">
        <v>21.18</v>
      </c>
      <c r="Q246">
        <v>6.65</v>
      </c>
      <c r="R246">
        <v>0.09</v>
      </c>
      <c r="S246">
        <v>196.45</v>
      </c>
      <c r="T246">
        <v>44.6</v>
      </c>
      <c r="U246">
        <f t="shared" si="45"/>
        <v>3.2700000000000031</v>
      </c>
      <c r="V246">
        <f t="shared" si="46"/>
        <v>0.10589999999999999</v>
      </c>
      <c r="W246">
        <f t="shared" si="47"/>
        <v>0.10781369305166709</v>
      </c>
      <c r="X246">
        <f t="shared" si="48"/>
        <v>3.3850852634258084E-2</v>
      </c>
      <c r="Y246" s="3">
        <f t="shared" si="49"/>
        <v>1.08</v>
      </c>
      <c r="Z246">
        <v>35</v>
      </c>
      <c r="AA246">
        <v>7.3</v>
      </c>
      <c r="AB246">
        <v>50</v>
      </c>
      <c r="AC246" s="31">
        <v>4.0000000000000002E-4</v>
      </c>
      <c r="AD246" s="31">
        <f t="shared" si="50"/>
        <v>8.8496796000000003E-2</v>
      </c>
      <c r="AE246" s="31">
        <f t="shared" si="51"/>
        <v>2.2936089599999994</v>
      </c>
      <c r="AF246">
        <v>200</v>
      </c>
      <c r="AG246" s="2">
        <v>2E-3</v>
      </c>
      <c r="AJ246">
        <f t="shared" si="52"/>
        <v>0</v>
      </c>
      <c r="AK246">
        <f t="shared" si="53"/>
        <v>0</v>
      </c>
      <c r="AL246" s="3">
        <f t="shared" si="54"/>
        <v>0</v>
      </c>
      <c r="AM246" s="3">
        <f t="shared" si="55"/>
        <v>0</v>
      </c>
    </row>
    <row r="247" spans="1:39" x14ac:dyDescent="0.25">
      <c r="A247" s="2" t="s">
        <v>52</v>
      </c>
      <c r="B247" t="s">
        <v>49</v>
      </c>
      <c r="C247">
        <v>18</v>
      </c>
      <c r="D247">
        <v>7.3</v>
      </c>
      <c r="E247">
        <v>35</v>
      </c>
      <c r="F247">
        <v>10</v>
      </c>
      <c r="G247" s="1"/>
      <c r="H247" s="2">
        <v>5562.1049999999996</v>
      </c>
      <c r="I247">
        <v>16.91</v>
      </c>
      <c r="J247">
        <v>84.29</v>
      </c>
      <c r="K247">
        <v>0.37</v>
      </c>
      <c r="L247">
        <v>338</v>
      </c>
      <c r="M247">
        <v>32.5</v>
      </c>
      <c r="N247">
        <v>0.22</v>
      </c>
      <c r="O247">
        <v>7.41</v>
      </c>
      <c r="P247" s="2">
        <v>17.02</v>
      </c>
      <c r="Q247">
        <v>6.31</v>
      </c>
      <c r="R247">
        <v>0.02</v>
      </c>
      <c r="S247">
        <v>193.7</v>
      </c>
      <c r="T247">
        <v>48.05</v>
      </c>
      <c r="U247">
        <f t="shared" si="45"/>
        <v>5.75</v>
      </c>
      <c r="V247">
        <f t="shared" si="46"/>
        <v>8.5099999999999995E-2</v>
      </c>
      <c r="W247">
        <f t="shared" si="47"/>
        <v>8.7867836861125453E-2</v>
      </c>
      <c r="X247">
        <f t="shared" si="48"/>
        <v>3.2576148683531231E-2</v>
      </c>
      <c r="Y247" s="3">
        <f t="shared" si="49"/>
        <v>0.24</v>
      </c>
      <c r="Z247">
        <v>35</v>
      </c>
      <c r="AA247">
        <v>7.3</v>
      </c>
      <c r="AB247">
        <v>50</v>
      </c>
      <c r="AC247" s="31">
        <v>4.0000000000000002E-4</v>
      </c>
      <c r="AD247" s="31">
        <f t="shared" si="50"/>
        <v>7.8611207999999988E-2</v>
      </c>
      <c r="AE247" s="31">
        <f t="shared" si="51"/>
        <v>2.0665310975999995</v>
      </c>
      <c r="AF247">
        <v>200</v>
      </c>
      <c r="AG247" s="2">
        <v>2E-3</v>
      </c>
      <c r="AJ247">
        <f t="shared" si="52"/>
        <v>1.6666666666666666E-2</v>
      </c>
      <c r="AK247">
        <f t="shared" si="53"/>
        <v>0</v>
      </c>
      <c r="AL247" s="3">
        <f t="shared" si="54"/>
        <v>0</v>
      </c>
      <c r="AM247" s="3">
        <f t="shared" si="55"/>
        <v>1.6666666666666666E-2</v>
      </c>
    </row>
    <row r="248" spans="1:39" x14ac:dyDescent="0.25">
      <c r="A248" s="2" t="s">
        <v>53</v>
      </c>
      <c r="B248" t="s">
        <v>49</v>
      </c>
      <c r="C248">
        <v>12</v>
      </c>
      <c r="D248">
        <v>7.3</v>
      </c>
      <c r="E248">
        <v>35</v>
      </c>
      <c r="F248">
        <v>10</v>
      </c>
      <c r="G248" s="1"/>
      <c r="H248" s="2">
        <v>5128.5749999999998</v>
      </c>
      <c r="I248">
        <v>16.52</v>
      </c>
      <c r="J248">
        <v>76.09</v>
      </c>
      <c r="K248">
        <v>0.33</v>
      </c>
      <c r="L248">
        <v>357</v>
      </c>
      <c r="M248">
        <v>41.8</v>
      </c>
      <c r="N248">
        <v>0.13</v>
      </c>
      <c r="O248">
        <v>7.42</v>
      </c>
      <c r="P248" s="2">
        <v>23.25</v>
      </c>
      <c r="Q248">
        <v>8.9</v>
      </c>
      <c r="R248">
        <v>0.02</v>
      </c>
      <c r="S248">
        <v>195.9</v>
      </c>
      <c r="T248">
        <v>35.700000000000003</v>
      </c>
      <c r="U248">
        <f t="shared" si="45"/>
        <v>4.7700000000000031</v>
      </c>
      <c r="V248">
        <f t="shared" si="46"/>
        <v>0.11625000000000001</v>
      </c>
      <c r="W248">
        <f t="shared" si="47"/>
        <v>0.11868300153139356</v>
      </c>
      <c r="X248">
        <f t="shared" si="48"/>
        <v>4.5431342521694743E-2</v>
      </c>
      <c r="Y248" s="3">
        <f t="shared" si="49"/>
        <v>0.24</v>
      </c>
      <c r="Z248">
        <v>35</v>
      </c>
      <c r="AA248">
        <v>7.3</v>
      </c>
      <c r="AB248">
        <v>50</v>
      </c>
      <c r="AC248" s="31">
        <v>4.0000000000000002E-4</v>
      </c>
      <c r="AD248" s="31">
        <f t="shared" si="50"/>
        <v>7.7670431999999998E-2</v>
      </c>
      <c r="AE248" s="31">
        <f t="shared" si="51"/>
        <v>2.2683502080000002</v>
      </c>
      <c r="AF248">
        <v>200</v>
      </c>
      <c r="AG248" s="2">
        <v>3.4892126992530199E-2</v>
      </c>
      <c r="AJ248">
        <f t="shared" si="52"/>
        <v>0.29076772493775166</v>
      </c>
      <c r="AK248">
        <f t="shared" si="53"/>
        <v>0</v>
      </c>
      <c r="AL248" s="3">
        <f t="shared" si="54"/>
        <v>0</v>
      </c>
      <c r="AM248" s="3">
        <f t="shared" si="55"/>
        <v>0.29076772493775166</v>
      </c>
    </row>
    <row r="249" spans="1:39" x14ac:dyDescent="0.25">
      <c r="A249" s="2" t="s">
        <v>54</v>
      </c>
      <c r="B249" t="s">
        <v>46</v>
      </c>
      <c r="C249">
        <v>18</v>
      </c>
      <c r="D249">
        <v>7.3</v>
      </c>
      <c r="E249">
        <v>35</v>
      </c>
      <c r="F249">
        <v>10</v>
      </c>
      <c r="G249" s="1"/>
      <c r="H249" s="2">
        <v>5951.5349999999999</v>
      </c>
      <c r="I249">
        <v>20.84</v>
      </c>
      <c r="J249">
        <v>84.74</v>
      </c>
      <c r="K249">
        <v>0.64</v>
      </c>
      <c r="M249">
        <v>29.8</v>
      </c>
      <c r="N249">
        <v>0.4</v>
      </c>
      <c r="O249">
        <v>7.41</v>
      </c>
      <c r="P249" s="2">
        <v>25.81</v>
      </c>
      <c r="Q249">
        <v>2.86</v>
      </c>
      <c r="R249">
        <v>0.02</v>
      </c>
      <c r="S249">
        <v>201.66</v>
      </c>
      <c r="T249">
        <v>43.8</v>
      </c>
      <c r="U249">
        <f t="shared" si="45"/>
        <v>3.269999999999996</v>
      </c>
      <c r="V249">
        <f t="shared" si="46"/>
        <v>0.12905</v>
      </c>
      <c r="W249">
        <f t="shared" si="47"/>
        <v>0.12798770207279578</v>
      </c>
      <c r="X249">
        <f t="shared" si="48"/>
        <v>1.4182287017752652E-2</v>
      </c>
      <c r="Y249" s="3">
        <f t="shared" si="49"/>
        <v>0.24</v>
      </c>
      <c r="Z249">
        <v>35</v>
      </c>
      <c r="AA249">
        <v>7.3</v>
      </c>
      <c r="AB249">
        <v>50</v>
      </c>
      <c r="AC249" s="31">
        <v>4.0000000000000002E-4</v>
      </c>
      <c r="AD249" s="31">
        <f t="shared" si="50"/>
        <v>0.10086226559999999</v>
      </c>
      <c r="AE249" s="31">
        <f t="shared" si="51"/>
        <v>2.5316941824000008</v>
      </c>
      <c r="AF249">
        <v>200</v>
      </c>
      <c r="AG249" s="2">
        <v>2E-3</v>
      </c>
      <c r="AH249">
        <v>1.4345690245185099E-2</v>
      </c>
      <c r="AI249">
        <v>8.3761541501150092E-3</v>
      </c>
      <c r="AJ249">
        <f t="shared" si="52"/>
        <v>0</v>
      </c>
      <c r="AK249">
        <f t="shared" si="53"/>
        <v>0.12053966228516778</v>
      </c>
      <c r="AL249" s="3">
        <f t="shared" si="54"/>
        <v>1.6891352459121927</v>
      </c>
      <c r="AM249" s="3">
        <f t="shared" si="55"/>
        <v>0.12053966228516778</v>
      </c>
    </row>
    <row r="250" spans="1:39" x14ac:dyDescent="0.25">
      <c r="A250" s="2" t="s">
        <v>55</v>
      </c>
      <c r="B250" t="s">
        <v>51</v>
      </c>
      <c r="C250">
        <v>15</v>
      </c>
      <c r="D250">
        <v>7.2</v>
      </c>
      <c r="E250">
        <v>34</v>
      </c>
      <c r="F250">
        <v>10</v>
      </c>
      <c r="G250" s="1"/>
      <c r="H250" s="2">
        <v>5132.82</v>
      </c>
      <c r="I250">
        <v>15.48</v>
      </c>
      <c r="J250">
        <v>83.39</v>
      </c>
      <c r="K250">
        <v>1.41</v>
      </c>
      <c r="M250">
        <v>33.9</v>
      </c>
      <c r="N250">
        <v>1.64</v>
      </c>
      <c r="O250">
        <v>7.3</v>
      </c>
      <c r="P250" s="2">
        <v>18.63</v>
      </c>
      <c r="Q250">
        <v>4.66</v>
      </c>
      <c r="R250">
        <v>7.0000000000000007E-2</v>
      </c>
      <c r="S250">
        <v>196.08</v>
      </c>
      <c r="T250">
        <v>33.58</v>
      </c>
      <c r="U250">
        <f t="shared" si="45"/>
        <v>3.2799999999999976</v>
      </c>
      <c r="V250">
        <f t="shared" si="46"/>
        <v>9.3149999999999997E-2</v>
      </c>
      <c r="W250">
        <f t="shared" si="47"/>
        <v>9.501223990208077E-2</v>
      </c>
      <c r="X250">
        <f t="shared" si="48"/>
        <v>2.3765809873521011E-2</v>
      </c>
      <c r="Y250" s="3">
        <f t="shared" si="49"/>
        <v>0.84000000000000008</v>
      </c>
      <c r="Z250">
        <v>34</v>
      </c>
      <c r="AA250">
        <v>7.2</v>
      </c>
      <c r="AB250">
        <v>50</v>
      </c>
      <c r="AC250" s="31">
        <v>4.0000000000000002E-4</v>
      </c>
      <c r="AD250" s="31">
        <f t="shared" si="50"/>
        <v>7.2847641600000013E-2</v>
      </c>
      <c r="AE250" s="31">
        <f t="shared" si="51"/>
        <v>1.9203983424</v>
      </c>
      <c r="AF250">
        <v>200</v>
      </c>
      <c r="AG250" s="2">
        <v>8.4730008928857008E-3</v>
      </c>
      <c r="AJ250">
        <f t="shared" si="52"/>
        <v>0</v>
      </c>
      <c r="AK250">
        <f t="shared" si="53"/>
        <v>0</v>
      </c>
      <c r="AL250" s="3">
        <f t="shared" si="54"/>
        <v>0</v>
      </c>
      <c r="AM250" s="3">
        <f t="shared" si="55"/>
        <v>0</v>
      </c>
    </row>
    <row r="251" spans="1:39" x14ac:dyDescent="0.25">
      <c r="A251" s="2" t="s">
        <v>56</v>
      </c>
      <c r="B251" t="s">
        <v>49</v>
      </c>
      <c r="C251">
        <v>18</v>
      </c>
      <c r="D251">
        <v>7.1</v>
      </c>
      <c r="E251">
        <v>32.999999999999993</v>
      </c>
      <c r="F251">
        <v>10</v>
      </c>
      <c r="G251" s="1"/>
      <c r="H251" s="2">
        <v>4706.1899999999996</v>
      </c>
      <c r="I251">
        <v>17.190000000000001</v>
      </c>
      <c r="J251">
        <v>76.099999999999994</v>
      </c>
      <c r="K251">
        <v>1.07</v>
      </c>
      <c r="L251">
        <v>348</v>
      </c>
      <c r="M251">
        <v>43.5</v>
      </c>
      <c r="N251">
        <v>2.83</v>
      </c>
      <c r="O251">
        <v>7.2</v>
      </c>
      <c r="P251" s="2">
        <v>15.43</v>
      </c>
      <c r="Q251">
        <v>6.89</v>
      </c>
      <c r="R251">
        <v>0.14000000000000001</v>
      </c>
      <c r="S251">
        <v>196.31</v>
      </c>
      <c r="T251">
        <v>44.5</v>
      </c>
      <c r="U251">
        <f t="shared" si="45"/>
        <v>4.7700000000000031</v>
      </c>
      <c r="V251">
        <f t="shared" si="46"/>
        <v>7.7149999999999996E-2</v>
      </c>
      <c r="W251">
        <f t="shared" si="47"/>
        <v>7.8600173195456161E-2</v>
      </c>
      <c r="X251">
        <f t="shared" si="48"/>
        <v>3.5097549793693644E-2</v>
      </c>
      <c r="Y251" s="3">
        <f t="shared" si="49"/>
        <v>1.6800000000000002</v>
      </c>
      <c r="Z251">
        <v>32.999999999999993</v>
      </c>
      <c r="AA251">
        <v>7.1</v>
      </c>
      <c r="AB251">
        <v>50</v>
      </c>
      <c r="AC251" s="31">
        <v>4.0000000000000002E-4</v>
      </c>
      <c r="AD251" s="31">
        <f t="shared" si="50"/>
        <v>8.0989653600000017E-2</v>
      </c>
      <c r="AE251" s="31">
        <f t="shared" si="51"/>
        <v>2.0216385215999999</v>
      </c>
      <c r="AF251">
        <v>200</v>
      </c>
      <c r="AG251" s="2">
        <v>0.05</v>
      </c>
      <c r="AJ251">
        <f t="shared" si="52"/>
        <v>0.41666666666666669</v>
      </c>
      <c r="AK251">
        <f t="shared" si="53"/>
        <v>0</v>
      </c>
      <c r="AL251" s="3">
        <f t="shared" si="54"/>
        <v>0</v>
      </c>
      <c r="AM251" s="3">
        <f t="shared" si="55"/>
        <v>0.41666666666666669</v>
      </c>
    </row>
    <row r="252" spans="1:39" x14ac:dyDescent="0.25">
      <c r="A252" s="2" t="s">
        <v>57</v>
      </c>
      <c r="B252" t="s">
        <v>46</v>
      </c>
      <c r="C252">
        <v>18</v>
      </c>
      <c r="D252">
        <v>7.2</v>
      </c>
      <c r="E252">
        <v>34</v>
      </c>
      <c r="F252">
        <v>10</v>
      </c>
      <c r="G252" s="1"/>
      <c r="H252" s="2">
        <v>5582.79</v>
      </c>
      <c r="I252">
        <v>18.36</v>
      </c>
      <c r="J252">
        <v>83.66</v>
      </c>
      <c r="K252">
        <v>0.75</v>
      </c>
      <c r="M252">
        <v>30.9</v>
      </c>
      <c r="N252">
        <v>0.89</v>
      </c>
      <c r="O252">
        <v>7.3</v>
      </c>
      <c r="P252" s="2">
        <v>26.73</v>
      </c>
      <c r="Q252">
        <v>2.0699999999999998</v>
      </c>
      <c r="R252">
        <v>0.02</v>
      </c>
      <c r="S252">
        <v>202.55</v>
      </c>
      <c r="T252">
        <v>43.8</v>
      </c>
      <c r="U252">
        <f t="shared" si="45"/>
        <v>3.269999999999996</v>
      </c>
      <c r="V252">
        <f t="shared" si="46"/>
        <v>0.13364999999999999</v>
      </c>
      <c r="W252">
        <f t="shared" si="47"/>
        <v>0.13196741545297458</v>
      </c>
      <c r="X252">
        <f t="shared" si="48"/>
        <v>1.0219698839792643E-2</v>
      </c>
      <c r="Y252" s="3">
        <f t="shared" si="49"/>
        <v>0.24</v>
      </c>
      <c r="Z252">
        <v>34</v>
      </c>
      <c r="AA252">
        <v>7.2</v>
      </c>
      <c r="AB252">
        <v>50</v>
      </c>
      <c r="AC252" s="31">
        <v>4.0000000000000002E-4</v>
      </c>
      <c r="AD252" s="31">
        <f t="shared" si="50"/>
        <v>8.9251632000000011E-2</v>
      </c>
      <c r="AE252" s="31">
        <f t="shared" si="51"/>
        <v>2.1915573695999999</v>
      </c>
      <c r="AF252">
        <v>200</v>
      </c>
      <c r="AG252" s="2">
        <v>2E-3</v>
      </c>
      <c r="AH252">
        <v>1.4346181128210201E-2</v>
      </c>
      <c r="AI252">
        <v>8.3762634427614804E-3</v>
      </c>
      <c r="AJ252">
        <f t="shared" si="52"/>
        <v>0</v>
      </c>
      <c r="AK252">
        <f t="shared" si="53"/>
        <v>0.12107579114662402</v>
      </c>
      <c r="AL252" s="3">
        <f t="shared" si="54"/>
        <v>1.696612160331338</v>
      </c>
      <c r="AM252" s="3">
        <f t="shared" si="55"/>
        <v>0.12107579114662402</v>
      </c>
    </row>
    <row r="253" spans="1:39" x14ac:dyDescent="0.25">
      <c r="A253" s="2" t="s">
        <v>58</v>
      </c>
      <c r="B253" t="s">
        <v>51</v>
      </c>
      <c r="C253">
        <v>18</v>
      </c>
      <c r="D253">
        <v>7.1</v>
      </c>
      <c r="E253">
        <v>32.999999999999993</v>
      </c>
      <c r="F253">
        <v>10</v>
      </c>
      <c r="G253" s="1"/>
      <c r="H253" s="2">
        <v>5718.5249999999996</v>
      </c>
      <c r="I253">
        <v>16.440000000000001</v>
      </c>
      <c r="J253">
        <v>84.63</v>
      </c>
      <c r="K253">
        <v>0.77</v>
      </c>
      <c r="M253">
        <v>34.4</v>
      </c>
      <c r="N253">
        <v>3.39</v>
      </c>
      <c r="O253">
        <v>7.21</v>
      </c>
      <c r="P253" s="2">
        <v>21.58</v>
      </c>
      <c r="Q253">
        <v>4.6399999999999997</v>
      </c>
      <c r="R253">
        <v>0.08</v>
      </c>
      <c r="S253">
        <v>208.76</v>
      </c>
      <c r="T253">
        <v>43</v>
      </c>
      <c r="U253">
        <f t="shared" si="45"/>
        <v>3.2700000000000031</v>
      </c>
      <c r="V253">
        <f t="shared" si="46"/>
        <v>0.1079</v>
      </c>
      <c r="W253">
        <f t="shared" si="47"/>
        <v>0.10337229354282429</v>
      </c>
      <c r="X253">
        <f t="shared" si="48"/>
        <v>2.2226480168614678E-2</v>
      </c>
      <c r="Y253" s="3">
        <f t="shared" si="49"/>
        <v>0.96</v>
      </c>
      <c r="Z253">
        <v>32.999999999999993</v>
      </c>
      <c r="AA253">
        <v>7.1</v>
      </c>
      <c r="AB253">
        <v>50</v>
      </c>
      <c r="AC253" s="31">
        <v>4.0000000000000002E-4</v>
      </c>
      <c r="AD253" s="31">
        <f t="shared" si="50"/>
        <v>8.2368345600000004E-2</v>
      </c>
      <c r="AE253" s="31">
        <f t="shared" si="51"/>
        <v>2.2628943360000005</v>
      </c>
      <c r="AF253">
        <v>200</v>
      </c>
      <c r="AG253" s="2">
        <v>2E-3</v>
      </c>
      <c r="AJ253">
        <f t="shared" si="52"/>
        <v>0</v>
      </c>
      <c r="AK253">
        <f t="shared" si="53"/>
        <v>0</v>
      </c>
      <c r="AL253" s="3">
        <f t="shared" si="54"/>
        <v>0</v>
      </c>
      <c r="AM253" s="3">
        <f t="shared" si="55"/>
        <v>0</v>
      </c>
    </row>
    <row r="254" spans="1:39" x14ac:dyDescent="0.25">
      <c r="A254" s="2" t="s">
        <v>59</v>
      </c>
      <c r="B254" t="s">
        <v>46</v>
      </c>
      <c r="C254">
        <v>15</v>
      </c>
      <c r="D254">
        <v>7.1</v>
      </c>
      <c r="E254">
        <v>32.999999999999993</v>
      </c>
      <c r="F254">
        <v>10</v>
      </c>
      <c r="G254" s="1"/>
      <c r="H254" s="2">
        <v>5017.2150000000001</v>
      </c>
      <c r="I254">
        <v>19.940000000000001</v>
      </c>
      <c r="J254">
        <v>85.97</v>
      </c>
      <c r="K254">
        <v>1.31</v>
      </c>
      <c r="M254">
        <v>31.4</v>
      </c>
      <c r="N254">
        <v>2.6</v>
      </c>
      <c r="O254">
        <v>7.2</v>
      </c>
      <c r="P254" s="2">
        <v>25.73</v>
      </c>
      <c r="Q254">
        <v>2.78</v>
      </c>
      <c r="R254">
        <v>0.02</v>
      </c>
      <c r="S254">
        <v>204.44</v>
      </c>
      <c r="T254">
        <v>31</v>
      </c>
      <c r="U254">
        <f t="shared" si="45"/>
        <v>3.2699999999999996</v>
      </c>
      <c r="V254">
        <f t="shared" si="46"/>
        <v>0.12865000000000001</v>
      </c>
      <c r="W254">
        <f t="shared" si="47"/>
        <v>0.12585599686949717</v>
      </c>
      <c r="X254">
        <f t="shared" si="48"/>
        <v>1.3598121698297789E-2</v>
      </c>
      <c r="Y254" s="3">
        <f t="shared" si="49"/>
        <v>0.24</v>
      </c>
      <c r="Z254">
        <v>32.999999999999993</v>
      </c>
      <c r="AA254">
        <v>7.1</v>
      </c>
      <c r="AB254">
        <v>50</v>
      </c>
      <c r="AC254" s="31">
        <v>4.0000000000000002E-4</v>
      </c>
      <c r="AD254" s="31">
        <f t="shared" si="50"/>
        <v>9.7836806400000004E-2</v>
      </c>
      <c r="AE254" s="31">
        <f t="shared" si="51"/>
        <v>2.1538016640000004</v>
      </c>
      <c r="AF254">
        <v>200</v>
      </c>
      <c r="AG254" s="2">
        <v>2E-3</v>
      </c>
      <c r="AH254">
        <v>1.24394192170933E-2</v>
      </c>
      <c r="AI254">
        <v>7.2019126138554703E-3</v>
      </c>
      <c r="AJ254">
        <f t="shared" si="52"/>
        <v>0</v>
      </c>
      <c r="AK254">
        <f t="shared" si="53"/>
        <v>0.10596311936427309</v>
      </c>
      <c r="AL254" s="3">
        <f t="shared" si="54"/>
        <v>1.4723590147766124</v>
      </c>
      <c r="AM254" s="3">
        <f t="shared" si="55"/>
        <v>0.10596311936427309</v>
      </c>
    </row>
    <row r="255" spans="1:39" x14ac:dyDescent="0.25">
      <c r="A255" s="2" t="s">
        <v>60</v>
      </c>
      <c r="B255" t="s">
        <v>49</v>
      </c>
      <c r="C255">
        <v>15</v>
      </c>
      <c r="D255">
        <v>7.1</v>
      </c>
      <c r="E255">
        <v>32.999999999999993</v>
      </c>
      <c r="F255">
        <v>10</v>
      </c>
      <c r="G255" s="1"/>
      <c r="H255" s="2">
        <v>5154.4650000000001</v>
      </c>
      <c r="I255">
        <v>17.34</v>
      </c>
      <c r="J255">
        <v>78.790000000000006</v>
      </c>
      <c r="K255">
        <v>1.02</v>
      </c>
      <c r="L255">
        <v>340</v>
      </c>
      <c r="M255">
        <v>42.3</v>
      </c>
      <c r="N255">
        <v>1.96</v>
      </c>
      <c r="O255">
        <v>7.22</v>
      </c>
      <c r="P255" s="2">
        <v>18.79</v>
      </c>
      <c r="Q255">
        <v>6.89</v>
      </c>
      <c r="R255">
        <v>0.02</v>
      </c>
      <c r="S255">
        <v>198.07</v>
      </c>
      <c r="T255">
        <v>32.5</v>
      </c>
      <c r="U255">
        <f t="shared" si="45"/>
        <v>4.7699999999999996</v>
      </c>
      <c r="V255">
        <f t="shared" si="46"/>
        <v>9.3949999999999992E-2</v>
      </c>
      <c r="W255">
        <f t="shared" si="47"/>
        <v>9.4865451608017362E-2</v>
      </c>
      <c r="X255">
        <f t="shared" si="48"/>
        <v>3.4785681829656183E-2</v>
      </c>
      <c r="Y255" s="3">
        <f t="shared" si="49"/>
        <v>0.24</v>
      </c>
      <c r="Z255">
        <v>32.999999999999993</v>
      </c>
      <c r="AA255">
        <v>7.1</v>
      </c>
      <c r="AB255">
        <v>50</v>
      </c>
      <c r="AC255" s="31">
        <v>4.0000000000000002E-4</v>
      </c>
      <c r="AD255" s="31">
        <f t="shared" si="50"/>
        <v>8.2428811200000007E-2</v>
      </c>
      <c r="AE255" s="31">
        <f t="shared" si="51"/>
        <v>2.1012526079999998</v>
      </c>
      <c r="AF255">
        <v>200</v>
      </c>
      <c r="AG255" s="2">
        <v>4.5930612711528797E-2</v>
      </c>
      <c r="AJ255">
        <f t="shared" si="52"/>
        <v>0.38275510592940659</v>
      </c>
      <c r="AK255">
        <f t="shared" si="53"/>
        <v>0</v>
      </c>
      <c r="AL255" s="3">
        <f t="shared" si="54"/>
        <v>0</v>
      </c>
      <c r="AM255" s="3">
        <f t="shared" si="55"/>
        <v>0.38275510592940659</v>
      </c>
    </row>
    <row r="256" spans="1:39" x14ac:dyDescent="0.25">
      <c r="A256" s="2" t="s">
        <v>61</v>
      </c>
      <c r="B256" t="s">
        <v>46</v>
      </c>
      <c r="C256">
        <v>15</v>
      </c>
      <c r="D256">
        <v>7.3</v>
      </c>
      <c r="E256">
        <v>35</v>
      </c>
      <c r="F256">
        <v>10</v>
      </c>
      <c r="G256" s="1"/>
      <c r="H256" s="2">
        <v>5750.13</v>
      </c>
      <c r="I256">
        <v>18.100000000000001</v>
      </c>
      <c r="J256">
        <v>82.67</v>
      </c>
      <c r="K256">
        <v>0.64</v>
      </c>
      <c r="M256">
        <v>29.9</v>
      </c>
      <c r="N256">
        <v>0.31</v>
      </c>
      <c r="O256">
        <v>7.39</v>
      </c>
      <c r="P256" s="2">
        <v>26.2</v>
      </c>
      <c r="Q256">
        <v>1.72</v>
      </c>
      <c r="R256">
        <v>0.02</v>
      </c>
      <c r="S256">
        <v>200.17</v>
      </c>
      <c r="T256">
        <v>31.98</v>
      </c>
      <c r="U256">
        <f t="shared" si="45"/>
        <v>3.2800000000000011</v>
      </c>
      <c r="V256">
        <f t="shared" si="46"/>
        <v>0.13100000000000001</v>
      </c>
      <c r="W256">
        <f t="shared" si="47"/>
        <v>0.13088874456711797</v>
      </c>
      <c r="X256">
        <f t="shared" si="48"/>
        <v>8.5926962082230104E-3</v>
      </c>
      <c r="Y256" s="3">
        <f t="shared" si="49"/>
        <v>0.24</v>
      </c>
      <c r="Z256">
        <v>35</v>
      </c>
      <c r="AA256">
        <v>7.3</v>
      </c>
      <c r="AB256">
        <v>50</v>
      </c>
      <c r="AC256" s="31">
        <v>4.0000000000000002E-4</v>
      </c>
      <c r="AD256" s="31">
        <f t="shared" si="50"/>
        <v>8.6953848E-2</v>
      </c>
      <c r="AE256" s="31">
        <f t="shared" si="51"/>
        <v>2.6136266111999999</v>
      </c>
      <c r="AF256">
        <v>200</v>
      </c>
      <c r="AG256" s="2">
        <v>2E-3</v>
      </c>
      <c r="AH256">
        <v>5.7755299488055304E-3</v>
      </c>
      <c r="AI256">
        <v>2.71018466477649E-3</v>
      </c>
      <c r="AJ256">
        <f t="shared" si="52"/>
        <v>0</v>
      </c>
      <c r="AK256">
        <f t="shared" si="53"/>
        <v>4.817032624385012E-2</v>
      </c>
      <c r="AL256" s="3">
        <f t="shared" si="54"/>
        <v>0.54249766434830993</v>
      </c>
      <c r="AM256" s="3">
        <f t="shared" si="55"/>
        <v>4.817032624385012E-2</v>
      </c>
    </row>
    <row r="257" spans="1:39" x14ac:dyDescent="0.25">
      <c r="A257" s="2" t="s">
        <v>62</v>
      </c>
      <c r="B257" t="s">
        <v>49</v>
      </c>
      <c r="C257">
        <v>18</v>
      </c>
      <c r="D257">
        <v>7.2</v>
      </c>
      <c r="E257">
        <v>34</v>
      </c>
      <c r="F257">
        <v>10</v>
      </c>
      <c r="G257" s="1"/>
      <c r="H257" s="2">
        <v>5295.585</v>
      </c>
      <c r="I257">
        <v>16.04</v>
      </c>
      <c r="J257">
        <v>81.2</v>
      </c>
      <c r="K257">
        <v>0.38</v>
      </c>
      <c r="L257">
        <v>339</v>
      </c>
      <c r="M257">
        <v>43.4</v>
      </c>
      <c r="N257">
        <v>1.19</v>
      </c>
      <c r="O257">
        <v>7.3</v>
      </c>
      <c r="P257" s="2">
        <v>16.02</v>
      </c>
      <c r="Q257">
        <v>7.43</v>
      </c>
      <c r="R257">
        <v>0.03</v>
      </c>
      <c r="S257">
        <v>194.84</v>
      </c>
      <c r="T257">
        <v>46.45</v>
      </c>
      <c r="U257">
        <f t="shared" si="45"/>
        <v>5.75</v>
      </c>
      <c r="V257">
        <f t="shared" si="46"/>
        <v>8.0100000000000005E-2</v>
      </c>
      <c r="W257">
        <f t="shared" si="47"/>
        <v>8.2221309792650382E-2</v>
      </c>
      <c r="X257">
        <f t="shared" si="48"/>
        <v>3.8133853418189284E-2</v>
      </c>
      <c r="Y257" s="3">
        <f t="shared" si="49"/>
        <v>0.36</v>
      </c>
      <c r="Z257">
        <v>34</v>
      </c>
      <c r="AA257">
        <v>7.2</v>
      </c>
      <c r="AB257">
        <v>50</v>
      </c>
      <c r="AC257" s="31">
        <v>4.0000000000000002E-4</v>
      </c>
      <c r="AD257" s="31">
        <f t="shared" si="50"/>
        <v>7.5005606399999994E-2</v>
      </c>
      <c r="AE257" s="31">
        <f t="shared" si="51"/>
        <v>2.2195699776</v>
      </c>
      <c r="AF257">
        <v>200</v>
      </c>
      <c r="AG257" s="2">
        <v>4.99999999999741E-2</v>
      </c>
      <c r="AJ257">
        <f t="shared" si="52"/>
        <v>0.41666666666645086</v>
      </c>
      <c r="AK257">
        <f t="shared" si="53"/>
        <v>0</v>
      </c>
      <c r="AL257" s="3">
        <f t="shared" si="54"/>
        <v>0</v>
      </c>
      <c r="AM257" s="3">
        <f t="shared" si="55"/>
        <v>0.41666666666645086</v>
      </c>
    </row>
    <row r="258" spans="1:39" x14ac:dyDescent="0.25">
      <c r="A258" s="2" t="s">
        <v>63</v>
      </c>
      <c r="B258" t="s">
        <v>51</v>
      </c>
      <c r="C258">
        <v>12</v>
      </c>
      <c r="D258">
        <v>7.1</v>
      </c>
      <c r="E258">
        <v>32.999999999999993</v>
      </c>
      <c r="F258">
        <v>10</v>
      </c>
      <c r="G258" s="1"/>
      <c r="H258" s="2">
        <v>4813.92</v>
      </c>
      <c r="I258">
        <v>15</v>
      </c>
      <c r="J258">
        <v>87.49</v>
      </c>
      <c r="K258">
        <v>1.39</v>
      </c>
      <c r="M258">
        <v>31.5</v>
      </c>
      <c r="N258">
        <v>2.61</v>
      </c>
      <c r="O258">
        <v>7.22</v>
      </c>
      <c r="P258" s="2">
        <v>17.43</v>
      </c>
      <c r="Q258">
        <v>3.94</v>
      </c>
      <c r="R258">
        <v>7.0000000000000007E-2</v>
      </c>
      <c r="S258">
        <v>196.49</v>
      </c>
      <c r="T258">
        <v>32.78</v>
      </c>
      <c r="U258">
        <f t="shared" si="45"/>
        <v>4.25</v>
      </c>
      <c r="V258">
        <f t="shared" si="46"/>
        <v>8.7150000000000005E-2</v>
      </c>
      <c r="W258">
        <f t="shared" si="47"/>
        <v>8.870680441752761E-2</v>
      </c>
      <c r="X258">
        <f t="shared" si="48"/>
        <v>2.0051911038729706E-2</v>
      </c>
      <c r="Y258" s="3">
        <f t="shared" si="49"/>
        <v>0.84000000000000008</v>
      </c>
      <c r="Z258">
        <v>32.999999999999993</v>
      </c>
      <c r="AA258">
        <v>7.1</v>
      </c>
      <c r="AB258">
        <v>50</v>
      </c>
      <c r="AC258" s="31">
        <v>4.0000000000000002E-4</v>
      </c>
      <c r="AD258" s="31">
        <f t="shared" si="50"/>
        <v>7.0736400000000005E-2</v>
      </c>
      <c r="AE258" s="31">
        <f t="shared" si="51"/>
        <v>1.6338272256000004</v>
      </c>
      <c r="AF258">
        <v>200</v>
      </c>
      <c r="AG258" s="2">
        <v>2E-3</v>
      </c>
      <c r="AJ258">
        <f t="shared" si="52"/>
        <v>0</v>
      </c>
      <c r="AK258">
        <f t="shared" si="53"/>
        <v>0</v>
      </c>
      <c r="AL258" s="3">
        <f t="shared" si="54"/>
        <v>0</v>
      </c>
      <c r="AM258" s="3">
        <f t="shared" si="55"/>
        <v>0</v>
      </c>
    </row>
    <row r="259" spans="1:39" x14ac:dyDescent="0.25">
      <c r="A259" s="2" t="s">
        <v>64</v>
      </c>
      <c r="B259" t="s">
        <v>46</v>
      </c>
      <c r="C259">
        <v>12</v>
      </c>
      <c r="D259">
        <v>7.1</v>
      </c>
      <c r="E259">
        <v>32.999999999999993</v>
      </c>
      <c r="F259">
        <v>10</v>
      </c>
      <c r="G259" s="1"/>
      <c r="H259" s="2">
        <v>4996.2449999999999</v>
      </c>
      <c r="I259">
        <v>15.86</v>
      </c>
      <c r="J259">
        <v>83.74</v>
      </c>
      <c r="K259">
        <v>1.23</v>
      </c>
      <c r="M259">
        <v>30.2</v>
      </c>
      <c r="N259">
        <v>1.88</v>
      </c>
      <c r="O259">
        <v>7.2</v>
      </c>
      <c r="P259" s="2">
        <v>24.98</v>
      </c>
      <c r="Q259">
        <v>2.64</v>
      </c>
      <c r="R259">
        <v>0.02</v>
      </c>
      <c r="S259">
        <v>199.71</v>
      </c>
      <c r="T259">
        <v>31.8</v>
      </c>
      <c r="U259">
        <f t="shared" si="45"/>
        <v>3.2699999999999996</v>
      </c>
      <c r="V259">
        <f t="shared" si="46"/>
        <v>0.1249</v>
      </c>
      <c r="W259">
        <f t="shared" si="47"/>
        <v>0.12508136798357619</v>
      </c>
      <c r="X259">
        <f t="shared" si="48"/>
        <v>1.3219167793300285E-2</v>
      </c>
      <c r="Y259" s="3">
        <f t="shared" si="49"/>
        <v>0.24</v>
      </c>
      <c r="Z259">
        <v>32.999999999999993</v>
      </c>
      <c r="AA259">
        <v>7.1</v>
      </c>
      <c r="AB259">
        <v>50</v>
      </c>
      <c r="AC259" s="31">
        <v>4.0000000000000002E-4</v>
      </c>
      <c r="AD259" s="31">
        <f t="shared" si="50"/>
        <v>7.6017614399999989E-2</v>
      </c>
      <c r="AE259" s="31">
        <f t="shared" si="51"/>
        <v>2.1138508799999993</v>
      </c>
      <c r="AF259">
        <v>200</v>
      </c>
      <c r="AG259" s="2">
        <v>2E-3</v>
      </c>
      <c r="AH259">
        <v>5.8818445749492798E-3</v>
      </c>
      <c r="AI259">
        <v>2.7787722673240501E-3</v>
      </c>
      <c r="AJ259">
        <f t="shared" si="52"/>
        <v>0</v>
      </c>
      <c r="AK259">
        <f t="shared" si="53"/>
        <v>4.8944299169296691E-2</v>
      </c>
      <c r="AL259" s="3">
        <f t="shared" si="54"/>
        <v>0.55494860950728608</v>
      </c>
      <c r="AM259" s="3">
        <f t="shared" si="55"/>
        <v>4.8944299169296691E-2</v>
      </c>
    </row>
    <row r="260" spans="1:39" x14ac:dyDescent="0.25">
      <c r="A260" s="2" t="s">
        <v>65</v>
      </c>
      <c r="B260" t="s">
        <v>49</v>
      </c>
      <c r="C260">
        <v>15</v>
      </c>
      <c r="D260">
        <v>7.3</v>
      </c>
      <c r="E260">
        <v>35</v>
      </c>
      <c r="F260">
        <v>10</v>
      </c>
      <c r="G260" s="1"/>
      <c r="H260" s="2">
        <v>5304.1350000000002</v>
      </c>
      <c r="I260">
        <v>19.07</v>
      </c>
      <c r="J260">
        <v>78.75</v>
      </c>
      <c r="K260">
        <v>0.28000000000000003</v>
      </c>
      <c r="L260">
        <v>345</v>
      </c>
      <c r="M260">
        <v>35.5</v>
      </c>
      <c r="N260">
        <v>0.41</v>
      </c>
      <c r="O260">
        <v>7.41</v>
      </c>
      <c r="P260" s="2">
        <v>18.04</v>
      </c>
      <c r="Q260">
        <v>9.16</v>
      </c>
      <c r="R260">
        <v>0.02</v>
      </c>
      <c r="S260">
        <v>197.18</v>
      </c>
      <c r="T260">
        <v>33.299999999999997</v>
      </c>
      <c r="U260">
        <f t="shared" si="45"/>
        <v>4.769999999999996</v>
      </c>
      <c r="V260">
        <f t="shared" si="46"/>
        <v>9.0200000000000002E-2</v>
      </c>
      <c r="W260">
        <f t="shared" si="47"/>
        <v>9.1490009128714869E-2</v>
      </c>
      <c r="X260">
        <f t="shared" si="48"/>
        <v>4.6455015721675624E-2</v>
      </c>
      <c r="Y260" s="3">
        <f t="shared" si="49"/>
        <v>0.24</v>
      </c>
      <c r="Z260">
        <v>35</v>
      </c>
      <c r="AA260">
        <v>7.3</v>
      </c>
      <c r="AB260">
        <v>50</v>
      </c>
      <c r="AC260" s="31">
        <v>4.0000000000000002E-4</v>
      </c>
      <c r="AD260" s="31">
        <f t="shared" si="50"/>
        <v>9.0245342399999998E-2</v>
      </c>
      <c r="AE260" s="31">
        <f t="shared" si="51"/>
        <v>2.2735728000000002</v>
      </c>
      <c r="AF260">
        <v>200</v>
      </c>
      <c r="AG260" s="2">
        <v>4.7450017186187597E-2</v>
      </c>
      <c r="AJ260">
        <f t="shared" si="52"/>
        <v>0.39541680988489664</v>
      </c>
      <c r="AK260">
        <f t="shared" si="53"/>
        <v>0</v>
      </c>
      <c r="AL260" s="3">
        <f t="shared" si="54"/>
        <v>0</v>
      </c>
      <c r="AM260" s="3">
        <f t="shared" si="55"/>
        <v>0.39541680988489664</v>
      </c>
    </row>
    <row r="261" spans="1:39" x14ac:dyDescent="0.25">
      <c r="A261" s="2" t="s">
        <v>66</v>
      </c>
      <c r="B261" t="s">
        <v>46</v>
      </c>
      <c r="C261">
        <v>12</v>
      </c>
      <c r="D261">
        <v>7.2</v>
      </c>
      <c r="E261">
        <v>34</v>
      </c>
      <c r="F261">
        <v>10</v>
      </c>
      <c r="G261" s="1"/>
      <c r="H261" s="2">
        <v>5254.1449999999995</v>
      </c>
      <c r="I261">
        <v>18.98</v>
      </c>
      <c r="J261">
        <v>84.24</v>
      </c>
      <c r="K261">
        <v>0.77</v>
      </c>
      <c r="M261">
        <v>30</v>
      </c>
      <c r="N261">
        <v>1.42</v>
      </c>
      <c r="O261">
        <v>7.29</v>
      </c>
      <c r="P261" s="2">
        <v>24.87</v>
      </c>
      <c r="Q261">
        <v>2.68</v>
      </c>
      <c r="R261">
        <v>0.02</v>
      </c>
      <c r="S261">
        <v>200.83</v>
      </c>
      <c r="T261">
        <v>31.63</v>
      </c>
      <c r="U261">
        <f t="shared" si="45"/>
        <v>3.2799999999999976</v>
      </c>
      <c r="V261">
        <f t="shared" si="46"/>
        <v>0.12435</v>
      </c>
      <c r="W261">
        <f t="shared" si="47"/>
        <v>0.1238360802668924</v>
      </c>
      <c r="X261">
        <f t="shared" si="48"/>
        <v>1.3344619827714984E-2</v>
      </c>
      <c r="Y261" s="3">
        <f t="shared" si="49"/>
        <v>0.24</v>
      </c>
      <c r="Z261">
        <v>34</v>
      </c>
      <c r="AA261">
        <v>7.2</v>
      </c>
      <c r="AB261">
        <v>50</v>
      </c>
      <c r="AC261" s="31">
        <v>4.0000000000000002E-4</v>
      </c>
      <c r="AD261" s="31">
        <f t="shared" si="50"/>
        <v>9.1482081600000001E-2</v>
      </c>
      <c r="AE261" s="31">
        <f t="shared" si="51"/>
        <v>2.3534292096000002</v>
      </c>
      <c r="AF261">
        <v>200</v>
      </c>
      <c r="AG261" s="2">
        <v>2E-3</v>
      </c>
      <c r="AH261">
        <v>6.3137992980551701E-3</v>
      </c>
      <c r="AI261">
        <v>3.0542934801068402E-3</v>
      </c>
      <c r="AJ261">
        <f t="shared" si="52"/>
        <v>0</v>
      </c>
      <c r="AK261">
        <f t="shared" si="53"/>
        <v>5.2833346376184163E-2</v>
      </c>
      <c r="AL261" s="3">
        <f t="shared" si="54"/>
        <v>0.61339375960985676</v>
      </c>
      <c r="AM261" s="3">
        <f t="shared" si="55"/>
        <v>5.2833346376184163E-2</v>
      </c>
    </row>
    <row r="262" spans="1:39" x14ac:dyDescent="0.25">
      <c r="A262" s="2" t="s">
        <v>67</v>
      </c>
      <c r="B262" t="s">
        <v>49</v>
      </c>
      <c r="C262">
        <v>12</v>
      </c>
      <c r="D262">
        <v>7.1</v>
      </c>
      <c r="E262">
        <v>32.999999999999993</v>
      </c>
      <c r="F262">
        <v>10</v>
      </c>
      <c r="G262" s="1"/>
      <c r="H262" s="2">
        <v>4807.1400000000003</v>
      </c>
      <c r="I262">
        <v>17.7</v>
      </c>
      <c r="J262">
        <v>80.75</v>
      </c>
      <c r="K262">
        <v>1.22</v>
      </c>
      <c r="L262">
        <v>353</v>
      </c>
      <c r="M262">
        <v>37.5</v>
      </c>
      <c r="N262">
        <v>1.47</v>
      </c>
      <c r="O262">
        <v>7.21</v>
      </c>
      <c r="P262" s="2">
        <v>20.309999999999999</v>
      </c>
      <c r="Q262">
        <v>8.35</v>
      </c>
      <c r="R262">
        <v>0.03</v>
      </c>
      <c r="S262">
        <v>197.61</v>
      </c>
      <c r="T262">
        <v>32.33</v>
      </c>
      <c r="U262">
        <f t="shared" si="45"/>
        <v>4.7799999999999976</v>
      </c>
      <c r="V262">
        <f t="shared" si="46"/>
        <v>0.10154999999999999</v>
      </c>
      <c r="W262">
        <f t="shared" si="47"/>
        <v>0.10277819948383178</v>
      </c>
      <c r="X262">
        <f t="shared" si="48"/>
        <v>4.2254946612013559E-2</v>
      </c>
      <c r="Y262" s="3">
        <f t="shared" si="49"/>
        <v>0.36</v>
      </c>
      <c r="Z262">
        <v>32.999999999999993</v>
      </c>
      <c r="AA262">
        <v>7.1</v>
      </c>
      <c r="AB262">
        <v>50</v>
      </c>
      <c r="AC262" s="31">
        <v>4.0000000000000002E-4</v>
      </c>
      <c r="AD262" s="31">
        <f t="shared" si="50"/>
        <v>8.3944727999999996E-2</v>
      </c>
      <c r="AE262" s="31">
        <f t="shared" si="51"/>
        <v>2.0834546688</v>
      </c>
      <c r="AF262">
        <v>200</v>
      </c>
      <c r="AG262" s="2">
        <v>4.9999999999974502E-2</v>
      </c>
      <c r="AJ262">
        <f t="shared" si="52"/>
        <v>0.41666666666645419</v>
      </c>
      <c r="AK262">
        <f t="shared" si="53"/>
        <v>0</v>
      </c>
      <c r="AL262" s="3">
        <f t="shared" si="54"/>
        <v>0</v>
      </c>
      <c r="AM262" s="3">
        <f t="shared" si="55"/>
        <v>0.41666666666645419</v>
      </c>
    </row>
    <row r="263" spans="1:39" x14ac:dyDescent="0.25">
      <c r="A263" s="2" t="s">
        <v>68</v>
      </c>
      <c r="B263" t="s">
        <v>51</v>
      </c>
      <c r="C263">
        <v>12</v>
      </c>
      <c r="D263">
        <v>7.3</v>
      </c>
      <c r="E263">
        <v>35</v>
      </c>
      <c r="F263">
        <v>10</v>
      </c>
      <c r="G263" s="1"/>
      <c r="H263" s="2">
        <v>4900.420000000001</v>
      </c>
      <c r="I263">
        <v>15.93</v>
      </c>
      <c r="J263">
        <v>88.06</v>
      </c>
      <c r="K263">
        <v>0.89</v>
      </c>
      <c r="M263">
        <v>29.2</v>
      </c>
      <c r="N263">
        <v>1.32</v>
      </c>
      <c r="O263">
        <v>7.41</v>
      </c>
      <c r="P263" s="2">
        <v>16.78</v>
      </c>
      <c r="Q263">
        <v>6.24</v>
      </c>
      <c r="R263">
        <v>0.08</v>
      </c>
      <c r="S263">
        <v>198.07</v>
      </c>
      <c r="T263">
        <v>30.83</v>
      </c>
      <c r="U263">
        <f t="shared" si="45"/>
        <v>3.2799999999999976</v>
      </c>
      <c r="V263">
        <f t="shared" si="46"/>
        <v>8.3900000000000002E-2</v>
      </c>
      <c r="W263">
        <f t="shared" si="47"/>
        <v>8.471752410763872E-2</v>
      </c>
      <c r="X263">
        <f t="shared" si="48"/>
        <v>3.1504013732518807E-2</v>
      </c>
      <c r="Y263" s="3">
        <f t="shared" si="49"/>
        <v>0.96</v>
      </c>
      <c r="Z263">
        <v>35</v>
      </c>
      <c r="AA263">
        <v>7.3</v>
      </c>
      <c r="AB263">
        <v>50</v>
      </c>
      <c r="AC263" s="31">
        <v>4.0000000000000002E-4</v>
      </c>
      <c r="AD263" s="31">
        <f t="shared" si="50"/>
        <v>7.5726122399999998E-2</v>
      </c>
      <c r="AE263" s="31">
        <f t="shared" si="51"/>
        <v>1.6990871039999997</v>
      </c>
      <c r="AF263">
        <v>200</v>
      </c>
      <c r="AG263" s="2">
        <v>2E-3</v>
      </c>
      <c r="AJ263">
        <f t="shared" si="52"/>
        <v>0</v>
      </c>
      <c r="AK263">
        <f t="shared" si="53"/>
        <v>0</v>
      </c>
      <c r="AL263" s="3">
        <f t="shared" si="54"/>
        <v>0</v>
      </c>
      <c r="AM263" s="3">
        <f t="shared" si="55"/>
        <v>0</v>
      </c>
    </row>
    <row r="264" spans="1:39" x14ac:dyDescent="0.25">
      <c r="A264" s="2" t="s">
        <v>69</v>
      </c>
      <c r="B264" t="s">
        <v>51</v>
      </c>
      <c r="C264">
        <v>15</v>
      </c>
      <c r="D264">
        <v>7.2</v>
      </c>
      <c r="E264">
        <v>34</v>
      </c>
      <c r="F264">
        <v>10</v>
      </c>
      <c r="G264" s="1"/>
      <c r="H264" s="2">
        <v>5125.17</v>
      </c>
      <c r="I264">
        <v>16.37</v>
      </c>
      <c r="J264">
        <v>87.31</v>
      </c>
      <c r="K264">
        <v>1.35</v>
      </c>
      <c r="M264">
        <v>23.8</v>
      </c>
      <c r="N264">
        <v>1.99</v>
      </c>
      <c r="O264">
        <v>7.31</v>
      </c>
      <c r="P264" s="2">
        <v>19.13</v>
      </c>
      <c r="Q264">
        <v>4.7699999999999996</v>
      </c>
      <c r="R264">
        <v>0.08</v>
      </c>
      <c r="S264">
        <v>201.52</v>
      </c>
      <c r="T264">
        <v>30.03</v>
      </c>
      <c r="U264">
        <f t="shared" si="45"/>
        <v>3.2800000000000011</v>
      </c>
      <c r="V264">
        <f t="shared" si="46"/>
        <v>9.5649999999999999E-2</v>
      </c>
      <c r="W264">
        <f t="shared" si="47"/>
        <v>9.4928543072647864E-2</v>
      </c>
      <c r="X264">
        <f t="shared" si="48"/>
        <v>2.3670107185391025E-2</v>
      </c>
      <c r="Y264" s="3">
        <f t="shared" si="49"/>
        <v>0.96</v>
      </c>
      <c r="Z264">
        <v>34</v>
      </c>
      <c r="AA264">
        <v>7.2</v>
      </c>
      <c r="AB264">
        <v>50</v>
      </c>
      <c r="AC264" s="31">
        <v>4.0000000000000002E-4</v>
      </c>
      <c r="AD264" s="31">
        <f t="shared" si="50"/>
        <v>7.9173177600000005E-2</v>
      </c>
      <c r="AE264" s="31">
        <f t="shared" si="51"/>
        <v>1.9424684160000005</v>
      </c>
      <c r="AF264">
        <v>200</v>
      </c>
      <c r="AG264" s="2">
        <v>2.0060089350533001E-3</v>
      </c>
      <c r="AJ264">
        <f t="shared" si="52"/>
        <v>0</v>
      </c>
      <c r="AK264">
        <f t="shared" si="53"/>
        <v>0</v>
      </c>
      <c r="AL264" s="3">
        <f t="shared" si="54"/>
        <v>0</v>
      </c>
      <c r="AM264" s="3">
        <f t="shared" si="55"/>
        <v>0</v>
      </c>
    </row>
    <row r="265" spans="1:39" x14ac:dyDescent="0.25">
      <c r="A265" s="2" t="s">
        <v>70</v>
      </c>
      <c r="B265" t="s">
        <v>51</v>
      </c>
      <c r="C265">
        <v>15</v>
      </c>
      <c r="D265">
        <v>7.2</v>
      </c>
      <c r="E265">
        <v>34</v>
      </c>
      <c r="F265">
        <v>10</v>
      </c>
      <c r="G265" s="1"/>
      <c r="H265" s="2">
        <v>5431.89</v>
      </c>
      <c r="I265">
        <v>18.98</v>
      </c>
      <c r="J265">
        <v>90.08</v>
      </c>
      <c r="K265">
        <v>0.91</v>
      </c>
      <c r="M265">
        <v>25.1</v>
      </c>
      <c r="N265">
        <v>3.05</v>
      </c>
      <c r="O265">
        <v>7.32</v>
      </c>
      <c r="P265" s="2">
        <v>19.41</v>
      </c>
      <c r="Q265">
        <v>4.4000000000000004</v>
      </c>
      <c r="R265">
        <v>0.09</v>
      </c>
      <c r="S265">
        <v>199.23</v>
      </c>
      <c r="T265">
        <v>30.03</v>
      </c>
      <c r="U265">
        <f t="shared" si="45"/>
        <v>3.2800000000000011</v>
      </c>
      <c r="V265">
        <f t="shared" si="46"/>
        <v>9.7049999999999997E-2</v>
      </c>
      <c r="W265">
        <f t="shared" si="47"/>
        <v>9.7425086583345893E-2</v>
      </c>
      <c r="X265">
        <f t="shared" si="48"/>
        <v>2.2085027355317977E-2</v>
      </c>
      <c r="Y265" s="3">
        <f t="shared" si="49"/>
        <v>1.08</v>
      </c>
      <c r="Z265">
        <v>34</v>
      </c>
      <c r="AA265">
        <v>7.2</v>
      </c>
      <c r="AB265">
        <v>50</v>
      </c>
      <c r="AC265" s="31">
        <v>4.0000000000000002E-4</v>
      </c>
      <c r="AD265" s="31">
        <f t="shared" si="50"/>
        <v>9.0753249600000002E-2</v>
      </c>
      <c r="AE265" s="31">
        <f t="shared" si="51"/>
        <v>2.1964773888</v>
      </c>
      <c r="AF265">
        <v>200</v>
      </c>
      <c r="AG265" s="2">
        <v>2E-3</v>
      </c>
      <c r="AJ265">
        <f t="shared" si="52"/>
        <v>0</v>
      </c>
      <c r="AK265">
        <f t="shared" si="53"/>
        <v>0</v>
      </c>
      <c r="AL265" s="3">
        <f t="shared" si="54"/>
        <v>0</v>
      </c>
      <c r="AM265" s="3">
        <f t="shared" si="55"/>
        <v>0</v>
      </c>
    </row>
    <row r="266" spans="1:39" ht="15.75" thickBot="1" x14ac:dyDescent="0.3">
      <c r="A266" s="12" t="s">
        <v>71</v>
      </c>
      <c r="B266" s="13" t="s">
        <v>51</v>
      </c>
      <c r="C266" s="13">
        <v>15</v>
      </c>
      <c r="D266" s="13">
        <v>7.2</v>
      </c>
      <c r="E266" s="13">
        <v>34</v>
      </c>
      <c r="F266" s="13">
        <v>10</v>
      </c>
      <c r="G266" s="14"/>
      <c r="H266" s="12">
        <v>5166.96</v>
      </c>
      <c r="I266" s="13">
        <v>17.100000000000001</v>
      </c>
      <c r="J266" s="13">
        <v>86.7</v>
      </c>
      <c r="K266" s="13">
        <v>1.1499999999999999</v>
      </c>
      <c r="L266" s="13"/>
      <c r="M266" s="13">
        <v>27.7</v>
      </c>
      <c r="N266" s="13">
        <v>2.5499999999999998</v>
      </c>
      <c r="O266" s="13">
        <v>7.3</v>
      </c>
      <c r="P266" s="12">
        <v>17.82</v>
      </c>
      <c r="Q266" s="13">
        <v>4.7</v>
      </c>
      <c r="R266" s="13">
        <v>0.08</v>
      </c>
      <c r="S266" s="13">
        <v>200.35</v>
      </c>
      <c r="T266" s="13">
        <v>30.03</v>
      </c>
      <c r="U266" s="13">
        <f t="shared" si="45"/>
        <v>3.2800000000000011</v>
      </c>
      <c r="V266" s="13">
        <f t="shared" si="46"/>
        <v>8.9099999999999999E-2</v>
      </c>
      <c r="W266" s="13">
        <f t="shared" si="47"/>
        <v>8.8944347392063888E-2</v>
      </c>
      <c r="X266" s="13">
        <f t="shared" si="48"/>
        <v>2.3458946843024707E-2</v>
      </c>
      <c r="Y266" s="77">
        <f t="shared" si="49"/>
        <v>0.96</v>
      </c>
      <c r="Z266" s="13">
        <v>34</v>
      </c>
      <c r="AA266" s="13">
        <v>7.2</v>
      </c>
      <c r="AB266" s="13">
        <v>50</v>
      </c>
      <c r="AC266" s="36">
        <v>4.0000000000000002E-4</v>
      </c>
      <c r="AD266" s="36">
        <f t="shared" si="50"/>
        <v>8.2223640000000001E-2</v>
      </c>
      <c r="AE266" s="36">
        <f t="shared" si="51"/>
        <v>1.9170721151999999</v>
      </c>
      <c r="AF266" s="13">
        <v>200</v>
      </c>
      <c r="AG266" s="12">
        <v>2E-3</v>
      </c>
      <c r="AH266" s="13"/>
      <c r="AI266" s="13"/>
      <c r="AJ266" s="13">
        <f t="shared" si="52"/>
        <v>0</v>
      </c>
      <c r="AK266" s="13">
        <f t="shared" si="53"/>
        <v>0</v>
      </c>
      <c r="AL266" s="77">
        <f t="shared" si="54"/>
        <v>0</v>
      </c>
      <c r="AM266" s="77">
        <f t="shared" si="55"/>
        <v>0</v>
      </c>
    </row>
    <row r="267" spans="1:39" x14ac:dyDescent="0.25">
      <c r="G267" s="1"/>
    </row>
    <row r="268" spans="1:39" x14ac:dyDescent="0.25">
      <c r="G268" s="1"/>
    </row>
    <row r="269" spans="1:39" x14ac:dyDescent="0.25">
      <c r="G269" s="1"/>
    </row>
    <row r="270" spans="1:39" x14ac:dyDescent="0.25">
      <c r="G270" s="1"/>
    </row>
    <row r="271" spans="1:39" x14ac:dyDescent="0.25">
      <c r="G271" s="1"/>
    </row>
    <row r="272" spans="1:39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</sheetData>
  <autoFilter ref="A2:AL26" xr:uid="{00000000-0001-0000-0000-000000000000}"/>
  <mergeCells count="5">
    <mergeCell ref="A1:G1"/>
    <mergeCell ref="H1:O1"/>
    <mergeCell ref="P1:Y1"/>
    <mergeCell ref="Z1:AF1"/>
    <mergeCell ref="AG1:AM1"/>
  </mergeCells>
  <conditionalFormatting sqref="AH3:AI1048576">
    <cfRule type="expression" dxfId="5" priority="5">
      <formula>IF($B3 = "Julia", TRUE, FALSE)</formula>
    </cfRule>
  </conditionalFormatting>
  <conditionalFormatting sqref="AG3:AG1048576">
    <cfRule type="expression" dxfId="4" priority="4">
      <formula>IF($B3 = "Python", TRUE, FALSE)</formula>
    </cfRule>
  </conditionalFormatting>
  <conditionalFormatting sqref="U3:Y1048576">
    <cfRule type="notContainsBlanks" dxfId="3" priority="6">
      <formula>LEN(TRIM(U3))&gt;0</formula>
    </cfRule>
  </conditionalFormatting>
  <conditionalFormatting sqref="AJ3:AL1048576">
    <cfRule type="notContainsBlanks" dxfId="2" priority="3">
      <formula>LEN(TRIM(AJ3))&gt;0</formula>
    </cfRule>
  </conditionalFormatting>
  <conditionalFormatting sqref="AM3:AM1048576">
    <cfRule type="notContainsBlanks" dxfId="1" priority="2">
      <formula>LEN(TRIM(AM3))&gt;0</formula>
    </cfRule>
  </conditionalFormatting>
  <conditionalFormatting sqref="AD3:AE1048576">
    <cfRule type="notContainsBlanks" dxfId="0" priority="1">
      <formula>LEN(TRIM(AD3))&gt;0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Exported ambr Data</vt:lpstr>
      <vt:lpstr>All Titer Results</vt:lpstr>
      <vt:lpstr>Difference Plot Data</vt:lpstr>
      <vt:lpstr>MAPE</vt:lpstr>
      <vt:lpstr>sketchpad</vt:lpstr>
      <vt:lpstr>sketchpad (0225)</vt:lpstr>
      <vt:lpstr>TooManySketchPads</vt:lpstr>
      <vt:lpstr>br05_past_daily_debug</vt:lpstr>
      <vt:lpstr>Exported ambr Data (240303copy)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2024-08-21T19:44:46Z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