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604392\Git\state-space-model\data\mr24-0XX-experiment\"/>
    </mc:Choice>
  </mc:AlternateContent>
  <xr:revisionPtr revIDLastSave="0" documentId="13_ncr:1_{D98A1199-32AB-4757-9153-B5BDE8DEE84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2" r:id="rId1"/>
  </sheets>
  <definedNames>
    <definedName name="_xlnm._FilterDatabase" localSheetId="0" hidden="1">Sheet1!$A$2:$BV$171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71" i="2" l="1"/>
  <c r="AX171" i="2"/>
  <c r="AW171" i="2"/>
  <c r="AV171" i="2"/>
  <c r="AP171" i="2"/>
  <c r="AO171" i="2"/>
  <c r="AK171" i="2"/>
  <c r="AY170" i="2"/>
  <c r="AX170" i="2"/>
  <c r="AW170" i="2"/>
  <c r="AV170" i="2"/>
  <c r="AP170" i="2"/>
  <c r="AO170" i="2"/>
  <c r="AK170" i="2"/>
  <c r="AY169" i="2"/>
  <c r="AX169" i="2"/>
  <c r="AW169" i="2"/>
  <c r="AV169" i="2"/>
  <c r="AP169" i="2"/>
  <c r="AO169" i="2"/>
  <c r="AK169" i="2"/>
  <c r="AY168" i="2"/>
  <c r="AX168" i="2"/>
  <c r="AW168" i="2"/>
  <c r="AV168" i="2"/>
  <c r="AP168" i="2"/>
  <c r="AO168" i="2"/>
  <c r="AK168" i="2"/>
  <c r="AY167" i="2"/>
  <c r="AX167" i="2"/>
  <c r="AW167" i="2"/>
  <c r="AV167" i="2"/>
  <c r="AP167" i="2"/>
  <c r="AO167" i="2"/>
  <c r="AK167" i="2"/>
  <c r="AY166" i="2"/>
  <c r="AX166" i="2"/>
  <c r="AW166" i="2"/>
  <c r="AV166" i="2"/>
  <c r="AP166" i="2"/>
  <c r="AO166" i="2"/>
  <c r="AK166" i="2"/>
  <c r="AY165" i="2"/>
  <c r="AX165" i="2"/>
  <c r="AW165" i="2"/>
  <c r="AV165" i="2"/>
  <c r="AP165" i="2"/>
  <c r="AO165" i="2"/>
  <c r="AK165" i="2"/>
  <c r="AY164" i="2"/>
  <c r="AX164" i="2"/>
  <c r="AW164" i="2"/>
  <c r="AV164" i="2"/>
  <c r="AP164" i="2"/>
  <c r="AO164" i="2"/>
  <c r="AK164" i="2"/>
  <c r="AY163" i="2"/>
  <c r="AX163" i="2"/>
  <c r="AW163" i="2"/>
  <c r="AV163" i="2"/>
  <c r="AP163" i="2"/>
  <c r="AO163" i="2"/>
  <c r="AK163" i="2"/>
  <c r="AY162" i="2"/>
  <c r="AX162" i="2"/>
  <c r="AW162" i="2"/>
  <c r="AV162" i="2"/>
  <c r="AP162" i="2"/>
  <c r="AO162" i="2"/>
  <c r="AK162" i="2"/>
  <c r="AY161" i="2"/>
  <c r="AX161" i="2"/>
  <c r="AW161" i="2"/>
  <c r="AV161" i="2"/>
  <c r="AP161" i="2"/>
  <c r="AO161" i="2"/>
  <c r="AK161" i="2"/>
  <c r="AY160" i="2"/>
  <c r="AX160" i="2"/>
  <c r="AW160" i="2"/>
  <c r="AV160" i="2"/>
  <c r="AP160" i="2"/>
  <c r="AO160" i="2"/>
  <c r="AK160" i="2"/>
  <c r="AY159" i="2"/>
  <c r="AX159" i="2"/>
  <c r="AW159" i="2"/>
  <c r="AV159" i="2"/>
  <c r="AP159" i="2"/>
  <c r="AO159" i="2"/>
  <c r="AK159" i="2"/>
  <c r="AY158" i="2"/>
  <c r="AX158" i="2"/>
  <c r="AW158" i="2"/>
  <c r="AV158" i="2"/>
  <c r="AP158" i="2"/>
  <c r="AO158" i="2"/>
  <c r="AK158" i="2"/>
  <c r="AY157" i="2"/>
  <c r="AX157" i="2"/>
  <c r="AW157" i="2"/>
  <c r="AV157" i="2"/>
  <c r="AP157" i="2"/>
  <c r="AO157" i="2"/>
  <c r="AK157" i="2"/>
  <c r="AY156" i="2"/>
  <c r="AX156" i="2"/>
  <c r="AW156" i="2"/>
  <c r="AV156" i="2"/>
  <c r="AP156" i="2"/>
  <c r="AO156" i="2"/>
  <c r="AK156" i="2"/>
  <c r="AY155" i="2"/>
  <c r="AX155" i="2"/>
  <c r="AW155" i="2"/>
  <c r="AV155" i="2"/>
  <c r="AP155" i="2"/>
  <c r="AO155" i="2"/>
  <c r="AK155" i="2"/>
  <c r="AY154" i="2"/>
  <c r="AX154" i="2"/>
  <c r="AW154" i="2"/>
  <c r="AV154" i="2"/>
  <c r="AP154" i="2"/>
  <c r="AO154" i="2"/>
  <c r="AK154" i="2"/>
  <c r="AY153" i="2"/>
  <c r="AX153" i="2"/>
  <c r="AW153" i="2"/>
  <c r="AV153" i="2"/>
  <c r="AP153" i="2"/>
  <c r="AO153" i="2"/>
  <c r="AK153" i="2"/>
  <c r="AY152" i="2"/>
  <c r="AX152" i="2"/>
  <c r="AW152" i="2"/>
  <c r="AV152" i="2"/>
  <c r="AP152" i="2"/>
  <c r="AO152" i="2"/>
  <c r="AK152" i="2"/>
  <c r="AY151" i="2"/>
  <c r="AX151" i="2"/>
  <c r="AW151" i="2"/>
  <c r="AV151" i="2"/>
  <c r="AP151" i="2"/>
  <c r="AO151" i="2"/>
  <c r="AK151" i="2"/>
  <c r="AY150" i="2"/>
  <c r="AX150" i="2"/>
  <c r="AW150" i="2"/>
  <c r="AV150" i="2"/>
  <c r="AP150" i="2"/>
  <c r="AO150" i="2"/>
  <c r="AK150" i="2"/>
  <c r="AY149" i="2"/>
  <c r="AX149" i="2"/>
  <c r="AW149" i="2"/>
  <c r="AV149" i="2"/>
  <c r="AP149" i="2"/>
  <c r="AO149" i="2"/>
  <c r="AK149" i="2"/>
  <c r="AY148" i="2"/>
  <c r="AX148" i="2"/>
  <c r="AW148" i="2"/>
  <c r="AV148" i="2"/>
  <c r="AP148" i="2"/>
  <c r="AO148" i="2"/>
  <c r="AK148" i="2"/>
  <c r="AY147" i="2"/>
  <c r="AX147" i="2"/>
  <c r="AW147" i="2"/>
  <c r="AV147" i="2"/>
  <c r="AP147" i="2"/>
  <c r="AK147" i="2"/>
  <c r="AY146" i="2"/>
  <c r="AX146" i="2"/>
  <c r="AW146" i="2"/>
  <c r="AV146" i="2"/>
  <c r="AP146" i="2"/>
  <c r="AK146" i="2"/>
  <c r="AY145" i="2"/>
  <c r="AX145" i="2"/>
  <c r="AW145" i="2"/>
  <c r="AV145" i="2"/>
  <c r="AP145" i="2"/>
  <c r="AK145" i="2"/>
  <c r="AY144" i="2"/>
  <c r="AX144" i="2"/>
  <c r="AW144" i="2"/>
  <c r="AV144" i="2"/>
  <c r="AP144" i="2"/>
  <c r="AK144" i="2"/>
  <c r="AY143" i="2"/>
  <c r="AX143" i="2"/>
  <c r="AW143" i="2"/>
  <c r="AV143" i="2"/>
  <c r="AP143" i="2"/>
  <c r="AK143" i="2"/>
  <c r="AY142" i="2"/>
  <c r="AX142" i="2"/>
  <c r="AW142" i="2"/>
  <c r="AV142" i="2"/>
  <c r="AP142" i="2"/>
  <c r="AK142" i="2"/>
  <c r="AY141" i="2"/>
  <c r="AX141" i="2"/>
  <c r="AW141" i="2"/>
  <c r="AV141" i="2"/>
  <c r="AP141" i="2"/>
  <c r="AK141" i="2"/>
  <c r="AY140" i="2"/>
  <c r="AX140" i="2"/>
  <c r="AW140" i="2"/>
  <c r="AV140" i="2"/>
  <c r="AP140" i="2"/>
  <c r="AK140" i="2"/>
  <c r="AY139" i="2"/>
  <c r="AX139" i="2"/>
  <c r="AW139" i="2"/>
  <c r="AV139" i="2"/>
  <c r="AP139" i="2"/>
  <c r="AK139" i="2"/>
  <c r="AY138" i="2"/>
  <c r="AX138" i="2"/>
  <c r="AW138" i="2"/>
  <c r="AV138" i="2"/>
  <c r="AP138" i="2"/>
  <c r="AK138" i="2"/>
  <c r="AY137" i="2"/>
  <c r="AX137" i="2"/>
  <c r="AW137" i="2"/>
  <c r="AV137" i="2"/>
  <c r="AP137" i="2"/>
  <c r="AK137" i="2"/>
  <c r="AY136" i="2"/>
  <c r="AX136" i="2"/>
  <c r="AW136" i="2"/>
  <c r="AV136" i="2"/>
  <c r="AP136" i="2"/>
  <c r="AK136" i="2"/>
  <c r="AY135" i="2"/>
  <c r="AX135" i="2"/>
  <c r="AW135" i="2"/>
  <c r="AV135" i="2"/>
  <c r="AP135" i="2"/>
  <c r="AK135" i="2"/>
  <c r="AY134" i="2"/>
  <c r="AX134" i="2"/>
  <c r="AW134" i="2"/>
  <c r="AV134" i="2"/>
  <c r="AP134" i="2"/>
  <c r="AK134" i="2"/>
  <c r="AY133" i="2"/>
  <c r="AX133" i="2"/>
  <c r="AW133" i="2"/>
  <c r="AV133" i="2"/>
  <c r="AP133" i="2"/>
  <c r="AK133" i="2"/>
  <c r="AY132" i="2"/>
  <c r="AX132" i="2"/>
  <c r="AW132" i="2"/>
  <c r="AV132" i="2"/>
  <c r="AP132" i="2"/>
  <c r="AK132" i="2"/>
  <c r="AY131" i="2"/>
  <c r="AX131" i="2"/>
  <c r="AW131" i="2"/>
  <c r="AV131" i="2"/>
  <c r="AP131" i="2"/>
  <c r="AK131" i="2"/>
  <c r="AY130" i="2"/>
  <c r="AX130" i="2"/>
  <c r="AW130" i="2"/>
  <c r="AV130" i="2"/>
  <c r="AP130" i="2"/>
  <c r="AK130" i="2"/>
  <c r="AY129" i="2"/>
  <c r="AX129" i="2"/>
  <c r="AW129" i="2"/>
  <c r="AV129" i="2"/>
  <c r="AP129" i="2"/>
  <c r="AK129" i="2"/>
  <c r="AY128" i="2"/>
  <c r="AX128" i="2"/>
  <c r="AW128" i="2"/>
  <c r="AV128" i="2"/>
  <c r="AP128" i="2"/>
  <c r="AK128" i="2"/>
  <c r="AY127" i="2"/>
  <c r="AX127" i="2"/>
  <c r="AW127" i="2"/>
  <c r="AV127" i="2"/>
  <c r="AP127" i="2"/>
  <c r="AK127" i="2"/>
  <c r="AY126" i="2"/>
  <c r="AX126" i="2"/>
  <c r="AW126" i="2"/>
  <c r="AV126" i="2"/>
  <c r="AP126" i="2"/>
  <c r="AK126" i="2"/>
  <c r="AY125" i="2"/>
  <c r="AX125" i="2"/>
  <c r="AW125" i="2"/>
  <c r="AV125" i="2"/>
  <c r="AP125" i="2"/>
  <c r="AK125" i="2"/>
  <c r="AY124" i="2"/>
  <c r="AX124" i="2"/>
  <c r="AW124" i="2"/>
  <c r="AV124" i="2"/>
  <c r="AP124" i="2"/>
  <c r="AK124" i="2"/>
  <c r="AY123" i="2"/>
  <c r="AX123" i="2"/>
  <c r="AW123" i="2"/>
  <c r="AV123" i="2"/>
  <c r="AP123" i="2"/>
  <c r="AK123" i="2"/>
  <c r="AY122" i="2"/>
  <c r="AX122" i="2"/>
  <c r="AW122" i="2"/>
  <c r="AV122" i="2"/>
  <c r="AP122" i="2"/>
  <c r="AK122" i="2"/>
  <c r="AY121" i="2"/>
  <c r="AX121" i="2"/>
  <c r="AW121" i="2"/>
  <c r="AV121" i="2"/>
  <c r="AP121" i="2"/>
  <c r="AK121" i="2"/>
  <c r="AY120" i="2"/>
  <c r="AX120" i="2"/>
  <c r="AW120" i="2"/>
  <c r="AV120" i="2"/>
  <c r="AP120" i="2"/>
  <c r="AK120" i="2"/>
  <c r="AY119" i="2"/>
  <c r="AX119" i="2"/>
  <c r="AW119" i="2"/>
  <c r="AV119" i="2"/>
  <c r="AP119" i="2"/>
  <c r="AK119" i="2"/>
  <c r="AY118" i="2"/>
  <c r="AX118" i="2"/>
  <c r="AW118" i="2"/>
  <c r="AV118" i="2"/>
  <c r="AP118" i="2"/>
  <c r="AK118" i="2"/>
  <c r="AY117" i="2"/>
  <c r="AX117" i="2"/>
  <c r="AW117" i="2"/>
  <c r="AV117" i="2"/>
  <c r="AP117" i="2"/>
  <c r="AK117" i="2"/>
  <c r="AY116" i="2"/>
  <c r="AX116" i="2"/>
  <c r="AW116" i="2"/>
  <c r="AV116" i="2"/>
  <c r="AP116" i="2"/>
  <c r="AK116" i="2"/>
  <c r="AY115" i="2"/>
  <c r="AX115" i="2"/>
  <c r="AW115" i="2"/>
  <c r="AV115" i="2"/>
  <c r="AP115" i="2"/>
  <c r="AK115" i="2"/>
  <c r="AY114" i="2"/>
  <c r="AX114" i="2"/>
  <c r="AW114" i="2"/>
  <c r="AV114" i="2"/>
  <c r="AP114" i="2"/>
  <c r="AK114" i="2"/>
  <c r="AY113" i="2"/>
  <c r="AX113" i="2"/>
  <c r="AW113" i="2"/>
  <c r="AV113" i="2"/>
  <c r="AP113" i="2"/>
  <c r="AK113" i="2"/>
  <c r="AY112" i="2"/>
  <c r="AX112" i="2"/>
  <c r="AW112" i="2"/>
  <c r="AV112" i="2"/>
  <c r="AP112" i="2"/>
  <c r="AK112" i="2"/>
  <c r="AY111" i="2"/>
  <c r="AX111" i="2"/>
  <c r="AW111" i="2"/>
  <c r="AV111" i="2"/>
  <c r="AP111" i="2"/>
  <c r="AK111" i="2"/>
  <c r="AY110" i="2"/>
  <c r="AX110" i="2"/>
  <c r="AW110" i="2"/>
  <c r="AV110" i="2"/>
  <c r="AP110" i="2"/>
  <c r="AK110" i="2"/>
  <c r="AY109" i="2"/>
  <c r="AX109" i="2"/>
  <c r="AW109" i="2"/>
  <c r="AV109" i="2"/>
  <c r="AP109" i="2"/>
  <c r="AK109" i="2"/>
  <c r="AY108" i="2"/>
  <c r="AX108" i="2"/>
  <c r="AW108" i="2"/>
  <c r="AV108" i="2"/>
  <c r="AP108" i="2"/>
  <c r="AK108" i="2"/>
  <c r="AY107" i="2"/>
  <c r="AX107" i="2"/>
  <c r="AW107" i="2"/>
  <c r="AV107" i="2"/>
  <c r="AP107" i="2"/>
  <c r="AK107" i="2"/>
  <c r="AY106" i="2"/>
  <c r="AX106" i="2"/>
  <c r="AW106" i="2"/>
  <c r="AV106" i="2"/>
  <c r="AP106" i="2"/>
  <c r="AK106" i="2"/>
  <c r="AY105" i="2"/>
  <c r="AX105" i="2"/>
  <c r="AW105" i="2"/>
  <c r="AV105" i="2"/>
  <c r="AP105" i="2"/>
  <c r="AK105" i="2"/>
  <c r="AY104" i="2"/>
  <c r="AX104" i="2"/>
  <c r="AW104" i="2"/>
  <c r="AV104" i="2"/>
  <c r="AP104" i="2"/>
  <c r="AK104" i="2"/>
  <c r="AY103" i="2"/>
  <c r="AX103" i="2"/>
  <c r="AW103" i="2"/>
  <c r="AV103" i="2"/>
  <c r="AP103" i="2"/>
  <c r="AK103" i="2"/>
  <c r="AY102" i="2"/>
  <c r="AX102" i="2"/>
  <c r="AW102" i="2"/>
  <c r="AV102" i="2"/>
  <c r="AP102" i="2"/>
  <c r="AK102" i="2"/>
  <c r="AY101" i="2"/>
  <c r="AX101" i="2"/>
  <c r="AW101" i="2"/>
  <c r="AV101" i="2"/>
  <c r="AP101" i="2"/>
  <c r="AK101" i="2"/>
  <c r="AY100" i="2"/>
  <c r="AX100" i="2"/>
  <c r="AW100" i="2"/>
  <c r="AV100" i="2"/>
  <c r="AP100" i="2"/>
  <c r="AK100" i="2"/>
  <c r="AV99" i="2"/>
  <c r="AP99" i="2"/>
  <c r="AK99" i="2"/>
  <c r="AV98" i="2"/>
  <c r="AP98" i="2"/>
  <c r="AK98" i="2"/>
  <c r="AV97" i="2"/>
  <c r="AP97" i="2"/>
  <c r="AK97" i="2"/>
  <c r="AV96" i="2"/>
  <c r="AP96" i="2"/>
  <c r="AK96" i="2"/>
  <c r="AV95" i="2"/>
  <c r="AP95" i="2"/>
  <c r="AK95" i="2"/>
  <c r="AV94" i="2"/>
  <c r="AP94" i="2"/>
  <c r="AK94" i="2"/>
</calcChain>
</file>

<file path=xl/sharedStrings.xml><?xml version="1.0" encoding="utf-8"?>
<sst xmlns="http://schemas.openxmlformats.org/spreadsheetml/2006/main" count="936" uniqueCount="119">
  <si>
    <t>Batch Data</t>
  </si>
  <si>
    <t>Offline Data</t>
  </si>
  <si>
    <t>Online Data</t>
  </si>
  <si>
    <t>Batch</t>
  </si>
  <si>
    <t>Controller</t>
  </si>
  <si>
    <t>iVCC</t>
  </si>
  <si>
    <t>pH</t>
  </si>
  <si>
    <t>Day</t>
  </si>
  <si>
    <t>Sample Time</t>
  </si>
  <si>
    <t>HPLC Titer</t>
  </si>
  <si>
    <t>IGG</t>
  </si>
  <si>
    <t>VCC</t>
  </si>
  <si>
    <t>Viability</t>
  </si>
  <si>
    <t>Lactate</t>
  </si>
  <si>
    <t>Glucose</t>
  </si>
  <si>
    <t>Volume</t>
  </si>
  <si>
    <t>Sample Volume</t>
  </si>
  <si>
    <t>Amount of Future Feed</t>
  </si>
  <si>
    <t>Temperature</t>
  </si>
  <si>
    <t>pH_setpoint</t>
  </si>
  <si>
    <t>DO</t>
  </si>
  <si>
    <t>CD96 CSFR Setpoint</t>
  </si>
  <si>
    <t>Initial_Volume</t>
  </si>
  <si>
    <t>Model Feed Input Python</t>
  </si>
  <si>
    <t>Model Feed Input Julia</t>
  </si>
  <si>
    <t>Model Glucose Input Julia</t>
  </si>
  <si>
    <t>Julia</t>
  </si>
  <si>
    <t>Python</t>
  </si>
  <si>
    <t>No MPC</t>
  </si>
  <si>
    <t xml:space="preserve">TCC  </t>
  </si>
  <si>
    <t xml:space="preserve">Diam </t>
  </si>
  <si>
    <t>Osmolality</t>
  </si>
  <si>
    <t>Ammonium</t>
  </si>
  <si>
    <t>Calcium</t>
  </si>
  <si>
    <t>Glutamine</t>
  </si>
  <si>
    <t>Glutamate</t>
  </si>
  <si>
    <t>CO2</t>
  </si>
  <si>
    <t>pO2</t>
  </si>
  <si>
    <t>Potassium</t>
  </si>
  <si>
    <t>Sodium</t>
  </si>
  <si>
    <t>Bicarbonate</t>
  </si>
  <si>
    <t>pCO2 at Temp</t>
  </si>
  <si>
    <t>pO2 at Temp</t>
  </si>
  <si>
    <t>pH at Temp</t>
  </si>
  <si>
    <t>Agitation Rate (rpm)</t>
  </si>
  <si>
    <t>Vessel Temp (*C)</t>
  </si>
  <si>
    <t>Base Pumped (mL)</t>
  </si>
  <si>
    <t>Acid Pumped (mL)</t>
  </si>
  <si>
    <t>Antifoam Amount (mL)</t>
  </si>
  <si>
    <t>Daily Feed Amount (mL)</t>
  </si>
  <si>
    <t>Daily Glucose Amount (mL)</t>
  </si>
  <si>
    <t>Cumulative Feed Amount (mL)</t>
  </si>
  <si>
    <t>Cumulative Glucose Amount (mL)</t>
  </si>
  <si>
    <t>MR24-030-801</t>
  </si>
  <si>
    <t>MR24-030-802</t>
  </si>
  <si>
    <t>MR24-030-803</t>
  </si>
  <si>
    <t>MR24-030-804</t>
  </si>
  <si>
    <t>MR24-030-805</t>
  </si>
  <si>
    <t>MR24-030-806</t>
  </si>
  <si>
    <t>Amount of Glucose (mL) Julia</t>
  </si>
  <si>
    <t>Feed Fed based on CSFR (mL)</t>
  </si>
  <si>
    <t>Online pH</t>
  </si>
  <si>
    <t>Calculations</t>
  </si>
  <si>
    <t>Amount of Glucose to Feed (mL)</t>
  </si>
  <si>
    <t>MPC Data</t>
  </si>
  <si>
    <t>Flow Rates to Copy to System</t>
  </si>
  <si>
    <t>Final Values</t>
  </si>
  <si>
    <t>Cumulative_Normalized_Feed_Initial WV</t>
  </si>
  <si>
    <t>Cumulative_Normalized_Feed_Current WV</t>
  </si>
  <si>
    <t>Glucose to Copy to System</t>
  </si>
  <si>
    <t>Process Setpoints</t>
  </si>
  <si>
    <t>Feed Flow Rate based on CSFR (mL/min)</t>
  </si>
  <si>
    <t>Feed Rate (mL/min) Python</t>
  </si>
  <si>
    <t>Feed Rate (mL/min) Julia</t>
  </si>
  <si>
    <t>Feed Rate based on CSFR (mL/min)</t>
  </si>
  <si>
    <t>Pump RPM</t>
  </si>
  <si>
    <t>Feed Flow Rate (mL/min)</t>
  </si>
  <si>
    <t>Reference Titer</t>
  </si>
  <si>
    <t>Comments</t>
  </si>
  <si>
    <t>Used in Feed?</t>
  </si>
  <si>
    <t>DO Raw</t>
  </si>
  <si>
    <t>Feed Bottle Weight (g)</t>
  </si>
  <si>
    <t>Daily Feed Weight (g)</t>
  </si>
  <si>
    <t/>
  </si>
  <si>
    <t>MR24-038-805</t>
  </si>
  <si>
    <t>MR24-038-806</t>
  </si>
  <si>
    <t>MR24-038-807</t>
  </si>
  <si>
    <t>MR24-038-808</t>
  </si>
  <si>
    <t>Reactor was found to be contaminated</t>
  </si>
  <si>
    <t>Changed to CSFR flow rate until Julia code was run at 4pm</t>
  </si>
  <si>
    <t>CSFR Flow rates were used</t>
  </si>
  <si>
    <t>CSFR Flow rates were used, Reactor was found to be contaminated the next day</t>
  </si>
  <si>
    <t>NMPC-bound FER805 was re-routed to LMPC</t>
  </si>
  <si>
    <t>pH_sp</t>
  </si>
  <si>
    <t>DO_sp</t>
  </si>
  <si>
    <t>Temp_sp</t>
  </si>
  <si>
    <t>MR24-045-801</t>
  </si>
  <si>
    <t>MR24-045-802</t>
  </si>
  <si>
    <t>MR24-045-803</t>
  </si>
  <si>
    <t>MR24-045-804</t>
  </si>
  <si>
    <t>MR24-045-805</t>
  </si>
  <si>
    <t>MR24-045-806</t>
  </si>
  <si>
    <t>Glucose Strategy: feed up to 5g/L</t>
  </si>
  <si>
    <t>Glucose Strategy: feed up to 3g/L if under 1.5 g/L, CSFR was used since model predicted low feed</t>
  </si>
  <si>
    <t>Switched to optical DO probe</t>
  </si>
  <si>
    <t>pH, pCO2, pO2, bicarb, pCO2 at temp, pO2 at temp, and pH at temp were not measured in BR05's first sample</t>
  </si>
  <si>
    <t>Lactate was run on cedex since it was out of range</t>
  </si>
  <si>
    <t>Antifoam totalizer reset due to schedule restart</t>
  </si>
  <si>
    <t>Antifoam totalizer reset due to schedule restart, lactate was run on cedex since it was out of range</t>
  </si>
  <si>
    <t>Cedex Sample was concentrated due to being left over night. Samples were re-run but the original value used for modeling was: 5803.62</t>
  </si>
  <si>
    <t>Cedex Sample was concentrated due to being left over night. Samples were re-run but the original value used for modeling was: 5945.67</t>
  </si>
  <si>
    <t>Cedex Sample was concentrated due to being left over night. Samples were re-run but the original value used for modeling was: 5235.63</t>
  </si>
  <si>
    <t>Cedex Sample was concentrated due to being left over night. Samples were re-run but the original value used for modeling was: 5350.905</t>
  </si>
  <si>
    <t>Cedex Sample was concentrated due to being left over night. Samples were re-run but the original value used for modeling was: 2975.505</t>
  </si>
  <si>
    <t>Cedex Sample was concentrated due to being left over night. Samples were re-run but the original value used for modeling was: 5979</t>
  </si>
  <si>
    <t>801 DO probe was switched back to probe 1 due to large fluctuations in probe 2</t>
  </si>
  <si>
    <t>805 was considered dead 2 days before this so feed was turned off, lactate was run on cedex since it was out of range</t>
  </si>
  <si>
    <t>Reactor Scale True Weight (g)</t>
  </si>
  <si>
    <t>Reactor Scale Offset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</si>
</sst>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B050"/>
      <name val="Calibri"/>
      <family val="2"/>
      <scheme val="minor"/>
    </font>
    <font>
      <b/>
      <sz val="11.5"/>
      <color rgb="FF7030A0"/>
      <name val="Calibri"/>
      <family val="2"/>
      <scheme val="minor"/>
    </font>
    <font>
      <b/>
      <sz val="11.5"/>
      <color rgb="FF0070C0"/>
      <name val="Calibri"/>
      <family val="2"/>
      <scheme val="minor"/>
    </font>
    <font>
      <sz val="1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F08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0" fillId="0" borderId="0" xfId="0" applyBorder="1"/>
    <xf numFmtId="0" fontId="19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22" fontId="19" fillId="0" borderId="0" xfId="0" applyNumberFormat="1" applyFont="1" applyBorder="1" applyAlignment="1">
      <alignment horizontal="center" vertical="center" wrapText="1"/>
    </xf>
    <xf numFmtId="22" fontId="0" fillId="0" borderId="0" xfId="0" applyNumberFormat="1"/>
    <xf numFmtId="0" fontId="0" fillId="33" borderId="0" xfId="0" applyFill="1"/>
    <xf numFmtId="0" fontId="0" fillId="0" borderId="10" xfId="0" applyBorder="1"/>
    <xf numFmtId="0" fontId="0" fillId="0" borderId="11" xfId="0" applyBorder="1"/>
    <xf numFmtId="22" fontId="0" fillId="0" borderId="12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0" xfId="0" applyNumberFormat="1"/>
    <xf numFmtId="0" fontId="0" fillId="0" borderId="13" xfId="0" applyBorder="1"/>
    <xf numFmtId="22" fontId="0" fillId="0" borderId="14" xfId="0" applyNumberFormat="1" applyBorder="1"/>
    <xf numFmtId="2" fontId="0" fillId="0" borderId="14" xfId="0" applyNumberFormat="1" applyBorder="1"/>
    <xf numFmtId="0" fontId="0" fillId="0" borderId="15" xfId="0" applyBorder="1"/>
    <xf numFmtId="0" fontId="0" fillId="0" borderId="16" xfId="0" applyBorder="1"/>
    <xf numFmtId="22" fontId="0" fillId="0" borderId="17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14" fillId="0" borderId="0" xfId="0" applyNumberFormat="1" applyFont="1"/>
    <xf numFmtId="0" fontId="23" fillId="0" borderId="11" xfId="0" applyFont="1" applyBorder="1"/>
    <xf numFmtId="2" fontId="14" fillId="0" borderId="11" xfId="0" applyNumberFormat="1" applyFont="1" applyBorder="1"/>
    <xf numFmtId="0" fontId="23" fillId="0" borderId="0" xfId="0" applyFont="1"/>
    <xf numFmtId="0" fontId="23" fillId="0" borderId="16" xfId="0" applyFont="1" applyBorder="1"/>
    <xf numFmtId="2" fontId="14" fillId="0" borderId="16" xfId="0" applyNumberFormat="1" applyFont="1" applyBorder="1"/>
    <xf numFmtId="0" fontId="18" fillId="33" borderId="0" xfId="0" applyFont="1" applyFill="1" applyBorder="1" applyAlignment="1">
      <alignment horizontal="center"/>
    </xf>
    <xf numFmtId="0" fontId="18" fillId="39" borderId="0" xfId="0" applyFont="1" applyFill="1" applyBorder="1" applyAlignment="1">
      <alignment horizontal="center"/>
    </xf>
    <xf numFmtId="0" fontId="18" fillId="34" borderId="0" xfId="0" applyFont="1" applyFill="1" applyBorder="1" applyAlignment="1">
      <alignment horizontal="center"/>
    </xf>
    <xf numFmtId="0" fontId="18" fillId="35" borderId="0" xfId="0" applyFont="1" applyFill="1" applyBorder="1" applyAlignment="1">
      <alignment horizontal="center"/>
    </xf>
    <xf numFmtId="0" fontId="18" fillId="36" borderId="0" xfId="0" applyFont="1" applyFill="1" applyBorder="1" applyAlignment="1">
      <alignment horizontal="center"/>
    </xf>
    <xf numFmtId="0" fontId="18" fillId="38" borderId="0" xfId="0" applyFont="1" applyFill="1" applyBorder="1" applyAlignment="1">
      <alignment horizontal="center"/>
    </xf>
    <xf numFmtId="0" fontId="18" fillId="37" borderId="0" xfId="0" applyFont="1" applyFill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0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E7D6-1405-4AC8-A599-0CE4601ECD66}">
  <sheetPr filterMode="1"/>
  <dimension ref="A1:BV171"/>
  <sheetViews>
    <sheetView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F16" sqref="F16"/>
    </sheetView>
  </sheetViews>
  <sheetFormatPr defaultRowHeight="15" x14ac:dyDescent="0.25"/>
  <cols>
    <col min="1" max="1" width="13.42578125" bestFit="1" customWidth="1"/>
    <col min="2" max="2" width="14.5703125" bestFit="1" customWidth="1"/>
    <col min="3" max="3" width="9.7109375" bestFit="1" customWidth="1"/>
    <col min="4" max="4" width="8.85546875" bestFit="1" customWidth="1"/>
    <col min="5" max="5" width="15.140625" bestFit="1" customWidth="1"/>
    <col min="6" max="6" width="17" style="8" bestFit="1" customWidth="1"/>
    <col min="7" max="7" width="13.5703125" bestFit="1" customWidth="1"/>
    <col min="8" max="10" width="13.5703125" customWidth="1"/>
    <col min="11" max="11" width="10" bestFit="1" customWidth="1"/>
    <col min="12" max="12" width="9" bestFit="1" customWidth="1"/>
    <col min="13" max="13" width="8.85546875" bestFit="1" customWidth="1"/>
    <col min="14" max="14" width="9.140625" bestFit="1" customWidth="1"/>
    <col min="15" max="15" width="13" bestFit="1" customWidth="1"/>
    <col min="16" max="16" width="10.140625" bestFit="1" customWidth="1"/>
    <col min="17" max="17" width="13.42578125" bestFit="1" customWidth="1"/>
    <col min="18" max="18" width="13.140625" bestFit="1" customWidth="1"/>
    <col min="19" max="19" width="12.5703125" bestFit="1" customWidth="1"/>
    <col min="20" max="20" width="12.7109375" bestFit="1" customWidth="1"/>
    <col min="21" max="21" width="12.28515625" bestFit="1" customWidth="1"/>
    <col min="22" max="22" width="12.7109375" bestFit="1" customWidth="1"/>
    <col min="23" max="23" width="13.140625" bestFit="1" customWidth="1"/>
    <col min="24" max="24" width="11.85546875" bestFit="1" customWidth="1"/>
    <col min="25" max="25" width="8" bestFit="1" customWidth="1"/>
    <col min="26" max="27" width="9.140625" bestFit="1" customWidth="1"/>
    <col min="28" max="28" width="13" bestFit="1" customWidth="1"/>
    <col min="29" max="29" width="12.28515625" bestFit="1" customWidth="1"/>
    <col min="30" max="30" width="13.28515625" bestFit="1" customWidth="1"/>
    <col min="31" max="31" width="12.42578125" bestFit="1" customWidth="1"/>
    <col min="32" max="32" width="11.28515625" bestFit="1" customWidth="1"/>
    <col min="33" max="33" width="10.5703125" bestFit="1" customWidth="1"/>
    <col min="34" max="34" width="13.7109375" bestFit="1" customWidth="1"/>
    <col min="35" max="35" width="12.42578125" bestFit="1" customWidth="1"/>
    <col min="36" max="36" width="11.5703125" bestFit="1" customWidth="1"/>
    <col min="37" max="37" width="8.28515625" bestFit="1" customWidth="1"/>
    <col min="38" max="38" width="11.42578125" bestFit="1" customWidth="1"/>
    <col min="39" max="40" width="13" bestFit="1" customWidth="1"/>
    <col min="41" max="41" width="12.7109375" bestFit="1" customWidth="1"/>
    <col min="42" max="42" width="13.140625" bestFit="1" customWidth="1"/>
    <col min="43" max="44" width="13.5703125" bestFit="1" customWidth="1"/>
    <col min="45" max="45" width="12.140625" bestFit="1" customWidth="1"/>
    <col min="46" max="48" width="12.140625" customWidth="1"/>
    <col min="49" max="50" width="12.7109375" bestFit="1" customWidth="1"/>
    <col min="51" max="51" width="12.140625" bestFit="1" customWidth="1"/>
    <col min="52" max="52" width="12.5703125" bestFit="1" customWidth="1"/>
    <col min="53" max="53" width="17.7109375" bestFit="1" customWidth="1"/>
    <col min="54" max="54" width="17.140625" bestFit="1" customWidth="1"/>
    <col min="55" max="55" width="16.42578125" bestFit="1" customWidth="1"/>
    <col min="56" max="56" width="8.28515625" bestFit="1" customWidth="1"/>
    <col min="57" max="57" width="14.7109375" bestFit="1" customWidth="1"/>
    <col min="58" max="59" width="16.28515625" bestFit="1" customWidth="1"/>
    <col min="60" max="60" width="14.7109375" bestFit="1" customWidth="1"/>
    <col min="61" max="61" width="13.5703125" bestFit="1" customWidth="1"/>
    <col min="62" max="62" width="13.7109375" bestFit="1" customWidth="1"/>
    <col min="63" max="63" width="12.5703125" bestFit="1" customWidth="1"/>
    <col min="64" max="66" width="13.7109375" bestFit="1" customWidth="1"/>
    <col min="67" max="68" width="13.140625" bestFit="1" customWidth="1"/>
    <col min="69" max="69" width="13.5703125" bestFit="1" customWidth="1"/>
    <col min="70" max="71" width="12.7109375" bestFit="1" customWidth="1"/>
    <col min="72" max="72" width="12" bestFit="1" customWidth="1"/>
    <col min="73" max="74" width="12.7109375" bestFit="1" customWidth="1"/>
  </cols>
  <sheetData>
    <row r="1" spans="1:74" s="1" customFormat="1" ht="21" x14ac:dyDescent="0.35">
      <c r="A1" s="31" t="s">
        <v>0</v>
      </c>
      <c r="B1" s="31"/>
      <c r="C1" s="31"/>
      <c r="D1" s="31"/>
      <c r="E1" s="31"/>
      <c r="F1" s="31"/>
      <c r="G1" s="32" t="s">
        <v>1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 t="s">
        <v>2</v>
      </c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4" t="s">
        <v>70</v>
      </c>
      <c r="BB1" s="34"/>
      <c r="BC1" s="34"/>
      <c r="BD1" s="34"/>
      <c r="BE1" s="34"/>
      <c r="BF1" s="35" t="s">
        <v>64</v>
      </c>
      <c r="BG1" s="35"/>
      <c r="BH1" s="35"/>
      <c r="BI1" s="36" t="s">
        <v>62</v>
      </c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0" t="s">
        <v>66</v>
      </c>
      <c r="BU1" s="30"/>
      <c r="BV1" s="30"/>
    </row>
    <row r="2" spans="1:74" s="1" customFormat="1" ht="60" x14ac:dyDescent="0.25">
      <c r="A2" s="2" t="s">
        <v>3</v>
      </c>
      <c r="B2" s="2" t="s">
        <v>4</v>
      </c>
      <c r="C2" s="2" t="s">
        <v>5</v>
      </c>
      <c r="D2" s="2" t="s">
        <v>7</v>
      </c>
      <c r="E2" s="6" t="s">
        <v>78</v>
      </c>
      <c r="F2" s="7" t="s">
        <v>8</v>
      </c>
      <c r="G2" s="3" t="s">
        <v>77</v>
      </c>
      <c r="H2" s="3" t="s">
        <v>93</v>
      </c>
      <c r="I2" s="3" t="s">
        <v>94</v>
      </c>
      <c r="J2" s="3" t="s">
        <v>95</v>
      </c>
      <c r="K2" s="3" t="s">
        <v>9</v>
      </c>
      <c r="L2" s="3" t="s">
        <v>10</v>
      </c>
      <c r="M2" s="5" t="s">
        <v>29</v>
      </c>
      <c r="N2" s="5" t="s">
        <v>11</v>
      </c>
      <c r="O2" s="5" t="s">
        <v>12</v>
      </c>
      <c r="P2" s="5" t="s">
        <v>30</v>
      </c>
      <c r="Q2" s="4" t="s">
        <v>31</v>
      </c>
      <c r="R2" s="4" t="s">
        <v>32</v>
      </c>
      <c r="S2" s="4" t="s">
        <v>33</v>
      </c>
      <c r="T2" s="4" t="s">
        <v>14</v>
      </c>
      <c r="U2" s="4" t="s">
        <v>79</v>
      </c>
      <c r="V2" s="4" t="s">
        <v>34</v>
      </c>
      <c r="W2" s="4" t="s">
        <v>35</v>
      </c>
      <c r="X2" s="4" t="s">
        <v>13</v>
      </c>
      <c r="Y2" s="4" t="s">
        <v>6</v>
      </c>
      <c r="Z2" s="4" t="s">
        <v>36</v>
      </c>
      <c r="AA2" s="4" t="s">
        <v>37</v>
      </c>
      <c r="AB2" s="4" t="s">
        <v>38</v>
      </c>
      <c r="AC2" s="4" t="s">
        <v>39</v>
      </c>
      <c r="AD2" s="4" t="s">
        <v>40</v>
      </c>
      <c r="AE2" s="4" t="s">
        <v>41</v>
      </c>
      <c r="AF2" s="4" t="s">
        <v>42</v>
      </c>
      <c r="AG2" s="4" t="s">
        <v>43</v>
      </c>
      <c r="AH2" s="2" t="s">
        <v>44</v>
      </c>
      <c r="AI2" s="2" t="s">
        <v>80</v>
      </c>
      <c r="AJ2" s="2" t="s">
        <v>61</v>
      </c>
      <c r="AK2" s="2" t="s">
        <v>20</v>
      </c>
      <c r="AL2" s="2" t="s">
        <v>45</v>
      </c>
      <c r="AM2" s="2" t="s">
        <v>46</v>
      </c>
      <c r="AN2" s="2" t="s">
        <v>47</v>
      </c>
      <c r="AO2" s="2" t="s">
        <v>48</v>
      </c>
      <c r="AP2" s="2" t="s">
        <v>76</v>
      </c>
      <c r="AQ2" s="2" t="s">
        <v>51</v>
      </c>
      <c r="AR2" s="2" t="s">
        <v>52</v>
      </c>
      <c r="AS2" s="2" t="s">
        <v>81</v>
      </c>
      <c r="AT2" s="37" t="s">
        <v>117</v>
      </c>
      <c r="AU2" s="37" t="s">
        <v>118</v>
      </c>
      <c r="AV2" s="37" t="s">
        <v>117</v>
      </c>
      <c r="AW2" s="2" t="s">
        <v>49</v>
      </c>
      <c r="AX2" s="2" t="s">
        <v>50</v>
      </c>
      <c r="AY2" s="2" t="s">
        <v>82</v>
      </c>
      <c r="AZ2" s="2" t="s">
        <v>16</v>
      </c>
      <c r="BA2" s="2" t="s">
        <v>22</v>
      </c>
      <c r="BB2" s="2" t="s">
        <v>18</v>
      </c>
      <c r="BC2" s="2" t="s">
        <v>19</v>
      </c>
      <c r="BD2" s="2" t="s">
        <v>20</v>
      </c>
      <c r="BE2" s="2" t="s">
        <v>21</v>
      </c>
      <c r="BF2" s="2" t="s">
        <v>23</v>
      </c>
      <c r="BG2" s="2" t="s">
        <v>24</v>
      </c>
      <c r="BH2" s="2" t="s">
        <v>25</v>
      </c>
      <c r="BI2" s="2" t="s">
        <v>71</v>
      </c>
      <c r="BJ2" s="2" t="s">
        <v>60</v>
      </c>
      <c r="BK2" s="2" t="s">
        <v>15</v>
      </c>
      <c r="BL2" s="2" t="s">
        <v>68</v>
      </c>
      <c r="BM2" s="2" t="s">
        <v>67</v>
      </c>
      <c r="BN2" s="2" t="s">
        <v>17</v>
      </c>
      <c r="BO2" s="2" t="s">
        <v>72</v>
      </c>
      <c r="BP2" s="2" t="s">
        <v>73</v>
      </c>
      <c r="BQ2" s="2" t="s">
        <v>74</v>
      </c>
      <c r="BR2" s="2" t="s">
        <v>63</v>
      </c>
      <c r="BS2" s="2" t="s">
        <v>59</v>
      </c>
      <c r="BT2" s="2" t="s">
        <v>75</v>
      </c>
      <c r="BU2" s="2" t="s">
        <v>65</v>
      </c>
      <c r="BV2" s="2" t="s">
        <v>69</v>
      </c>
    </row>
    <row r="3" spans="1:74" x14ac:dyDescent="0.25">
      <c r="A3" t="s">
        <v>53</v>
      </c>
      <c r="B3" t="s">
        <v>28</v>
      </c>
      <c r="C3">
        <v>12</v>
      </c>
      <c r="D3">
        <v>0</v>
      </c>
      <c r="F3" s="8">
        <v>45449.560416666704</v>
      </c>
      <c r="G3">
        <v>146.51</v>
      </c>
      <c r="H3">
        <v>7.2</v>
      </c>
      <c r="I3">
        <v>0.5</v>
      </c>
      <c r="J3">
        <v>34</v>
      </c>
      <c r="L3">
        <v>127.2368</v>
      </c>
      <c r="M3">
        <v>13.6</v>
      </c>
      <c r="N3">
        <v>13.5</v>
      </c>
      <c r="O3">
        <v>99</v>
      </c>
      <c r="P3">
        <v>16.7</v>
      </c>
      <c r="Q3">
        <v>317</v>
      </c>
      <c r="R3">
        <v>0.99</v>
      </c>
      <c r="S3">
        <v>0.56000000000000005</v>
      </c>
      <c r="T3">
        <v>5.88</v>
      </c>
      <c r="V3">
        <v>0.37</v>
      </c>
      <c r="W3">
        <v>2.2799999999999998</v>
      </c>
      <c r="X3">
        <v>1.01</v>
      </c>
      <c r="Y3">
        <v>6.95</v>
      </c>
      <c r="Z3">
        <v>97.2</v>
      </c>
      <c r="AA3">
        <v>52.9</v>
      </c>
      <c r="AB3">
        <v>6.3</v>
      </c>
      <c r="AC3">
        <v>100.2</v>
      </c>
      <c r="AD3">
        <v>20.5</v>
      </c>
      <c r="AE3">
        <v>85.2</v>
      </c>
      <c r="AF3">
        <v>42.9</v>
      </c>
      <c r="AG3">
        <v>6.9850000000000003</v>
      </c>
      <c r="AH3">
        <v>300</v>
      </c>
      <c r="AJ3">
        <v>7.04</v>
      </c>
      <c r="AK3">
        <v>0.502</v>
      </c>
      <c r="AL3">
        <v>34</v>
      </c>
      <c r="AM3">
        <v>0</v>
      </c>
      <c r="AN3">
        <v>0</v>
      </c>
      <c r="AO3">
        <v>0.1</v>
      </c>
      <c r="AP3">
        <v>6.8242499999999996E-3</v>
      </c>
      <c r="AQ3">
        <v>0</v>
      </c>
      <c r="AR3">
        <v>0</v>
      </c>
      <c r="AW3">
        <v>0</v>
      </c>
      <c r="AX3">
        <v>0</v>
      </c>
      <c r="AZ3">
        <v>15</v>
      </c>
      <c r="BA3">
        <v>1700</v>
      </c>
      <c r="BB3">
        <v>34</v>
      </c>
      <c r="BC3">
        <v>7.2</v>
      </c>
      <c r="BD3">
        <v>50</v>
      </c>
      <c r="BE3">
        <v>2.9999999999999997E-4</v>
      </c>
      <c r="BI3">
        <v>6.8242499999999996E-3</v>
      </c>
      <c r="BJ3">
        <v>0.16378199999999998</v>
      </c>
      <c r="BK3">
        <v>1685</v>
      </c>
      <c r="BL3">
        <v>0</v>
      </c>
      <c r="BM3">
        <v>0</v>
      </c>
      <c r="BN3">
        <v>0.16378199999999998</v>
      </c>
      <c r="BO3" t="s">
        <v>83</v>
      </c>
      <c r="BP3" t="s">
        <v>83</v>
      </c>
      <c r="BQ3">
        <v>6.8242499999999996E-3</v>
      </c>
      <c r="BR3">
        <v>0</v>
      </c>
      <c r="BS3" t="s">
        <v>83</v>
      </c>
      <c r="BT3">
        <v>17.725324675324675</v>
      </c>
      <c r="BU3">
        <v>6.8242499999999996E-3</v>
      </c>
      <c r="BV3">
        <v>0</v>
      </c>
    </row>
    <row r="4" spans="1:74" x14ac:dyDescent="0.25">
      <c r="A4" t="s">
        <v>54</v>
      </c>
      <c r="B4" t="s">
        <v>27</v>
      </c>
      <c r="C4">
        <v>12</v>
      </c>
      <c r="D4">
        <v>0</v>
      </c>
      <c r="F4" s="8">
        <v>45449.564282407402</v>
      </c>
      <c r="G4">
        <v>146.51</v>
      </c>
      <c r="H4">
        <v>7.2</v>
      </c>
      <c r="I4">
        <v>0.5</v>
      </c>
      <c r="J4">
        <v>34</v>
      </c>
      <c r="L4">
        <v>128.01390000000001</v>
      </c>
      <c r="M4">
        <v>12.5</v>
      </c>
      <c r="N4">
        <v>12.4</v>
      </c>
      <c r="O4">
        <v>99.2</v>
      </c>
      <c r="P4">
        <v>16.7</v>
      </c>
      <c r="Q4">
        <v>317</v>
      </c>
      <c r="R4">
        <v>0.99</v>
      </c>
      <c r="S4">
        <v>0.57999999999999996</v>
      </c>
      <c r="T4">
        <v>5.85</v>
      </c>
      <c r="V4">
        <v>0.37</v>
      </c>
      <c r="W4">
        <v>2.2999999999999998</v>
      </c>
      <c r="X4">
        <v>0.98</v>
      </c>
      <c r="Y4">
        <v>6.9379999999999997</v>
      </c>
      <c r="Z4">
        <v>96.6</v>
      </c>
      <c r="AA4">
        <v>62.2</v>
      </c>
      <c r="AB4">
        <v>6.34</v>
      </c>
      <c r="AC4">
        <v>101.8</v>
      </c>
      <c r="AD4">
        <v>19.8</v>
      </c>
      <c r="AE4">
        <v>84.7</v>
      </c>
      <c r="AF4">
        <v>50.6</v>
      </c>
      <c r="AG4">
        <v>6.9729999999999999</v>
      </c>
      <c r="AH4">
        <v>299</v>
      </c>
      <c r="AJ4">
        <v>6.94</v>
      </c>
      <c r="AK4">
        <v>0.49700000000000005</v>
      </c>
      <c r="AL4">
        <v>34</v>
      </c>
      <c r="AM4">
        <v>0</v>
      </c>
      <c r="AN4">
        <v>0</v>
      </c>
      <c r="AO4">
        <v>0.1</v>
      </c>
      <c r="AP4">
        <v>5.2656249999999995E-3</v>
      </c>
      <c r="AQ4">
        <v>0</v>
      </c>
      <c r="AR4">
        <v>0</v>
      </c>
      <c r="AW4">
        <v>0</v>
      </c>
      <c r="AX4">
        <v>0</v>
      </c>
      <c r="AZ4">
        <v>15</v>
      </c>
      <c r="BA4">
        <v>1700</v>
      </c>
      <c r="BB4">
        <v>34</v>
      </c>
      <c r="BC4">
        <v>7.2</v>
      </c>
      <c r="BD4">
        <v>50</v>
      </c>
      <c r="BE4">
        <v>2.9999999999999997E-4</v>
      </c>
      <c r="BF4">
        <v>4.4999999999999997E-3</v>
      </c>
      <c r="BI4">
        <v>6.2681999999999989E-3</v>
      </c>
      <c r="BJ4">
        <v>0.15043679999999998</v>
      </c>
      <c r="BK4">
        <v>1685</v>
      </c>
      <c r="BL4">
        <v>0</v>
      </c>
      <c r="BM4">
        <v>0</v>
      </c>
      <c r="BN4">
        <v>0.12637499999999999</v>
      </c>
      <c r="BO4">
        <v>5.2656249999999995E-3</v>
      </c>
      <c r="BP4" t="s">
        <v>83</v>
      </c>
      <c r="BQ4" t="s">
        <v>83</v>
      </c>
      <c r="BR4">
        <v>0</v>
      </c>
      <c r="BS4" t="s">
        <v>83</v>
      </c>
      <c r="BT4">
        <v>13.676948051948051</v>
      </c>
      <c r="BU4">
        <v>5.2656249999999995E-3</v>
      </c>
      <c r="BV4">
        <v>0</v>
      </c>
    </row>
    <row r="5" spans="1:74" x14ac:dyDescent="0.25">
      <c r="A5" t="s">
        <v>55</v>
      </c>
      <c r="B5" t="s">
        <v>27</v>
      </c>
      <c r="C5">
        <v>12</v>
      </c>
      <c r="D5">
        <v>0</v>
      </c>
      <c r="F5" s="8">
        <v>45449.567604166703</v>
      </c>
      <c r="G5">
        <v>146.51</v>
      </c>
      <c r="H5">
        <v>7.2</v>
      </c>
      <c r="I5">
        <v>0.5</v>
      </c>
      <c r="J5">
        <v>34</v>
      </c>
      <c r="L5">
        <v>131.52670000000001</v>
      </c>
      <c r="M5">
        <v>13.5</v>
      </c>
      <c r="N5">
        <v>13.3</v>
      </c>
      <c r="O5">
        <v>99.1</v>
      </c>
      <c r="P5">
        <v>16.600000000000001</v>
      </c>
      <c r="Q5">
        <v>323</v>
      </c>
      <c r="R5">
        <v>1</v>
      </c>
      <c r="S5">
        <v>0.57999999999999996</v>
      </c>
      <c r="T5">
        <v>5.79</v>
      </c>
      <c r="V5">
        <v>0.37</v>
      </c>
      <c r="W5">
        <v>2.27</v>
      </c>
      <c r="X5">
        <v>1.03</v>
      </c>
      <c r="Y5">
        <v>6.9530000000000003</v>
      </c>
      <c r="Z5">
        <v>92</v>
      </c>
      <c r="AA5">
        <v>61.7</v>
      </c>
      <c r="AB5">
        <v>6.35</v>
      </c>
      <c r="AC5">
        <v>100.9</v>
      </c>
      <c r="AD5">
        <v>19.5</v>
      </c>
      <c r="AE5">
        <v>80.7</v>
      </c>
      <c r="AF5">
        <v>50.2</v>
      </c>
      <c r="AG5">
        <v>6.9880000000000004</v>
      </c>
      <c r="AH5">
        <v>302</v>
      </c>
      <c r="AJ5">
        <v>6.98</v>
      </c>
      <c r="AK5">
        <v>0.49299999999999999</v>
      </c>
      <c r="AL5">
        <v>34</v>
      </c>
      <c r="AM5">
        <v>0</v>
      </c>
      <c r="AN5">
        <v>0</v>
      </c>
      <c r="AO5">
        <v>0.1</v>
      </c>
      <c r="AP5">
        <v>5.2656249999999995E-3</v>
      </c>
      <c r="AQ5">
        <v>0</v>
      </c>
      <c r="AR5">
        <v>0</v>
      </c>
      <c r="AW5">
        <v>0</v>
      </c>
      <c r="AX5">
        <v>0</v>
      </c>
      <c r="AZ5">
        <v>15</v>
      </c>
      <c r="BA5">
        <v>1700</v>
      </c>
      <c r="BB5">
        <v>34</v>
      </c>
      <c r="BC5">
        <v>7.2</v>
      </c>
      <c r="BD5">
        <v>50</v>
      </c>
      <c r="BE5">
        <v>2.9999999999999997E-4</v>
      </c>
      <c r="BF5">
        <v>4.4999999999999997E-3</v>
      </c>
      <c r="BI5">
        <v>6.7231499999999998E-3</v>
      </c>
      <c r="BJ5">
        <v>0.16135559999999999</v>
      </c>
      <c r="BK5">
        <v>1685</v>
      </c>
      <c r="BL5">
        <v>0</v>
      </c>
      <c r="BM5">
        <v>0</v>
      </c>
      <c r="BN5">
        <v>0.12637499999999999</v>
      </c>
      <c r="BO5">
        <v>5.2656249999999995E-3</v>
      </c>
      <c r="BP5" t="s">
        <v>83</v>
      </c>
      <c r="BQ5" t="s">
        <v>83</v>
      </c>
      <c r="BR5">
        <v>0</v>
      </c>
      <c r="BS5" t="s">
        <v>83</v>
      </c>
      <c r="BT5">
        <v>13.676948051948051</v>
      </c>
      <c r="BU5">
        <v>5.2656249999999995E-3</v>
      </c>
      <c r="BV5">
        <v>0</v>
      </c>
    </row>
    <row r="6" spans="1:74" x14ac:dyDescent="0.25">
      <c r="A6" t="s">
        <v>56</v>
      </c>
      <c r="B6" t="s">
        <v>28</v>
      </c>
      <c r="C6">
        <v>15</v>
      </c>
      <c r="D6">
        <v>0</v>
      </c>
      <c r="F6" s="8">
        <v>45449.570925925902</v>
      </c>
      <c r="G6">
        <v>146.51</v>
      </c>
      <c r="H6">
        <v>7.2</v>
      </c>
      <c r="I6">
        <v>0.5</v>
      </c>
      <c r="J6">
        <v>34</v>
      </c>
      <c r="L6">
        <v>162.4066</v>
      </c>
      <c r="M6">
        <v>16.3</v>
      </c>
      <c r="N6">
        <v>16.100000000000001</v>
      </c>
      <c r="O6">
        <v>98.6</v>
      </c>
      <c r="P6">
        <v>16.5</v>
      </c>
      <c r="Q6">
        <v>316</v>
      </c>
      <c r="R6">
        <v>1.1200000000000001</v>
      </c>
      <c r="S6">
        <v>0.57999999999999996</v>
      </c>
      <c r="T6">
        <v>5.23</v>
      </c>
      <c r="V6">
        <v>0.37</v>
      </c>
      <c r="W6">
        <v>2.25</v>
      </c>
      <c r="X6">
        <v>1.1499999999999999</v>
      </c>
      <c r="Y6">
        <v>6.9219999999999997</v>
      </c>
      <c r="Z6">
        <v>98.8</v>
      </c>
      <c r="AA6">
        <v>87.4</v>
      </c>
      <c r="AB6">
        <v>6.25</v>
      </c>
      <c r="AC6">
        <v>102.7</v>
      </c>
      <c r="AD6">
        <v>19.5</v>
      </c>
      <c r="AE6">
        <v>86.6</v>
      </c>
      <c r="AF6">
        <v>72.2</v>
      </c>
      <c r="AG6">
        <v>6.9569999999999999</v>
      </c>
      <c r="AH6">
        <v>299</v>
      </c>
      <c r="AJ6">
        <v>6.97</v>
      </c>
      <c r="AK6">
        <v>0.42899999999999999</v>
      </c>
      <c r="AL6">
        <v>34</v>
      </c>
      <c r="AM6">
        <v>0</v>
      </c>
      <c r="AN6">
        <v>0</v>
      </c>
      <c r="AO6">
        <v>0.1</v>
      </c>
      <c r="AP6">
        <v>8.1385499999999996E-3</v>
      </c>
      <c r="AQ6">
        <v>0</v>
      </c>
      <c r="AR6">
        <v>0</v>
      </c>
      <c r="AW6">
        <v>0</v>
      </c>
      <c r="AX6">
        <v>0</v>
      </c>
      <c r="AZ6">
        <v>15</v>
      </c>
      <c r="BA6">
        <v>1700</v>
      </c>
      <c r="BB6">
        <v>34</v>
      </c>
      <c r="BC6">
        <v>7.2</v>
      </c>
      <c r="BD6">
        <v>50</v>
      </c>
      <c r="BE6">
        <v>2.9999999999999997E-4</v>
      </c>
      <c r="BI6">
        <v>8.1385499999999996E-3</v>
      </c>
      <c r="BJ6">
        <v>0.19532519999999998</v>
      </c>
      <c r="BK6">
        <v>1685</v>
      </c>
      <c r="BL6">
        <v>0</v>
      </c>
      <c r="BM6">
        <v>0</v>
      </c>
      <c r="BN6">
        <v>0.19532519999999998</v>
      </c>
      <c r="BO6" t="s">
        <v>83</v>
      </c>
      <c r="BP6" t="s">
        <v>83</v>
      </c>
      <c r="BQ6">
        <v>8.1385499999999996E-3</v>
      </c>
      <c r="BR6">
        <v>0</v>
      </c>
      <c r="BS6" t="s">
        <v>83</v>
      </c>
      <c r="BT6">
        <v>21.13909090909091</v>
      </c>
      <c r="BU6">
        <v>8.1385499999999996E-3</v>
      </c>
      <c r="BV6">
        <v>0</v>
      </c>
    </row>
    <row r="7" spans="1:74" x14ac:dyDescent="0.25">
      <c r="A7" t="s">
        <v>57</v>
      </c>
      <c r="B7" t="s">
        <v>26</v>
      </c>
      <c r="C7">
        <v>12</v>
      </c>
      <c r="D7">
        <v>0</v>
      </c>
      <c r="F7" s="8">
        <v>45449.573888888903</v>
      </c>
      <c r="G7">
        <v>146.51</v>
      </c>
      <c r="H7">
        <v>7.2</v>
      </c>
      <c r="I7">
        <v>0.5</v>
      </c>
      <c r="J7">
        <v>34</v>
      </c>
      <c r="L7">
        <v>115.47369999999999</v>
      </c>
      <c r="M7">
        <v>12.2</v>
      </c>
      <c r="N7">
        <v>12.1</v>
      </c>
      <c r="O7">
        <v>99</v>
      </c>
      <c r="P7">
        <v>16.600000000000001</v>
      </c>
      <c r="Q7">
        <v>327</v>
      </c>
      <c r="R7">
        <v>1.02</v>
      </c>
      <c r="S7">
        <v>0.59</v>
      </c>
      <c r="T7">
        <v>6.1</v>
      </c>
      <c r="V7">
        <v>0.34</v>
      </c>
      <c r="W7">
        <v>2.2400000000000002</v>
      </c>
      <c r="X7">
        <v>1.22</v>
      </c>
      <c r="Y7">
        <v>6.8869999999999996</v>
      </c>
      <c r="Z7">
        <v>90.7</v>
      </c>
      <c r="AA7">
        <v>54.7</v>
      </c>
      <c r="AB7">
        <v>6.36</v>
      </c>
      <c r="AC7">
        <v>100.5</v>
      </c>
      <c r="AD7">
        <v>16.5</v>
      </c>
      <c r="AE7">
        <v>79.5</v>
      </c>
      <c r="AF7">
        <v>44.4</v>
      </c>
      <c r="AG7">
        <v>6.9210000000000003</v>
      </c>
      <c r="AH7">
        <v>300</v>
      </c>
      <c r="AJ7">
        <v>6.94</v>
      </c>
      <c r="AK7">
        <v>0.496</v>
      </c>
      <c r="AL7">
        <v>34</v>
      </c>
      <c r="AM7">
        <v>0</v>
      </c>
      <c r="AN7">
        <v>0</v>
      </c>
      <c r="AO7">
        <v>0.1</v>
      </c>
      <c r="AP7">
        <v>6.116549999999988E-3</v>
      </c>
      <c r="AQ7">
        <v>0</v>
      </c>
      <c r="AR7">
        <v>0</v>
      </c>
      <c r="AW7">
        <v>0</v>
      </c>
      <c r="AX7">
        <v>0</v>
      </c>
      <c r="AZ7">
        <v>15</v>
      </c>
      <c r="BA7">
        <v>1700</v>
      </c>
      <c r="BB7">
        <v>34</v>
      </c>
      <c r="BC7">
        <v>7.2</v>
      </c>
      <c r="BD7">
        <v>50</v>
      </c>
      <c r="BE7">
        <v>2.9999999999999997E-4</v>
      </c>
      <c r="BG7">
        <v>5.22719999999999E-3</v>
      </c>
      <c r="BH7">
        <v>0</v>
      </c>
      <c r="BI7">
        <v>6.1165499999999992E-3</v>
      </c>
      <c r="BJ7">
        <v>0.14679719999999999</v>
      </c>
      <c r="BK7">
        <v>1685</v>
      </c>
      <c r="BL7">
        <v>0</v>
      </c>
      <c r="BM7">
        <v>0</v>
      </c>
      <c r="BN7">
        <v>0.14679719999999971</v>
      </c>
      <c r="BO7" t="s">
        <v>83</v>
      </c>
      <c r="BP7">
        <v>6.116549999999988E-3</v>
      </c>
      <c r="BQ7" t="s">
        <v>83</v>
      </c>
      <c r="BR7" t="s">
        <v>83</v>
      </c>
      <c r="BS7">
        <v>0</v>
      </c>
      <c r="BT7">
        <v>15.887142857142827</v>
      </c>
      <c r="BU7">
        <v>6.116549999999988E-3</v>
      </c>
      <c r="BV7">
        <v>0</v>
      </c>
    </row>
    <row r="8" spans="1:74" x14ac:dyDescent="0.25">
      <c r="A8" t="s">
        <v>58</v>
      </c>
      <c r="B8" t="s">
        <v>26</v>
      </c>
      <c r="C8">
        <v>12</v>
      </c>
      <c r="D8">
        <v>0</v>
      </c>
      <c r="F8" s="8">
        <v>45449.576921296299</v>
      </c>
      <c r="G8">
        <v>146.51</v>
      </c>
      <c r="H8">
        <v>7.2</v>
      </c>
      <c r="I8">
        <v>0.5</v>
      </c>
      <c r="J8">
        <v>34</v>
      </c>
      <c r="L8">
        <v>122.6279</v>
      </c>
      <c r="M8">
        <v>13</v>
      </c>
      <c r="N8">
        <v>12.9</v>
      </c>
      <c r="O8">
        <v>99</v>
      </c>
      <c r="P8">
        <v>16.5</v>
      </c>
      <c r="Q8">
        <v>321</v>
      </c>
      <c r="R8">
        <v>1.02</v>
      </c>
      <c r="S8">
        <v>0.56999999999999995</v>
      </c>
      <c r="T8">
        <v>5.72</v>
      </c>
      <c r="V8">
        <v>0.38</v>
      </c>
      <c r="W8">
        <v>2.19</v>
      </c>
      <c r="X8">
        <v>1.01</v>
      </c>
      <c r="Y8">
        <v>6.931</v>
      </c>
      <c r="Z8">
        <v>94.2</v>
      </c>
      <c r="AA8">
        <v>64.400000000000006</v>
      </c>
      <c r="AB8">
        <v>6.24</v>
      </c>
      <c r="AC8">
        <v>101.1</v>
      </c>
      <c r="AD8">
        <v>19</v>
      </c>
      <c r="AE8">
        <v>82.6</v>
      </c>
      <c r="AF8">
        <v>52.4</v>
      </c>
      <c r="AG8">
        <v>6.9660000000000002</v>
      </c>
      <c r="AH8">
        <v>300</v>
      </c>
      <c r="AJ8">
        <v>6.97</v>
      </c>
      <c r="AK8">
        <v>0.499</v>
      </c>
      <c r="AL8">
        <v>34</v>
      </c>
      <c r="AM8">
        <v>0</v>
      </c>
      <c r="AN8">
        <v>0</v>
      </c>
      <c r="AO8">
        <v>0.1</v>
      </c>
      <c r="AP8">
        <v>6.520949999999988E-3</v>
      </c>
      <c r="AQ8">
        <v>0</v>
      </c>
      <c r="AR8">
        <v>0</v>
      </c>
      <c r="AW8">
        <v>0</v>
      </c>
      <c r="AX8">
        <v>0</v>
      </c>
      <c r="AZ8">
        <v>15</v>
      </c>
      <c r="BA8">
        <v>1700</v>
      </c>
      <c r="BB8">
        <v>34</v>
      </c>
      <c r="BC8">
        <v>7.2</v>
      </c>
      <c r="BD8">
        <v>50</v>
      </c>
      <c r="BE8">
        <v>2.9999999999999997E-4</v>
      </c>
      <c r="BG8">
        <v>5.5727999999999897E-3</v>
      </c>
      <c r="BH8">
        <v>0</v>
      </c>
      <c r="BI8">
        <v>6.5209499999999993E-3</v>
      </c>
      <c r="BJ8">
        <v>0.1565028</v>
      </c>
      <c r="BK8">
        <v>1685</v>
      </c>
      <c r="BL8">
        <v>0</v>
      </c>
      <c r="BM8">
        <v>0</v>
      </c>
      <c r="BN8">
        <v>0.15650279999999972</v>
      </c>
      <c r="BO8" t="s">
        <v>83</v>
      </c>
      <c r="BP8">
        <v>6.520949999999988E-3</v>
      </c>
      <c r="BQ8" t="s">
        <v>83</v>
      </c>
      <c r="BR8" t="s">
        <v>83</v>
      </c>
      <c r="BS8">
        <v>0</v>
      </c>
      <c r="BT8">
        <v>16.937532467532439</v>
      </c>
      <c r="BU8">
        <v>6.520949999999988E-3</v>
      </c>
      <c r="BV8">
        <v>0</v>
      </c>
    </row>
    <row r="9" spans="1:74" x14ac:dyDescent="0.25">
      <c r="A9" t="s">
        <v>53</v>
      </c>
      <c r="B9" t="s">
        <v>28</v>
      </c>
      <c r="C9">
        <v>12</v>
      </c>
      <c r="D9">
        <v>1</v>
      </c>
      <c r="F9" s="8">
        <v>45450.408518518503</v>
      </c>
      <c r="G9">
        <v>509.83</v>
      </c>
      <c r="H9">
        <v>7.2</v>
      </c>
      <c r="I9">
        <v>0.5</v>
      </c>
      <c r="J9">
        <v>34</v>
      </c>
      <c r="L9">
        <v>465.95</v>
      </c>
      <c r="M9">
        <v>19.399999999999999</v>
      </c>
      <c r="N9">
        <v>19.2</v>
      </c>
      <c r="O9">
        <v>99</v>
      </c>
      <c r="P9">
        <v>16.8</v>
      </c>
      <c r="Q9">
        <v>323</v>
      </c>
      <c r="R9">
        <v>1.6</v>
      </c>
      <c r="S9">
        <v>0.5</v>
      </c>
      <c r="T9">
        <v>0.91</v>
      </c>
      <c r="V9">
        <v>0.32</v>
      </c>
      <c r="W9">
        <v>2.4</v>
      </c>
      <c r="X9">
        <v>2.88</v>
      </c>
      <c r="Y9">
        <v>7.0629999999999997</v>
      </c>
      <c r="Z9">
        <v>103.9</v>
      </c>
      <c r="AA9">
        <v>65.099999999999994</v>
      </c>
      <c r="AB9">
        <v>4.6399999999999997</v>
      </c>
      <c r="AC9">
        <v>129.4</v>
      </c>
      <c r="AD9">
        <v>28.6</v>
      </c>
      <c r="AE9">
        <v>91.1</v>
      </c>
      <c r="AF9">
        <v>53</v>
      </c>
      <c r="AG9">
        <v>7.1</v>
      </c>
      <c r="AH9">
        <v>299</v>
      </c>
      <c r="AJ9">
        <v>7.1</v>
      </c>
      <c r="AK9">
        <v>0.50800000000000001</v>
      </c>
      <c r="AL9">
        <v>34</v>
      </c>
      <c r="AM9">
        <v>16.54</v>
      </c>
      <c r="AN9">
        <v>0</v>
      </c>
      <c r="AO9">
        <v>1</v>
      </c>
      <c r="AP9">
        <v>9.7663103999999987E-3</v>
      </c>
      <c r="AQ9">
        <v>8</v>
      </c>
      <c r="AR9">
        <v>0</v>
      </c>
      <c r="AW9">
        <v>8</v>
      </c>
      <c r="AX9">
        <v>0</v>
      </c>
      <c r="AZ9">
        <v>15</v>
      </c>
      <c r="BA9">
        <v>1700</v>
      </c>
      <c r="BB9">
        <v>34</v>
      </c>
      <c r="BC9">
        <v>7.2</v>
      </c>
      <c r="BD9">
        <v>50</v>
      </c>
      <c r="BE9">
        <v>2.9999999999999997E-4</v>
      </c>
      <c r="BI9">
        <v>9.8469503999999985E-3</v>
      </c>
      <c r="BJ9">
        <v>0.16378199999999998</v>
      </c>
      <c r="BK9">
        <v>1709.54</v>
      </c>
      <c r="BL9">
        <v>4.6796214186272328E-3</v>
      </c>
      <c r="BM9">
        <v>4.7058823529411761E-3</v>
      </c>
      <c r="BN9">
        <v>0.23439144959999997</v>
      </c>
      <c r="BO9" t="s">
        <v>83</v>
      </c>
      <c r="BP9" t="s">
        <v>83</v>
      </c>
      <c r="BQ9">
        <v>9.8469503999999985E-3</v>
      </c>
      <c r="BR9">
        <v>17.4800465</v>
      </c>
      <c r="BS9" t="s">
        <v>83</v>
      </c>
      <c r="BT9">
        <v>25.576494545454544</v>
      </c>
      <c r="BU9">
        <v>9.8469503999999985E-3</v>
      </c>
      <c r="BV9">
        <v>17.4800465</v>
      </c>
    </row>
    <row r="10" spans="1:74" x14ac:dyDescent="0.25">
      <c r="A10" t="s">
        <v>54</v>
      </c>
      <c r="B10" t="s">
        <v>27</v>
      </c>
      <c r="C10">
        <v>12</v>
      </c>
      <c r="D10">
        <v>1</v>
      </c>
      <c r="F10" s="8">
        <v>45450.411412037</v>
      </c>
      <c r="G10">
        <v>509.83</v>
      </c>
      <c r="H10">
        <v>7.2</v>
      </c>
      <c r="I10">
        <v>0.5</v>
      </c>
      <c r="J10">
        <v>34</v>
      </c>
      <c r="L10">
        <v>446.74</v>
      </c>
      <c r="M10">
        <v>16.100000000000001</v>
      </c>
      <c r="N10">
        <v>15.9</v>
      </c>
      <c r="O10">
        <v>98.8</v>
      </c>
      <c r="P10">
        <v>16.899999999999999</v>
      </c>
      <c r="Q10">
        <v>337</v>
      </c>
      <c r="R10">
        <v>1.8</v>
      </c>
      <c r="S10">
        <v>0.49</v>
      </c>
      <c r="T10">
        <v>0.85</v>
      </c>
      <c r="V10">
        <v>0.36</v>
      </c>
      <c r="W10">
        <v>2.2999999999999998</v>
      </c>
      <c r="X10">
        <v>2.93</v>
      </c>
      <c r="Y10">
        <v>7.0960000000000001</v>
      </c>
      <c r="Z10">
        <v>116.1</v>
      </c>
      <c r="AA10">
        <v>53</v>
      </c>
      <c r="AB10">
        <v>4.71</v>
      </c>
      <c r="AC10">
        <v>134</v>
      </c>
      <c r="AD10">
        <v>34.6</v>
      </c>
      <c r="AE10">
        <v>101.8</v>
      </c>
      <c r="AF10">
        <v>43</v>
      </c>
      <c r="AG10">
        <v>7.1349999999999998</v>
      </c>
      <c r="AH10">
        <v>300</v>
      </c>
      <c r="AJ10">
        <v>7.1</v>
      </c>
      <c r="AK10">
        <v>0.499</v>
      </c>
      <c r="AL10">
        <v>34</v>
      </c>
      <c r="AM10">
        <v>19.440000000000001</v>
      </c>
      <c r="AN10">
        <v>0</v>
      </c>
      <c r="AO10">
        <v>1</v>
      </c>
      <c r="AP10">
        <v>9.0267334057285136E-3</v>
      </c>
      <c r="AQ10">
        <v>6</v>
      </c>
      <c r="AR10">
        <v>0</v>
      </c>
      <c r="AW10">
        <v>6</v>
      </c>
      <c r="AX10">
        <v>0</v>
      </c>
      <c r="AZ10">
        <v>15</v>
      </c>
      <c r="BA10">
        <v>1700</v>
      </c>
      <c r="BB10">
        <v>34</v>
      </c>
      <c r="BC10">
        <v>7.2</v>
      </c>
      <c r="BD10">
        <v>50</v>
      </c>
      <c r="BE10">
        <v>2.9999999999999997E-4</v>
      </c>
      <c r="BF10">
        <v>7.6622197686031096E-3</v>
      </c>
      <c r="BI10">
        <v>8.1587988000000004E-3</v>
      </c>
      <c r="BJ10">
        <v>0.15043679999999998</v>
      </c>
      <c r="BK10">
        <v>1710.44</v>
      </c>
      <c r="BL10">
        <v>3.5078693201749255E-3</v>
      </c>
      <c r="BM10">
        <v>3.5294117647058825E-3</v>
      </c>
      <c r="BN10">
        <v>0.21664160173748431</v>
      </c>
      <c r="BO10">
        <v>9.1012272090343783E-3</v>
      </c>
      <c r="BP10" t="s">
        <v>83</v>
      </c>
      <c r="BQ10" t="s">
        <v>83</v>
      </c>
      <c r="BR10">
        <v>17.745815000000004</v>
      </c>
      <c r="BS10" t="s">
        <v>83</v>
      </c>
      <c r="BT10">
        <v>23.639551192297088</v>
      </c>
      <c r="BU10">
        <v>9.1012272090343783E-3</v>
      </c>
      <c r="BV10">
        <v>17.745815000000004</v>
      </c>
    </row>
    <row r="11" spans="1:74" x14ac:dyDescent="0.25">
      <c r="A11" t="s">
        <v>55</v>
      </c>
      <c r="B11" t="s">
        <v>27</v>
      </c>
      <c r="C11">
        <v>12</v>
      </c>
      <c r="D11">
        <v>1</v>
      </c>
      <c r="F11" s="8">
        <v>45450.415150462999</v>
      </c>
      <c r="G11">
        <v>509.83</v>
      </c>
      <c r="H11">
        <v>7.2</v>
      </c>
      <c r="I11">
        <v>0.5</v>
      </c>
      <c r="J11">
        <v>34</v>
      </c>
      <c r="L11">
        <v>467.44</v>
      </c>
      <c r="M11">
        <v>16.100000000000001</v>
      </c>
      <c r="N11">
        <v>15.9</v>
      </c>
      <c r="O11">
        <v>98.4</v>
      </c>
      <c r="P11">
        <v>16.8</v>
      </c>
      <c r="Q11">
        <v>325</v>
      </c>
      <c r="R11">
        <v>1.55</v>
      </c>
      <c r="S11">
        <v>0.51</v>
      </c>
      <c r="T11">
        <v>0.92</v>
      </c>
      <c r="V11">
        <v>0.34</v>
      </c>
      <c r="W11">
        <v>2.38</v>
      </c>
      <c r="X11">
        <v>2.83</v>
      </c>
      <c r="Y11">
        <v>7.0750000000000002</v>
      </c>
      <c r="Z11">
        <v>86.9</v>
      </c>
      <c r="AA11">
        <v>52.5</v>
      </c>
      <c r="AB11">
        <v>4.74</v>
      </c>
      <c r="AC11">
        <v>125.8</v>
      </c>
      <c r="AD11">
        <v>24.6</v>
      </c>
      <c r="AE11">
        <v>76.2</v>
      </c>
      <c r="AF11">
        <v>42.5</v>
      </c>
      <c r="AG11">
        <v>7.1130000000000004</v>
      </c>
      <c r="AH11">
        <v>299</v>
      </c>
      <c r="AJ11">
        <v>7.1</v>
      </c>
      <c r="AK11">
        <v>0.495</v>
      </c>
      <c r="AL11">
        <v>34</v>
      </c>
      <c r="AM11">
        <v>14.23</v>
      </c>
      <c r="AN11">
        <v>0</v>
      </c>
      <c r="AO11">
        <v>1</v>
      </c>
      <c r="AP11">
        <v>8.7115764713592454E-3</v>
      </c>
      <c r="AQ11">
        <v>6</v>
      </c>
      <c r="AR11">
        <v>0</v>
      </c>
      <c r="AW11">
        <v>6</v>
      </c>
      <c r="AX11">
        <v>0</v>
      </c>
      <c r="AZ11">
        <v>15</v>
      </c>
      <c r="BA11">
        <v>1700</v>
      </c>
      <c r="BB11">
        <v>34</v>
      </c>
      <c r="BC11">
        <v>7.2</v>
      </c>
      <c r="BD11">
        <v>50</v>
      </c>
      <c r="BE11">
        <v>2.9999999999999997E-4</v>
      </c>
      <c r="BF11">
        <v>7.41748320379683E-3</v>
      </c>
      <c r="BI11">
        <v>8.1339471000000003E-3</v>
      </c>
      <c r="BJ11">
        <v>0.16135559999999999</v>
      </c>
      <c r="BK11">
        <v>1705.23</v>
      </c>
      <c r="BL11">
        <v>3.5185869354867087E-3</v>
      </c>
      <c r="BM11">
        <v>3.5294117647058825E-3</v>
      </c>
      <c r="BN11">
        <v>0.20907783531262189</v>
      </c>
      <c r="BO11">
        <v>8.7836908913961585E-3</v>
      </c>
      <c r="BP11" t="s">
        <v>83</v>
      </c>
      <c r="BQ11" t="s">
        <v>83</v>
      </c>
      <c r="BR11">
        <v>17.393346000000001</v>
      </c>
      <c r="BS11" t="s">
        <v>83</v>
      </c>
      <c r="BT11">
        <v>22.814781536093918</v>
      </c>
      <c r="BU11">
        <v>8.7836908913961585E-3</v>
      </c>
      <c r="BV11">
        <v>17.393346000000001</v>
      </c>
    </row>
    <row r="12" spans="1:74" x14ac:dyDescent="0.25">
      <c r="A12" t="s">
        <v>56</v>
      </c>
      <c r="B12" t="s">
        <v>28</v>
      </c>
      <c r="C12">
        <v>15</v>
      </c>
      <c r="D12">
        <v>1</v>
      </c>
      <c r="F12" s="8">
        <v>45450.439641203702</v>
      </c>
      <c r="G12">
        <v>509.83</v>
      </c>
      <c r="H12">
        <v>7.2</v>
      </c>
      <c r="I12">
        <v>0.5</v>
      </c>
      <c r="J12">
        <v>34</v>
      </c>
      <c r="L12">
        <v>546.27</v>
      </c>
      <c r="M12">
        <v>25.1</v>
      </c>
      <c r="N12">
        <v>24.6</v>
      </c>
      <c r="O12">
        <v>98.3</v>
      </c>
      <c r="P12">
        <v>15.1</v>
      </c>
      <c r="Q12">
        <v>316</v>
      </c>
      <c r="R12">
        <v>0.42</v>
      </c>
      <c r="S12">
        <v>0.48</v>
      </c>
      <c r="T12">
        <v>0</v>
      </c>
      <c r="V12">
        <v>0.02</v>
      </c>
      <c r="W12">
        <v>1.87</v>
      </c>
      <c r="X12">
        <v>2.46</v>
      </c>
      <c r="Y12">
        <v>7.1150000000000002</v>
      </c>
      <c r="Z12">
        <v>117.2</v>
      </c>
      <c r="AA12">
        <v>0</v>
      </c>
      <c r="AB12">
        <v>4.46</v>
      </c>
      <c r="AC12">
        <v>130.6</v>
      </c>
      <c r="AD12">
        <v>36.4</v>
      </c>
      <c r="AE12">
        <v>102.8</v>
      </c>
      <c r="AF12">
        <v>0</v>
      </c>
      <c r="AG12">
        <v>7.1529999999999996</v>
      </c>
      <c r="AH12">
        <v>300</v>
      </c>
      <c r="AJ12">
        <v>7.12</v>
      </c>
      <c r="AK12">
        <v>6.3E-2</v>
      </c>
      <c r="AL12">
        <v>34</v>
      </c>
      <c r="AM12">
        <v>14.91</v>
      </c>
      <c r="AN12">
        <v>0</v>
      </c>
      <c r="AO12">
        <v>1</v>
      </c>
      <c r="AP12">
        <v>1.25158158E-2</v>
      </c>
      <c r="AQ12">
        <v>10</v>
      </c>
      <c r="AR12">
        <v>0</v>
      </c>
      <c r="AW12">
        <v>10</v>
      </c>
      <c r="AX12">
        <v>0</v>
      </c>
      <c r="AZ12">
        <v>15</v>
      </c>
      <c r="BA12">
        <v>1700</v>
      </c>
      <c r="BB12">
        <v>34</v>
      </c>
      <c r="BC12">
        <v>7.2</v>
      </c>
      <c r="BD12">
        <v>50</v>
      </c>
      <c r="BE12">
        <v>2.9999999999999997E-4</v>
      </c>
      <c r="BI12">
        <v>1.26191358E-2</v>
      </c>
      <c r="BJ12">
        <v>0.19532519999999998</v>
      </c>
      <c r="BK12">
        <v>1709.91</v>
      </c>
      <c r="BL12">
        <v>5.8482610195858256E-3</v>
      </c>
      <c r="BM12">
        <v>5.8823529411764705E-3</v>
      </c>
      <c r="BN12">
        <v>0.30037957920000002</v>
      </c>
      <c r="BO12" t="s">
        <v>83</v>
      </c>
      <c r="BP12" t="s">
        <v>83</v>
      </c>
      <c r="BQ12">
        <v>1.26191358E-2</v>
      </c>
      <c r="BR12">
        <v>21.373875000000002</v>
      </c>
      <c r="BS12" t="s">
        <v>83</v>
      </c>
      <c r="BT12">
        <v>32.776976103896104</v>
      </c>
      <c r="BU12">
        <v>1.26191358E-2</v>
      </c>
      <c r="BV12">
        <v>21.373875000000002</v>
      </c>
    </row>
    <row r="13" spans="1:74" x14ac:dyDescent="0.25">
      <c r="A13" t="s">
        <v>57</v>
      </c>
      <c r="B13" t="s">
        <v>26</v>
      </c>
      <c r="C13">
        <v>12</v>
      </c>
      <c r="D13">
        <v>1</v>
      </c>
      <c r="F13" s="8">
        <v>45450.444930555597</v>
      </c>
      <c r="G13">
        <v>509.83</v>
      </c>
      <c r="H13">
        <v>7.2</v>
      </c>
      <c r="I13">
        <v>0.5</v>
      </c>
      <c r="J13">
        <v>34</v>
      </c>
      <c r="L13">
        <v>428.11</v>
      </c>
      <c r="M13">
        <v>15.4</v>
      </c>
      <c r="N13">
        <v>15.2</v>
      </c>
      <c r="O13">
        <v>98.7</v>
      </c>
      <c r="P13">
        <v>17.2</v>
      </c>
      <c r="Q13">
        <v>341</v>
      </c>
      <c r="R13">
        <v>1.92</v>
      </c>
      <c r="S13">
        <v>0.5</v>
      </c>
      <c r="T13">
        <v>1.72</v>
      </c>
      <c r="V13">
        <v>0.4</v>
      </c>
      <c r="W13">
        <v>2.5</v>
      </c>
      <c r="X13">
        <v>3</v>
      </c>
      <c r="Y13">
        <v>7.0839999999999996</v>
      </c>
      <c r="Z13">
        <v>105.5</v>
      </c>
      <c r="AA13">
        <v>44.2</v>
      </c>
      <c r="AB13">
        <v>4.88</v>
      </c>
      <c r="AC13">
        <v>131.6</v>
      </c>
      <c r="AD13">
        <v>30.5</v>
      </c>
      <c r="AE13">
        <v>92.5</v>
      </c>
      <c r="AF13">
        <v>35.799999999999997</v>
      </c>
      <c r="AG13">
        <v>7.1210000000000004</v>
      </c>
      <c r="AH13">
        <v>301</v>
      </c>
      <c r="AJ13">
        <v>7.1</v>
      </c>
      <c r="AK13">
        <v>0.53799999999999992</v>
      </c>
      <c r="AL13">
        <v>34</v>
      </c>
      <c r="AM13">
        <v>18.03</v>
      </c>
      <c r="AN13">
        <v>0</v>
      </c>
      <c r="AO13">
        <v>1</v>
      </c>
      <c r="AP13">
        <v>1.5235230244764976E-2</v>
      </c>
      <c r="AQ13">
        <v>7</v>
      </c>
      <c r="AR13">
        <v>0</v>
      </c>
      <c r="AW13">
        <v>7</v>
      </c>
      <c r="AX13">
        <v>0</v>
      </c>
      <c r="AZ13">
        <v>15</v>
      </c>
      <c r="BA13">
        <v>1700</v>
      </c>
      <c r="BB13">
        <v>34</v>
      </c>
      <c r="BC13">
        <v>7.2</v>
      </c>
      <c r="BD13">
        <v>50</v>
      </c>
      <c r="BE13">
        <v>2.9999999999999997E-4</v>
      </c>
      <c r="BG13">
        <v>1.2935344040177099E-2</v>
      </c>
      <c r="BH13">
        <v>7.5395846178023399E-3</v>
      </c>
      <c r="BI13">
        <v>7.797736799999999E-3</v>
      </c>
      <c r="BJ13">
        <v>0.14679719999999999</v>
      </c>
      <c r="BK13">
        <v>1710.03</v>
      </c>
      <c r="BL13">
        <v>4.0934954357525893E-3</v>
      </c>
      <c r="BM13">
        <v>4.1176470588235297E-3</v>
      </c>
      <c r="BN13">
        <v>0.36564552587435944</v>
      </c>
      <c r="BO13" t="s">
        <v>83</v>
      </c>
      <c r="BP13">
        <v>1.5360990534044473E-2</v>
      </c>
      <c r="BQ13" t="s">
        <v>83</v>
      </c>
      <c r="BR13">
        <v>14.022246000000001</v>
      </c>
      <c r="BS13">
        <v>12.892915883980535</v>
      </c>
      <c r="BT13">
        <v>39.89867671180383</v>
      </c>
      <c r="BU13">
        <v>1.5360990534044473E-2</v>
      </c>
      <c r="BV13">
        <v>14.022246000000001</v>
      </c>
    </row>
    <row r="14" spans="1:74" x14ac:dyDescent="0.25">
      <c r="A14" t="s">
        <v>58</v>
      </c>
      <c r="B14" t="s">
        <v>26</v>
      </c>
      <c r="C14">
        <v>12</v>
      </c>
      <c r="D14">
        <v>1</v>
      </c>
      <c r="F14" s="8">
        <v>45450.4586921296</v>
      </c>
      <c r="G14">
        <v>509.83</v>
      </c>
      <c r="H14">
        <v>7.2</v>
      </c>
      <c r="I14">
        <v>0.5</v>
      </c>
      <c r="J14">
        <v>34</v>
      </c>
      <c r="L14">
        <v>446.1</v>
      </c>
      <c r="M14">
        <v>16.5</v>
      </c>
      <c r="N14">
        <v>16.2</v>
      </c>
      <c r="O14">
        <v>98.4</v>
      </c>
      <c r="P14">
        <v>17.100000000000001</v>
      </c>
      <c r="Q14">
        <v>333</v>
      </c>
      <c r="R14">
        <v>1.73</v>
      </c>
      <c r="S14">
        <v>0.49</v>
      </c>
      <c r="T14">
        <v>0.86</v>
      </c>
      <c r="V14">
        <v>0.34</v>
      </c>
      <c r="W14">
        <v>2.46</v>
      </c>
      <c r="X14">
        <v>3</v>
      </c>
      <c r="Y14">
        <v>7.077</v>
      </c>
      <c r="Z14">
        <v>108.3</v>
      </c>
      <c r="AA14">
        <v>48.9</v>
      </c>
      <c r="AB14">
        <v>4.7</v>
      </c>
      <c r="AC14">
        <v>133.6</v>
      </c>
      <c r="AD14">
        <v>30.8</v>
      </c>
      <c r="AE14">
        <v>95</v>
      </c>
      <c r="AF14">
        <v>39.6</v>
      </c>
      <c r="AG14">
        <v>7.1150000000000002</v>
      </c>
      <c r="AH14">
        <v>301</v>
      </c>
      <c r="AJ14">
        <v>7.1</v>
      </c>
      <c r="AK14">
        <v>0.5</v>
      </c>
      <c r="AL14">
        <v>34</v>
      </c>
      <c r="AM14">
        <v>18.68</v>
      </c>
      <c r="AN14">
        <v>0</v>
      </c>
      <c r="AO14">
        <v>1</v>
      </c>
      <c r="AP14">
        <v>8.2507248000000012E-3</v>
      </c>
      <c r="AQ14">
        <v>8</v>
      </c>
      <c r="AR14">
        <v>0</v>
      </c>
      <c r="AW14">
        <v>8</v>
      </c>
      <c r="AX14">
        <v>0</v>
      </c>
      <c r="AZ14">
        <v>15</v>
      </c>
      <c r="BA14">
        <v>1700</v>
      </c>
      <c r="BB14">
        <v>34</v>
      </c>
      <c r="BC14">
        <v>7.2</v>
      </c>
      <c r="BD14">
        <v>50</v>
      </c>
      <c r="BE14">
        <v>2.9999999999999997E-4</v>
      </c>
      <c r="BG14">
        <v>6.9983999999999992E-3</v>
      </c>
      <c r="BH14">
        <v>1.035E-2</v>
      </c>
      <c r="BI14">
        <v>8.3187647999999996E-3</v>
      </c>
      <c r="BJ14">
        <v>0.1565028</v>
      </c>
      <c r="BK14">
        <v>1711.68</v>
      </c>
      <c r="BL14">
        <v>4.6737707982800521E-3</v>
      </c>
      <c r="BM14">
        <v>4.7058823529411761E-3</v>
      </c>
      <c r="BN14">
        <v>0.19801739520000003</v>
      </c>
      <c r="BO14" t="s">
        <v>83</v>
      </c>
      <c r="BP14">
        <v>8.3187647999999996E-3</v>
      </c>
      <c r="BQ14">
        <v>8.3187647999999996E-3</v>
      </c>
      <c r="BR14">
        <v>17.715888</v>
      </c>
      <c r="BS14">
        <v>17.715888</v>
      </c>
      <c r="BT14">
        <v>21.607181298701299</v>
      </c>
      <c r="BU14">
        <v>8.3187647999999996E-3</v>
      </c>
      <c r="BV14">
        <v>17.715888</v>
      </c>
    </row>
    <row r="15" spans="1:74" x14ac:dyDescent="0.25">
      <c r="A15" t="s">
        <v>53</v>
      </c>
      <c r="B15" t="s">
        <v>28</v>
      </c>
      <c r="C15">
        <v>12</v>
      </c>
      <c r="D15">
        <v>2</v>
      </c>
      <c r="F15" s="8">
        <v>45451.506053240701</v>
      </c>
      <c r="G15">
        <v>997.91</v>
      </c>
      <c r="H15">
        <v>7.2</v>
      </c>
      <c r="I15">
        <v>0.5</v>
      </c>
      <c r="J15">
        <v>34</v>
      </c>
      <c r="L15">
        <v>993.18</v>
      </c>
      <c r="M15">
        <v>24</v>
      </c>
      <c r="N15">
        <v>23.6</v>
      </c>
      <c r="O15">
        <v>98.2</v>
      </c>
      <c r="P15">
        <v>16.7</v>
      </c>
      <c r="Q15">
        <v>323</v>
      </c>
      <c r="R15">
        <v>1.38</v>
      </c>
      <c r="S15">
        <v>0.45</v>
      </c>
      <c r="T15">
        <v>0.34</v>
      </c>
      <c r="V15">
        <v>0.01</v>
      </c>
      <c r="W15">
        <v>0.15</v>
      </c>
      <c r="X15">
        <v>3.72</v>
      </c>
      <c r="Y15">
        <v>7.0839999999999996</v>
      </c>
      <c r="Z15">
        <v>114.9</v>
      </c>
      <c r="AA15">
        <v>26.3</v>
      </c>
      <c r="AB15">
        <v>2.98</v>
      </c>
      <c r="AC15">
        <v>136.4</v>
      </c>
      <c r="AD15">
        <v>33.200000000000003</v>
      </c>
      <c r="AE15">
        <v>100.7</v>
      </c>
      <c r="AF15">
        <v>21.3</v>
      </c>
      <c r="AG15">
        <v>7.1219999999999999</v>
      </c>
      <c r="AH15">
        <v>299</v>
      </c>
      <c r="AJ15">
        <v>7.1</v>
      </c>
      <c r="AK15">
        <v>0.55600000000000005</v>
      </c>
      <c r="AL15">
        <v>34</v>
      </c>
      <c r="AM15">
        <v>23.41</v>
      </c>
      <c r="AN15">
        <v>0</v>
      </c>
      <c r="AO15">
        <v>2</v>
      </c>
      <c r="AP15">
        <v>1.2285640799999999E-2</v>
      </c>
      <c r="AQ15">
        <v>22.3</v>
      </c>
      <c r="AR15">
        <v>19.55</v>
      </c>
      <c r="AW15">
        <v>14.3</v>
      </c>
      <c r="AX15">
        <v>19.55</v>
      </c>
      <c r="AZ15">
        <v>15</v>
      </c>
      <c r="BA15">
        <v>1700</v>
      </c>
      <c r="BB15">
        <v>34</v>
      </c>
      <c r="BC15">
        <v>7.2</v>
      </c>
      <c r="BD15">
        <v>50</v>
      </c>
      <c r="BE15">
        <v>2.9999999999999997E-4</v>
      </c>
      <c r="BI15">
        <v>1.2285640799999999E-2</v>
      </c>
      <c r="BJ15">
        <v>0.23632680959999997</v>
      </c>
      <c r="BK15">
        <v>1735.26</v>
      </c>
      <c r="BL15">
        <v>1.2851100123324459E-2</v>
      </c>
      <c r="BM15">
        <v>1.3117647058823529E-2</v>
      </c>
      <c r="BN15">
        <v>0.29485537919999999</v>
      </c>
      <c r="BO15" t="s">
        <v>83</v>
      </c>
      <c r="BP15" t="s">
        <v>83</v>
      </c>
      <c r="BQ15">
        <v>1.2285640799999999E-2</v>
      </c>
      <c r="BR15">
        <v>11.539479000000002</v>
      </c>
      <c r="BS15" t="s">
        <v>83</v>
      </c>
      <c r="BT15">
        <v>31.910755324675325</v>
      </c>
      <c r="BU15">
        <v>1.2285640799999999E-2</v>
      </c>
      <c r="BV15">
        <v>11.539479000000002</v>
      </c>
    </row>
    <row r="16" spans="1:74" x14ac:dyDescent="0.25">
      <c r="A16" t="s">
        <v>54</v>
      </c>
      <c r="B16" t="s">
        <v>27</v>
      </c>
      <c r="C16">
        <v>12</v>
      </c>
      <c r="D16">
        <v>2</v>
      </c>
      <c r="F16" s="8">
        <v>45451.516516203701</v>
      </c>
      <c r="G16">
        <v>997.91</v>
      </c>
      <c r="H16">
        <v>7.2</v>
      </c>
      <c r="I16">
        <v>0.5</v>
      </c>
      <c r="J16">
        <v>34</v>
      </c>
      <c r="L16">
        <v>931.29</v>
      </c>
      <c r="M16">
        <v>21.7</v>
      </c>
      <c r="N16">
        <v>21.4</v>
      </c>
      <c r="O16">
        <v>98.7</v>
      </c>
      <c r="P16">
        <v>17</v>
      </c>
      <c r="Q16">
        <v>329</v>
      </c>
      <c r="R16">
        <v>1.26</v>
      </c>
      <c r="S16">
        <v>0.4</v>
      </c>
      <c r="T16">
        <v>0.09</v>
      </c>
      <c r="V16">
        <v>0.06</v>
      </c>
      <c r="W16">
        <v>0.09</v>
      </c>
      <c r="X16">
        <v>3.73</v>
      </c>
      <c r="Y16">
        <v>7.1239999999999997</v>
      </c>
      <c r="Z16">
        <v>121.4</v>
      </c>
      <c r="AA16">
        <v>26.9</v>
      </c>
      <c r="AB16">
        <v>2.87</v>
      </c>
      <c r="AC16">
        <v>143.19999999999999</v>
      </c>
      <c r="AD16">
        <v>38.6</v>
      </c>
      <c r="AE16">
        <v>106.5</v>
      </c>
      <c r="AF16">
        <v>21.7</v>
      </c>
      <c r="AG16">
        <v>7.1630000000000003</v>
      </c>
      <c r="AH16">
        <v>299</v>
      </c>
      <c r="AJ16">
        <v>7.1</v>
      </c>
      <c r="AK16">
        <v>0.435</v>
      </c>
      <c r="AL16">
        <v>34</v>
      </c>
      <c r="AM16">
        <v>25.196999999999999</v>
      </c>
      <c r="AN16">
        <v>0</v>
      </c>
      <c r="AO16">
        <v>1.43</v>
      </c>
      <c r="AP16">
        <v>6.4874039047218583E-3</v>
      </c>
      <c r="AQ16">
        <v>19.2</v>
      </c>
      <c r="AR16">
        <v>19.34</v>
      </c>
      <c r="AW16">
        <v>13.2</v>
      </c>
      <c r="AX16">
        <v>19.34</v>
      </c>
      <c r="AZ16">
        <v>15</v>
      </c>
      <c r="BA16">
        <v>1700</v>
      </c>
      <c r="BB16">
        <v>34</v>
      </c>
      <c r="BC16">
        <v>7.2</v>
      </c>
      <c r="BD16">
        <v>50</v>
      </c>
      <c r="BE16">
        <v>2.9999999999999997E-4</v>
      </c>
      <c r="BF16">
        <v>5.39005278937314E-3</v>
      </c>
      <c r="BI16">
        <v>1.1126932139999997E-2</v>
      </c>
      <c r="BJ16">
        <v>0.19581117120000002</v>
      </c>
      <c r="BK16">
        <v>1733.1669999999999</v>
      </c>
      <c r="BL16">
        <v>1.1077986137515889E-2</v>
      </c>
      <c r="BM16">
        <v>1.1294117647058823E-2</v>
      </c>
      <c r="BN16">
        <v>0.15569769371332459</v>
      </c>
      <c r="BO16">
        <v>6.4874039047218583E-3</v>
      </c>
      <c r="BP16" t="s">
        <v>83</v>
      </c>
      <c r="BQ16" t="s">
        <v>83</v>
      </c>
      <c r="BR16">
        <v>12.608789925000002</v>
      </c>
      <c r="BS16" t="s">
        <v>83</v>
      </c>
      <c r="BT16">
        <v>16.850399752524307</v>
      </c>
      <c r="BU16">
        <v>6.4874039047218583E-3</v>
      </c>
      <c r="BV16">
        <v>12.608789925000002</v>
      </c>
    </row>
    <row r="17" spans="1:74" x14ac:dyDescent="0.25">
      <c r="A17" t="s">
        <v>55</v>
      </c>
      <c r="B17" t="s">
        <v>27</v>
      </c>
      <c r="C17">
        <v>12</v>
      </c>
      <c r="D17">
        <v>2</v>
      </c>
      <c r="F17" s="8">
        <v>45451.5221296296</v>
      </c>
      <c r="G17">
        <v>997.91</v>
      </c>
      <c r="H17">
        <v>7.2</v>
      </c>
      <c r="I17">
        <v>0.5</v>
      </c>
      <c r="J17">
        <v>34</v>
      </c>
      <c r="L17">
        <v>945.81</v>
      </c>
      <c r="M17">
        <v>23.6</v>
      </c>
      <c r="N17">
        <v>23.2</v>
      </c>
      <c r="O17">
        <v>98.2</v>
      </c>
      <c r="P17">
        <v>16.600000000000001</v>
      </c>
      <c r="Q17">
        <v>320</v>
      </c>
      <c r="R17">
        <v>1.21</v>
      </c>
      <c r="S17">
        <v>0.42</v>
      </c>
      <c r="T17">
        <v>0.23</v>
      </c>
      <c r="V17">
        <v>0.06</v>
      </c>
      <c r="W17">
        <v>7.0000000000000007E-2</v>
      </c>
      <c r="X17">
        <v>3.38</v>
      </c>
      <c r="Y17">
        <v>7.1180000000000003</v>
      </c>
      <c r="Z17">
        <v>105</v>
      </c>
      <c r="AA17">
        <v>0</v>
      </c>
      <c r="AB17">
        <v>3.01</v>
      </c>
      <c r="AC17">
        <v>135.4</v>
      </c>
      <c r="AD17">
        <v>32.9</v>
      </c>
      <c r="AE17">
        <v>92.1</v>
      </c>
      <c r="AF17">
        <v>0</v>
      </c>
      <c r="AG17">
        <v>7.1559999999999997</v>
      </c>
      <c r="AH17">
        <v>301</v>
      </c>
      <c r="AJ17">
        <v>7.11</v>
      </c>
      <c r="AK17">
        <v>0.51100000000000001</v>
      </c>
      <c r="AL17">
        <v>34</v>
      </c>
      <c r="AM17">
        <v>19.446999999999999</v>
      </c>
      <c r="AN17">
        <v>0</v>
      </c>
      <c r="AO17">
        <v>5.78</v>
      </c>
      <c r="AP17">
        <v>6.7547597046078529E-3</v>
      </c>
      <c r="AQ17">
        <v>19</v>
      </c>
      <c r="AR17">
        <v>19.73</v>
      </c>
      <c r="AW17">
        <v>13</v>
      </c>
      <c r="AX17">
        <v>19.73</v>
      </c>
      <c r="AZ17">
        <v>15</v>
      </c>
      <c r="BA17">
        <v>1700</v>
      </c>
      <c r="BB17">
        <v>34</v>
      </c>
      <c r="BC17">
        <v>7.2</v>
      </c>
      <c r="BD17">
        <v>50</v>
      </c>
      <c r="BE17">
        <v>2.9999999999999997E-4</v>
      </c>
      <c r="BF17">
        <v>5.6161059279389199E-3</v>
      </c>
      <c r="BI17">
        <v>1.205442072E-2</v>
      </c>
      <c r="BJ17">
        <v>0.19521473040000001</v>
      </c>
      <c r="BK17">
        <v>1731.9570000000001</v>
      </c>
      <c r="BL17">
        <v>1.0970249261384664E-2</v>
      </c>
      <c r="BM17">
        <v>1.1176470588235295E-2</v>
      </c>
      <c r="BN17">
        <v>0.16211423291058846</v>
      </c>
      <c r="BO17">
        <v>6.7547597046078529E-3</v>
      </c>
      <c r="BP17" t="s">
        <v>83</v>
      </c>
      <c r="BQ17" t="s">
        <v>83</v>
      </c>
      <c r="BR17">
        <v>11.993802225000001</v>
      </c>
      <c r="BS17" t="s">
        <v>83</v>
      </c>
      <c r="BT17">
        <v>17.544830401578839</v>
      </c>
      <c r="BU17">
        <v>6.7547597046078529E-3</v>
      </c>
      <c r="BV17">
        <v>11.993802225000001</v>
      </c>
    </row>
    <row r="18" spans="1:74" x14ac:dyDescent="0.25">
      <c r="A18" t="s">
        <v>56</v>
      </c>
      <c r="B18" t="s">
        <v>28</v>
      </c>
      <c r="C18">
        <v>15</v>
      </c>
      <c r="D18">
        <v>2</v>
      </c>
      <c r="F18" s="8">
        <v>45451.5255555556</v>
      </c>
      <c r="G18">
        <v>997.91</v>
      </c>
      <c r="H18">
        <v>7.2</v>
      </c>
      <c r="I18">
        <v>0.5</v>
      </c>
      <c r="J18">
        <v>34</v>
      </c>
      <c r="Q18">
        <v>303</v>
      </c>
      <c r="R18">
        <v>0.39</v>
      </c>
      <c r="S18">
        <v>0.31</v>
      </c>
      <c r="T18">
        <v>0</v>
      </c>
      <c r="V18">
        <v>0</v>
      </c>
      <c r="W18">
        <v>0.25</v>
      </c>
      <c r="X18">
        <v>0.06</v>
      </c>
      <c r="Y18">
        <v>7.36</v>
      </c>
      <c r="Z18">
        <v>152.9</v>
      </c>
      <c r="AA18">
        <v>18</v>
      </c>
      <c r="AB18">
        <v>5.22</v>
      </c>
      <c r="AC18">
        <v>127.5</v>
      </c>
      <c r="AD18">
        <v>84.4</v>
      </c>
      <c r="AE18">
        <v>134.1</v>
      </c>
      <c r="AF18">
        <v>14.6</v>
      </c>
      <c r="AG18">
        <v>7.4029999999999996</v>
      </c>
      <c r="AH18">
        <v>300</v>
      </c>
      <c r="AJ18">
        <v>7.31</v>
      </c>
      <c r="AK18">
        <v>0.82299999999999995</v>
      </c>
      <c r="AL18">
        <v>34</v>
      </c>
      <c r="AM18">
        <v>14.912000000000001</v>
      </c>
      <c r="AN18">
        <v>0</v>
      </c>
      <c r="AO18">
        <v>1.1499999999999999</v>
      </c>
      <c r="AP18">
        <v>0</v>
      </c>
      <c r="AQ18">
        <v>28.02</v>
      </c>
      <c r="AR18">
        <v>24.67</v>
      </c>
      <c r="AW18">
        <v>18.02</v>
      </c>
      <c r="AX18">
        <v>24.67</v>
      </c>
      <c r="AZ18">
        <v>15</v>
      </c>
      <c r="BA18">
        <v>1700</v>
      </c>
      <c r="BB18">
        <v>34</v>
      </c>
      <c r="BC18">
        <v>7.2</v>
      </c>
      <c r="BD18">
        <v>50</v>
      </c>
      <c r="BE18">
        <v>2.9999999999999997E-4</v>
      </c>
      <c r="BI18">
        <v>0</v>
      </c>
      <c r="BJ18">
        <v>0.30285925920000001</v>
      </c>
      <c r="BK18">
        <v>1736.752</v>
      </c>
      <c r="BL18">
        <v>1.6133564262485377E-2</v>
      </c>
      <c r="BM18">
        <v>1.6482352941176469E-2</v>
      </c>
      <c r="BN18">
        <v>0</v>
      </c>
      <c r="BO18" t="s">
        <v>83</v>
      </c>
      <c r="BP18" t="s">
        <v>83</v>
      </c>
      <c r="BQ18">
        <v>0</v>
      </c>
      <c r="BR18">
        <v>13.025639999999999</v>
      </c>
      <c r="BS18" t="s">
        <v>83</v>
      </c>
      <c r="BT18">
        <v>0</v>
      </c>
      <c r="BU18">
        <v>0</v>
      </c>
      <c r="BV18">
        <v>13.025639999999999</v>
      </c>
    </row>
    <row r="19" spans="1:74" x14ac:dyDescent="0.25">
      <c r="A19" t="s">
        <v>57</v>
      </c>
      <c r="B19" t="s">
        <v>26</v>
      </c>
      <c r="C19">
        <v>12</v>
      </c>
      <c r="D19">
        <v>2</v>
      </c>
      <c r="F19" s="8">
        <v>45451.528067129599</v>
      </c>
      <c r="G19">
        <v>997.91</v>
      </c>
      <c r="H19">
        <v>7.2</v>
      </c>
      <c r="I19">
        <v>0.5</v>
      </c>
      <c r="J19">
        <v>34</v>
      </c>
      <c r="L19">
        <v>868.48</v>
      </c>
      <c r="M19">
        <v>19.8</v>
      </c>
      <c r="N19">
        <v>19.3</v>
      </c>
      <c r="O19">
        <v>97.5</v>
      </c>
      <c r="P19">
        <v>17.3</v>
      </c>
      <c r="Q19">
        <v>347</v>
      </c>
      <c r="R19">
        <v>1.1399999999999999</v>
      </c>
      <c r="S19">
        <v>0.42</v>
      </c>
      <c r="T19">
        <v>2.14</v>
      </c>
      <c r="V19">
        <v>0.15</v>
      </c>
      <c r="W19">
        <v>1.1399999999999999</v>
      </c>
      <c r="X19">
        <v>3.74</v>
      </c>
      <c r="Y19">
        <v>7.109</v>
      </c>
      <c r="Z19">
        <v>108.2</v>
      </c>
      <c r="AA19">
        <v>14.8</v>
      </c>
      <c r="AB19">
        <v>3.06</v>
      </c>
      <c r="AC19">
        <v>142.9</v>
      </c>
      <c r="AD19">
        <v>33.1</v>
      </c>
      <c r="AE19">
        <v>94.9</v>
      </c>
      <c r="AF19">
        <v>12</v>
      </c>
      <c r="AG19">
        <v>7.1470000000000002</v>
      </c>
      <c r="AH19">
        <v>298</v>
      </c>
      <c r="AJ19">
        <v>7.13</v>
      </c>
      <c r="AK19">
        <v>0.49099999999999999</v>
      </c>
      <c r="AL19">
        <v>34</v>
      </c>
      <c r="AM19">
        <v>24.227</v>
      </c>
      <c r="AN19">
        <v>0</v>
      </c>
      <c r="AO19">
        <v>3.54</v>
      </c>
      <c r="AP19">
        <v>1.6993613868659822E-2</v>
      </c>
      <c r="AQ19">
        <v>28.89</v>
      </c>
      <c r="AR19">
        <v>15.88</v>
      </c>
      <c r="AW19">
        <v>21.89</v>
      </c>
      <c r="AX19">
        <v>15.88</v>
      </c>
      <c r="AZ19">
        <v>15</v>
      </c>
      <c r="BA19">
        <v>1700</v>
      </c>
      <c r="BB19">
        <v>34</v>
      </c>
      <c r="BC19">
        <v>7.2</v>
      </c>
      <c r="BD19">
        <v>50</v>
      </c>
      <c r="BE19">
        <v>2.9999999999999997E-4</v>
      </c>
      <c r="BG19">
        <v>1.40593414393777E-2</v>
      </c>
      <c r="BH19">
        <v>2.2770951490618898E-3</v>
      </c>
      <c r="BI19">
        <v>1.0077709230000001E-2</v>
      </c>
      <c r="BJ19">
        <v>0.18714568319999997</v>
      </c>
      <c r="BK19">
        <v>1740.537</v>
      </c>
      <c r="BL19">
        <v>1.6598325689140766E-2</v>
      </c>
      <c r="BM19">
        <v>1.6994117647058823E-2</v>
      </c>
      <c r="BN19">
        <v>0.40784673284783574</v>
      </c>
      <c r="BO19" t="s">
        <v>83</v>
      </c>
      <c r="BP19">
        <v>1.6993613868659822E-2</v>
      </c>
      <c r="BQ19" t="s">
        <v>83</v>
      </c>
      <c r="BS19">
        <v>3.9633683594627347</v>
      </c>
      <c r="BT19">
        <v>44.139256801713827</v>
      </c>
      <c r="BU19">
        <v>1.6993613868659822E-2</v>
      </c>
      <c r="BV19">
        <v>3.9633683594627347</v>
      </c>
    </row>
    <row r="20" spans="1:74" x14ac:dyDescent="0.25">
      <c r="A20" t="s">
        <v>58</v>
      </c>
      <c r="B20" t="s">
        <v>26</v>
      </c>
      <c r="C20">
        <v>12</v>
      </c>
      <c r="D20">
        <v>2</v>
      </c>
      <c r="F20" s="8">
        <v>45451.5307060185</v>
      </c>
      <c r="G20">
        <v>997.91</v>
      </c>
      <c r="H20">
        <v>7.2</v>
      </c>
      <c r="I20">
        <v>0.5</v>
      </c>
      <c r="J20">
        <v>34</v>
      </c>
      <c r="L20">
        <v>952.58</v>
      </c>
      <c r="M20">
        <v>20.9</v>
      </c>
      <c r="N20">
        <v>20.399999999999999</v>
      </c>
      <c r="O20">
        <v>97.5</v>
      </c>
      <c r="P20">
        <v>16.600000000000001</v>
      </c>
      <c r="Q20">
        <v>319</v>
      </c>
      <c r="R20">
        <v>1.33</v>
      </c>
      <c r="S20">
        <v>0.41</v>
      </c>
      <c r="T20">
        <v>0</v>
      </c>
      <c r="V20">
        <v>0.15</v>
      </c>
      <c r="W20">
        <v>0.12</v>
      </c>
      <c r="X20">
        <v>1.9</v>
      </c>
      <c r="Y20">
        <v>7.3280000000000003</v>
      </c>
      <c r="Z20">
        <v>117.4</v>
      </c>
      <c r="AA20">
        <v>30.4</v>
      </c>
      <c r="AB20">
        <v>3.53</v>
      </c>
      <c r="AC20">
        <v>138</v>
      </c>
      <c r="AD20">
        <v>60.2</v>
      </c>
      <c r="AE20">
        <v>103</v>
      </c>
      <c r="AF20">
        <v>24.6</v>
      </c>
      <c r="AG20">
        <v>7.3710000000000004</v>
      </c>
      <c r="AH20">
        <v>300</v>
      </c>
      <c r="AJ20">
        <v>7.3</v>
      </c>
      <c r="AK20">
        <v>0.52600000000000002</v>
      </c>
      <c r="AL20">
        <v>34</v>
      </c>
      <c r="AM20">
        <v>21.77</v>
      </c>
      <c r="AN20">
        <v>3.22</v>
      </c>
      <c r="AO20">
        <v>3.55</v>
      </c>
      <c r="AP20">
        <v>2.4710181546437494E-2</v>
      </c>
      <c r="AQ20">
        <v>20.149999999999999</v>
      </c>
      <c r="AR20">
        <v>20.98</v>
      </c>
      <c r="AW20">
        <v>12.149999999999999</v>
      </c>
      <c r="AX20">
        <v>20.98</v>
      </c>
      <c r="AZ20">
        <v>15</v>
      </c>
      <c r="BA20">
        <v>1700</v>
      </c>
      <c r="BB20">
        <v>34</v>
      </c>
      <c r="BC20">
        <v>7.2</v>
      </c>
      <c r="BD20">
        <v>50</v>
      </c>
      <c r="BE20">
        <v>2.9999999999999997E-4</v>
      </c>
      <c r="BG20">
        <v>2.0477226071043401E-2</v>
      </c>
      <c r="BH20">
        <v>4.8817390308066597E-3</v>
      </c>
      <c r="BI20">
        <v>1.0634540399999998E-2</v>
      </c>
      <c r="BJ20">
        <v>0.19965035519999999</v>
      </c>
      <c r="BK20">
        <v>1737.67</v>
      </c>
      <c r="BL20">
        <v>1.1595987730696851E-2</v>
      </c>
      <c r="BM20">
        <v>1.1852941176470587E-2</v>
      </c>
      <c r="BN20">
        <v>0.59304435711449988</v>
      </c>
      <c r="BO20" t="s">
        <v>83</v>
      </c>
      <c r="BP20">
        <v>2.4710181546437494E-2</v>
      </c>
      <c r="BQ20" t="s">
        <v>83</v>
      </c>
      <c r="BR20" t="s">
        <v>83</v>
      </c>
      <c r="BS20">
        <v>8.4828514616618094</v>
      </c>
      <c r="BT20">
        <v>64.182289731006477</v>
      </c>
      <c r="BU20">
        <v>2.4710181546437494E-2</v>
      </c>
      <c r="BV20">
        <v>8.4828514616618094</v>
      </c>
    </row>
    <row r="21" spans="1:74" x14ac:dyDescent="0.25">
      <c r="A21" t="s">
        <v>53</v>
      </c>
      <c r="B21" t="s">
        <v>28</v>
      </c>
      <c r="C21">
        <v>12</v>
      </c>
      <c r="D21">
        <v>3</v>
      </c>
      <c r="F21" s="8">
        <v>45452.488032407397</v>
      </c>
      <c r="G21">
        <v>1505.08</v>
      </c>
      <c r="H21">
        <v>7.2</v>
      </c>
      <c r="I21">
        <v>0.5</v>
      </c>
      <c r="J21">
        <v>34</v>
      </c>
      <c r="L21">
        <v>1357.44</v>
      </c>
      <c r="M21">
        <v>26.9</v>
      </c>
      <c r="N21">
        <v>26.1</v>
      </c>
      <c r="O21">
        <v>96.7</v>
      </c>
      <c r="P21">
        <v>16.3</v>
      </c>
      <c r="Q21">
        <v>349</v>
      </c>
      <c r="R21">
        <v>2.34</v>
      </c>
      <c r="S21">
        <v>0.38</v>
      </c>
      <c r="T21">
        <v>0</v>
      </c>
      <c r="V21">
        <v>7.0000000000000007E-2</v>
      </c>
      <c r="W21">
        <v>0.06</v>
      </c>
      <c r="X21">
        <v>4.42</v>
      </c>
      <c r="Y21">
        <v>7.2889999999999997</v>
      </c>
      <c r="Z21">
        <v>97</v>
      </c>
      <c r="AA21">
        <v>19.100000000000001</v>
      </c>
      <c r="AB21">
        <v>3.21</v>
      </c>
      <c r="AC21">
        <v>151.6</v>
      </c>
      <c r="AD21">
        <v>45.4</v>
      </c>
      <c r="AE21">
        <v>85.1</v>
      </c>
      <c r="AF21">
        <v>15.5</v>
      </c>
      <c r="AG21">
        <v>7.3310000000000004</v>
      </c>
      <c r="AH21">
        <v>299</v>
      </c>
      <c r="AJ21">
        <v>7.3</v>
      </c>
      <c r="AK21">
        <v>0.503</v>
      </c>
      <c r="AL21">
        <v>34</v>
      </c>
      <c r="AM21">
        <v>31.315000000000001</v>
      </c>
      <c r="AN21">
        <v>0.57499999999999996</v>
      </c>
      <c r="AO21">
        <v>2.73</v>
      </c>
      <c r="AP21">
        <v>1.37621646E-2</v>
      </c>
      <c r="AQ21">
        <v>39.03</v>
      </c>
      <c r="AR21">
        <v>31.97</v>
      </c>
      <c r="AW21">
        <v>16.73</v>
      </c>
      <c r="AX21">
        <v>12.419999999999998</v>
      </c>
      <c r="AZ21">
        <v>15</v>
      </c>
      <c r="BA21">
        <v>1700</v>
      </c>
      <c r="BB21">
        <v>34</v>
      </c>
      <c r="BC21">
        <v>7.2</v>
      </c>
      <c r="BD21">
        <v>50</v>
      </c>
      <c r="BE21">
        <v>2.9999999999999997E-4</v>
      </c>
      <c r="BI21">
        <v>1.37621646E-2</v>
      </c>
      <c r="BJ21">
        <v>0.29485537919999999</v>
      </c>
      <c r="BK21">
        <v>1757.62</v>
      </c>
      <c r="BL21">
        <v>2.2206165155152995E-2</v>
      </c>
      <c r="BM21">
        <v>2.2958823529411764E-2</v>
      </c>
      <c r="BN21">
        <v>0.33029195039999998</v>
      </c>
      <c r="BO21" t="s">
        <v>83</v>
      </c>
      <c r="BP21" t="s">
        <v>83</v>
      </c>
      <c r="BQ21">
        <v>1.37621646E-2</v>
      </c>
      <c r="BR21">
        <v>13.18215</v>
      </c>
      <c r="BS21" t="s">
        <v>83</v>
      </c>
      <c r="BT21">
        <v>35.745882077922076</v>
      </c>
      <c r="BU21">
        <v>1.37621646E-2</v>
      </c>
      <c r="BV21">
        <v>13.18215</v>
      </c>
    </row>
    <row r="22" spans="1:74" x14ac:dyDescent="0.25">
      <c r="A22" t="s">
        <v>54</v>
      </c>
      <c r="B22" t="s">
        <v>27</v>
      </c>
      <c r="C22">
        <v>12</v>
      </c>
      <c r="D22">
        <v>3</v>
      </c>
      <c r="F22" s="8">
        <v>45452.491539351897</v>
      </c>
      <c r="G22">
        <v>1505.08</v>
      </c>
      <c r="H22">
        <v>7.2</v>
      </c>
      <c r="I22">
        <v>0.5</v>
      </c>
      <c r="J22">
        <v>34</v>
      </c>
      <c r="L22">
        <v>1295.5</v>
      </c>
      <c r="M22">
        <v>24.3</v>
      </c>
      <c r="N22">
        <v>23.4</v>
      </c>
      <c r="O22">
        <v>96</v>
      </c>
      <c r="P22">
        <v>16.2</v>
      </c>
      <c r="Q22">
        <v>354</v>
      </c>
      <c r="R22">
        <v>3.12</v>
      </c>
      <c r="S22">
        <v>0.39</v>
      </c>
      <c r="T22">
        <v>0</v>
      </c>
      <c r="V22">
        <v>0.05</v>
      </c>
      <c r="W22">
        <v>0.12</v>
      </c>
      <c r="X22">
        <v>5.05</v>
      </c>
      <c r="Y22">
        <v>7.2779999999999996</v>
      </c>
      <c r="Z22">
        <v>95</v>
      </c>
      <c r="AA22">
        <v>39.6</v>
      </c>
      <c r="AB22">
        <v>3.8</v>
      </c>
      <c r="AC22">
        <v>155.6</v>
      </c>
      <c r="AD22">
        <v>43.2</v>
      </c>
      <c r="AE22">
        <v>83.3</v>
      </c>
      <c r="AF22">
        <v>32</v>
      </c>
      <c r="AG22">
        <v>7.319</v>
      </c>
      <c r="AH22">
        <v>299</v>
      </c>
      <c r="AJ22">
        <v>7.3</v>
      </c>
      <c r="AK22">
        <v>0.47899999999999998</v>
      </c>
      <c r="AL22">
        <v>34</v>
      </c>
      <c r="AM22">
        <v>33.53</v>
      </c>
      <c r="AN22">
        <v>3.91</v>
      </c>
      <c r="AO22">
        <v>1.93</v>
      </c>
      <c r="AP22">
        <v>1.5530378609650473E-2</v>
      </c>
      <c r="AQ22">
        <v>29.1</v>
      </c>
      <c r="AR22">
        <v>32.9</v>
      </c>
      <c r="AW22">
        <v>9.9000000000000021</v>
      </c>
      <c r="AX22">
        <v>13.559999999999999</v>
      </c>
      <c r="AZ22">
        <v>15</v>
      </c>
      <c r="BA22">
        <v>1700</v>
      </c>
      <c r="BB22">
        <v>34</v>
      </c>
      <c r="BC22">
        <v>7.2</v>
      </c>
      <c r="BD22">
        <v>50</v>
      </c>
      <c r="BE22">
        <v>2.9999999999999997E-4</v>
      </c>
      <c r="BF22">
        <v>1.2754721021744801E-2</v>
      </c>
      <c r="BI22">
        <v>1.2308657399999997E-2</v>
      </c>
      <c r="BJ22">
        <v>0.26704637135999992</v>
      </c>
      <c r="BK22">
        <v>1753.37</v>
      </c>
      <c r="BL22">
        <v>1.6596611097486558E-2</v>
      </c>
      <c r="BM22">
        <v>1.7117647058823529E-2</v>
      </c>
      <c r="BN22">
        <v>0.37272908663161136</v>
      </c>
      <c r="BO22">
        <v>1.5530378609650473E-2</v>
      </c>
      <c r="BP22" t="s">
        <v>83</v>
      </c>
      <c r="BQ22" t="s">
        <v>83</v>
      </c>
      <c r="BR22">
        <v>13.150274999999999</v>
      </c>
      <c r="BS22" t="s">
        <v>83</v>
      </c>
      <c r="BT22">
        <v>40.338645739351882</v>
      </c>
      <c r="BU22">
        <v>1.5530378609650473E-2</v>
      </c>
      <c r="BV22">
        <v>13.150274999999999</v>
      </c>
    </row>
    <row r="23" spans="1:74" x14ac:dyDescent="0.25">
      <c r="A23" t="s">
        <v>55</v>
      </c>
      <c r="B23" t="s">
        <v>27</v>
      </c>
      <c r="C23">
        <v>12</v>
      </c>
      <c r="D23">
        <v>3</v>
      </c>
      <c r="F23" s="8">
        <v>45452.4950231482</v>
      </c>
      <c r="G23">
        <v>1505.08</v>
      </c>
      <c r="H23">
        <v>7.2</v>
      </c>
      <c r="I23">
        <v>0.5</v>
      </c>
      <c r="J23">
        <v>34</v>
      </c>
      <c r="L23">
        <v>1377.43</v>
      </c>
      <c r="M23">
        <v>24.3</v>
      </c>
      <c r="N23">
        <v>23.1</v>
      </c>
      <c r="O23">
        <v>95.1</v>
      </c>
      <c r="P23">
        <v>16</v>
      </c>
      <c r="Q23">
        <v>335</v>
      </c>
      <c r="R23">
        <v>3.02</v>
      </c>
      <c r="S23">
        <v>0.4</v>
      </c>
      <c r="T23">
        <v>0</v>
      </c>
      <c r="V23">
        <v>0.06</v>
      </c>
      <c r="W23">
        <v>7.0000000000000007E-2</v>
      </c>
      <c r="X23">
        <v>4.63</v>
      </c>
      <c r="Y23">
        <v>7.2460000000000004</v>
      </c>
      <c r="Z23">
        <v>83.5</v>
      </c>
      <c r="AA23">
        <v>33.9</v>
      </c>
      <c r="AB23">
        <v>3.72</v>
      </c>
      <c r="AC23">
        <v>148.1</v>
      </c>
      <c r="AD23">
        <v>35.299999999999997</v>
      </c>
      <c r="AE23">
        <v>73.3</v>
      </c>
      <c r="AF23">
        <v>27.4</v>
      </c>
      <c r="AG23">
        <v>7.2869999999999999</v>
      </c>
      <c r="AH23">
        <v>300</v>
      </c>
      <c r="AJ23">
        <v>7.27</v>
      </c>
      <c r="AK23">
        <v>0.52</v>
      </c>
      <c r="AL23">
        <v>34</v>
      </c>
      <c r="AM23">
        <v>27.27</v>
      </c>
      <c r="AN23">
        <v>3.55</v>
      </c>
      <c r="AO23">
        <v>5.8</v>
      </c>
      <c r="AP23">
        <v>1.378567248603532E-2</v>
      </c>
      <c r="AQ23">
        <v>28.91</v>
      </c>
      <c r="AR23">
        <v>32.65</v>
      </c>
      <c r="AW23">
        <v>9.91</v>
      </c>
      <c r="AX23">
        <v>12.919999999999998</v>
      </c>
      <c r="AZ23">
        <v>15</v>
      </c>
      <c r="BA23">
        <v>1700</v>
      </c>
      <c r="BB23">
        <v>34</v>
      </c>
      <c r="BC23">
        <v>7.2</v>
      </c>
      <c r="BD23">
        <v>50</v>
      </c>
      <c r="BE23">
        <v>2.9999999999999997E-4</v>
      </c>
      <c r="BF23">
        <v>1.13424724199173E-2</v>
      </c>
      <c r="BI23">
        <v>1.2128747400000001E-2</v>
      </c>
      <c r="BJ23">
        <v>0.28930609728000001</v>
      </c>
      <c r="BK23">
        <v>1750.18</v>
      </c>
      <c r="BL23">
        <v>1.6518300974756882E-2</v>
      </c>
      <c r="BM23">
        <v>1.7005882352941176E-2</v>
      </c>
      <c r="BN23">
        <v>0.33085613966484767</v>
      </c>
      <c r="BO23">
        <v>1.378567248603532E-2</v>
      </c>
      <c r="BP23" t="s">
        <v>83</v>
      </c>
      <c r="BQ23" t="s">
        <v>83</v>
      </c>
      <c r="BR23">
        <v>13.12635</v>
      </c>
      <c r="BS23" t="s">
        <v>83</v>
      </c>
      <c r="BT23">
        <v>35.806941522169666</v>
      </c>
      <c r="BU23">
        <v>1.378567248603532E-2</v>
      </c>
      <c r="BV23">
        <v>13.12635</v>
      </c>
    </row>
    <row r="24" spans="1:74" x14ac:dyDescent="0.25">
      <c r="A24" t="s">
        <v>57</v>
      </c>
      <c r="B24" t="s">
        <v>26</v>
      </c>
      <c r="C24">
        <v>12</v>
      </c>
      <c r="D24">
        <v>3</v>
      </c>
      <c r="F24" s="8">
        <v>45452.497673611098</v>
      </c>
      <c r="G24">
        <v>1505.08</v>
      </c>
      <c r="H24">
        <v>7.2</v>
      </c>
      <c r="I24">
        <v>0.5</v>
      </c>
      <c r="J24">
        <v>34</v>
      </c>
      <c r="L24">
        <v>1329.46</v>
      </c>
      <c r="M24">
        <v>22.8</v>
      </c>
      <c r="N24">
        <v>22.1</v>
      </c>
      <c r="O24">
        <v>97.2</v>
      </c>
      <c r="P24">
        <v>16.899999999999999</v>
      </c>
      <c r="Q24">
        <v>343</v>
      </c>
      <c r="R24">
        <v>2.14</v>
      </c>
      <c r="S24">
        <v>0.37</v>
      </c>
      <c r="T24">
        <v>1.1200000000000001</v>
      </c>
      <c r="V24">
        <v>0.15</v>
      </c>
      <c r="W24">
        <v>0.06</v>
      </c>
      <c r="X24">
        <v>3.62</v>
      </c>
      <c r="Y24">
        <v>7.1669999999999998</v>
      </c>
      <c r="Z24">
        <v>109.5</v>
      </c>
      <c r="AA24">
        <v>18.5</v>
      </c>
      <c r="AB24">
        <v>2.58</v>
      </c>
      <c r="AC24">
        <v>145.30000000000001</v>
      </c>
      <c r="AD24">
        <v>38.4</v>
      </c>
      <c r="AE24">
        <v>96</v>
      </c>
      <c r="AF24">
        <v>14.9</v>
      </c>
      <c r="AG24">
        <v>7.2060000000000004</v>
      </c>
      <c r="AH24">
        <v>298</v>
      </c>
      <c r="AJ24">
        <v>7.18</v>
      </c>
      <c r="AK24">
        <v>0.50900000000000001</v>
      </c>
      <c r="AL24">
        <v>34</v>
      </c>
      <c r="AM24">
        <v>24.77</v>
      </c>
      <c r="AN24">
        <v>0</v>
      </c>
      <c r="AO24">
        <v>4.7699999999999996</v>
      </c>
      <c r="AP24">
        <v>2.4482926221812498E-2</v>
      </c>
      <c r="AQ24">
        <v>52.6</v>
      </c>
      <c r="AR24">
        <v>20.73</v>
      </c>
      <c r="AW24">
        <v>23.71</v>
      </c>
      <c r="AX24">
        <v>4.8499999999999996</v>
      </c>
      <c r="AZ24">
        <v>15</v>
      </c>
      <c r="BA24">
        <v>1700</v>
      </c>
      <c r="BB24">
        <v>34</v>
      </c>
      <c r="BC24">
        <v>7.2</v>
      </c>
      <c r="BD24">
        <v>50</v>
      </c>
      <c r="BE24">
        <v>2.9999999999999997E-4</v>
      </c>
      <c r="BG24">
        <v>2.0090042999999998E-2</v>
      </c>
      <c r="BH24">
        <v>3.0538307540188799E-3</v>
      </c>
      <c r="BI24">
        <v>1.1634788099999998E-2</v>
      </c>
      <c r="BJ24">
        <v>0.24186502152</v>
      </c>
      <c r="BK24">
        <v>1754.87</v>
      </c>
      <c r="BL24">
        <v>2.9973730247824629E-2</v>
      </c>
      <c r="BM24">
        <v>3.0941176470588236E-2</v>
      </c>
      <c r="BN24">
        <v>0.58759022932349991</v>
      </c>
      <c r="BO24" t="s">
        <v>83</v>
      </c>
      <c r="BP24">
        <v>2.4482926221812498E-2</v>
      </c>
      <c r="BQ24" t="s">
        <v>83</v>
      </c>
      <c r="BR24" t="s">
        <v>83</v>
      </c>
      <c r="BS24">
        <v>5.3590759753051112</v>
      </c>
      <c r="BT24">
        <v>63.592016160551943</v>
      </c>
      <c r="BU24">
        <v>2.4482926221812498E-2</v>
      </c>
      <c r="BV24">
        <v>5.3590759753051112</v>
      </c>
    </row>
    <row r="25" spans="1:74" x14ac:dyDescent="0.25">
      <c r="A25" t="s">
        <v>58</v>
      </c>
      <c r="B25" t="s">
        <v>26</v>
      </c>
      <c r="C25">
        <v>12</v>
      </c>
      <c r="D25">
        <v>3</v>
      </c>
      <c r="F25" s="8">
        <v>45452.501782407402</v>
      </c>
      <c r="G25">
        <v>1505.08</v>
      </c>
      <c r="H25">
        <v>7.2</v>
      </c>
      <c r="I25">
        <v>0.5</v>
      </c>
      <c r="J25">
        <v>34</v>
      </c>
      <c r="L25">
        <v>1424.87</v>
      </c>
      <c r="M25">
        <v>24.2</v>
      </c>
      <c r="N25">
        <v>23.4</v>
      </c>
      <c r="O25">
        <v>96.8</v>
      </c>
      <c r="P25">
        <v>16.399999999999999</v>
      </c>
      <c r="Q25">
        <v>328</v>
      </c>
      <c r="R25">
        <v>1.48</v>
      </c>
      <c r="S25">
        <v>0.36</v>
      </c>
      <c r="T25">
        <v>0.86</v>
      </c>
      <c r="V25">
        <v>0.19</v>
      </c>
      <c r="W25">
        <v>0.03</v>
      </c>
      <c r="X25">
        <v>1.91</v>
      </c>
      <c r="Y25">
        <v>7.2450000000000001</v>
      </c>
      <c r="Z25">
        <v>121.9</v>
      </c>
      <c r="AA25">
        <v>24.8</v>
      </c>
      <c r="AB25">
        <v>2.77</v>
      </c>
      <c r="AC25">
        <v>140.9</v>
      </c>
      <c r="AD25">
        <v>51.4</v>
      </c>
      <c r="AE25">
        <v>106.9</v>
      </c>
      <c r="AF25">
        <v>20</v>
      </c>
      <c r="AG25">
        <v>7.2859999999999996</v>
      </c>
      <c r="AH25">
        <v>297</v>
      </c>
      <c r="AJ25">
        <v>7.3</v>
      </c>
      <c r="AK25">
        <v>0.53300000000000003</v>
      </c>
      <c r="AL25">
        <v>34</v>
      </c>
      <c r="AM25">
        <v>21.77</v>
      </c>
      <c r="AN25">
        <v>14.266</v>
      </c>
      <c r="AO25">
        <v>4.76</v>
      </c>
      <c r="AP25">
        <v>2.2130645171450001E-2</v>
      </c>
      <c r="AQ25">
        <v>51</v>
      </c>
      <c r="AR25">
        <v>30.11</v>
      </c>
      <c r="AW25">
        <v>30.85</v>
      </c>
      <c r="AX25">
        <v>9.129999999999999</v>
      </c>
      <c r="AZ25">
        <v>15</v>
      </c>
      <c r="BA25">
        <v>1700</v>
      </c>
      <c r="BB25">
        <v>34</v>
      </c>
      <c r="BC25">
        <v>7.2</v>
      </c>
      <c r="BD25">
        <v>50</v>
      </c>
      <c r="BE25">
        <v>2.9999999999999997E-4</v>
      </c>
      <c r="BG25">
        <v>1.7964948000000001E-2</v>
      </c>
      <c r="BH25">
        <v>4.2153110000000002E-3</v>
      </c>
      <c r="BI25">
        <v>1.2452820119999998E-2</v>
      </c>
      <c r="BJ25">
        <v>0.25522896959999997</v>
      </c>
      <c r="BK25">
        <v>1773.9059999999999</v>
      </c>
      <c r="BL25">
        <v>2.8750114154865027E-2</v>
      </c>
      <c r="BM25">
        <v>0.03</v>
      </c>
      <c r="BN25">
        <v>0.53113548411480005</v>
      </c>
      <c r="BO25" t="s">
        <v>83</v>
      </c>
      <c r="BP25">
        <v>2.2130645171450001E-2</v>
      </c>
      <c r="BQ25" t="s">
        <v>83</v>
      </c>
      <c r="BR25" t="s">
        <v>83</v>
      </c>
      <c r="BS25">
        <v>7.4775654747660001</v>
      </c>
      <c r="BT25">
        <v>57.482195250519489</v>
      </c>
      <c r="BU25">
        <v>2.2130645171450001E-2</v>
      </c>
      <c r="BV25">
        <v>7.4775654747660001</v>
      </c>
    </row>
    <row r="26" spans="1:74" x14ac:dyDescent="0.25">
      <c r="A26" t="s">
        <v>53</v>
      </c>
      <c r="B26" t="s">
        <v>28</v>
      </c>
      <c r="C26">
        <v>12</v>
      </c>
      <c r="D26">
        <v>4</v>
      </c>
      <c r="F26" s="8">
        <v>45453.432939814797</v>
      </c>
      <c r="G26">
        <v>2119.61</v>
      </c>
      <c r="H26">
        <v>7.2</v>
      </c>
      <c r="I26">
        <v>0.5</v>
      </c>
      <c r="J26">
        <v>34</v>
      </c>
      <c r="L26">
        <v>1772.22</v>
      </c>
      <c r="M26">
        <v>26.6</v>
      </c>
      <c r="N26">
        <v>25.3</v>
      </c>
      <c r="O26">
        <v>95.3</v>
      </c>
      <c r="P26">
        <v>16.100000000000001</v>
      </c>
      <c r="Q26">
        <v>357</v>
      </c>
      <c r="R26">
        <v>1.38</v>
      </c>
      <c r="S26">
        <v>0.33</v>
      </c>
      <c r="T26">
        <v>2.21</v>
      </c>
      <c r="V26">
        <v>7.0000000000000007E-2</v>
      </c>
      <c r="W26">
        <v>0.13</v>
      </c>
      <c r="X26">
        <v>3.3</v>
      </c>
      <c r="Y26">
        <v>7.3049999999999997</v>
      </c>
      <c r="Z26">
        <v>112.9</v>
      </c>
      <c r="AA26">
        <v>32.1</v>
      </c>
      <c r="AB26">
        <v>2.96</v>
      </c>
      <c r="AC26">
        <v>157.5</v>
      </c>
      <c r="AD26">
        <v>54.8</v>
      </c>
      <c r="AE26">
        <v>99</v>
      </c>
      <c r="AF26">
        <v>26</v>
      </c>
      <c r="AG26">
        <v>7.3470000000000004</v>
      </c>
      <c r="AH26">
        <v>300</v>
      </c>
      <c r="AJ26">
        <v>7.3</v>
      </c>
      <c r="AK26">
        <v>0.498</v>
      </c>
      <c r="AL26">
        <v>34</v>
      </c>
      <c r="AM26">
        <v>31.32</v>
      </c>
      <c r="AN26">
        <v>4.71</v>
      </c>
      <c r="AO26">
        <v>4</v>
      </c>
      <c r="AP26">
        <v>1.3502837699999999E-2</v>
      </c>
      <c r="AQ26">
        <v>57</v>
      </c>
      <c r="AR26">
        <v>46</v>
      </c>
      <c r="AW26">
        <v>17.97</v>
      </c>
      <c r="AX26">
        <v>14.030000000000001</v>
      </c>
      <c r="AZ26">
        <v>15</v>
      </c>
      <c r="BA26">
        <v>1700</v>
      </c>
      <c r="BB26">
        <v>34</v>
      </c>
      <c r="BC26">
        <v>7.2</v>
      </c>
      <c r="BD26">
        <v>50</v>
      </c>
      <c r="BE26">
        <v>2.9999999999999997E-4</v>
      </c>
      <c r="BI26">
        <v>1.3502837699999999E-2</v>
      </c>
      <c r="BJ26">
        <v>0.33029195039999998</v>
      </c>
      <c r="BK26">
        <v>1779.03</v>
      </c>
      <c r="BL26">
        <v>3.2039931872986968E-2</v>
      </c>
      <c r="BM26">
        <v>3.3529411764705884E-2</v>
      </c>
      <c r="BN26">
        <v>0.32406810479999998</v>
      </c>
      <c r="BO26" t="s">
        <v>83</v>
      </c>
      <c r="BP26" t="s">
        <v>83</v>
      </c>
      <c r="BQ26">
        <v>1.3502837699999999E-2</v>
      </c>
      <c r="BR26">
        <v>0</v>
      </c>
      <c r="BS26" t="s">
        <v>83</v>
      </c>
      <c r="BT26">
        <v>35.072305714285712</v>
      </c>
      <c r="BU26">
        <v>1.3502837699999999E-2</v>
      </c>
      <c r="BV26">
        <v>0</v>
      </c>
    </row>
    <row r="27" spans="1:74" x14ac:dyDescent="0.25">
      <c r="A27" t="s">
        <v>54</v>
      </c>
      <c r="B27" t="s">
        <v>27</v>
      </c>
      <c r="C27">
        <v>12</v>
      </c>
      <c r="D27">
        <v>4</v>
      </c>
      <c r="F27" s="8">
        <v>45453.436979166698</v>
      </c>
      <c r="G27">
        <v>2119.61</v>
      </c>
      <c r="H27">
        <v>7.2</v>
      </c>
      <c r="I27">
        <v>0.5</v>
      </c>
      <c r="J27">
        <v>34</v>
      </c>
      <c r="L27">
        <v>1571.25</v>
      </c>
      <c r="M27">
        <v>22.4</v>
      </c>
      <c r="N27">
        <v>21</v>
      </c>
      <c r="O27">
        <v>93.7</v>
      </c>
      <c r="P27">
        <v>16.5</v>
      </c>
      <c r="Q27">
        <v>361</v>
      </c>
      <c r="R27">
        <v>1.44</v>
      </c>
      <c r="S27">
        <v>0.35</v>
      </c>
      <c r="T27">
        <v>1.48</v>
      </c>
      <c r="V27">
        <v>7.0000000000000007E-2</v>
      </c>
      <c r="W27">
        <v>0.08</v>
      </c>
      <c r="X27">
        <v>3.92</v>
      </c>
      <c r="Y27">
        <v>7.2910000000000004</v>
      </c>
      <c r="Z27">
        <v>108.3</v>
      </c>
      <c r="AA27">
        <v>36.799999999999997</v>
      </c>
      <c r="AB27">
        <v>2.85</v>
      </c>
      <c r="AC27">
        <v>156</v>
      </c>
      <c r="AD27">
        <v>50.9</v>
      </c>
      <c r="AE27">
        <v>95</v>
      </c>
      <c r="AF27">
        <v>29.8</v>
      </c>
      <c r="AG27">
        <v>7.3330000000000002</v>
      </c>
      <c r="AH27">
        <v>300</v>
      </c>
      <c r="AJ27">
        <v>7.3</v>
      </c>
      <c r="AK27">
        <v>0.51900000000000002</v>
      </c>
      <c r="AL27">
        <v>34</v>
      </c>
      <c r="AM27">
        <v>33.53</v>
      </c>
      <c r="AN27">
        <v>4.6399999999999997</v>
      </c>
      <c r="AO27">
        <v>3</v>
      </c>
      <c r="AP27">
        <v>4.4315646613239966E-2</v>
      </c>
      <c r="AQ27">
        <v>49</v>
      </c>
      <c r="AR27">
        <v>47</v>
      </c>
      <c r="AW27">
        <v>19.899999999999999</v>
      </c>
      <c r="AX27">
        <v>14.100000000000001</v>
      </c>
      <c r="AZ27">
        <v>15</v>
      </c>
      <c r="BA27">
        <v>1700</v>
      </c>
      <c r="BB27">
        <v>34</v>
      </c>
      <c r="BC27">
        <v>7.2</v>
      </c>
      <c r="BD27">
        <v>50</v>
      </c>
      <c r="BE27">
        <v>2.9999999999999997E-4</v>
      </c>
      <c r="BF27">
        <v>3.5988952623304898E-2</v>
      </c>
      <c r="BI27">
        <v>1.1170971E-2</v>
      </c>
      <c r="BJ27">
        <v>0.29540777759999992</v>
      </c>
      <c r="BK27">
        <v>1773.17</v>
      </c>
      <c r="BL27">
        <v>2.7634124195649597E-2</v>
      </c>
      <c r="BM27">
        <v>2.8823529411764706E-2</v>
      </c>
      <c r="BN27">
        <v>1.0635755187177591</v>
      </c>
      <c r="BO27">
        <v>4.4315646613239966E-2</v>
      </c>
      <c r="BP27" t="s">
        <v>83</v>
      </c>
      <c r="BQ27" t="s">
        <v>83</v>
      </c>
      <c r="BR27">
        <v>6.7380460000000006</v>
      </c>
      <c r="BS27" t="s">
        <v>83</v>
      </c>
      <c r="BT27">
        <v>115.10557561880512</v>
      </c>
      <c r="BU27">
        <v>4.4315646613239966E-2</v>
      </c>
      <c r="BV27">
        <v>6.7380460000000006</v>
      </c>
    </row>
    <row r="28" spans="1:74" x14ac:dyDescent="0.25">
      <c r="A28" t="s">
        <v>55</v>
      </c>
      <c r="B28" t="s">
        <v>27</v>
      </c>
      <c r="C28">
        <v>12</v>
      </c>
      <c r="D28">
        <v>4</v>
      </c>
      <c r="F28" s="8">
        <v>45453.441400463002</v>
      </c>
      <c r="G28">
        <v>2119.61</v>
      </c>
      <c r="H28">
        <v>7.2</v>
      </c>
      <c r="I28">
        <v>0.5</v>
      </c>
      <c r="J28">
        <v>34</v>
      </c>
      <c r="L28">
        <v>1649.175</v>
      </c>
      <c r="M28">
        <v>23.7</v>
      </c>
      <c r="N28">
        <v>22.1</v>
      </c>
      <c r="O28">
        <v>93.1</v>
      </c>
      <c r="P28">
        <v>16.3</v>
      </c>
      <c r="Q28">
        <v>352</v>
      </c>
      <c r="R28">
        <v>1.41</v>
      </c>
      <c r="S28">
        <v>0.36</v>
      </c>
      <c r="T28">
        <v>1.72</v>
      </c>
      <c r="V28">
        <v>7.0000000000000007E-2</v>
      </c>
      <c r="W28">
        <v>0.1</v>
      </c>
      <c r="X28">
        <v>3.65</v>
      </c>
      <c r="Y28">
        <v>7.258</v>
      </c>
      <c r="Z28">
        <v>96.6</v>
      </c>
      <c r="AA28">
        <v>44.1</v>
      </c>
      <c r="AB28">
        <v>3.01</v>
      </c>
      <c r="AC28">
        <v>148.9</v>
      </c>
      <c r="AD28">
        <v>42</v>
      </c>
      <c r="AE28">
        <v>84.7</v>
      </c>
      <c r="AF28">
        <v>35.700000000000003</v>
      </c>
      <c r="AG28">
        <v>7.2990000000000004</v>
      </c>
      <c r="AH28">
        <v>301</v>
      </c>
      <c r="AJ28">
        <v>7.3</v>
      </c>
      <c r="AK28">
        <v>0.51100000000000001</v>
      </c>
      <c r="AL28">
        <v>34</v>
      </c>
      <c r="AM28">
        <v>27.27</v>
      </c>
      <c r="AN28">
        <v>5.78</v>
      </c>
      <c r="AO28">
        <v>6</v>
      </c>
      <c r="AP28">
        <v>4.4316995715709212E-2</v>
      </c>
      <c r="AQ28">
        <v>47</v>
      </c>
      <c r="AR28">
        <v>47</v>
      </c>
      <c r="AW28">
        <v>18.09</v>
      </c>
      <c r="AX28">
        <v>14.350000000000001</v>
      </c>
      <c r="AZ28">
        <v>15</v>
      </c>
      <c r="BA28">
        <v>1700</v>
      </c>
      <c r="BB28">
        <v>34</v>
      </c>
      <c r="BC28">
        <v>7.2</v>
      </c>
      <c r="BD28">
        <v>50</v>
      </c>
      <c r="BE28">
        <v>2.9999999999999997E-4</v>
      </c>
      <c r="BF28">
        <v>3.6073866668902103E-2</v>
      </c>
      <c r="BI28">
        <v>1.17288015E-2</v>
      </c>
      <c r="BJ28">
        <v>0.29108993760000001</v>
      </c>
      <c r="BK28">
        <v>1769.05</v>
      </c>
      <c r="BL28">
        <v>2.656793194087222E-2</v>
      </c>
      <c r="BM28">
        <v>2.7647058823529413E-2</v>
      </c>
      <c r="BN28">
        <v>1.0636078971770211</v>
      </c>
      <c r="BO28">
        <v>4.4316995715709212E-2</v>
      </c>
      <c r="BP28" t="s">
        <v>83</v>
      </c>
      <c r="BQ28" t="s">
        <v>83</v>
      </c>
      <c r="BR28">
        <v>0</v>
      </c>
      <c r="BS28" t="s">
        <v>83</v>
      </c>
      <c r="BT28">
        <v>115.10907978106289</v>
      </c>
      <c r="BU28">
        <v>4.4316995715709212E-2</v>
      </c>
      <c r="BV28">
        <v>0</v>
      </c>
    </row>
    <row r="29" spans="1:74" x14ac:dyDescent="0.25">
      <c r="A29" t="s">
        <v>57</v>
      </c>
      <c r="B29" t="s">
        <v>26</v>
      </c>
      <c r="C29">
        <v>12</v>
      </c>
      <c r="D29">
        <v>4</v>
      </c>
      <c r="F29" s="8">
        <v>45453.4444560185</v>
      </c>
      <c r="G29">
        <v>2119.61</v>
      </c>
      <c r="H29">
        <v>7.2</v>
      </c>
      <c r="I29">
        <v>0.5</v>
      </c>
      <c r="J29">
        <v>34</v>
      </c>
      <c r="L29">
        <v>1716.7950000000001</v>
      </c>
      <c r="M29">
        <v>23.2</v>
      </c>
      <c r="N29">
        <v>22.4</v>
      </c>
      <c r="O29">
        <v>96.6</v>
      </c>
      <c r="P29">
        <v>16.8</v>
      </c>
      <c r="Q29" s="9"/>
      <c r="R29">
        <v>1.33</v>
      </c>
      <c r="S29">
        <v>0.31</v>
      </c>
      <c r="T29">
        <v>2.36</v>
      </c>
      <c r="V29">
        <v>0.18</v>
      </c>
      <c r="W29">
        <v>0.13</v>
      </c>
      <c r="X29">
        <v>2.2400000000000002</v>
      </c>
      <c r="Y29">
        <v>7.2519999999999998</v>
      </c>
      <c r="Z29">
        <v>129.30000000000001</v>
      </c>
      <c r="AA29">
        <v>4.9000000000000004</v>
      </c>
      <c r="AB29">
        <v>2.17</v>
      </c>
      <c r="AC29">
        <v>148.1</v>
      </c>
      <c r="AD29">
        <v>55.4</v>
      </c>
      <c r="AE29">
        <v>113.4</v>
      </c>
      <c r="AF29">
        <v>4</v>
      </c>
      <c r="AG29">
        <v>7.2930000000000001</v>
      </c>
      <c r="AH29">
        <v>302</v>
      </c>
      <c r="AJ29">
        <v>7.23</v>
      </c>
      <c r="AK29">
        <v>0.51600000000000001</v>
      </c>
      <c r="AL29">
        <v>34</v>
      </c>
      <c r="AM29">
        <v>24.77</v>
      </c>
      <c r="AN29">
        <v>0</v>
      </c>
      <c r="AO29">
        <v>6</v>
      </c>
      <c r="AP29">
        <v>1.4000061328465761E-2</v>
      </c>
      <c r="AQ29">
        <v>85</v>
      </c>
      <c r="AR29">
        <v>27</v>
      </c>
      <c r="AW29">
        <v>32.4</v>
      </c>
      <c r="AX29">
        <v>6.27</v>
      </c>
      <c r="AZ29">
        <v>15</v>
      </c>
      <c r="BA29">
        <v>1700</v>
      </c>
      <c r="BB29">
        <v>34</v>
      </c>
      <c r="BC29">
        <v>7.2</v>
      </c>
      <c r="BD29">
        <v>50</v>
      </c>
      <c r="BE29">
        <v>2.9999999999999997E-4</v>
      </c>
      <c r="BG29">
        <v>1.1333724041326701E-2</v>
      </c>
      <c r="BH29">
        <v>2.3715861773774098E-3</v>
      </c>
      <c r="BI29">
        <v>1.19533344E-2</v>
      </c>
      <c r="BJ29">
        <v>0.27923491439999992</v>
      </c>
      <c r="BK29">
        <v>1778.77</v>
      </c>
      <c r="BL29">
        <v>4.7785829533891398E-2</v>
      </c>
      <c r="BM29">
        <v>0.05</v>
      </c>
      <c r="BN29">
        <v>0.33600147188317825</v>
      </c>
      <c r="BO29" t="s">
        <v>83</v>
      </c>
      <c r="BP29">
        <v>1.4000061328465761E-2</v>
      </c>
      <c r="BQ29" t="s">
        <v>83</v>
      </c>
      <c r="BS29">
        <v>4.2185063447336155</v>
      </c>
      <c r="BT29">
        <v>36.363795658352629</v>
      </c>
      <c r="BU29">
        <v>1.4000061328465761E-2</v>
      </c>
      <c r="BV29">
        <v>4.2185063447336155</v>
      </c>
    </row>
    <row r="30" spans="1:74" x14ac:dyDescent="0.25">
      <c r="A30" t="s">
        <v>58</v>
      </c>
      <c r="B30" t="s">
        <v>26</v>
      </c>
      <c r="C30">
        <v>12</v>
      </c>
      <c r="D30">
        <v>4</v>
      </c>
      <c r="F30" s="8">
        <v>45453.4511921296</v>
      </c>
      <c r="G30">
        <v>2119.61</v>
      </c>
      <c r="H30">
        <v>7.2</v>
      </c>
      <c r="I30">
        <v>0.5</v>
      </c>
      <c r="J30">
        <v>34</v>
      </c>
      <c r="L30">
        <v>1852.26</v>
      </c>
      <c r="M30">
        <v>24.5</v>
      </c>
      <c r="N30">
        <v>23.6</v>
      </c>
      <c r="O30">
        <v>96.2</v>
      </c>
      <c r="P30">
        <v>16.600000000000001</v>
      </c>
      <c r="Q30">
        <v>326</v>
      </c>
      <c r="R30">
        <v>1.46</v>
      </c>
      <c r="S30">
        <v>0.31</v>
      </c>
      <c r="T30">
        <v>1.58</v>
      </c>
      <c r="V30">
        <v>0.15</v>
      </c>
      <c r="W30">
        <v>0.1</v>
      </c>
      <c r="X30">
        <v>1.4</v>
      </c>
      <c r="Y30">
        <v>7.2489999999999997</v>
      </c>
      <c r="Z30">
        <v>129.4</v>
      </c>
      <c r="AA30">
        <v>26.7</v>
      </c>
      <c r="AB30">
        <v>2.46</v>
      </c>
      <c r="AC30">
        <v>144.1</v>
      </c>
      <c r="AD30">
        <v>55.1</v>
      </c>
      <c r="AE30">
        <v>113.5</v>
      </c>
      <c r="AF30">
        <v>21.6</v>
      </c>
      <c r="AG30">
        <v>7.29</v>
      </c>
      <c r="AH30">
        <v>301</v>
      </c>
      <c r="AJ30">
        <v>7.3</v>
      </c>
      <c r="AK30">
        <v>0.48100000000000004</v>
      </c>
      <c r="AL30">
        <v>34</v>
      </c>
      <c r="AM30">
        <v>21.77</v>
      </c>
      <c r="AN30">
        <v>21.64</v>
      </c>
      <c r="AO30">
        <v>6</v>
      </c>
      <c r="AP30">
        <v>2.1265523894556992E-2</v>
      </c>
      <c r="AQ30">
        <v>81</v>
      </c>
      <c r="AR30">
        <v>38</v>
      </c>
      <c r="AW30">
        <v>30</v>
      </c>
      <c r="AX30">
        <v>7.8900000000000006</v>
      </c>
      <c r="AZ30">
        <v>15</v>
      </c>
      <c r="BA30">
        <v>1700</v>
      </c>
      <c r="BB30">
        <v>34</v>
      </c>
      <c r="BC30">
        <v>7.2</v>
      </c>
      <c r="BD30">
        <v>50</v>
      </c>
      <c r="BE30">
        <v>2.9999999999999997E-4</v>
      </c>
      <c r="BG30">
        <v>1.6970840556282701E-2</v>
      </c>
      <c r="BH30">
        <v>2.0375862739135898E-3</v>
      </c>
      <c r="BI30">
        <v>1.27752228E-2</v>
      </c>
      <c r="BJ30">
        <v>0.29886768287999993</v>
      </c>
      <c r="BK30">
        <v>1804.41</v>
      </c>
      <c r="BL30">
        <v>4.4890019452341758E-2</v>
      </c>
      <c r="BM30">
        <v>4.764705882352941E-2</v>
      </c>
      <c r="BN30">
        <v>0.51037257346936782</v>
      </c>
      <c r="BO30" t="s">
        <v>83</v>
      </c>
      <c r="BP30">
        <v>2.1265523894556992E-2</v>
      </c>
      <c r="BQ30" t="s">
        <v>83</v>
      </c>
      <c r="BS30">
        <v>3.6766410485124208</v>
      </c>
      <c r="BT30">
        <v>55.235126998849331</v>
      </c>
      <c r="BU30">
        <v>2.1265523894556992E-2</v>
      </c>
      <c r="BV30">
        <v>3.6766410485124208</v>
      </c>
    </row>
    <row r="31" spans="1:74" x14ac:dyDescent="0.25">
      <c r="A31" t="s">
        <v>53</v>
      </c>
      <c r="B31" t="s">
        <v>28</v>
      </c>
      <c r="C31">
        <v>12</v>
      </c>
      <c r="D31">
        <v>5</v>
      </c>
      <c r="F31" s="8">
        <v>45454.412476851903</v>
      </c>
      <c r="G31">
        <v>2716.05</v>
      </c>
      <c r="H31">
        <v>7.2</v>
      </c>
      <c r="I31">
        <v>0.5</v>
      </c>
      <c r="J31">
        <v>34</v>
      </c>
      <c r="L31">
        <v>2295.9</v>
      </c>
      <c r="M31">
        <v>24.8</v>
      </c>
      <c r="N31">
        <v>23.5</v>
      </c>
      <c r="O31">
        <v>94.8</v>
      </c>
      <c r="P31">
        <v>16.3</v>
      </c>
      <c r="Q31">
        <v>353</v>
      </c>
      <c r="R31">
        <v>1.18</v>
      </c>
      <c r="S31">
        <v>0.28999999999999998</v>
      </c>
      <c r="T31">
        <v>2.0299999999999998</v>
      </c>
      <c r="V31">
        <v>0.08</v>
      </c>
      <c r="W31">
        <v>0.15</v>
      </c>
      <c r="X31">
        <v>3.26</v>
      </c>
      <c r="Y31">
        <v>7.2489999999999997</v>
      </c>
      <c r="Z31">
        <v>118.6</v>
      </c>
      <c r="AA31">
        <v>46.7</v>
      </c>
      <c r="AB31">
        <v>2.72</v>
      </c>
      <c r="AC31">
        <v>155</v>
      </c>
      <c r="AD31">
        <v>50.6</v>
      </c>
      <c r="AE31">
        <v>104</v>
      </c>
      <c r="AF31">
        <v>37.799999999999997</v>
      </c>
      <c r="AG31">
        <v>7.2910000000000004</v>
      </c>
      <c r="AH31">
        <v>299</v>
      </c>
      <c r="AJ31">
        <v>7.3</v>
      </c>
      <c r="AK31">
        <v>0.51100000000000001</v>
      </c>
      <c r="AL31">
        <v>34</v>
      </c>
      <c r="AM31">
        <v>31.32</v>
      </c>
      <c r="AN31">
        <v>21.46</v>
      </c>
      <c r="AO31">
        <v>5</v>
      </c>
      <c r="AP31">
        <v>1.6917932E-2</v>
      </c>
      <c r="AQ31">
        <v>76</v>
      </c>
      <c r="AR31">
        <v>46</v>
      </c>
      <c r="AW31">
        <v>19</v>
      </c>
      <c r="AX31">
        <v>0</v>
      </c>
      <c r="AZ31">
        <v>15</v>
      </c>
      <c r="BA31">
        <v>1700</v>
      </c>
      <c r="BB31">
        <v>34</v>
      </c>
      <c r="BC31">
        <v>7.2</v>
      </c>
      <c r="BD31">
        <v>50</v>
      </c>
      <c r="BE31">
        <v>4.0000000000000002E-4</v>
      </c>
      <c r="BI31">
        <v>1.6917932E-2</v>
      </c>
      <c r="BJ31">
        <v>0.32406810479999998</v>
      </c>
      <c r="BK31">
        <v>1799.78</v>
      </c>
      <c r="BL31">
        <v>4.2227383346853505E-2</v>
      </c>
      <c r="BM31">
        <v>4.4705882352941179E-2</v>
      </c>
      <c r="BN31">
        <v>0.40603036800000003</v>
      </c>
      <c r="BO31" t="s">
        <v>83</v>
      </c>
      <c r="BP31" t="s">
        <v>83</v>
      </c>
      <c r="BQ31">
        <v>1.6917932E-2</v>
      </c>
      <c r="BR31">
        <v>0</v>
      </c>
      <c r="BS31" t="s">
        <v>83</v>
      </c>
      <c r="BT31">
        <v>43.942680519480525</v>
      </c>
      <c r="BU31">
        <v>1.6917932E-2</v>
      </c>
      <c r="BV31">
        <v>0</v>
      </c>
    </row>
    <row r="32" spans="1:74" x14ac:dyDescent="0.25">
      <c r="A32" t="s">
        <v>54</v>
      </c>
      <c r="B32" t="s">
        <v>27</v>
      </c>
      <c r="C32">
        <v>12</v>
      </c>
      <c r="D32">
        <v>5</v>
      </c>
      <c r="F32" s="8">
        <v>45454.415717592601</v>
      </c>
      <c r="G32">
        <v>2716.05</v>
      </c>
      <c r="H32">
        <v>7.2</v>
      </c>
      <c r="I32">
        <v>0.5</v>
      </c>
      <c r="J32">
        <v>34</v>
      </c>
      <c r="L32">
        <v>2198.355</v>
      </c>
      <c r="M32">
        <v>20.8</v>
      </c>
      <c r="N32">
        <v>19.3</v>
      </c>
      <c r="O32">
        <v>93</v>
      </c>
      <c r="P32">
        <v>17.3</v>
      </c>
      <c r="Q32">
        <v>396</v>
      </c>
      <c r="R32">
        <v>1.32</v>
      </c>
      <c r="S32">
        <v>0.3</v>
      </c>
      <c r="T32">
        <v>5.62</v>
      </c>
      <c r="V32">
        <v>0.23</v>
      </c>
      <c r="W32">
        <v>0.32</v>
      </c>
      <c r="X32">
        <v>2.87</v>
      </c>
      <c r="Y32">
        <v>7.2560000000000002</v>
      </c>
      <c r="Z32">
        <v>143.9</v>
      </c>
      <c r="AA32">
        <v>42.6</v>
      </c>
      <c r="AB32">
        <v>2.06</v>
      </c>
      <c r="AC32">
        <v>158</v>
      </c>
      <c r="AD32">
        <v>62.3</v>
      </c>
      <c r="AE32">
        <v>126.2</v>
      </c>
      <c r="AF32">
        <v>34.5</v>
      </c>
      <c r="AG32">
        <v>7.2969999999999997</v>
      </c>
      <c r="AH32">
        <v>299</v>
      </c>
      <c r="AJ32">
        <v>7.28</v>
      </c>
      <c r="AK32">
        <v>0.50900000000000001</v>
      </c>
      <c r="AL32">
        <v>34</v>
      </c>
      <c r="AM32">
        <v>33.53</v>
      </c>
      <c r="AN32">
        <v>6.72</v>
      </c>
      <c r="AO32">
        <v>3</v>
      </c>
      <c r="AP32">
        <v>3.6440233892207234E-2</v>
      </c>
      <c r="AQ32">
        <v>107</v>
      </c>
      <c r="AR32">
        <v>55</v>
      </c>
      <c r="AW32">
        <v>58</v>
      </c>
      <c r="AX32">
        <v>8</v>
      </c>
      <c r="AZ32">
        <v>15</v>
      </c>
      <c r="BA32">
        <v>1700</v>
      </c>
      <c r="BB32">
        <v>34</v>
      </c>
      <c r="BC32">
        <v>7.2</v>
      </c>
      <c r="BD32">
        <v>50</v>
      </c>
      <c r="BE32">
        <v>4.0000000000000002E-4</v>
      </c>
      <c r="BF32">
        <v>2.87489038787993E-2</v>
      </c>
      <c r="BI32">
        <v>1.409093E-2</v>
      </c>
      <c r="BJ32">
        <v>0.26810330399999999</v>
      </c>
      <c r="BK32">
        <v>1825.25</v>
      </c>
      <c r="BL32">
        <v>5.8622106560745103E-2</v>
      </c>
      <c r="BM32">
        <v>6.2941176470588237E-2</v>
      </c>
      <c r="BN32">
        <v>0.87456561341297356</v>
      </c>
      <c r="BO32">
        <v>3.6440233892207234E-2</v>
      </c>
      <c r="BP32" t="s">
        <v>83</v>
      </c>
      <c r="BQ32" t="s">
        <v>83</v>
      </c>
      <c r="BR32">
        <v>0</v>
      </c>
      <c r="BS32" t="s">
        <v>83</v>
      </c>
      <c r="BT32">
        <v>94.649958161577231</v>
      </c>
      <c r="BU32">
        <v>3.6440233892207234E-2</v>
      </c>
      <c r="BV32">
        <v>0</v>
      </c>
    </row>
    <row r="33" spans="1:74" x14ac:dyDescent="0.25">
      <c r="A33" t="s">
        <v>55</v>
      </c>
      <c r="B33" t="s">
        <v>27</v>
      </c>
      <c r="C33">
        <v>12</v>
      </c>
      <c r="D33">
        <v>5</v>
      </c>
      <c r="F33" s="8">
        <v>45454.421145833301</v>
      </c>
      <c r="G33">
        <v>2716.05</v>
      </c>
      <c r="H33">
        <v>7.2</v>
      </c>
      <c r="I33">
        <v>0.5</v>
      </c>
      <c r="J33">
        <v>34</v>
      </c>
      <c r="L33">
        <v>2270.1149999999998</v>
      </c>
      <c r="M33">
        <v>21.7</v>
      </c>
      <c r="N33">
        <v>20</v>
      </c>
      <c r="O33">
        <v>92.5</v>
      </c>
      <c r="P33">
        <v>17</v>
      </c>
      <c r="Q33">
        <v>376</v>
      </c>
      <c r="R33">
        <v>1.28</v>
      </c>
      <c r="S33">
        <v>0.3</v>
      </c>
      <c r="T33">
        <v>5.03</v>
      </c>
      <c r="V33">
        <v>0.2</v>
      </c>
      <c r="W33">
        <v>0.54</v>
      </c>
      <c r="X33">
        <v>2.76</v>
      </c>
      <c r="Y33">
        <v>7.24</v>
      </c>
      <c r="Z33">
        <v>109.8</v>
      </c>
      <c r="AA33">
        <v>40.4</v>
      </c>
      <c r="AB33">
        <v>2.12</v>
      </c>
      <c r="AC33">
        <v>150.30000000000001</v>
      </c>
      <c r="AD33">
        <v>45.7</v>
      </c>
      <c r="AE33">
        <v>96.3</v>
      </c>
      <c r="AF33">
        <v>32.700000000000003</v>
      </c>
      <c r="AG33">
        <v>7.2809999999999997</v>
      </c>
      <c r="AH33">
        <v>299</v>
      </c>
      <c r="AJ33">
        <v>7.28</v>
      </c>
      <c r="AK33">
        <v>0.503</v>
      </c>
      <c r="AL33">
        <v>34</v>
      </c>
      <c r="AM33">
        <v>27.27</v>
      </c>
      <c r="AN33">
        <v>10.57</v>
      </c>
      <c r="AO33">
        <v>7</v>
      </c>
      <c r="AP33">
        <v>3.2747608574761916E-2</v>
      </c>
      <c r="AQ33">
        <v>104</v>
      </c>
      <c r="AR33">
        <v>47</v>
      </c>
      <c r="AW33">
        <v>57</v>
      </c>
      <c r="AX33">
        <v>0</v>
      </c>
      <c r="AZ33">
        <v>15</v>
      </c>
      <c r="BA33">
        <v>1700</v>
      </c>
      <c r="BB33">
        <v>34</v>
      </c>
      <c r="BC33">
        <v>7.2</v>
      </c>
      <c r="BD33">
        <v>50</v>
      </c>
      <c r="BE33">
        <v>4.0000000000000002E-4</v>
      </c>
      <c r="BF33">
        <v>2.5969554777765198E-2</v>
      </c>
      <c r="BI33">
        <v>1.452672E-2</v>
      </c>
      <c r="BJ33">
        <v>0.28149123600000003</v>
      </c>
      <c r="BK33">
        <v>1815.84</v>
      </c>
      <c r="BL33">
        <v>5.7273768613974804E-2</v>
      </c>
      <c r="BM33">
        <v>6.1176470588235297E-2</v>
      </c>
      <c r="BN33">
        <v>0.78594260579428599</v>
      </c>
      <c r="BO33">
        <v>3.2747608574761916E-2</v>
      </c>
      <c r="BP33" t="s">
        <v>83</v>
      </c>
      <c r="BQ33" t="s">
        <v>83</v>
      </c>
      <c r="BR33">
        <v>0</v>
      </c>
      <c r="BS33" t="s">
        <v>83</v>
      </c>
      <c r="BT33">
        <v>85.058723570810173</v>
      </c>
      <c r="BU33">
        <v>3.2747608574761916E-2</v>
      </c>
      <c r="BV33">
        <v>0</v>
      </c>
    </row>
    <row r="34" spans="1:74" x14ac:dyDescent="0.25">
      <c r="A34" t="s">
        <v>57</v>
      </c>
      <c r="B34" t="s">
        <v>26</v>
      </c>
      <c r="C34">
        <v>12</v>
      </c>
      <c r="D34">
        <v>5</v>
      </c>
      <c r="F34" s="8">
        <v>45454.425034722197</v>
      </c>
      <c r="G34">
        <v>2716.05</v>
      </c>
      <c r="H34">
        <v>7.2</v>
      </c>
      <c r="I34">
        <v>0.5</v>
      </c>
      <c r="J34">
        <v>34</v>
      </c>
      <c r="L34">
        <v>2325.9450000000002</v>
      </c>
      <c r="M34">
        <v>21.8</v>
      </c>
      <c r="N34">
        <v>20.9</v>
      </c>
      <c r="O34">
        <v>95.8</v>
      </c>
      <c r="P34">
        <v>16.899999999999999</v>
      </c>
      <c r="Q34">
        <v>349</v>
      </c>
      <c r="R34">
        <v>1.44</v>
      </c>
      <c r="S34">
        <v>0.27</v>
      </c>
      <c r="T34">
        <v>1.33</v>
      </c>
      <c r="V34">
        <v>0.16</v>
      </c>
      <c r="W34">
        <v>0.1</v>
      </c>
      <c r="X34">
        <v>1.83</v>
      </c>
      <c r="Y34">
        <v>7.2539999999999996</v>
      </c>
      <c r="Z34">
        <v>131.6</v>
      </c>
      <c r="AA34">
        <v>12.7</v>
      </c>
      <c r="AB34">
        <v>2.08</v>
      </c>
      <c r="AC34">
        <v>149.1</v>
      </c>
      <c r="AD34">
        <v>56.7</v>
      </c>
      <c r="AE34">
        <v>115.4</v>
      </c>
      <c r="AF34">
        <v>10.3</v>
      </c>
      <c r="AG34">
        <v>7.2949999999999999</v>
      </c>
      <c r="AH34">
        <v>299</v>
      </c>
      <c r="AJ34">
        <v>7.3</v>
      </c>
      <c r="AK34">
        <v>0.49399999999999999</v>
      </c>
      <c r="AL34">
        <v>34</v>
      </c>
      <c r="AM34">
        <v>24.77</v>
      </c>
      <c r="AN34">
        <v>3.99</v>
      </c>
      <c r="AO34">
        <v>8</v>
      </c>
      <c r="AP34">
        <v>2.2234696197237742E-2</v>
      </c>
      <c r="AQ34">
        <v>107</v>
      </c>
      <c r="AR34">
        <v>32</v>
      </c>
      <c r="AW34">
        <v>22</v>
      </c>
      <c r="AX34">
        <v>5</v>
      </c>
      <c r="AZ34">
        <v>15</v>
      </c>
      <c r="BA34">
        <v>1700</v>
      </c>
      <c r="BB34">
        <v>34</v>
      </c>
      <c r="BC34">
        <v>7.2</v>
      </c>
      <c r="BD34">
        <v>50</v>
      </c>
      <c r="BE34">
        <v>4.0000000000000002E-4</v>
      </c>
      <c r="BG34">
        <v>1.7829755938445199E-2</v>
      </c>
      <c r="BH34">
        <v>4.2762477749490602E-3</v>
      </c>
      <c r="BI34">
        <v>1.5012553599999999E-2</v>
      </c>
      <c r="BJ34">
        <v>0.28688002559999998</v>
      </c>
      <c r="BK34">
        <v>1795.76</v>
      </c>
      <c r="BL34">
        <v>5.9584799750523457E-2</v>
      </c>
      <c r="BM34">
        <v>6.2941176470588237E-2</v>
      </c>
      <c r="BN34">
        <v>0.53363270873370583</v>
      </c>
      <c r="BO34" t="s">
        <v>83</v>
      </c>
      <c r="BP34">
        <v>2.2234696197237742E-2</v>
      </c>
      <c r="BQ34" t="s">
        <v>83</v>
      </c>
      <c r="BR34" t="s">
        <v>83</v>
      </c>
      <c r="BS34">
        <v>7.6791147043425241</v>
      </c>
      <c r="BT34">
        <v>57.752457655162971</v>
      </c>
      <c r="BU34">
        <v>2.2234696197237742E-2</v>
      </c>
      <c r="BV34">
        <v>7.6791147043425241</v>
      </c>
    </row>
    <row r="35" spans="1:74" x14ac:dyDescent="0.25">
      <c r="A35" t="s">
        <v>58</v>
      </c>
      <c r="B35" t="s">
        <v>26</v>
      </c>
      <c r="C35">
        <v>12</v>
      </c>
      <c r="D35">
        <v>5</v>
      </c>
      <c r="F35" s="8">
        <v>45454.4282060185</v>
      </c>
      <c r="G35">
        <v>2716.05</v>
      </c>
      <c r="H35">
        <v>7.2</v>
      </c>
      <c r="I35">
        <v>0.5</v>
      </c>
      <c r="J35">
        <v>34</v>
      </c>
      <c r="L35">
        <v>2518.02</v>
      </c>
      <c r="M35">
        <v>25.2</v>
      </c>
      <c r="N35">
        <v>24.5</v>
      </c>
      <c r="O35">
        <v>96.9</v>
      </c>
      <c r="P35">
        <v>16.600000000000001</v>
      </c>
      <c r="Q35">
        <v>329</v>
      </c>
      <c r="R35">
        <v>1.47</v>
      </c>
      <c r="S35">
        <v>0.26</v>
      </c>
      <c r="T35">
        <v>1.21</v>
      </c>
      <c r="V35">
        <v>0.15</v>
      </c>
      <c r="W35">
        <v>7.0000000000000007E-2</v>
      </c>
      <c r="X35">
        <v>1</v>
      </c>
      <c r="Y35">
        <v>7.2539999999999996</v>
      </c>
      <c r="Z35">
        <v>133.6</v>
      </c>
      <c r="AA35">
        <v>21.9</v>
      </c>
      <c r="AB35">
        <v>2.06</v>
      </c>
      <c r="AC35">
        <v>143.69999999999999</v>
      </c>
      <c r="AD35">
        <v>57.6</v>
      </c>
      <c r="AE35">
        <v>117.1</v>
      </c>
      <c r="AF35">
        <v>17.7</v>
      </c>
      <c r="AG35">
        <v>7.2960000000000003</v>
      </c>
      <c r="AH35">
        <v>301</v>
      </c>
      <c r="AJ35">
        <v>7.3</v>
      </c>
      <c r="AK35">
        <v>0.495</v>
      </c>
      <c r="AL35">
        <v>34</v>
      </c>
      <c r="AM35">
        <v>21.77</v>
      </c>
      <c r="AN35">
        <v>28</v>
      </c>
      <c r="AO35">
        <v>8</v>
      </c>
      <c r="AP35">
        <v>2.5244879709235456E-2</v>
      </c>
      <c r="AQ35">
        <v>111</v>
      </c>
      <c r="AR35">
        <v>43</v>
      </c>
      <c r="AW35">
        <v>30</v>
      </c>
      <c r="AX35">
        <v>5</v>
      </c>
      <c r="AZ35">
        <v>15</v>
      </c>
      <c r="BA35">
        <v>1700</v>
      </c>
      <c r="BB35">
        <v>34</v>
      </c>
      <c r="BC35">
        <v>7.2</v>
      </c>
      <c r="BD35">
        <v>50</v>
      </c>
      <c r="BE35">
        <v>4.0000000000000002E-4</v>
      </c>
      <c r="BG35">
        <v>1.9845628425675201E-2</v>
      </c>
      <c r="BH35">
        <v>5.6019013817215999E-3</v>
      </c>
      <c r="BI35">
        <v>1.7951346E-2</v>
      </c>
      <c r="BJ35">
        <v>0.30660534719999999</v>
      </c>
      <c r="BK35">
        <v>1831.77</v>
      </c>
      <c r="BL35">
        <v>6.0597127368610691E-2</v>
      </c>
      <c r="BM35">
        <v>6.5294117647058822E-2</v>
      </c>
      <c r="BN35">
        <v>0.60587711302165093</v>
      </c>
      <c r="BO35" t="s">
        <v>83</v>
      </c>
      <c r="BP35">
        <v>2.5244879709235456E-2</v>
      </c>
      <c r="BQ35" t="s">
        <v>83</v>
      </c>
      <c r="BR35" t="s">
        <v>83</v>
      </c>
      <c r="BS35">
        <v>10.261394893996174</v>
      </c>
      <c r="BT35">
        <v>65.571116127884309</v>
      </c>
      <c r="BU35">
        <v>2.5244879709235456E-2</v>
      </c>
      <c r="BV35">
        <v>10.261394893996174</v>
      </c>
    </row>
    <row r="36" spans="1:74" x14ac:dyDescent="0.25">
      <c r="A36" t="s">
        <v>53</v>
      </c>
      <c r="B36" t="s">
        <v>28</v>
      </c>
      <c r="C36">
        <v>12</v>
      </c>
      <c r="D36">
        <v>6</v>
      </c>
      <c r="F36" s="8">
        <v>45455.407187500001</v>
      </c>
      <c r="G36">
        <v>3307.9</v>
      </c>
      <c r="H36">
        <v>7.2</v>
      </c>
      <c r="I36">
        <v>0.5</v>
      </c>
      <c r="J36">
        <v>34</v>
      </c>
      <c r="L36">
        <v>2801.43</v>
      </c>
      <c r="M36">
        <v>23.9</v>
      </c>
      <c r="N36">
        <v>22.4</v>
      </c>
      <c r="O36">
        <v>93.6</v>
      </c>
      <c r="P36">
        <v>16.399999999999999</v>
      </c>
      <c r="Q36">
        <v>365</v>
      </c>
      <c r="R36">
        <v>1</v>
      </c>
      <c r="S36">
        <v>0.28000000000000003</v>
      </c>
      <c r="T36">
        <v>2.63</v>
      </c>
      <c r="V36">
        <v>0.26</v>
      </c>
      <c r="W36">
        <v>0.02</v>
      </c>
      <c r="X36">
        <v>2.78</v>
      </c>
      <c r="Y36">
        <v>7.2560000000000002</v>
      </c>
      <c r="Z36">
        <v>112.8</v>
      </c>
      <c r="AA36">
        <v>28.8</v>
      </c>
      <c r="AB36">
        <v>2.59</v>
      </c>
      <c r="AC36">
        <v>155.4</v>
      </c>
      <c r="AD36">
        <v>48.9</v>
      </c>
      <c r="AE36">
        <v>99</v>
      </c>
      <c r="AF36">
        <v>23.3</v>
      </c>
      <c r="AG36">
        <v>7.298</v>
      </c>
      <c r="AH36">
        <v>299</v>
      </c>
      <c r="AJ36">
        <v>7.3</v>
      </c>
      <c r="AK36">
        <v>0.49700000000000005</v>
      </c>
      <c r="AL36">
        <v>34</v>
      </c>
      <c r="AM36">
        <v>31.32</v>
      </c>
      <c r="AN36">
        <v>35.200000000000003</v>
      </c>
      <c r="AO36">
        <v>6</v>
      </c>
      <c r="AQ36">
        <v>100</v>
      </c>
      <c r="AR36">
        <v>46</v>
      </c>
      <c r="AW36">
        <v>24</v>
      </c>
      <c r="AX36">
        <v>0</v>
      </c>
      <c r="AZ36">
        <v>15</v>
      </c>
      <c r="BA36">
        <v>1700</v>
      </c>
      <c r="BB36">
        <v>34</v>
      </c>
      <c r="BC36">
        <v>7.2</v>
      </c>
      <c r="BD36">
        <v>50</v>
      </c>
      <c r="BE36">
        <v>4.0000000000000002E-4</v>
      </c>
      <c r="BI36">
        <v>1.6329779199999998E-2</v>
      </c>
      <c r="BJ36">
        <v>0.40603036800000003</v>
      </c>
      <c r="BK36">
        <v>1822.52</v>
      </c>
      <c r="BL36">
        <v>5.4869082369466457E-2</v>
      </c>
      <c r="BM36">
        <v>5.8823529411764705E-2</v>
      </c>
      <c r="BN36">
        <v>0</v>
      </c>
      <c r="BO36" t="s">
        <v>83</v>
      </c>
      <c r="BP36" t="s">
        <v>83</v>
      </c>
      <c r="BQ36">
        <v>1.6329779199999998E-2</v>
      </c>
      <c r="BR36">
        <v>0</v>
      </c>
      <c r="BS36" t="s">
        <v>83</v>
      </c>
      <c r="BT36">
        <v>42.41501090909091</v>
      </c>
      <c r="BU36">
        <v>1.6329779199999998E-2</v>
      </c>
      <c r="BV36">
        <v>0</v>
      </c>
    </row>
    <row r="37" spans="1:74" x14ac:dyDescent="0.25">
      <c r="A37" t="s">
        <v>54</v>
      </c>
      <c r="B37" t="s">
        <v>27</v>
      </c>
      <c r="C37">
        <v>12</v>
      </c>
      <c r="D37">
        <v>6</v>
      </c>
      <c r="F37" s="8">
        <v>45455.410543981503</v>
      </c>
      <c r="G37">
        <v>3307.9</v>
      </c>
      <c r="H37">
        <v>7.2</v>
      </c>
      <c r="I37">
        <v>0.5</v>
      </c>
      <c r="J37">
        <v>34</v>
      </c>
      <c r="L37">
        <v>2795.67</v>
      </c>
      <c r="M37">
        <v>21.4</v>
      </c>
      <c r="N37">
        <v>20.3</v>
      </c>
      <c r="O37">
        <v>95.3</v>
      </c>
      <c r="P37">
        <v>18</v>
      </c>
      <c r="Q37">
        <v>414</v>
      </c>
      <c r="R37">
        <v>1.62</v>
      </c>
      <c r="S37">
        <v>0.28999999999999998</v>
      </c>
      <c r="T37">
        <v>6.08</v>
      </c>
      <c r="V37">
        <v>0.57999999999999996</v>
      </c>
      <c r="W37">
        <v>0.9</v>
      </c>
      <c r="X37">
        <v>2.4700000000000002</v>
      </c>
      <c r="Y37">
        <v>7.194</v>
      </c>
      <c r="Z37">
        <v>155.9</v>
      </c>
      <c r="AA37">
        <v>21</v>
      </c>
      <c r="AB37">
        <v>1.79</v>
      </c>
      <c r="AC37">
        <v>164.1</v>
      </c>
      <c r="AD37">
        <v>58.4</v>
      </c>
      <c r="AE37">
        <v>136.69999999999999</v>
      </c>
      <c r="AF37">
        <v>17</v>
      </c>
      <c r="AG37">
        <v>7.234</v>
      </c>
      <c r="AH37">
        <v>300</v>
      </c>
      <c r="AJ37">
        <v>7.22</v>
      </c>
      <c r="AK37">
        <v>0.49700000000000005</v>
      </c>
      <c r="AL37">
        <v>34</v>
      </c>
      <c r="AM37">
        <v>33.53</v>
      </c>
      <c r="AN37">
        <v>6.72</v>
      </c>
      <c r="AO37">
        <v>4</v>
      </c>
      <c r="AQ37">
        <v>160</v>
      </c>
      <c r="AR37">
        <v>55</v>
      </c>
      <c r="AW37">
        <v>53</v>
      </c>
      <c r="AX37">
        <v>0</v>
      </c>
      <c r="AZ37">
        <v>15</v>
      </c>
      <c r="BA37">
        <v>1700</v>
      </c>
      <c r="BB37">
        <v>34</v>
      </c>
      <c r="BC37">
        <v>7.2</v>
      </c>
      <c r="BD37">
        <v>50</v>
      </c>
      <c r="BE37">
        <v>4.0000000000000002E-4</v>
      </c>
      <c r="BF37">
        <v>1.3368395543308501E-2</v>
      </c>
      <c r="BI37">
        <v>1.512959E-2</v>
      </c>
      <c r="BJ37">
        <v>0.33818231999999998</v>
      </c>
      <c r="BK37">
        <v>1863.25</v>
      </c>
      <c r="BL37">
        <v>8.5871461156581244E-2</v>
      </c>
      <c r="BM37">
        <v>9.4117647058823528E-2</v>
      </c>
      <c r="BN37">
        <v>0</v>
      </c>
      <c r="BO37">
        <v>1.7297682636159419E-2</v>
      </c>
      <c r="BP37" t="s">
        <v>83</v>
      </c>
      <c r="BQ37" t="s">
        <v>83</v>
      </c>
      <c r="BR37">
        <v>0</v>
      </c>
      <c r="BS37" t="s">
        <v>83</v>
      </c>
      <c r="BT37">
        <v>44.929045808206283</v>
      </c>
      <c r="BU37">
        <v>1.7297682636159419E-2</v>
      </c>
      <c r="BV37">
        <v>0</v>
      </c>
    </row>
    <row r="38" spans="1:74" x14ac:dyDescent="0.25">
      <c r="A38" t="s">
        <v>55</v>
      </c>
      <c r="B38" t="s">
        <v>27</v>
      </c>
      <c r="C38">
        <v>12</v>
      </c>
      <c r="D38">
        <v>6</v>
      </c>
      <c r="F38" s="8">
        <v>45455.413958333302</v>
      </c>
      <c r="G38">
        <v>3307.9</v>
      </c>
      <c r="H38">
        <v>7.2</v>
      </c>
      <c r="I38">
        <v>0.5</v>
      </c>
      <c r="J38">
        <v>34</v>
      </c>
      <c r="L38">
        <v>2845.89</v>
      </c>
      <c r="M38">
        <v>21.6</v>
      </c>
      <c r="N38">
        <v>20.3</v>
      </c>
      <c r="O38">
        <v>94.2</v>
      </c>
      <c r="P38">
        <v>17.5</v>
      </c>
      <c r="Q38">
        <v>400</v>
      </c>
      <c r="R38">
        <v>1.54</v>
      </c>
      <c r="S38">
        <v>0.28999999999999998</v>
      </c>
      <c r="T38">
        <v>5.62</v>
      </c>
      <c r="V38">
        <v>0.57999999999999996</v>
      </c>
      <c r="W38">
        <v>1.03</v>
      </c>
      <c r="X38">
        <v>2.1</v>
      </c>
      <c r="Y38">
        <v>7.2380000000000004</v>
      </c>
      <c r="Z38">
        <v>121.7</v>
      </c>
      <c r="AA38">
        <v>18.2</v>
      </c>
      <c r="AB38">
        <v>1.86</v>
      </c>
      <c r="AC38">
        <v>155.6</v>
      </c>
      <c r="AD38">
        <v>50.5</v>
      </c>
      <c r="AE38">
        <v>106.7</v>
      </c>
      <c r="AF38">
        <v>14.7</v>
      </c>
      <c r="AG38">
        <v>7.2789999999999999</v>
      </c>
      <c r="AH38">
        <v>301</v>
      </c>
      <c r="AJ38">
        <v>7.27</v>
      </c>
      <c r="AK38">
        <v>0.51100000000000001</v>
      </c>
      <c r="AL38">
        <v>34</v>
      </c>
      <c r="AM38">
        <v>27.27</v>
      </c>
      <c r="AN38">
        <v>10.57</v>
      </c>
      <c r="AO38">
        <v>7</v>
      </c>
      <c r="AQ38">
        <v>152</v>
      </c>
      <c r="AR38">
        <v>47</v>
      </c>
      <c r="AW38">
        <v>48</v>
      </c>
      <c r="AX38">
        <v>0</v>
      </c>
      <c r="AZ38">
        <v>15</v>
      </c>
      <c r="BA38">
        <v>1700</v>
      </c>
      <c r="BB38">
        <v>34</v>
      </c>
      <c r="BC38">
        <v>7.2</v>
      </c>
      <c r="BD38">
        <v>50</v>
      </c>
      <c r="BE38">
        <v>4.0000000000000002E-4</v>
      </c>
      <c r="BF38">
        <v>1.6192580649375399E-2</v>
      </c>
      <c r="BI38">
        <v>1.5004460800000001E-2</v>
      </c>
      <c r="BJ38">
        <v>0.34864128</v>
      </c>
      <c r="BK38">
        <v>1847.84</v>
      </c>
      <c r="BL38">
        <v>8.2258204173521518E-2</v>
      </c>
      <c r="BM38">
        <v>8.9411764705882357E-2</v>
      </c>
      <c r="BN38">
        <v>0</v>
      </c>
      <c r="BO38">
        <v>2.077867932440405E-2</v>
      </c>
      <c r="BP38" t="s">
        <v>83</v>
      </c>
      <c r="BQ38" t="s">
        <v>83</v>
      </c>
      <c r="BR38">
        <v>0</v>
      </c>
      <c r="BS38" t="s">
        <v>83</v>
      </c>
      <c r="BT38">
        <v>53.970595647802732</v>
      </c>
      <c r="BU38">
        <v>2.077867932440405E-2</v>
      </c>
      <c r="BV38">
        <v>0</v>
      </c>
    </row>
    <row r="39" spans="1:74" x14ac:dyDescent="0.25">
      <c r="A39" t="s">
        <v>57</v>
      </c>
      <c r="B39" t="s">
        <v>26</v>
      </c>
      <c r="C39">
        <v>12</v>
      </c>
      <c r="D39">
        <v>6</v>
      </c>
      <c r="F39" s="8">
        <v>45455.418726851902</v>
      </c>
      <c r="G39">
        <v>3307.9</v>
      </c>
      <c r="H39">
        <v>7.2</v>
      </c>
      <c r="I39">
        <v>0.5</v>
      </c>
      <c r="J39">
        <v>34</v>
      </c>
      <c r="L39">
        <v>2965.59</v>
      </c>
      <c r="M39">
        <v>23.6</v>
      </c>
      <c r="N39">
        <v>22.8</v>
      </c>
      <c r="O39">
        <v>96.4</v>
      </c>
      <c r="P39">
        <v>17.2</v>
      </c>
      <c r="Q39">
        <v>351</v>
      </c>
      <c r="R39">
        <v>1.4</v>
      </c>
      <c r="S39">
        <v>0.26</v>
      </c>
      <c r="T39">
        <v>2.65</v>
      </c>
      <c r="V39">
        <v>0.22</v>
      </c>
      <c r="W39">
        <v>0</v>
      </c>
      <c r="X39">
        <v>1.29</v>
      </c>
      <c r="Y39">
        <v>7.2629999999999999</v>
      </c>
      <c r="Z39">
        <v>131.1</v>
      </c>
      <c r="AA39">
        <v>21.2</v>
      </c>
      <c r="AB39">
        <v>1.92</v>
      </c>
      <c r="AC39">
        <v>150.9</v>
      </c>
      <c r="AD39">
        <v>57.6</v>
      </c>
      <c r="AE39">
        <v>115</v>
      </c>
      <c r="AF39">
        <v>17.2</v>
      </c>
      <c r="AG39">
        <v>7.3040000000000003</v>
      </c>
      <c r="AH39">
        <v>300</v>
      </c>
      <c r="AJ39">
        <v>7.3</v>
      </c>
      <c r="AK39">
        <v>0.47899999999999998</v>
      </c>
      <c r="AL39">
        <v>34</v>
      </c>
      <c r="AM39">
        <v>24.77</v>
      </c>
      <c r="AN39">
        <v>8.68</v>
      </c>
      <c r="AO39">
        <v>10</v>
      </c>
      <c r="AQ39">
        <v>138</v>
      </c>
      <c r="AR39">
        <v>40</v>
      </c>
      <c r="AW39">
        <v>31</v>
      </c>
      <c r="AX39">
        <v>8</v>
      </c>
      <c r="AZ39">
        <v>15</v>
      </c>
      <c r="BA39">
        <v>1700</v>
      </c>
      <c r="BB39">
        <v>34</v>
      </c>
      <c r="BC39">
        <v>7.2</v>
      </c>
      <c r="BD39">
        <v>50</v>
      </c>
      <c r="BE39">
        <v>4.0000000000000002E-4</v>
      </c>
      <c r="BG39">
        <v>1.7536108436848299E-2</v>
      </c>
      <c r="BH39">
        <v>4.6517617677274302E-3</v>
      </c>
      <c r="BI39">
        <v>1.6648104000000004E-2</v>
      </c>
      <c r="BJ39">
        <v>0.36030128639999998</v>
      </c>
      <c r="BK39">
        <v>1825.45</v>
      </c>
      <c r="BL39">
        <v>7.559779780328138E-2</v>
      </c>
      <c r="BM39">
        <v>8.1176470588235294E-2</v>
      </c>
      <c r="BN39">
        <v>0</v>
      </c>
      <c r="BO39" t="s">
        <v>83</v>
      </c>
      <c r="BP39">
        <v>2.2230061906975504E-2</v>
      </c>
      <c r="BQ39" t="s">
        <v>83</v>
      </c>
      <c r="BS39">
        <v>8.4915585188980369</v>
      </c>
      <c r="BT39">
        <v>57.740420537598716</v>
      </c>
      <c r="BU39">
        <v>2.2230061906975504E-2</v>
      </c>
      <c r="BV39">
        <v>8.4915585188980369</v>
      </c>
    </row>
    <row r="40" spans="1:74" x14ac:dyDescent="0.25">
      <c r="A40" t="s">
        <v>58</v>
      </c>
      <c r="B40" t="s">
        <v>26</v>
      </c>
      <c r="C40">
        <v>12</v>
      </c>
      <c r="D40">
        <v>6</v>
      </c>
      <c r="F40" s="8">
        <v>45455.421655092599</v>
      </c>
      <c r="G40">
        <v>3307.9</v>
      </c>
      <c r="H40">
        <v>7.2</v>
      </c>
      <c r="I40">
        <v>0.5</v>
      </c>
      <c r="J40">
        <v>34</v>
      </c>
      <c r="L40">
        <v>3271.2750000000001</v>
      </c>
      <c r="M40">
        <v>25.1</v>
      </c>
      <c r="N40">
        <v>24.5</v>
      </c>
      <c r="O40">
        <v>97.7</v>
      </c>
      <c r="P40">
        <v>16.7</v>
      </c>
      <c r="Q40">
        <v>343</v>
      </c>
      <c r="R40">
        <v>1.59</v>
      </c>
      <c r="S40">
        <v>0.26</v>
      </c>
      <c r="T40">
        <v>1.36</v>
      </c>
      <c r="V40">
        <v>0.23</v>
      </c>
      <c r="W40">
        <v>0</v>
      </c>
      <c r="X40">
        <v>0.63</v>
      </c>
      <c r="Y40">
        <v>7.2539999999999996</v>
      </c>
      <c r="Z40">
        <v>135.19999999999999</v>
      </c>
      <c r="AA40">
        <v>21.3</v>
      </c>
      <c r="AB40">
        <v>1.92</v>
      </c>
      <c r="AC40">
        <v>149.4</v>
      </c>
      <c r="AD40">
        <v>58.3</v>
      </c>
      <c r="AE40">
        <v>118.5</v>
      </c>
      <c r="AF40">
        <v>17.3</v>
      </c>
      <c r="AG40">
        <v>7.2960000000000003</v>
      </c>
      <c r="AH40">
        <v>303</v>
      </c>
      <c r="AJ40">
        <v>7.3</v>
      </c>
      <c r="AK40">
        <v>0.50700000000000001</v>
      </c>
      <c r="AL40">
        <v>34</v>
      </c>
      <c r="AM40">
        <v>21.77</v>
      </c>
      <c r="AN40">
        <v>30.46</v>
      </c>
      <c r="AO40">
        <v>10</v>
      </c>
      <c r="AQ40">
        <v>147</v>
      </c>
      <c r="AR40">
        <v>54</v>
      </c>
      <c r="AW40">
        <v>36</v>
      </c>
      <c r="AX40">
        <v>11</v>
      </c>
      <c r="AZ40">
        <v>15</v>
      </c>
      <c r="BA40">
        <v>1700</v>
      </c>
      <c r="BB40">
        <v>34</v>
      </c>
      <c r="BC40">
        <v>7.2</v>
      </c>
      <c r="BD40">
        <v>50</v>
      </c>
      <c r="BE40">
        <v>4.0000000000000002E-4</v>
      </c>
      <c r="BG40">
        <v>1.61476013472261E-2</v>
      </c>
      <c r="BH40">
        <v>1.2435898508473199E-3</v>
      </c>
      <c r="BI40">
        <v>1.8298854E-2</v>
      </c>
      <c r="BJ40">
        <v>0.430832304</v>
      </c>
      <c r="BK40">
        <v>1867.23</v>
      </c>
      <c r="BL40">
        <v>7.8726241544962328E-2</v>
      </c>
      <c r="BM40">
        <v>8.6470588235294119E-2</v>
      </c>
      <c r="BN40">
        <v>0</v>
      </c>
      <c r="BO40" t="s">
        <v>83</v>
      </c>
      <c r="BP40">
        <v>2.0938392821931242E-2</v>
      </c>
      <c r="BQ40" t="s">
        <v>83</v>
      </c>
      <c r="BR40" t="s">
        <v>83</v>
      </c>
      <c r="BS40">
        <v>2.3220682771976411</v>
      </c>
      <c r="BT40">
        <v>54.385435901120111</v>
      </c>
      <c r="BU40">
        <v>2.0938392821931242E-2</v>
      </c>
      <c r="BV40">
        <v>2.3220682771976411</v>
      </c>
    </row>
    <row r="41" spans="1:74" x14ac:dyDescent="0.25">
      <c r="A41" t="s">
        <v>53</v>
      </c>
      <c r="B41" t="s">
        <v>28</v>
      </c>
      <c r="C41">
        <v>12</v>
      </c>
      <c r="D41">
        <v>7</v>
      </c>
      <c r="F41" s="8">
        <v>45456.4049884259</v>
      </c>
      <c r="G41">
        <v>3888.32</v>
      </c>
      <c r="H41">
        <v>7.2</v>
      </c>
      <c r="I41">
        <v>0.5</v>
      </c>
      <c r="J41">
        <v>34</v>
      </c>
      <c r="L41">
        <v>3347.97</v>
      </c>
      <c r="M41">
        <v>24</v>
      </c>
      <c r="N41">
        <v>22.6</v>
      </c>
      <c r="O41">
        <v>94.4</v>
      </c>
      <c r="P41">
        <v>16.600000000000001</v>
      </c>
      <c r="Q41">
        <v>365</v>
      </c>
      <c r="R41">
        <v>1.07</v>
      </c>
      <c r="S41">
        <v>0.25</v>
      </c>
      <c r="T41">
        <v>2.82</v>
      </c>
      <c r="V41">
        <v>0.26</v>
      </c>
      <c r="W41">
        <v>0.05</v>
      </c>
      <c r="X41">
        <v>2.35</v>
      </c>
      <c r="Y41">
        <v>7.2539999999999996</v>
      </c>
      <c r="Z41">
        <v>114.8</v>
      </c>
      <c r="AA41">
        <v>29.2</v>
      </c>
      <c r="AB41">
        <v>2.38</v>
      </c>
      <c r="AC41">
        <v>156.9</v>
      </c>
      <c r="AD41">
        <v>49.4</v>
      </c>
      <c r="AE41">
        <v>100.7</v>
      </c>
      <c r="AF41">
        <v>23.6</v>
      </c>
      <c r="AG41">
        <v>7.2949999999999999</v>
      </c>
      <c r="AH41">
        <v>301</v>
      </c>
      <c r="AJ41">
        <v>7.3</v>
      </c>
      <c r="AK41">
        <v>0.495</v>
      </c>
      <c r="AL41">
        <v>34</v>
      </c>
      <c r="AM41">
        <v>31.32</v>
      </c>
      <c r="AN41">
        <v>48.44</v>
      </c>
      <c r="AO41">
        <v>6</v>
      </c>
      <c r="AQ41">
        <v>124</v>
      </c>
      <c r="AR41">
        <v>46</v>
      </c>
      <c r="AW41">
        <v>24</v>
      </c>
      <c r="AX41">
        <v>0</v>
      </c>
      <c r="AZ41">
        <v>15</v>
      </c>
      <c r="BA41">
        <v>1700</v>
      </c>
      <c r="BB41">
        <v>34</v>
      </c>
      <c r="BC41">
        <v>7.2</v>
      </c>
      <c r="BD41">
        <v>50</v>
      </c>
      <c r="BE41">
        <v>4.0000000000000002E-4</v>
      </c>
      <c r="BI41">
        <v>1.6667590400000001E-2</v>
      </c>
      <c r="BJ41">
        <v>0.39191470079999996</v>
      </c>
      <c r="BK41">
        <v>1843.76</v>
      </c>
      <c r="BL41">
        <v>6.7253872521369371E-2</v>
      </c>
      <c r="BM41">
        <v>7.2941176470588232E-2</v>
      </c>
      <c r="BN41">
        <v>0</v>
      </c>
      <c r="BO41" t="s">
        <v>83</v>
      </c>
      <c r="BP41" t="s">
        <v>83</v>
      </c>
      <c r="BQ41">
        <v>1.6667590400000001E-2</v>
      </c>
      <c r="BR41">
        <v>0</v>
      </c>
      <c r="BS41" t="s">
        <v>83</v>
      </c>
      <c r="BT41">
        <v>43.292442597402605</v>
      </c>
      <c r="BU41">
        <v>1.6667590400000001E-2</v>
      </c>
      <c r="BV41">
        <v>0</v>
      </c>
    </row>
    <row r="42" spans="1:74" x14ac:dyDescent="0.25">
      <c r="A42" t="s">
        <v>54</v>
      </c>
      <c r="B42" t="s">
        <v>27</v>
      </c>
      <c r="C42">
        <v>12</v>
      </c>
      <c r="D42">
        <v>7</v>
      </c>
      <c r="F42" s="8">
        <v>45456.408564814803</v>
      </c>
      <c r="G42">
        <v>3888.32</v>
      </c>
      <c r="H42">
        <v>7.2</v>
      </c>
      <c r="I42">
        <v>0.5</v>
      </c>
      <c r="J42">
        <v>34</v>
      </c>
      <c r="L42">
        <v>3384.48</v>
      </c>
      <c r="M42">
        <v>21.4</v>
      </c>
      <c r="N42">
        <v>20.5</v>
      </c>
      <c r="O42">
        <v>96</v>
      </c>
      <c r="P42">
        <v>18.100000000000001</v>
      </c>
      <c r="Q42">
        <v>402</v>
      </c>
      <c r="R42">
        <v>1.69</v>
      </c>
      <c r="S42">
        <v>0.26</v>
      </c>
      <c r="T42">
        <v>3.4</v>
      </c>
      <c r="V42">
        <v>0.43</v>
      </c>
      <c r="W42">
        <v>0.11</v>
      </c>
      <c r="X42">
        <v>1.93</v>
      </c>
      <c r="Y42">
        <v>7.2320000000000002</v>
      </c>
      <c r="Z42">
        <v>156.6</v>
      </c>
      <c r="AA42">
        <v>21.3</v>
      </c>
      <c r="AB42">
        <v>1.6</v>
      </c>
      <c r="AC42">
        <v>165.4</v>
      </c>
      <c r="AD42">
        <v>64.099999999999994</v>
      </c>
      <c r="AE42">
        <v>137.30000000000001</v>
      </c>
      <c r="AF42">
        <v>17.2</v>
      </c>
      <c r="AG42">
        <v>7.2729999999999997</v>
      </c>
      <c r="AH42">
        <v>300</v>
      </c>
      <c r="AJ42">
        <v>7.25</v>
      </c>
      <c r="AK42">
        <v>0.51600000000000001</v>
      </c>
      <c r="AL42">
        <v>34</v>
      </c>
      <c r="AM42">
        <v>33.53</v>
      </c>
      <c r="AN42">
        <v>6.72</v>
      </c>
      <c r="AO42">
        <v>5</v>
      </c>
      <c r="AQ42">
        <v>187</v>
      </c>
      <c r="AR42">
        <v>55</v>
      </c>
      <c r="AW42">
        <v>27</v>
      </c>
      <c r="AX42">
        <v>0</v>
      </c>
      <c r="AZ42">
        <v>15</v>
      </c>
      <c r="BA42">
        <v>1700</v>
      </c>
      <c r="BB42">
        <v>34</v>
      </c>
      <c r="BC42">
        <v>7.2</v>
      </c>
      <c r="BD42">
        <v>50</v>
      </c>
      <c r="BE42">
        <v>4.0000000000000002E-4</v>
      </c>
      <c r="BF42">
        <v>2.5062731433902599E-2</v>
      </c>
      <c r="BI42">
        <v>1.537705E-2</v>
      </c>
      <c r="BJ42">
        <v>0.36311016000000002</v>
      </c>
      <c r="BK42">
        <v>1875.25</v>
      </c>
      <c r="BL42">
        <v>9.9720037328356215E-2</v>
      </c>
      <c r="BM42">
        <v>0.11</v>
      </c>
      <c r="BN42">
        <v>0</v>
      </c>
      <c r="BO42">
        <v>3.2638116056545728E-2</v>
      </c>
      <c r="BP42" t="s">
        <v>83</v>
      </c>
      <c r="BQ42" t="s">
        <v>83</v>
      </c>
      <c r="BR42">
        <v>0</v>
      </c>
      <c r="BS42" t="s">
        <v>83</v>
      </c>
      <c r="BT42">
        <v>84.774327419599302</v>
      </c>
      <c r="BU42">
        <v>3.2638116056545728E-2</v>
      </c>
      <c r="BV42">
        <v>0</v>
      </c>
    </row>
    <row r="43" spans="1:74" x14ac:dyDescent="0.25">
      <c r="A43" t="s">
        <v>55</v>
      </c>
      <c r="B43" t="s">
        <v>27</v>
      </c>
      <c r="C43">
        <v>12</v>
      </c>
      <c r="D43">
        <v>7</v>
      </c>
      <c r="F43" s="8">
        <v>45456.4118171296</v>
      </c>
      <c r="G43">
        <v>3888.32</v>
      </c>
      <c r="H43">
        <v>7.2</v>
      </c>
      <c r="I43">
        <v>0.5</v>
      </c>
      <c r="J43">
        <v>34</v>
      </c>
      <c r="L43">
        <v>3525.24</v>
      </c>
      <c r="M43">
        <v>20.8</v>
      </c>
      <c r="N43">
        <v>19.7</v>
      </c>
      <c r="O43">
        <v>94.8</v>
      </c>
      <c r="P43">
        <v>18</v>
      </c>
      <c r="Q43">
        <v>382</v>
      </c>
      <c r="R43">
        <v>1.69</v>
      </c>
      <c r="S43">
        <v>0.26</v>
      </c>
      <c r="T43">
        <v>3.58</v>
      </c>
      <c r="V43">
        <v>0.48</v>
      </c>
      <c r="W43">
        <v>0.5</v>
      </c>
      <c r="X43">
        <v>1.71</v>
      </c>
      <c r="Y43">
        <v>7.24</v>
      </c>
      <c r="Z43">
        <v>128.5</v>
      </c>
      <c r="AA43">
        <v>13.6</v>
      </c>
      <c r="AB43">
        <v>1.68</v>
      </c>
      <c r="AC43">
        <v>157.69999999999999</v>
      </c>
      <c r="AD43">
        <v>53.5</v>
      </c>
      <c r="AE43">
        <v>112.7</v>
      </c>
      <c r="AF43">
        <v>11</v>
      </c>
      <c r="AG43">
        <v>7.2809999999999997</v>
      </c>
      <c r="AH43">
        <v>300</v>
      </c>
      <c r="AJ43">
        <v>7.26</v>
      </c>
      <c r="AK43">
        <v>0.48399999999999999</v>
      </c>
      <c r="AL43">
        <v>34</v>
      </c>
      <c r="AM43">
        <v>27.27</v>
      </c>
      <c r="AN43">
        <v>10.57</v>
      </c>
      <c r="AO43">
        <v>7</v>
      </c>
      <c r="AQ43">
        <v>183</v>
      </c>
      <c r="AR43">
        <v>47</v>
      </c>
      <c r="AW43">
        <v>31</v>
      </c>
      <c r="AX43">
        <v>0</v>
      </c>
      <c r="AZ43">
        <v>15</v>
      </c>
      <c r="BA43">
        <v>1700</v>
      </c>
      <c r="BB43">
        <v>34</v>
      </c>
      <c r="BC43">
        <v>7.2</v>
      </c>
      <c r="BD43">
        <v>50</v>
      </c>
      <c r="BE43">
        <v>4.0000000000000002E-4</v>
      </c>
      <c r="BF43">
        <v>1.39703591248772E-2</v>
      </c>
      <c r="BI43">
        <v>1.46791792E-2</v>
      </c>
      <c r="BJ43">
        <v>0.36010705920000002</v>
      </c>
      <c r="BK43">
        <v>1862.8400000000001</v>
      </c>
      <c r="BL43">
        <v>9.8237100341414182E-2</v>
      </c>
      <c r="BM43">
        <v>0.10764705882352942</v>
      </c>
      <c r="BN43">
        <v>0</v>
      </c>
      <c r="BO43">
        <v>1.8072599855684893E-2</v>
      </c>
      <c r="BP43" t="s">
        <v>83</v>
      </c>
      <c r="BQ43" t="s">
        <v>83</v>
      </c>
      <c r="BR43">
        <v>0</v>
      </c>
      <c r="BS43" t="s">
        <v>83</v>
      </c>
      <c r="BT43">
        <v>46.941817806973752</v>
      </c>
      <c r="BU43">
        <v>1.8072599855684893E-2</v>
      </c>
      <c r="BV43">
        <v>0</v>
      </c>
    </row>
    <row r="44" spans="1:74" x14ac:dyDescent="0.25">
      <c r="A44" t="s">
        <v>57</v>
      </c>
      <c r="B44" t="s">
        <v>26</v>
      </c>
      <c r="C44">
        <v>12</v>
      </c>
      <c r="D44">
        <v>7</v>
      </c>
      <c r="F44" s="8">
        <v>45456.416608796302</v>
      </c>
      <c r="G44">
        <v>3888.32</v>
      </c>
      <c r="H44">
        <v>7.2</v>
      </c>
      <c r="I44">
        <v>0.5</v>
      </c>
      <c r="J44">
        <v>34</v>
      </c>
      <c r="L44">
        <v>3579.9450000000002</v>
      </c>
      <c r="M44">
        <v>22.7</v>
      </c>
      <c r="N44">
        <v>21.8</v>
      </c>
      <c r="O44">
        <v>96.3</v>
      </c>
      <c r="P44">
        <v>17.3</v>
      </c>
      <c r="Q44">
        <v>363</v>
      </c>
      <c r="R44">
        <v>1.53</v>
      </c>
      <c r="S44">
        <v>0.23</v>
      </c>
      <c r="T44">
        <v>2.94</v>
      </c>
      <c r="V44">
        <v>0.34</v>
      </c>
      <c r="W44">
        <v>0.03</v>
      </c>
      <c r="X44">
        <v>1.1299999999999999</v>
      </c>
      <c r="Y44">
        <v>7.2320000000000002</v>
      </c>
      <c r="Z44">
        <v>137.19999999999999</v>
      </c>
      <c r="AA44">
        <v>12.5</v>
      </c>
      <c r="AB44">
        <v>1.68</v>
      </c>
      <c r="AC44">
        <v>151.30000000000001</v>
      </c>
      <c r="AD44">
        <v>56.1</v>
      </c>
      <c r="AE44">
        <v>120.4</v>
      </c>
      <c r="AF44">
        <v>10.1</v>
      </c>
      <c r="AG44">
        <v>7.2729999999999997</v>
      </c>
      <c r="AH44">
        <v>300</v>
      </c>
      <c r="AJ44">
        <v>7.27</v>
      </c>
      <c r="AK44">
        <v>0.48899999999999999</v>
      </c>
      <c r="AL44">
        <v>34</v>
      </c>
      <c r="AM44">
        <v>24.77</v>
      </c>
      <c r="AN44">
        <v>8.94</v>
      </c>
      <c r="AO44">
        <v>11</v>
      </c>
      <c r="AQ44">
        <v>170</v>
      </c>
      <c r="AR44">
        <v>50</v>
      </c>
      <c r="AW44">
        <v>32</v>
      </c>
      <c r="AX44">
        <v>10</v>
      </c>
      <c r="AZ44">
        <v>15</v>
      </c>
      <c r="BA44">
        <v>1700</v>
      </c>
      <c r="BB44">
        <v>34</v>
      </c>
      <c r="BC44">
        <v>7.2</v>
      </c>
      <c r="BD44">
        <v>50</v>
      </c>
      <c r="BE44">
        <v>4.0000000000000002E-4</v>
      </c>
      <c r="BG44">
        <v>1.4730434815927999E-2</v>
      </c>
      <c r="BH44">
        <v>9.9999999999999995E-8</v>
      </c>
      <c r="BI44">
        <v>1.6155631200000003E-2</v>
      </c>
      <c r="BJ44">
        <v>0.39955449600000009</v>
      </c>
      <c r="BK44">
        <v>1852.71</v>
      </c>
      <c r="BL44">
        <v>9.1757479583960785E-2</v>
      </c>
      <c r="BM44">
        <v>0.1</v>
      </c>
      <c r="BN44">
        <v>0</v>
      </c>
      <c r="BO44" t="s">
        <v>83</v>
      </c>
      <c r="BP44">
        <v>1.8952238810984696E-2</v>
      </c>
      <c r="BQ44" t="s">
        <v>83</v>
      </c>
      <c r="BR44">
        <v>0</v>
      </c>
      <c r="BS44">
        <v>1.8527099999999998E-4</v>
      </c>
      <c r="BT44">
        <v>49.226594314245965</v>
      </c>
      <c r="BU44">
        <v>1.8952238810984696E-2</v>
      </c>
      <c r="BV44">
        <v>0</v>
      </c>
    </row>
    <row r="45" spans="1:74" x14ac:dyDescent="0.25">
      <c r="A45" t="s">
        <v>58</v>
      </c>
      <c r="B45" t="s">
        <v>26</v>
      </c>
      <c r="C45">
        <v>12</v>
      </c>
      <c r="D45">
        <v>7</v>
      </c>
      <c r="F45" s="8">
        <v>45456.431018518502</v>
      </c>
      <c r="G45">
        <v>3888.32</v>
      </c>
      <c r="H45">
        <v>7.2</v>
      </c>
      <c r="I45">
        <v>0.5</v>
      </c>
      <c r="J45">
        <v>34</v>
      </c>
      <c r="L45">
        <v>3974.04</v>
      </c>
      <c r="M45">
        <v>23.8</v>
      </c>
      <c r="N45">
        <v>23.1</v>
      </c>
      <c r="O45">
        <v>97.3</v>
      </c>
      <c r="P45">
        <v>16.899999999999999</v>
      </c>
      <c r="Q45">
        <v>332</v>
      </c>
      <c r="R45">
        <v>1.99</v>
      </c>
      <c r="S45">
        <v>0.24</v>
      </c>
      <c r="T45">
        <v>0.19</v>
      </c>
      <c r="V45">
        <v>0.32</v>
      </c>
      <c r="W45">
        <v>0</v>
      </c>
      <c r="X45">
        <v>0.32</v>
      </c>
      <c r="Y45">
        <v>7.2569999999999997</v>
      </c>
      <c r="Z45">
        <v>137.19999999999999</v>
      </c>
      <c r="AA45">
        <v>15.3</v>
      </c>
      <c r="AB45">
        <v>1.85</v>
      </c>
      <c r="AC45">
        <v>151.19999999999999</v>
      </c>
      <c r="AD45">
        <v>59.5</v>
      </c>
      <c r="AE45">
        <v>120.3</v>
      </c>
      <c r="AF45">
        <v>12.4</v>
      </c>
      <c r="AG45">
        <v>7.298</v>
      </c>
      <c r="AH45">
        <v>301</v>
      </c>
      <c r="AJ45">
        <v>7.3</v>
      </c>
      <c r="AK45">
        <v>0.5</v>
      </c>
      <c r="AL45">
        <v>34</v>
      </c>
      <c r="AM45">
        <v>21.77</v>
      </c>
      <c r="AN45">
        <v>33.89</v>
      </c>
      <c r="AO45">
        <v>11</v>
      </c>
      <c r="AQ45">
        <v>178</v>
      </c>
      <c r="AR45">
        <v>57</v>
      </c>
      <c r="AW45">
        <v>31</v>
      </c>
      <c r="AX45">
        <v>3</v>
      </c>
      <c r="AZ45">
        <v>15</v>
      </c>
      <c r="BA45">
        <v>1700</v>
      </c>
      <c r="BB45">
        <v>34</v>
      </c>
      <c r="BC45">
        <v>7.2</v>
      </c>
      <c r="BD45">
        <v>50</v>
      </c>
      <c r="BE45">
        <v>4.0000000000000002E-4</v>
      </c>
      <c r="BG45">
        <v>1.6126704454023699E-2</v>
      </c>
      <c r="BH45">
        <v>1.63930790240546E-3</v>
      </c>
      <c r="BI45">
        <v>1.74604584E-2</v>
      </c>
      <c r="BJ45">
        <v>0.43917249599999997</v>
      </c>
      <c r="BK45">
        <v>1889.6599999999999</v>
      </c>
      <c r="BL45">
        <v>9.4196839643110403E-2</v>
      </c>
      <c r="BM45">
        <v>0.10470588235294118</v>
      </c>
      <c r="BN45">
        <v>0</v>
      </c>
      <c r="BO45" t="s">
        <v>83</v>
      </c>
      <c r="BP45">
        <v>2.1162491901798905E-2</v>
      </c>
      <c r="BQ45" t="s">
        <v>83</v>
      </c>
      <c r="BR45" t="s">
        <v>83</v>
      </c>
      <c r="BS45">
        <v>3.0977345708595014</v>
      </c>
      <c r="BT45">
        <v>54.967511433243914</v>
      </c>
      <c r="BU45">
        <v>2.1162491901798905E-2</v>
      </c>
      <c r="BV45">
        <v>3.0977345708595014</v>
      </c>
    </row>
    <row r="46" spans="1:74" x14ac:dyDescent="0.25">
      <c r="A46" t="s">
        <v>53</v>
      </c>
      <c r="B46" t="s">
        <v>28</v>
      </c>
      <c r="C46">
        <v>12</v>
      </c>
      <c r="D46">
        <v>8</v>
      </c>
      <c r="G46">
        <v>4309.7</v>
      </c>
      <c r="H46">
        <v>7.2</v>
      </c>
      <c r="I46">
        <v>0.5</v>
      </c>
      <c r="J46">
        <v>34</v>
      </c>
      <c r="L46">
        <v>3868.2750000000001</v>
      </c>
      <c r="M46">
        <v>22.5</v>
      </c>
      <c r="N46">
        <v>21.1</v>
      </c>
      <c r="O46">
        <v>93.8</v>
      </c>
      <c r="P46">
        <v>16.7</v>
      </c>
      <c r="Q46">
        <v>369</v>
      </c>
      <c r="R46">
        <v>1.1200000000000001</v>
      </c>
      <c r="S46">
        <v>0.22</v>
      </c>
      <c r="T46">
        <v>2.76</v>
      </c>
      <c r="V46">
        <v>0.19</v>
      </c>
      <c r="W46">
        <v>7.0000000000000007E-2</v>
      </c>
      <c r="X46">
        <v>1.86</v>
      </c>
      <c r="Y46">
        <v>7.2590000000000003</v>
      </c>
      <c r="Z46">
        <v>118.5</v>
      </c>
      <c r="AA46">
        <v>30.4</v>
      </c>
      <c r="AB46">
        <v>2.19</v>
      </c>
      <c r="AC46">
        <v>156.69999999999999</v>
      </c>
      <c r="AD46">
        <v>51.6</v>
      </c>
      <c r="AE46">
        <v>104</v>
      </c>
      <c r="AF46">
        <v>24.6</v>
      </c>
      <c r="AG46">
        <v>7.3</v>
      </c>
      <c r="AH46">
        <v>300</v>
      </c>
      <c r="AJ46">
        <v>7.3</v>
      </c>
      <c r="AK46">
        <v>0.49399999999999999</v>
      </c>
      <c r="AL46">
        <v>34</v>
      </c>
      <c r="AM46">
        <v>31.32</v>
      </c>
      <c r="AN46">
        <v>59.68</v>
      </c>
      <c r="AO46">
        <v>7</v>
      </c>
      <c r="AQ46">
        <v>148</v>
      </c>
      <c r="AR46">
        <v>46</v>
      </c>
      <c r="AW46">
        <v>24</v>
      </c>
      <c r="AX46">
        <v>0</v>
      </c>
      <c r="AZ46">
        <v>15</v>
      </c>
      <c r="BA46">
        <v>1700</v>
      </c>
      <c r="BB46">
        <v>34</v>
      </c>
      <c r="BC46">
        <v>7.2</v>
      </c>
      <c r="BD46">
        <v>50</v>
      </c>
      <c r="BE46">
        <v>4.0000000000000002E-4</v>
      </c>
      <c r="BI46">
        <v>1.5732160000000002E-2</v>
      </c>
      <c r="BJ46">
        <v>0.40002216960000003</v>
      </c>
      <c r="BK46">
        <v>1864</v>
      </c>
      <c r="BL46">
        <v>7.9399141630901282E-2</v>
      </c>
      <c r="BM46">
        <v>8.7058823529411758E-2</v>
      </c>
      <c r="BN46">
        <v>0</v>
      </c>
      <c r="BO46" t="s">
        <v>83</v>
      </c>
      <c r="BP46" t="s">
        <v>83</v>
      </c>
      <c r="BQ46">
        <v>1.5732160000000002E-2</v>
      </c>
      <c r="BR46">
        <v>0</v>
      </c>
      <c r="BS46" t="s">
        <v>83</v>
      </c>
      <c r="BT46">
        <v>40.862753246753257</v>
      </c>
      <c r="BU46">
        <v>1.5732160000000002E-2</v>
      </c>
      <c r="BV46">
        <v>0</v>
      </c>
    </row>
    <row r="47" spans="1:74" x14ac:dyDescent="0.25">
      <c r="A47" t="s">
        <v>54</v>
      </c>
      <c r="B47" t="s">
        <v>27</v>
      </c>
      <c r="C47">
        <v>12</v>
      </c>
      <c r="D47">
        <v>8</v>
      </c>
      <c r="G47">
        <v>4309.7</v>
      </c>
      <c r="H47">
        <v>7.2</v>
      </c>
      <c r="I47">
        <v>0.5</v>
      </c>
      <c r="J47">
        <v>34</v>
      </c>
      <c r="L47">
        <v>4008.18</v>
      </c>
      <c r="M47">
        <v>20.2</v>
      </c>
      <c r="N47">
        <v>19.3</v>
      </c>
      <c r="O47">
        <v>95.8</v>
      </c>
      <c r="P47">
        <v>18.2</v>
      </c>
      <c r="Q47">
        <v>402</v>
      </c>
      <c r="R47">
        <v>2.38</v>
      </c>
      <c r="S47">
        <v>0.24</v>
      </c>
      <c r="T47">
        <v>2.5</v>
      </c>
      <c r="V47">
        <v>0.7</v>
      </c>
      <c r="W47">
        <v>1.26</v>
      </c>
      <c r="X47">
        <v>1.45</v>
      </c>
      <c r="Y47">
        <v>7.218</v>
      </c>
      <c r="Z47">
        <v>159.5</v>
      </c>
      <c r="AA47">
        <v>37</v>
      </c>
      <c r="AB47">
        <v>1.57</v>
      </c>
      <c r="AC47">
        <v>170.1</v>
      </c>
      <c r="AD47">
        <v>63.1</v>
      </c>
      <c r="AE47">
        <v>139.9</v>
      </c>
      <c r="AF47">
        <v>29.9</v>
      </c>
      <c r="AG47">
        <v>7.258</v>
      </c>
      <c r="AH47">
        <v>300</v>
      </c>
      <c r="AJ47">
        <v>7.23</v>
      </c>
      <c r="AK47">
        <v>0.503</v>
      </c>
      <c r="AL47">
        <v>34</v>
      </c>
      <c r="AM47">
        <v>33.53</v>
      </c>
      <c r="AN47">
        <v>6.72</v>
      </c>
      <c r="AO47">
        <v>5</v>
      </c>
      <c r="AQ47">
        <v>232</v>
      </c>
      <c r="AR47">
        <v>55</v>
      </c>
      <c r="AW47">
        <v>45</v>
      </c>
      <c r="AX47">
        <v>0</v>
      </c>
      <c r="AZ47">
        <v>15</v>
      </c>
      <c r="BA47">
        <v>1700</v>
      </c>
      <c r="BB47">
        <v>34</v>
      </c>
      <c r="BC47">
        <v>7.2</v>
      </c>
      <c r="BD47">
        <v>50</v>
      </c>
      <c r="BE47">
        <v>4.0000000000000002E-4</v>
      </c>
      <c r="BF47">
        <v>6.41371916769767E-3</v>
      </c>
      <c r="BI47">
        <v>1.470081E-2</v>
      </c>
      <c r="BJ47">
        <v>0.36904919999999997</v>
      </c>
      <c r="BK47">
        <v>1904.25</v>
      </c>
      <c r="BL47">
        <v>0.1218327425495602</v>
      </c>
      <c r="BM47">
        <v>0.13647058823529412</v>
      </c>
      <c r="BN47">
        <v>0</v>
      </c>
      <c r="BO47">
        <v>8.4814755035335331E-3</v>
      </c>
      <c r="BP47" t="s">
        <v>83</v>
      </c>
      <c r="BQ47" t="s">
        <v>83</v>
      </c>
      <c r="BR47">
        <v>0</v>
      </c>
      <c r="BS47" t="s">
        <v>83</v>
      </c>
      <c r="BT47">
        <v>22.029806502684501</v>
      </c>
      <c r="BU47">
        <v>8.4814755035335331E-3</v>
      </c>
      <c r="BV47">
        <v>0</v>
      </c>
    </row>
    <row r="48" spans="1:74" x14ac:dyDescent="0.25">
      <c r="A48" t="s">
        <v>55</v>
      </c>
      <c r="B48" t="s">
        <v>27</v>
      </c>
      <c r="C48">
        <v>12</v>
      </c>
      <c r="D48">
        <v>8</v>
      </c>
      <c r="G48">
        <v>4309.7</v>
      </c>
      <c r="H48">
        <v>7.2</v>
      </c>
      <c r="I48">
        <v>0.5</v>
      </c>
      <c r="J48">
        <v>34</v>
      </c>
      <c r="L48">
        <v>3993.915</v>
      </c>
      <c r="M48">
        <v>20.9</v>
      </c>
      <c r="N48">
        <v>19.899999999999999</v>
      </c>
      <c r="O48">
        <v>95.4</v>
      </c>
      <c r="P48">
        <v>18.100000000000001</v>
      </c>
      <c r="Q48">
        <v>376</v>
      </c>
      <c r="R48">
        <v>2.15</v>
      </c>
      <c r="S48">
        <v>0.23</v>
      </c>
      <c r="T48">
        <v>0.97</v>
      </c>
      <c r="V48">
        <v>0.42</v>
      </c>
      <c r="W48">
        <v>0.1</v>
      </c>
      <c r="X48">
        <v>1.05</v>
      </c>
      <c r="Y48">
        <v>7.2809999999999997</v>
      </c>
      <c r="Z48">
        <v>133.19999999999999</v>
      </c>
      <c r="AA48">
        <v>13</v>
      </c>
      <c r="AB48">
        <v>1.62</v>
      </c>
      <c r="AC48">
        <v>159.80000000000001</v>
      </c>
      <c r="AD48">
        <v>61.2</v>
      </c>
      <c r="AE48">
        <v>116.8</v>
      </c>
      <c r="AF48">
        <v>10.5</v>
      </c>
      <c r="AG48">
        <v>7.3230000000000004</v>
      </c>
      <c r="AH48">
        <v>302</v>
      </c>
      <c r="AJ48">
        <v>7.3</v>
      </c>
      <c r="AK48">
        <v>0.51100000000000001</v>
      </c>
      <c r="AL48">
        <v>34</v>
      </c>
      <c r="AM48">
        <v>27.27</v>
      </c>
      <c r="AN48">
        <v>10.57</v>
      </c>
      <c r="AO48">
        <v>7</v>
      </c>
      <c r="AQ48">
        <v>210</v>
      </c>
      <c r="AR48">
        <v>47</v>
      </c>
      <c r="AW48">
        <v>27</v>
      </c>
      <c r="AX48">
        <v>0</v>
      </c>
      <c r="AZ48">
        <v>15</v>
      </c>
      <c r="BA48">
        <v>1700</v>
      </c>
      <c r="BB48">
        <v>34</v>
      </c>
      <c r="BC48">
        <v>7.2</v>
      </c>
      <c r="BD48">
        <v>50</v>
      </c>
      <c r="BE48">
        <v>4.0000000000000002E-4</v>
      </c>
      <c r="BF48">
        <v>1.6156627905643501E-2</v>
      </c>
      <c r="BI48">
        <v>1.4915766400000001E-2</v>
      </c>
      <c r="BJ48">
        <v>0.35230030079999997</v>
      </c>
      <c r="BK48">
        <v>1873.8400000000001</v>
      </c>
      <c r="BL48">
        <v>0.11206933356102974</v>
      </c>
      <c r="BM48">
        <v>0.12352941176470589</v>
      </c>
      <c r="BN48">
        <v>0</v>
      </c>
      <c r="BO48">
        <v>2.1024260857438207E-2</v>
      </c>
      <c r="BP48" t="s">
        <v>83</v>
      </c>
      <c r="BQ48" t="s">
        <v>83</v>
      </c>
      <c r="BR48">
        <v>9.5097380000000022</v>
      </c>
      <c r="BS48" t="s">
        <v>83</v>
      </c>
      <c r="BT48">
        <v>54.608469759579762</v>
      </c>
      <c r="BU48">
        <v>2.1024260857438207E-2</v>
      </c>
      <c r="BV48">
        <v>9.5097380000000022</v>
      </c>
    </row>
    <row r="49" spans="1:74" x14ac:dyDescent="0.25">
      <c r="A49" t="s">
        <v>57</v>
      </c>
      <c r="B49" t="s">
        <v>26</v>
      </c>
      <c r="C49">
        <v>12</v>
      </c>
      <c r="D49">
        <v>8</v>
      </c>
      <c r="G49">
        <v>4309.7</v>
      </c>
      <c r="H49">
        <v>7.2</v>
      </c>
      <c r="I49">
        <v>0.5</v>
      </c>
      <c r="J49">
        <v>34</v>
      </c>
      <c r="L49">
        <v>4201.8450000000003</v>
      </c>
      <c r="M49">
        <v>21.1</v>
      </c>
      <c r="N49">
        <v>20.3</v>
      </c>
      <c r="O49">
        <v>96.3</v>
      </c>
      <c r="P49">
        <v>17.399999999999999</v>
      </c>
      <c r="Q49" s="9"/>
      <c r="R49">
        <v>1.8</v>
      </c>
      <c r="S49">
        <v>0.22</v>
      </c>
      <c r="T49">
        <v>0.62</v>
      </c>
      <c r="V49">
        <v>0.28999999999999998</v>
      </c>
      <c r="W49">
        <v>0.03</v>
      </c>
      <c r="X49">
        <v>0.8</v>
      </c>
      <c r="Y49">
        <v>7.258</v>
      </c>
      <c r="Z49">
        <v>129.69999999999999</v>
      </c>
      <c r="AA49">
        <v>2.7</v>
      </c>
      <c r="AB49">
        <v>1.63</v>
      </c>
      <c r="AC49">
        <v>154.69999999999999</v>
      </c>
      <c r="AD49">
        <v>56.4</v>
      </c>
      <c r="AE49">
        <v>113.8</v>
      </c>
      <c r="AF49">
        <v>2.1</v>
      </c>
      <c r="AG49">
        <v>7.3</v>
      </c>
      <c r="AH49">
        <v>298</v>
      </c>
      <c r="AJ49">
        <v>7.3</v>
      </c>
      <c r="AK49">
        <v>0.51200000000000001</v>
      </c>
      <c r="AL49">
        <v>34</v>
      </c>
      <c r="AM49">
        <v>24.77</v>
      </c>
      <c r="AN49">
        <v>9.3699999999999992</v>
      </c>
      <c r="AO49">
        <v>12</v>
      </c>
      <c r="AQ49">
        <v>198</v>
      </c>
      <c r="AR49">
        <v>50</v>
      </c>
      <c r="AW49">
        <v>28</v>
      </c>
      <c r="AX49">
        <v>0</v>
      </c>
      <c r="AZ49">
        <v>15</v>
      </c>
      <c r="BA49">
        <v>1700</v>
      </c>
      <c r="BB49">
        <v>34</v>
      </c>
      <c r="BC49">
        <v>7.2</v>
      </c>
      <c r="BD49">
        <v>50</v>
      </c>
      <c r="BE49">
        <v>4.0000000000000002E-4</v>
      </c>
      <c r="BG49">
        <v>1.7874907459397099E-2</v>
      </c>
      <c r="BH49">
        <v>3.5727604149081598E-3</v>
      </c>
      <c r="BI49">
        <v>1.51530568E-2</v>
      </c>
      <c r="BJ49">
        <v>0.38773514880000004</v>
      </c>
      <c r="BK49">
        <v>1866.1399999999999</v>
      </c>
      <c r="BL49">
        <v>0.10610136431350274</v>
      </c>
      <c r="BM49">
        <v>0.11647058823529412</v>
      </c>
      <c r="BN49">
        <v>0</v>
      </c>
      <c r="BO49" t="s">
        <v>83</v>
      </c>
      <c r="BP49">
        <v>2.3164638754360627E-2</v>
      </c>
      <c r="BQ49" t="s">
        <v>83</v>
      </c>
      <c r="BR49" t="s">
        <v>83</v>
      </c>
      <c r="BS49">
        <v>6.6672711206767126</v>
      </c>
      <c r="BT49">
        <v>60.167892868469167</v>
      </c>
      <c r="BU49">
        <v>2.3164638754360627E-2</v>
      </c>
      <c r="BV49">
        <v>6.6672711206767126</v>
      </c>
    </row>
    <row r="50" spans="1:74" x14ac:dyDescent="0.25">
      <c r="A50" t="s">
        <v>58</v>
      </c>
      <c r="B50" t="s">
        <v>26</v>
      </c>
      <c r="C50">
        <v>12</v>
      </c>
      <c r="D50">
        <v>8</v>
      </c>
      <c r="G50">
        <v>4309.7</v>
      </c>
      <c r="H50">
        <v>7.2</v>
      </c>
      <c r="I50">
        <v>0.5</v>
      </c>
      <c r="J50">
        <v>34</v>
      </c>
      <c r="L50">
        <v>4781.4750000000004</v>
      </c>
      <c r="M50">
        <v>23.4</v>
      </c>
      <c r="N50">
        <v>22.5</v>
      </c>
      <c r="O50">
        <v>96.1</v>
      </c>
      <c r="P50">
        <v>16.899999999999999</v>
      </c>
      <c r="Q50">
        <v>336</v>
      </c>
      <c r="R50">
        <v>2.65</v>
      </c>
      <c r="S50">
        <v>0.22</v>
      </c>
      <c r="T50">
        <v>7.0000000000000007E-2</v>
      </c>
      <c r="V50">
        <v>0.37</v>
      </c>
      <c r="W50">
        <v>0.04</v>
      </c>
      <c r="X50">
        <v>0.16</v>
      </c>
      <c r="Y50">
        <v>7.2610000000000001</v>
      </c>
      <c r="Z50">
        <v>133.30000000000001</v>
      </c>
      <c r="AA50">
        <v>25.2</v>
      </c>
      <c r="AB50">
        <v>1.77</v>
      </c>
      <c r="AC50">
        <v>151.80000000000001</v>
      </c>
      <c r="AD50">
        <v>58.3</v>
      </c>
      <c r="AE50">
        <v>116.9</v>
      </c>
      <c r="AF50">
        <v>20.399999999999999</v>
      </c>
      <c r="AG50">
        <v>7.3019999999999996</v>
      </c>
      <c r="AH50">
        <v>299</v>
      </c>
      <c r="AJ50">
        <v>7.3</v>
      </c>
      <c r="AK50">
        <v>0.50900000000000001</v>
      </c>
      <c r="AL50">
        <v>34</v>
      </c>
      <c r="AM50">
        <v>21.77</v>
      </c>
      <c r="AN50">
        <v>41.39</v>
      </c>
      <c r="AO50">
        <v>12</v>
      </c>
      <c r="AQ50">
        <v>208</v>
      </c>
      <c r="AR50">
        <v>60</v>
      </c>
      <c r="AW50">
        <v>30</v>
      </c>
      <c r="AX50">
        <v>3</v>
      </c>
      <c r="AZ50">
        <v>15</v>
      </c>
      <c r="BA50">
        <v>1700</v>
      </c>
      <c r="BB50">
        <v>34</v>
      </c>
      <c r="BC50">
        <v>7.2</v>
      </c>
      <c r="BD50">
        <v>50</v>
      </c>
      <c r="BE50">
        <v>4.0000000000000002E-4</v>
      </c>
      <c r="BG50">
        <v>1.28541289800434E-2</v>
      </c>
      <c r="BH50">
        <v>3.56209777936082E-3</v>
      </c>
      <c r="BI50">
        <v>1.7236440000000002E-2</v>
      </c>
      <c r="BJ50">
        <v>0.41905100159999997</v>
      </c>
      <c r="BK50">
        <v>1915.1599999999999</v>
      </c>
      <c r="BL50">
        <v>0.10860711376595168</v>
      </c>
      <c r="BM50">
        <v>0.12235294117647059</v>
      </c>
      <c r="BN50">
        <v>0</v>
      </c>
      <c r="BO50" t="s">
        <v>83</v>
      </c>
      <c r="BP50">
        <v>1.7095634484319385E-2</v>
      </c>
      <c r="BQ50" t="s">
        <v>83</v>
      </c>
      <c r="BR50" t="s">
        <v>83</v>
      </c>
      <c r="BS50">
        <v>6.8219871831206671</v>
      </c>
      <c r="BT50">
        <v>44.404245413816589</v>
      </c>
      <c r="BU50">
        <v>1.7095634484319385E-2</v>
      </c>
      <c r="BV50">
        <v>6.8219871831206671</v>
      </c>
    </row>
    <row r="51" spans="1:74" x14ac:dyDescent="0.25">
      <c r="A51" t="s">
        <v>53</v>
      </c>
      <c r="B51" t="s">
        <v>28</v>
      </c>
      <c r="C51">
        <v>12</v>
      </c>
      <c r="D51">
        <v>9</v>
      </c>
      <c r="F51" s="8">
        <v>45458.332638888889</v>
      </c>
      <c r="G51">
        <v>4805.7299999999996</v>
      </c>
      <c r="H51">
        <v>7.2</v>
      </c>
      <c r="I51">
        <v>0.5</v>
      </c>
      <c r="J51">
        <v>34</v>
      </c>
      <c r="L51">
        <v>4357.8</v>
      </c>
      <c r="M51">
        <v>21.4</v>
      </c>
      <c r="N51">
        <v>20.2</v>
      </c>
      <c r="O51">
        <v>94</v>
      </c>
      <c r="P51">
        <v>17.3</v>
      </c>
      <c r="Q51">
        <v>371</v>
      </c>
      <c r="R51">
        <v>1.1499999999999999</v>
      </c>
      <c r="S51">
        <v>0.2</v>
      </c>
      <c r="T51">
        <v>2.37</v>
      </c>
      <c r="V51">
        <v>0.2</v>
      </c>
      <c r="W51">
        <v>7.0000000000000007E-2</v>
      </c>
      <c r="X51">
        <v>1.48</v>
      </c>
      <c r="Y51">
        <v>7.2679999999999998</v>
      </c>
      <c r="Z51">
        <v>118</v>
      </c>
      <c r="AA51">
        <v>33.9</v>
      </c>
      <c r="AB51">
        <v>2.06</v>
      </c>
      <c r="AC51">
        <v>154.6</v>
      </c>
      <c r="AD51">
        <v>52.6</v>
      </c>
      <c r="AE51">
        <v>103.5</v>
      </c>
      <c r="AF51">
        <v>27.4</v>
      </c>
      <c r="AG51">
        <v>7.31</v>
      </c>
      <c r="AH51">
        <v>300</v>
      </c>
      <c r="AJ51">
        <v>7.3</v>
      </c>
      <c r="AK51">
        <v>0.51100000000000001</v>
      </c>
      <c r="AL51">
        <v>34</v>
      </c>
      <c r="AM51">
        <v>31.315000000000001</v>
      </c>
      <c r="AN51">
        <v>68.802000000000007</v>
      </c>
      <c r="AO51">
        <v>7</v>
      </c>
      <c r="AQ51">
        <v>169</v>
      </c>
      <c r="AR51">
        <v>46</v>
      </c>
      <c r="AW51">
        <v>21</v>
      </c>
      <c r="AX51">
        <v>0</v>
      </c>
      <c r="AZ51">
        <v>15</v>
      </c>
      <c r="BA51">
        <v>1700</v>
      </c>
      <c r="BB51">
        <v>34</v>
      </c>
      <c r="BC51">
        <v>7.2</v>
      </c>
      <c r="BD51">
        <v>50</v>
      </c>
      <c r="BE51">
        <v>4.0000000000000002E-4</v>
      </c>
      <c r="BI51">
        <v>1.5175185360000001E-2</v>
      </c>
      <c r="BJ51">
        <v>0.37757184000000005</v>
      </c>
      <c r="BK51">
        <v>1878.117</v>
      </c>
      <c r="BL51">
        <v>8.9983744356714732E-2</v>
      </c>
      <c r="BM51">
        <v>9.9411764705882352E-2</v>
      </c>
      <c r="BN51">
        <v>0</v>
      </c>
      <c r="BO51" t="s">
        <v>83</v>
      </c>
      <c r="BP51" t="s">
        <v>83</v>
      </c>
      <c r="BQ51">
        <v>1.5175185360000001E-2</v>
      </c>
      <c r="BR51">
        <v>0</v>
      </c>
      <c r="BS51" t="s">
        <v>83</v>
      </c>
      <c r="BT51">
        <v>39.416065870129877</v>
      </c>
      <c r="BU51">
        <v>1.5175185360000001E-2</v>
      </c>
      <c r="BV51">
        <v>0</v>
      </c>
    </row>
    <row r="52" spans="1:74" x14ac:dyDescent="0.25">
      <c r="A52" t="s">
        <v>54</v>
      </c>
      <c r="B52" t="s">
        <v>27</v>
      </c>
      <c r="C52">
        <v>12</v>
      </c>
      <c r="D52">
        <v>9</v>
      </c>
      <c r="F52" s="8">
        <v>45458.337500000001</v>
      </c>
      <c r="G52">
        <v>4805.7299999999996</v>
      </c>
      <c r="H52">
        <v>7.2</v>
      </c>
      <c r="I52">
        <v>0.5</v>
      </c>
      <c r="J52">
        <v>34</v>
      </c>
      <c r="L52">
        <v>4487.28</v>
      </c>
      <c r="M52">
        <v>21.6</v>
      </c>
      <c r="N52">
        <v>20.5</v>
      </c>
      <c r="O52">
        <v>94.9</v>
      </c>
      <c r="P52">
        <v>18.2</v>
      </c>
      <c r="Q52">
        <v>394</v>
      </c>
      <c r="R52">
        <v>2.91</v>
      </c>
      <c r="S52">
        <v>0.22</v>
      </c>
      <c r="T52">
        <v>0.03</v>
      </c>
      <c r="V52">
        <v>0.52</v>
      </c>
      <c r="W52">
        <v>0.36</v>
      </c>
      <c r="X52">
        <v>0.82</v>
      </c>
      <c r="Y52">
        <v>7.2949999999999999</v>
      </c>
      <c r="Z52">
        <v>154.30000000000001</v>
      </c>
      <c r="AA52">
        <v>41.7</v>
      </c>
      <c r="AB52">
        <v>1.56</v>
      </c>
      <c r="AC52">
        <v>170</v>
      </c>
      <c r="AD52">
        <v>73.2</v>
      </c>
      <c r="AE52">
        <v>135.30000000000001</v>
      </c>
      <c r="AF52">
        <v>33.700000000000003</v>
      </c>
      <c r="AG52">
        <v>7.3369999999999997</v>
      </c>
      <c r="AH52">
        <v>299</v>
      </c>
      <c r="AJ52">
        <v>7.3</v>
      </c>
      <c r="AK52">
        <v>0.49299999999999999</v>
      </c>
      <c r="AL52">
        <v>34</v>
      </c>
      <c r="AM52">
        <v>33.526000000000003</v>
      </c>
      <c r="AN52">
        <v>11.22</v>
      </c>
      <c r="AO52">
        <v>5</v>
      </c>
      <c r="AQ52">
        <v>249</v>
      </c>
      <c r="AR52">
        <v>55</v>
      </c>
      <c r="AW52">
        <v>17</v>
      </c>
      <c r="AX52">
        <v>0</v>
      </c>
      <c r="AZ52">
        <v>15</v>
      </c>
      <c r="BA52">
        <v>1700</v>
      </c>
      <c r="BB52">
        <v>34</v>
      </c>
      <c r="BC52">
        <v>7.2</v>
      </c>
      <c r="BD52">
        <v>50</v>
      </c>
      <c r="BE52">
        <v>4.0000000000000002E-4</v>
      </c>
      <c r="BF52">
        <v>1.61207945281465E-2</v>
      </c>
      <c r="BI52">
        <v>1.5659917200000002E-2</v>
      </c>
      <c r="BJ52">
        <v>0.35281943999999998</v>
      </c>
      <c r="BK52">
        <v>1909.7460000000001</v>
      </c>
      <c r="BL52">
        <v>0.13038383114822599</v>
      </c>
      <c r="BM52">
        <v>0.14647058823529413</v>
      </c>
      <c r="BN52">
        <v>0</v>
      </c>
      <c r="BO52">
        <v>2.1379599213159493E-2</v>
      </c>
      <c r="BP52" t="s">
        <v>83</v>
      </c>
      <c r="BQ52" t="s">
        <v>83</v>
      </c>
      <c r="BR52">
        <v>14.179864050000001</v>
      </c>
      <c r="BS52" t="s">
        <v>83</v>
      </c>
      <c r="BT52">
        <v>55.531426527686996</v>
      </c>
      <c r="BU52">
        <v>2.1379599213159493E-2</v>
      </c>
      <c r="BV52">
        <v>14.179864050000001</v>
      </c>
    </row>
    <row r="53" spans="1:74" x14ac:dyDescent="0.25">
      <c r="A53" t="s">
        <v>55</v>
      </c>
      <c r="B53" t="s">
        <v>27</v>
      </c>
      <c r="C53">
        <v>12</v>
      </c>
      <c r="D53">
        <v>9</v>
      </c>
      <c r="F53" s="8">
        <v>45458.341666666667</v>
      </c>
      <c r="G53">
        <v>4805.7299999999996</v>
      </c>
      <c r="H53">
        <v>7.2</v>
      </c>
      <c r="I53">
        <v>0.5</v>
      </c>
      <c r="J53">
        <v>34</v>
      </c>
      <c r="L53">
        <v>4483.5600000000004</v>
      </c>
      <c r="M53">
        <v>22</v>
      </c>
      <c r="N53">
        <v>21</v>
      </c>
      <c r="O53">
        <v>95.4</v>
      </c>
      <c r="P53">
        <v>18.3</v>
      </c>
      <c r="Q53">
        <v>376</v>
      </c>
      <c r="R53">
        <v>2.2999999999999998</v>
      </c>
      <c r="S53">
        <v>0.21</v>
      </c>
      <c r="T53">
        <v>0.92</v>
      </c>
      <c r="V53">
        <v>0.5</v>
      </c>
      <c r="W53">
        <v>0.42</v>
      </c>
      <c r="X53">
        <v>0.88</v>
      </c>
      <c r="Y53">
        <v>7.274</v>
      </c>
      <c r="Z53">
        <v>128.69999999999999</v>
      </c>
      <c r="AA53">
        <v>29</v>
      </c>
      <c r="AB53">
        <v>1.5</v>
      </c>
      <c r="AC53">
        <v>160</v>
      </c>
      <c r="AD53">
        <v>58.2</v>
      </c>
      <c r="AE53">
        <v>112.9</v>
      </c>
      <c r="AF53">
        <v>23.5</v>
      </c>
      <c r="AG53">
        <v>7.3159999999999998</v>
      </c>
      <c r="AH53">
        <v>301</v>
      </c>
      <c r="AJ53">
        <v>7.3</v>
      </c>
      <c r="AK53">
        <v>0.47299999999999998</v>
      </c>
      <c r="AL53">
        <v>34</v>
      </c>
      <c r="AM53">
        <v>27.274000000000001</v>
      </c>
      <c r="AN53">
        <v>11.551</v>
      </c>
      <c r="AO53">
        <v>7</v>
      </c>
      <c r="AQ53">
        <v>237</v>
      </c>
      <c r="AR53">
        <v>57</v>
      </c>
      <c r="AW53">
        <v>27</v>
      </c>
      <c r="AX53">
        <v>10</v>
      </c>
      <c r="AZ53">
        <v>15</v>
      </c>
      <c r="BA53">
        <v>1700</v>
      </c>
      <c r="BB53">
        <v>34</v>
      </c>
      <c r="BC53">
        <v>7.2</v>
      </c>
      <c r="BD53">
        <v>50</v>
      </c>
      <c r="BE53">
        <v>4.0000000000000002E-4</v>
      </c>
      <c r="BF53">
        <v>1.6995950307655501E-2</v>
      </c>
      <c r="BI53">
        <v>1.5924930000000004E-2</v>
      </c>
      <c r="BJ53">
        <v>0.3579783936</v>
      </c>
      <c r="BK53">
        <v>1895.825</v>
      </c>
      <c r="BL53">
        <v>0.12501153851225719</v>
      </c>
      <c r="BM53">
        <v>0.13941176470588235</v>
      </c>
      <c r="BN53">
        <v>0</v>
      </c>
      <c r="BO53">
        <v>2.2375935758340966E-2</v>
      </c>
      <c r="BP53" t="s">
        <v>83</v>
      </c>
      <c r="BQ53" t="s">
        <v>83</v>
      </c>
      <c r="BR53">
        <v>9.8582900000000002</v>
      </c>
      <c r="BS53" t="s">
        <v>83</v>
      </c>
      <c r="BT53">
        <v>58.119313658028489</v>
      </c>
      <c r="BU53">
        <v>2.2375935758340966E-2</v>
      </c>
      <c r="BV53">
        <v>9.8582900000000002</v>
      </c>
    </row>
    <row r="54" spans="1:74" x14ac:dyDescent="0.25">
      <c r="A54" t="s">
        <v>57</v>
      </c>
      <c r="B54" t="s">
        <v>26</v>
      </c>
      <c r="C54">
        <v>12</v>
      </c>
      <c r="D54">
        <v>9</v>
      </c>
      <c r="F54" s="8">
        <v>45458.34652777778</v>
      </c>
      <c r="G54">
        <v>4805.7299999999996</v>
      </c>
      <c r="H54">
        <v>7.2</v>
      </c>
      <c r="I54">
        <v>0.5</v>
      </c>
      <c r="J54">
        <v>34</v>
      </c>
      <c r="L54">
        <v>4788.2550000000001</v>
      </c>
      <c r="M54">
        <v>22.3</v>
      </c>
      <c r="N54">
        <v>21.3</v>
      </c>
      <c r="O54">
        <v>95.7</v>
      </c>
      <c r="P54">
        <v>17.5</v>
      </c>
      <c r="Q54">
        <v>355</v>
      </c>
      <c r="R54">
        <v>1.99</v>
      </c>
      <c r="S54">
        <v>0.2</v>
      </c>
      <c r="T54">
        <v>0.65</v>
      </c>
      <c r="V54">
        <v>0.43</v>
      </c>
      <c r="W54">
        <v>0.11</v>
      </c>
      <c r="X54">
        <v>0.66</v>
      </c>
      <c r="Y54">
        <v>7.242</v>
      </c>
      <c r="Z54">
        <v>131</v>
      </c>
      <c r="AA54">
        <v>2</v>
      </c>
      <c r="AB54">
        <v>1.52</v>
      </c>
      <c r="AC54">
        <v>156.4</v>
      </c>
      <c r="AD54">
        <v>54.9</v>
      </c>
      <c r="AE54">
        <v>114.9</v>
      </c>
      <c r="AF54">
        <v>1.6</v>
      </c>
      <c r="AG54">
        <v>7.2830000000000004</v>
      </c>
      <c r="AH54">
        <v>302</v>
      </c>
      <c r="AJ54">
        <v>7.29</v>
      </c>
      <c r="AK54">
        <v>0.49</v>
      </c>
      <c r="AL54">
        <v>34</v>
      </c>
      <c r="AM54">
        <v>24.766999999999999</v>
      </c>
      <c r="AN54">
        <v>10.186</v>
      </c>
      <c r="AO54">
        <v>12</v>
      </c>
      <c r="AQ54">
        <v>228</v>
      </c>
      <c r="AR54">
        <v>57</v>
      </c>
      <c r="AW54">
        <v>30</v>
      </c>
      <c r="AX54">
        <v>7</v>
      </c>
      <c r="AZ54">
        <v>15</v>
      </c>
      <c r="BA54">
        <v>1700</v>
      </c>
      <c r="BB54">
        <v>34</v>
      </c>
      <c r="BC54">
        <v>7.2</v>
      </c>
      <c r="BD54">
        <v>50</v>
      </c>
      <c r="BE54">
        <v>4.0000000000000002E-4</v>
      </c>
      <c r="BG54">
        <v>1.5830527057502299E-2</v>
      </c>
      <c r="BH54">
        <v>6.3842230105098105E-4</v>
      </c>
      <c r="BI54">
        <v>1.6085359560000005E-2</v>
      </c>
      <c r="BJ54">
        <v>0.36367336319999999</v>
      </c>
      <c r="BK54">
        <v>1887.953</v>
      </c>
      <c r="BL54">
        <v>0.12076571821438352</v>
      </c>
      <c r="BM54">
        <v>0.13411764705882354</v>
      </c>
      <c r="BN54">
        <v>0</v>
      </c>
      <c r="BO54" t="s">
        <v>83</v>
      </c>
      <c r="BP54">
        <v>2.0755063229022663E-2</v>
      </c>
      <c r="BQ54" t="s">
        <v>83</v>
      </c>
      <c r="BR54" t="s">
        <v>83</v>
      </c>
      <c r="BS54">
        <v>1.2053112985361027</v>
      </c>
      <c r="BT54">
        <v>53.909255140318606</v>
      </c>
      <c r="BU54">
        <v>2.0755063229022663E-2</v>
      </c>
      <c r="BV54">
        <v>1.2053112985361027</v>
      </c>
    </row>
    <row r="55" spans="1:74" x14ac:dyDescent="0.25">
      <c r="A55" t="s">
        <v>58</v>
      </c>
      <c r="B55" t="s">
        <v>26</v>
      </c>
      <c r="C55">
        <v>12</v>
      </c>
      <c r="D55">
        <v>9</v>
      </c>
      <c r="F55" s="8">
        <v>45458.35</v>
      </c>
      <c r="G55">
        <v>4805.7299999999996</v>
      </c>
      <c r="H55">
        <v>7.2</v>
      </c>
      <c r="I55">
        <v>0.5</v>
      </c>
      <c r="J55">
        <v>34</v>
      </c>
      <c r="L55">
        <v>5197.7700000000004</v>
      </c>
      <c r="M55">
        <v>22.8</v>
      </c>
      <c r="N55">
        <v>21.4</v>
      </c>
      <c r="O55">
        <v>94.1</v>
      </c>
      <c r="P55">
        <v>16.8</v>
      </c>
      <c r="Q55">
        <v>339</v>
      </c>
      <c r="R55">
        <v>3.38</v>
      </c>
      <c r="S55">
        <v>0.21</v>
      </c>
      <c r="T55">
        <v>0.04</v>
      </c>
      <c r="V55">
        <v>0.32</v>
      </c>
      <c r="W55">
        <v>0.04</v>
      </c>
      <c r="X55">
        <v>0.11</v>
      </c>
      <c r="Y55">
        <v>7.258</v>
      </c>
      <c r="Z55">
        <v>133.6</v>
      </c>
      <c r="AA55">
        <v>59.3</v>
      </c>
      <c r="AB55">
        <v>1.79</v>
      </c>
      <c r="AC55">
        <v>153.9</v>
      </c>
      <c r="AD55">
        <v>58.1</v>
      </c>
      <c r="AE55">
        <v>117.2</v>
      </c>
      <c r="AF55">
        <v>48.2</v>
      </c>
      <c r="AG55">
        <v>7.2990000000000004</v>
      </c>
      <c r="AH55">
        <v>299</v>
      </c>
      <c r="AJ55">
        <v>7.3</v>
      </c>
      <c r="AK55">
        <v>0.499</v>
      </c>
      <c r="AL55">
        <v>34</v>
      </c>
      <c r="AM55">
        <v>21.77</v>
      </c>
      <c r="AN55">
        <v>49.694000000000003</v>
      </c>
      <c r="AO55">
        <v>12</v>
      </c>
      <c r="AQ55">
        <v>232</v>
      </c>
      <c r="AR55">
        <v>68</v>
      </c>
      <c r="AW55">
        <v>24</v>
      </c>
      <c r="AX55">
        <v>8</v>
      </c>
      <c r="AZ55">
        <v>15</v>
      </c>
      <c r="BA55">
        <v>1700</v>
      </c>
      <c r="BB55">
        <v>34</v>
      </c>
      <c r="BC55">
        <v>7.2</v>
      </c>
      <c r="BD55">
        <v>50</v>
      </c>
      <c r="BE55">
        <v>4.0000000000000002E-4</v>
      </c>
      <c r="BG55">
        <v>1.4162921683942099E-2</v>
      </c>
      <c r="BH55">
        <v>2.9900690641954698E-3</v>
      </c>
      <c r="BI55">
        <v>1.6601811840000001E-2</v>
      </c>
      <c r="BJ55">
        <v>0.41367456000000002</v>
      </c>
      <c r="BK55">
        <v>1939.4639999999999</v>
      </c>
      <c r="BL55">
        <v>0.11962067870298186</v>
      </c>
      <c r="BM55">
        <v>0.13647058823529412</v>
      </c>
      <c r="BN55">
        <v>0</v>
      </c>
      <c r="BO55" t="s">
        <v>83</v>
      </c>
      <c r="BP55">
        <v>1.9075331070017416E-2</v>
      </c>
      <c r="BQ55" t="s">
        <v>83</v>
      </c>
      <c r="BR55" t="s">
        <v>83</v>
      </c>
      <c r="BS55">
        <v>5.7991313075208026</v>
      </c>
      <c r="BT55">
        <v>49.546314467577709</v>
      </c>
      <c r="BU55">
        <v>1.9075331070017416E-2</v>
      </c>
      <c r="BV55">
        <v>5.7991313075208026</v>
      </c>
    </row>
    <row r="56" spans="1:74" x14ac:dyDescent="0.25">
      <c r="A56" t="s">
        <v>53</v>
      </c>
      <c r="B56" t="s">
        <v>28</v>
      </c>
      <c r="C56">
        <v>12</v>
      </c>
      <c r="D56">
        <v>10</v>
      </c>
      <c r="F56" s="8">
        <v>45459.436111111114</v>
      </c>
      <c r="G56">
        <v>5302.42</v>
      </c>
      <c r="H56">
        <v>7.2</v>
      </c>
      <c r="I56">
        <v>0.5</v>
      </c>
      <c r="J56">
        <v>34</v>
      </c>
      <c r="L56">
        <v>4879.29</v>
      </c>
      <c r="M56">
        <v>21.2</v>
      </c>
      <c r="N56">
        <v>19.8</v>
      </c>
      <c r="O56">
        <v>93.4</v>
      </c>
      <c r="P56">
        <v>17.2</v>
      </c>
      <c r="Q56">
        <v>365</v>
      </c>
      <c r="R56">
        <v>1.26</v>
      </c>
      <c r="S56">
        <v>0.18</v>
      </c>
      <c r="T56">
        <v>1.65</v>
      </c>
      <c r="V56">
        <v>0.2</v>
      </c>
      <c r="W56">
        <v>0.11</v>
      </c>
      <c r="X56">
        <v>1.07</v>
      </c>
      <c r="Y56">
        <v>7.2619999999999996</v>
      </c>
      <c r="Z56">
        <v>125.5</v>
      </c>
      <c r="AA56">
        <v>19.100000000000001</v>
      </c>
      <c r="AB56">
        <v>2.09</v>
      </c>
      <c r="AC56">
        <v>158</v>
      </c>
      <c r="AD56">
        <v>55.1</v>
      </c>
      <c r="AE56">
        <v>110.1</v>
      </c>
      <c r="AF56">
        <v>15.4</v>
      </c>
      <c r="AG56">
        <v>7.3029999999999999</v>
      </c>
      <c r="AH56">
        <v>299</v>
      </c>
      <c r="AJ56">
        <v>7.3</v>
      </c>
      <c r="AK56">
        <v>0.52200000000000002</v>
      </c>
      <c r="AL56">
        <v>34</v>
      </c>
      <c r="AM56">
        <v>31.315000000000001</v>
      </c>
      <c r="AN56">
        <v>78.787000000000006</v>
      </c>
      <c r="AO56">
        <v>8</v>
      </c>
      <c r="AQ56">
        <v>194</v>
      </c>
      <c r="AR56">
        <v>46</v>
      </c>
      <c r="AW56">
        <v>25</v>
      </c>
      <c r="AX56">
        <v>0</v>
      </c>
      <c r="AZ56">
        <v>15</v>
      </c>
      <c r="BA56">
        <v>1700</v>
      </c>
      <c r="BB56">
        <v>34</v>
      </c>
      <c r="BC56">
        <v>7.2</v>
      </c>
      <c r="BD56">
        <v>50</v>
      </c>
      <c r="BE56">
        <v>4.0000000000000002E-4</v>
      </c>
      <c r="BI56">
        <v>1.503296784E-2</v>
      </c>
      <c r="BJ56">
        <v>0.36420444864000001</v>
      </c>
      <c r="BK56">
        <v>1898.1019999999999</v>
      </c>
      <c r="BL56">
        <v>0.10220736293413105</v>
      </c>
      <c r="BM56">
        <v>0.11411764705882353</v>
      </c>
      <c r="BN56">
        <v>0</v>
      </c>
      <c r="BO56" t="s">
        <v>83</v>
      </c>
      <c r="BP56" t="s">
        <v>83</v>
      </c>
      <c r="BQ56">
        <v>1.503296784E-2</v>
      </c>
      <c r="BR56">
        <v>0</v>
      </c>
      <c r="BS56" t="s">
        <v>83</v>
      </c>
      <c r="BT56">
        <v>39.046669714285713</v>
      </c>
      <c r="BU56">
        <v>1.503296784E-2</v>
      </c>
      <c r="BV56">
        <v>0</v>
      </c>
    </row>
    <row r="57" spans="1:74" x14ac:dyDescent="0.25">
      <c r="A57" t="s">
        <v>54</v>
      </c>
      <c r="B57" t="s">
        <v>27</v>
      </c>
      <c r="C57">
        <v>12</v>
      </c>
      <c r="D57">
        <v>10</v>
      </c>
      <c r="F57" s="8">
        <v>45459.439583333333</v>
      </c>
      <c r="G57">
        <v>5302.42</v>
      </c>
      <c r="H57">
        <v>7.2</v>
      </c>
      <c r="I57">
        <v>0.5</v>
      </c>
      <c r="J57">
        <v>34</v>
      </c>
      <c r="L57">
        <v>4865.99</v>
      </c>
      <c r="M57">
        <v>21.8</v>
      </c>
      <c r="N57">
        <v>20.3</v>
      </c>
      <c r="O57">
        <v>93.2</v>
      </c>
      <c r="P57">
        <v>17.899999999999999</v>
      </c>
      <c r="Q57">
        <v>395</v>
      </c>
      <c r="R57">
        <v>3</v>
      </c>
      <c r="S57">
        <v>0.2</v>
      </c>
      <c r="T57">
        <v>0.51</v>
      </c>
      <c r="V57">
        <v>0.62</v>
      </c>
      <c r="W57">
        <v>1.07</v>
      </c>
      <c r="X57">
        <v>0.78</v>
      </c>
      <c r="Y57">
        <v>7.2679999999999998</v>
      </c>
      <c r="Z57">
        <v>154</v>
      </c>
      <c r="AA57">
        <v>13</v>
      </c>
      <c r="AB57">
        <v>1.45</v>
      </c>
      <c r="AC57">
        <v>168.8</v>
      </c>
      <c r="AD57">
        <v>68.5</v>
      </c>
      <c r="AE57">
        <v>135.1</v>
      </c>
      <c r="AF57">
        <v>10.5</v>
      </c>
      <c r="AG57">
        <v>7.3090000000000002</v>
      </c>
      <c r="AH57">
        <v>299</v>
      </c>
      <c r="AJ57">
        <v>7.28</v>
      </c>
      <c r="AK57">
        <v>0.496</v>
      </c>
      <c r="AL57">
        <v>34</v>
      </c>
      <c r="AM57">
        <v>33.526000000000003</v>
      </c>
      <c r="AN57">
        <v>14.769</v>
      </c>
      <c r="AO57">
        <v>6</v>
      </c>
      <c r="AQ57">
        <v>280</v>
      </c>
      <c r="AR57">
        <v>70</v>
      </c>
      <c r="AW57">
        <v>31</v>
      </c>
      <c r="AX57">
        <v>15</v>
      </c>
      <c r="AZ57">
        <v>15</v>
      </c>
      <c r="BA57">
        <v>1700</v>
      </c>
      <c r="BB57">
        <v>34</v>
      </c>
      <c r="BC57">
        <v>7.2</v>
      </c>
      <c r="BD57">
        <v>50</v>
      </c>
      <c r="BE57">
        <v>4.0000000000000002E-4</v>
      </c>
      <c r="BF57">
        <v>1.4318923831324701E-2</v>
      </c>
      <c r="BI57">
        <v>1.5787675400000003E-2</v>
      </c>
      <c r="BJ57">
        <v>0.37583801280000007</v>
      </c>
      <c r="BK57">
        <v>1944.2950000000001</v>
      </c>
      <c r="BL57">
        <v>0.14401106827924776</v>
      </c>
      <c r="BM57">
        <v>0.16470588235294117</v>
      </c>
      <c r="BN57">
        <v>0</v>
      </c>
      <c r="BO57">
        <v>1.9333480562934345E-2</v>
      </c>
      <c r="BP57" t="s">
        <v>83</v>
      </c>
      <c r="BQ57" t="s">
        <v>83</v>
      </c>
      <c r="BR57">
        <v>12.103236375000002</v>
      </c>
      <c r="BS57" t="s">
        <v>83</v>
      </c>
      <c r="BT57">
        <v>50.216832630998304</v>
      </c>
      <c r="BU57">
        <v>1.9333480562934345E-2</v>
      </c>
      <c r="BV57">
        <v>12.103236375000002</v>
      </c>
    </row>
    <row r="58" spans="1:74" x14ac:dyDescent="0.25">
      <c r="A58" t="s">
        <v>55</v>
      </c>
      <c r="B58" t="s">
        <v>27</v>
      </c>
      <c r="C58">
        <v>12</v>
      </c>
      <c r="D58">
        <v>10</v>
      </c>
      <c r="F58" s="8">
        <v>45459.443055555559</v>
      </c>
      <c r="G58">
        <v>5302.42</v>
      </c>
      <c r="H58">
        <v>7.2</v>
      </c>
      <c r="I58">
        <v>0.5</v>
      </c>
      <c r="J58">
        <v>34</v>
      </c>
      <c r="L58">
        <v>5056.1850000000004</v>
      </c>
      <c r="M58">
        <v>21.6</v>
      </c>
      <c r="N58">
        <v>20.3</v>
      </c>
      <c r="O58">
        <v>94.3</v>
      </c>
      <c r="P58">
        <v>18.100000000000001</v>
      </c>
      <c r="Q58">
        <v>386</v>
      </c>
      <c r="R58">
        <v>2.61</v>
      </c>
      <c r="S58">
        <v>0.2</v>
      </c>
      <c r="T58">
        <v>0.82</v>
      </c>
      <c r="V58">
        <v>0.64</v>
      </c>
      <c r="W58">
        <v>1.1399999999999999</v>
      </c>
      <c r="X58">
        <v>0.76</v>
      </c>
      <c r="Y58">
        <v>7.2539999999999996</v>
      </c>
      <c r="Z58">
        <v>129.1</v>
      </c>
      <c r="AA58">
        <v>0</v>
      </c>
      <c r="AB58">
        <v>1.44</v>
      </c>
      <c r="AC58">
        <v>162.6</v>
      </c>
      <c r="AD58">
        <v>55.7</v>
      </c>
      <c r="AE58">
        <v>113.2</v>
      </c>
      <c r="AF58">
        <v>0</v>
      </c>
      <c r="AG58">
        <v>7.2960000000000003</v>
      </c>
      <c r="AH58">
        <v>301</v>
      </c>
      <c r="AJ58">
        <v>7.28</v>
      </c>
      <c r="AK58">
        <v>0.23199999999999998</v>
      </c>
      <c r="AL58">
        <v>34</v>
      </c>
      <c r="AM58">
        <v>27.274000000000001</v>
      </c>
      <c r="AN58">
        <v>12.154</v>
      </c>
      <c r="AO58">
        <v>7</v>
      </c>
      <c r="AQ58">
        <v>273</v>
      </c>
      <c r="AR58">
        <v>68</v>
      </c>
      <c r="AW58">
        <v>36</v>
      </c>
      <c r="AX58">
        <v>11</v>
      </c>
      <c r="AZ58">
        <v>15</v>
      </c>
      <c r="BA58">
        <v>1700</v>
      </c>
      <c r="BB58">
        <v>34</v>
      </c>
      <c r="BC58">
        <v>7.2</v>
      </c>
      <c r="BD58">
        <v>50</v>
      </c>
      <c r="BE58">
        <v>4.0000000000000002E-4</v>
      </c>
      <c r="BF58">
        <v>4.5000220423366396E-3</v>
      </c>
      <c r="BI58">
        <v>1.5650715360000001E-2</v>
      </c>
      <c r="BJ58">
        <v>0.38219832000000009</v>
      </c>
      <c r="BK58">
        <v>1927.4279999999999</v>
      </c>
      <c r="BL58">
        <v>0.14163953206034155</v>
      </c>
      <c r="BM58">
        <v>0.16058823529411764</v>
      </c>
      <c r="BN58">
        <v>0</v>
      </c>
      <c r="BO58">
        <v>6.0232420034839057E-3</v>
      </c>
      <c r="BP58" t="s">
        <v>83</v>
      </c>
      <c r="BQ58" t="s">
        <v>83</v>
      </c>
      <c r="BR58">
        <v>10.504482600000001</v>
      </c>
      <c r="BS58" t="s">
        <v>83</v>
      </c>
      <c r="BT58">
        <v>15.644784424633523</v>
      </c>
      <c r="BU58">
        <v>6.0232420034839057E-3</v>
      </c>
      <c r="BV58">
        <v>10.504482600000001</v>
      </c>
    </row>
    <row r="59" spans="1:74" x14ac:dyDescent="0.25">
      <c r="A59" t="s">
        <v>57</v>
      </c>
      <c r="B59" t="s">
        <v>26</v>
      </c>
      <c r="C59">
        <v>12</v>
      </c>
      <c r="D59">
        <v>10</v>
      </c>
      <c r="F59" s="8">
        <v>45459.445833333331</v>
      </c>
      <c r="G59">
        <v>5302.42</v>
      </c>
      <c r="H59">
        <v>7.2</v>
      </c>
      <c r="I59">
        <v>0.5</v>
      </c>
      <c r="J59">
        <v>34</v>
      </c>
      <c r="L59">
        <v>5346.89</v>
      </c>
      <c r="M59">
        <v>22.6</v>
      </c>
      <c r="N59">
        <v>21</v>
      </c>
      <c r="O59">
        <v>93</v>
      </c>
      <c r="P59">
        <v>17.2</v>
      </c>
      <c r="Q59">
        <v>361</v>
      </c>
      <c r="R59">
        <v>3.53</v>
      </c>
      <c r="S59">
        <v>0.19</v>
      </c>
      <c r="T59">
        <v>0.04</v>
      </c>
      <c r="V59">
        <v>0.44</v>
      </c>
      <c r="W59">
        <v>0.63</v>
      </c>
      <c r="X59">
        <v>0.22</v>
      </c>
      <c r="Y59">
        <v>7.2619999999999996</v>
      </c>
      <c r="Z59">
        <v>138.69999999999999</v>
      </c>
      <c r="AA59">
        <v>0.9</v>
      </c>
      <c r="AB59">
        <v>1.67</v>
      </c>
      <c r="AC59">
        <v>157.5</v>
      </c>
      <c r="AD59">
        <v>60.9</v>
      </c>
      <c r="AE59">
        <v>121.7</v>
      </c>
      <c r="AF59">
        <v>0.8</v>
      </c>
      <c r="AG59">
        <v>7.3040000000000003</v>
      </c>
      <c r="AH59">
        <v>299</v>
      </c>
      <c r="AJ59">
        <v>7.3</v>
      </c>
      <c r="AK59">
        <v>0.503</v>
      </c>
      <c r="AL59">
        <v>34</v>
      </c>
      <c r="AM59">
        <v>24.766999999999999</v>
      </c>
      <c r="AN59">
        <v>15.1</v>
      </c>
      <c r="AO59">
        <v>14</v>
      </c>
      <c r="AQ59">
        <v>262</v>
      </c>
      <c r="AR59">
        <v>59</v>
      </c>
      <c r="AW59">
        <v>34</v>
      </c>
      <c r="AX59">
        <v>2</v>
      </c>
      <c r="AZ59">
        <v>15</v>
      </c>
      <c r="BA59">
        <v>1700</v>
      </c>
      <c r="BB59">
        <v>34</v>
      </c>
      <c r="BC59">
        <v>7.2</v>
      </c>
      <c r="BD59">
        <v>50</v>
      </c>
      <c r="BE59">
        <v>4.0000000000000002E-4</v>
      </c>
      <c r="BG59">
        <v>1.2829668311332001E-2</v>
      </c>
      <c r="BH59">
        <v>3.6499622000315899E-3</v>
      </c>
      <c r="BI59">
        <v>1.6084882800000002E-2</v>
      </c>
      <c r="BJ59">
        <v>0.38604862944000012</v>
      </c>
      <c r="BK59">
        <v>1914.8670000000002</v>
      </c>
      <c r="BL59">
        <v>0.13682412407754688</v>
      </c>
      <c r="BM59">
        <v>0.15411764705882353</v>
      </c>
      <c r="BN59">
        <v>0</v>
      </c>
      <c r="BO59" t="s">
        <v>83</v>
      </c>
      <c r="BP59">
        <v>1.7060491993274567E-2</v>
      </c>
      <c r="BQ59" t="s">
        <v>83</v>
      </c>
      <c r="BR59" t="s">
        <v>83</v>
      </c>
      <c r="BS59">
        <v>6.9891921680878912</v>
      </c>
      <c r="BT59">
        <v>44.312966216297582</v>
      </c>
      <c r="BU59">
        <v>1.7060491993274567E-2</v>
      </c>
      <c r="BV59">
        <v>6.9891921680878912</v>
      </c>
    </row>
    <row r="60" spans="1:74" x14ac:dyDescent="0.25">
      <c r="A60" t="s">
        <v>58</v>
      </c>
      <c r="B60" t="s">
        <v>26</v>
      </c>
      <c r="C60">
        <v>12</v>
      </c>
      <c r="D60">
        <v>10</v>
      </c>
      <c r="F60" s="8">
        <v>45459.45</v>
      </c>
      <c r="G60">
        <v>5302.42</v>
      </c>
      <c r="H60">
        <v>7.2</v>
      </c>
      <c r="I60">
        <v>0.5</v>
      </c>
      <c r="J60">
        <v>34</v>
      </c>
      <c r="L60">
        <v>5636.1450000000004</v>
      </c>
      <c r="M60">
        <v>23.5</v>
      </c>
      <c r="N60">
        <v>20.9</v>
      </c>
      <c r="O60">
        <v>89.2</v>
      </c>
      <c r="P60">
        <v>16.899999999999999</v>
      </c>
      <c r="Q60">
        <v>357</v>
      </c>
      <c r="R60">
        <v>4.24</v>
      </c>
      <c r="S60">
        <v>0.22</v>
      </c>
      <c r="T60">
        <v>0.03</v>
      </c>
      <c r="V60">
        <v>0.39</v>
      </c>
      <c r="W60">
        <v>0.31</v>
      </c>
      <c r="X60">
        <v>0.14000000000000001</v>
      </c>
      <c r="Y60">
        <v>7.2539999999999996</v>
      </c>
      <c r="Z60">
        <v>132.30000000000001</v>
      </c>
      <c r="AA60">
        <v>32.9</v>
      </c>
      <c r="AB60">
        <v>1.96</v>
      </c>
      <c r="AC60">
        <v>154.5</v>
      </c>
      <c r="AD60">
        <v>57</v>
      </c>
      <c r="AE60">
        <v>116</v>
      </c>
      <c r="AF60">
        <v>26.6</v>
      </c>
      <c r="AG60">
        <v>7.2949999999999999</v>
      </c>
      <c r="AH60">
        <v>301</v>
      </c>
      <c r="AJ60">
        <v>7.3</v>
      </c>
      <c r="AK60">
        <v>0.496</v>
      </c>
      <c r="AL60">
        <v>34</v>
      </c>
      <c r="AM60">
        <v>21.77</v>
      </c>
      <c r="AN60">
        <v>57.984000000000002</v>
      </c>
      <c r="AO60">
        <v>14</v>
      </c>
      <c r="AQ60">
        <v>262</v>
      </c>
      <c r="AR60">
        <v>74</v>
      </c>
      <c r="AW60">
        <v>30</v>
      </c>
      <c r="AX60">
        <v>6</v>
      </c>
      <c r="AZ60">
        <v>15</v>
      </c>
      <c r="BA60">
        <v>1700</v>
      </c>
      <c r="BB60">
        <v>34</v>
      </c>
      <c r="BC60">
        <v>7.2</v>
      </c>
      <c r="BD60">
        <v>50</v>
      </c>
      <c r="BE60">
        <v>4.0000000000000002E-4</v>
      </c>
      <c r="BG60">
        <v>1.28838942426408E-2</v>
      </c>
      <c r="BH60">
        <v>3.64837557355967E-3</v>
      </c>
      <c r="BI60">
        <v>1.6467143439999998E-2</v>
      </c>
      <c r="BJ60">
        <v>0.39844348416000003</v>
      </c>
      <c r="BK60">
        <v>1969.7539999999999</v>
      </c>
      <c r="BL60">
        <v>0.13301153341990929</v>
      </c>
      <c r="BM60">
        <v>0.15411764705882353</v>
      </c>
      <c r="BN60">
        <v>0</v>
      </c>
      <c r="BO60" t="s">
        <v>83</v>
      </c>
      <c r="BP60">
        <v>1.7623682097235197E-2</v>
      </c>
      <c r="BQ60" t="s">
        <v>83</v>
      </c>
      <c r="BR60" t="s">
        <v>83</v>
      </c>
      <c r="BS60">
        <v>7.1864023795214536</v>
      </c>
      <c r="BT60">
        <v>45.77579765515636</v>
      </c>
      <c r="BU60">
        <v>1.7623682097235197E-2</v>
      </c>
      <c r="BV60">
        <v>7.1864023795214536</v>
      </c>
    </row>
    <row r="61" spans="1:74" x14ac:dyDescent="0.25">
      <c r="A61" t="s">
        <v>53</v>
      </c>
      <c r="B61" t="s">
        <v>28</v>
      </c>
      <c r="C61">
        <v>12</v>
      </c>
      <c r="D61">
        <v>11</v>
      </c>
      <c r="F61" s="8">
        <v>45460.40902777778</v>
      </c>
      <c r="G61">
        <v>5791.69</v>
      </c>
      <c r="H61">
        <v>7.2</v>
      </c>
      <c r="I61">
        <v>0.5</v>
      </c>
      <c r="J61">
        <v>34</v>
      </c>
      <c r="L61">
        <v>5329.3050000000003</v>
      </c>
      <c r="M61">
        <v>21.5</v>
      </c>
      <c r="N61">
        <v>19.899999999999999</v>
      </c>
      <c r="O61">
        <v>92.3</v>
      </c>
      <c r="P61">
        <v>17</v>
      </c>
      <c r="Q61">
        <v>373</v>
      </c>
      <c r="R61">
        <v>1.37</v>
      </c>
      <c r="S61">
        <v>0.17</v>
      </c>
      <c r="T61">
        <v>0.96</v>
      </c>
      <c r="V61">
        <v>0.21</v>
      </c>
      <c r="W61">
        <v>0.12</v>
      </c>
      <c r="X61">
        <v>0.78</v>
      </c>
      <c r="Y61">
        <v>7.2679999999999998</v>
      </c>
      <c r="Z61">
        <v>119.3</v>
      </c>
      <c r="AA61">
        <v>33.6</v>
      </c>
      <c r="AB61">
        <v>1.94</v>
      </c>
      <c r="AC61">
        <v>158.69999999999999</v>
      </c>
      <c r="AD61">
        <v>53.1</v>
      </c>
      <c r="AE61">
        <v>104.6</v>
      </c>
      <c r="AF61">
        <v>27.2</v>
      </c>
      <c r="AG61">
        <v>7.3090000000000002</v>
      </c>
      <c r="AH61">
        <v>301</v>
      </c>
      <c r="AJ61">
        <v>7.3</v>
      </c>
      <c r="AK61">
        <v>0.505</v>
      </c>
      <c r="AL61">
        <v>34</v>
      </c>
      <c r="AM61">
        <v>31.32</v>
      </c>
      <c r="AN61">
        <v>87.16</v>
      </c>
      <c r="AO61">
        <v>10</v>
      </c>
      <c r="AQ61">
        <v>214</v>
      </c>
      <c r="AR61">
        <v>46</v>
      </c>
      <c r="AW61">
        <v>20</v>
      </c>
      <c r="AX61">
        <v>0</v>
      </c>
      <c r="AZ61">
        <v>15</v>
      </c>
      <c r="BA61">
        <v>1700</v>
      </c>
      <c r="BB61">
        <v>34</v>
      </c>
      <c r="BC61">
        <v>7.2</v>
      </c>
      <c r="BD61">
        <v>50</v>
      </c>
      <c r="BE61">
        <v>4.0000000000000002E-4</v>
      </c>
      <c r="BI61">
        <v>1.52233408E-2</v>
      </c>
      <c r="BJ61">
        <v>0.36079122815999998</v>
      </c>
      <c r="BK61">
        <v>1912.48</v>
      </c>
      <c r="BL61">
        <v>0.11189659499707186</v>
      </c>
      <c r="BM61">
        <v>0.12588235294117647</v>
      </c>
      <c r="BN61">
        <v>0</v>
      </c>
      <c r="BO61" t="s">
        <v>83</v>
      </c>
      <c r="BP61" t="s">
        <v>83</v>
      </c>
      <c r="BQ61">
        <v>1.52233408E-2</v>
      </c>
      <c r="BR61">
        <v>9.7536480000000001</v>
      </c>
      <c r="BS61" t="s">
        <v>83</v>
      </c>
      <c r="BT61">
        <v>39.541144935064935</v>
      </c>
      <c r="BU61">
        <v>1.52233408E-2</v>
      </c>
      <c r="BV61">
        <v>9.7536480000000001</v>
      </c>
    </row>
    <row r="62" spans="1:74" x14ac:dyDescent="0.25">
      <c r="A62" t="s">
        <v>54</v>
      </c>
      <c r="B62" t="s">
        <v>27</v>
      </c>
      <c r="C62">
        <v>12</v>
      </c>
      <c r="D62">
        <v>11</v>
      </c>
      <c r="F62" s="8">
        <v>45460.412499999999</v>
      </c>
      <c r="G62">
        <v>5791.69</v>
      </c>
      <c r="H62">
        <v>7.2</v>
      </c>
      <c r="I62">
        <v>0.5</v>
      </c>
      <c r="J62">
        <v>34</v>
      </c>
      <c r="L62">
        <v>5295.1049999999996</v>
      </c>
      <c r="M62">
        <v>20.5</v>
      </c>
      <c r="N62">
        <v>18.5</v>
      </c>
      <c r="O62">
        <v>90.2</v>
      </c>
      <c r="P62">
        <v>17.8</v>
      </c>
      <c r="Q62">
        <v>408</v>
      </c>
      <c r="R62">
        <v>3.31</v>
      </c>
      <c r="S62">
        <v>0.2</v>
      </c>
      <c r="T62">
        <v>0.66</v>
      </c>
      <c r="V62">
        <v>0.77</v>
      </c>
      <c r="W62">
        <v>1.44</v>
      </c>
      <c r="X62">
        <v>0.55000000000000004</v>
      </c>
      <c r="Y62">
        <v>7.2380000000000004</v>
      </c>
      <c r="Z62">
        <v>159.6</v>
      </c>
      <c r="AA62">
        <v>22.1</v>
      </c>
      <c r="AB62">
        <v>1.37</v>
      </c>
      <c r="AC62">
        <v>168.5</v>
      </c>
      <c r="AD62">
        <v>66.2</v>
      </c>
      <c r="AE62">
        <v>139.9</v>
      </c>
      <c r="AF62">
        <v>17.899999999999999</v>
      </c>
      <c r="AG62">
        <v>7.2789999999999999</v>
      </c>
      <c r="AH62">
        <v>299</v>
      </c>
      <c r="AJ62">
        <v>7.25</v>
      </c>
      <c r="AK62">
        <v>0.50800000000000001</v>
      </c>
      <c r="AL62">
        <v>34</v>
      </c>
      <c r="AM62">
        <v>33.53</v>
      </c>
      <c r="AN62">
        <v>14.77</v>
      </c>
      <c r="AO62">
        <v>7</v>
      </c>
      <c r="AQ62">
        <v>307</v>
      </c>
      <c r="AR62">
        <v>83</v>
      </c>
      <c r="AW62">
        <v>27</v>
      </c>
      <c r="AX62">
        <v>13</v>
      </c>
      <c r="AZ62">
        <v>15</v>
      </c>
      <c r="BA62">
        <v>1700</v>
      </c>
      <c r="BB62">
        <v>34</v>
      </c>
      <c r="BC62">
        <v>7.2</v>
      </c>
      <c r="BD62">
        <v>50</v>
      </c>
      <c r="BE62">
        <v>4.0000000000000002E-4</v>
      </c>
      <c r="BF62">
        <v>4.8973844183032599E-2</v>
      </c>
      <c r="BI62">
        <v>1.4572820000000002E-2</v>
      </c>
      <c r="BJ62">
        <v>0.37890420960000004</v>
      </c>
      <c r="BK62">
        <v>1969.3000000000002</v>
      </c>
      <c r="BL62">
        <v>0.15589295688823437</v>
      </c>
      <c r="BM62">
        <v>0.18058823529411766</v>
      </c>
      <c r="BN62">
        <v>0</v>
      </c>
      <c r="BO62">
        <v>6.6975132881698693E-2</v>
      </c>
      <c r="BP62" t="s">
        <v>83</v>
      </c>
      <c r="BQ62" t="s">
        <v>83</v>
      </c>
      <c r="BR62">
        <v>11.520405</v>
      </c>
      <c r="BS62" t="s">
        <v>83</v>
      </c>
      <c r="BT62">
        <v>173.96138410830829</v>
      </c>
      <c r="BU62">
        <v>6.6975132881698693E-2</v>
      </c>
      <c r="BV62">
        <v>11.520405</v>
      </c>
    </row>
    <row r="63" spans="1:74" x14ac:dyDescent="0.25">
      <c r="A63" t="s">
        <v>55</v>
      </c>
      <c r="B63" t="s">
        <v>27</v>
      </c>
      <c r="C63">
        <v>12</v>
      </c>
      <c r="D63">
        <v>11</v>
      </c>
      <c r="F63" s="8">
        <v>45460.415972222225</v>
      </c>
      <c r="G63">
        <v>5791.69</v>
      </c>
      <c r="H63">
        <v>7.2</v>
      </c>
      <c r="I63">
        <v>0.5</v>
      </c>
      <c r="J63">
        <v>34</v>
      </c>
      <c r="L63">
        <v>5504.16</v>
      </c>
      <c r="M63">
        <v>21.4</v>
      </c>
      <c r="N63">
        <v>19.899999999999999</v>
      </c>
      <c r="O63">
        <v>93</v>
      </c>
      <c r="P63">
        <v>18.2</v>
      </c>
      <c r="Q63">
        <v>385</v>
      </c>
      <c r="R63">
        <v>2.77</v>
      </c>
      <c r="S63">
        <v>0.19</v>
      </c>
      <c r="T63">
        <v>0.01</v>
      </c>
      <c r="V63">
        <v>0.45</v>
      </c>
      <c r="W63">
        <v>0.44</v>
      </c>
      <c r="X63">
        <v>1.24</v>
      </c>
      <c r="Y63">
        <v>7.2690000000000001</v>
      </c>
      <c r="Z63">
        <v>98.8</v>
      </c>
      <c r="AA63">
        <v>31.6</v>
      </c>
      <c r="AB63">
        <v>1.44</v>
      </c>
      <c r="AC63">
        <v>161.19999999999999</v>
      </c>
      <c r="AD63">
        <v>44.1</v>
      </c>
      <c r="AE63">
        <v>86.6</v>
      </c>
      <c r="AF63">
        <v>25.5</v>
      </c>
      <c r="AG63">
        <v>7.3109999999999999</v>
      </c>
      <c r="AH63">
        <v>302</v>
      </c>
      <c r="AJ63">
        <v>7.3</v>
      </c>
      <c r="AK63">
        <v>0.498</v>
      </c>
      <c r="AL63">
        <v>34</v>
      </c>
      <c r="AM63">
        <v>27.27</v>
      </c>
      <c r="AN63">
        <v>20.65</v>
      </c>
      <c r="AO63">
        <v>8</v>
      </c>
      <c r="AQ63">
        <v>282</v>
      </c>
      <c r="AR63">
        <v>79</v>
      </c>
      <c r="AW63">
        <v>9</v>
      </c>
      <c r="AX63">
        <v>11</v>
      </c>
      <c r="AZ63">
        <v>15</v>
      </c>
      <c r="BA63">
        <v>1700</v>
      </c>
      <c r="BB63">
        <v>34</v>
      </c>
      <c r="BC63">
        <v>7.2</v>
      </c>
      <c r="BD63">
        <v>50</v>
      </c>
      <c r="BE63">
        <v>4.0000000000000002E-4</v>
      </c>
      <c r="BF63">
        <v>4.4999999999999997E-3</v>
      </c>
      <c r="BI63">
        <v>1.5449723200000001E-2</v>
      </c>
      <c r="BJ63">
        <v>0.37561716864000005</v>
      </c>
      <c r="BK63">
        <v>1940.92</v>
      </c>
      <c r="BL63">
        <v>0.14529192341776065</v>
      </c>
      <c r="BM63">
        <v>0.16588235294117648</v>
      </c>
      <c r="BN63">
        <v>0</v>
      </c>
      <c r="BO63">
        <v>6.0653749999999996E-3</v>
      </c>
      <c r="BP63" t="s">
        <v>83</v>
      </c>
      <c r="BQ63" t="s">
        <v>83</v>
      </c>
      <c r="BR63">
        <v>14.508377000000003</v>
      </c>
      <c r="BS63" t="s">
        <v>83</v>
      </c>
      <c r="BT63">
        <v>15.754220779220779</v>
      </c>
      <c r="BU63">
        <v>6.0653749999999996E-3</v>
      </c>
      <c r="BV63">
        <v>14.508377000000003</v>
      </c>
    </row>
    <row r="64" spans="1:74" x14ac:dyDescent="0.25">
      <c r="A64" t="s">
        <v>57</v>
      </c>
      <c r="B64" t="s">
        <v>26</v>
      </c>
      <c r="C64">
        <v>12</v>
      </c>
      <c r="D64">
        <v>11</v>
      </c>
      <c r="F64" s="8">
        <v>45460.420138888891</v>
      </c>
      <c r="G64">
        <v>5791.69</v>
      </c>
      <c r="H64">
        <v>7.2</v>
      </c>
      <c r="I64">
        <v>0.5</v>
      </c>
      <c r="J64">
        <v>34</v>
      </c>
      <c r="L64">
        <v>5804.2049999999999</v>
      </c>
      <c r="M64">
        <v>22.1</v>
      </c>
      <c r="N64">
        <v>19.899999999999999</v>
      </c>
      <c r="O64">
        <v>90.1</v>
      </c>
      <c r="P64">
        <v>17.2</v>
      </c>
      <c r="Q64" s="9"/>
      <c r="R64">
        <v>3.99</v>
      </c>
      <c r="S64">
        <v>0.19</v>
      </c>
      <c r="T64">
        <v>0.05</v>
      </c>
      <c r="V64">
        <v>0.53</v>
      </c>
      <c r="W64">
        <v>0.99</v>
      </c>
      <c r="X64">
        <v>0.21</v>
      </c>
      <c r="Y64">
        <v>7.2629999999999999</v>
      </c>
      <c r="Z64">
        <v>126</v>
      </c>
      <c r="AA64">
        <v>25</v>
      </c>
      <c r="AB64">
        <v>1.76</v>
      </c>
      <c r="AC64">
        <v>157.5</v>
      </c>
      <c r="AD64">
        <v>55.4</v>
      </c>
      <c r="AE64">
        <v>110.5</v>
      </c>
      <c r="AF64">
        <v>20.2</v>
      </c>
      <c r="AG64">
        <v>7.3040000000000003</v>
      </c>
      <c r="AH64">
        <v>300</v>
      </c>
      <c r="AJ64">
        <v>7.3</v>
      </c>
      <c r="AK64">
        <v>0.49399999999999999</v>
      </c>
      <c r="AL64">
        <v>34</v>
      </c>
      <c r="AM64">
        <v>24.77</v>
      </c>
      <c r="AN64">
        <v>19.440000000000001</v>
      </c>
      <c r="AO64">
        <v>17</v>
      </c>
      <c r="AQ64">
        <v>286</v>
      </c>
      <c r="AR64">
        <v>67</v>
      </c>
      <c r="AW64">
        <v>24</v>
      </c>
      <c r="AX64">
        <v>8</v>
      </c>
      <c r="AZ64">
        <v>15</v>
      </c>
      <c r="BA64">
        <v>1700</v>
      </c>
      <c r="BB64">
        <v>34</v>
      </c>
      <c r="BC64">
        <v>7.2</v>
      </c>
      <c r="BD64">
        <v>50</v>
      </c>
      <c r="BE64">
        <v>4.0000000000000002E-4</v>
      </c>
      <c r="BG64">
        <v>1.4055242069891999E-2</v>
      </c>
      <c r="BH64">
        <v>3.0181124836795399E-3</v>
      </c>
      <c r="BI64">
        <v>1.54281516E-2</v>
      </c>
      <c r="BJ64">
        <v>0.38603718720000002</v>
      </c>
      <c r="BK64">
        <v>1938.21</v>
      </c>
      <c r="BL64">
        <v>0.14755883005453485</v>
      </c>
      <c r="BM64">
        <v>0.16823529411764707</v>
      </c>
      <c r="BN64">
        <v>0</v>
      </c>
      <c r="BO64" t="s">
        <v>83</v>
      </c>
      <c r="BP64">
        <v>1.8918063008531508E-2</v>
      </c>
      <c r="BQ64" t="s">
        <v>83</v>
      </c>
      <c r="BR64" t="s">
        <v>83</v>
      </c>
      <c r="BS64">
        <v>5.8497357969925208</v>
      </c>
      <c r="BT64">
        <v>49.13782599618574</v>
      </c>
      <c r="BU64">
        <v>1.8918063008531508E-2</v>
      </c>
      <c r="BV64">
        <v>5.8497357969925208</v>
      </c>
    </row>
    <row r="65" spans="1:74" x14ac:dyDescent="0.25">
      <c r="A65" t="s">
        <v>58</v>
      </c>
      <c r="B65" t="s">
        <v>26</v>
      </c>
      <c r="C65">
        <v>12</v>
      </c>
      <c r="D65">
        <v>11</v>
      </c>
      <c r="F65" s="8">
        <v>45460.424305555556</v>
      </c>
      <c r="G65">
        <v>5791.69</v>
      </c>
      <c r="H65">
        <v>7.2</v>
      </c>
      <c r="I65">
        <v>0.5</v>
      </c>
      <c r="J65">
        <v>34</v>
      </c>
      <c r="L65">
        <v>6174.7049999999999</v>
      </c>
      <c r="M65">
        <v>22.7</v>
      </c>
      <c r="N65">
        <v>18.600000000000001</v>
      </c>
      <c r="O65">
        <v>81.900000000000006</v>
      </c>
      <c r="P65">
        <v>16.5</v>
      </c>
      <c r="Q65">
        <v>359</v>
      </c>
      <c r="R65">
        <v>4.9000000000000004</v>
      </c>
      <c r="S65">
        <v>0.24</v>
      </c>
      <c r="T65">
        <v>0.05</v>
      </c>
      <c r="V65">
        <v>0.47</v>
      </c>
      <c r="W65">
        <v>0.92</v>
      </c>
      <c r="X65">
        <v>0.16</v>
      </c>
      <c r="Y65">
        <v>7.2549999999999999</v>
      </c>
      <c r="Z65">
        <v>122</v>
      </c>
      <c r="AA65">
        <v>43.8</v>
      </c>
      <c r="AB65">
        <v>2.17</v>
      </c>
      <c r="AC65">
        <v>156.69999999999999</v>
      </c>
      <c r="AD65">
        <v>52.6</v>
      </c>
      <c r="AE65">
        <v>107</v>
      </c>
      <c r="AF65">
        <v>35.4</v>
      </c>
      <c r="AG65">
        <v>7.2960000000000003</v>
      </c>
      <c r="AH65">
        <v>302</v>
      </c>
      <c r="AJ65">
        <v>7.3</v>
      </c>
      <c r="AK65">
        <v>0.54500000000000004</v>
      </c>
      <c r="AL65">
        <v>34</v>
      </c>
      <c r="AM65">
        <v>21.77</v>
      </c>
      <c r="AN65">
        <v>64.349999999999994</v>
      </c>
      <c r="AO65">
        <v>17</v>
      </c>
      <c r="AQ65">
        <v>287</v>
      </c>
      <c r="AR65">
        <v>82</v>
      </c>
      <c r="AW65">
        <v>25</v>
      </c>
      <c r="AX65">
        <v>8</v>
      </c>
      <c r="AZ65">
        <v>15</v>
      </c>
      <c r="BA65">
        <v>1700</v>
      </c>
      <c r="BB65">
        <v>34</v>
      </c>
      <c r="BC65">
        <v>7.2</v>
      </c>
      <c r="BD65">
        <v>50</v>
      </c>
      <c r="BE65">
        <v>4.0000000000000002E-4</v>
      </c>
      <c r="BG65">
        <v>2E-3</v>
      </c>
      <c r="BH65">
        <v>9.9999999999999995E-8</v>
      </c>
      <c r="BI65">
        <v>1.4851132800000002E-2</v>
      </c>
      <c r="BJ65">
        <v>0.39521144255999996</v>
      </c>
      <c r="BK65">
        <v>1996.12</v>
      </c>
      <c r="BL65">
        <v>0.14377893112638521</v>
      </c>
      <c r="BM65">
        <v>0.16882352941176471</v>
      </c>
      <c r="BN65">
        <v>0</v>
      </c>
      <c r="BO65" t="s">
        <v>83</v>
      </c>
      <c r="BP65">
        <v>2.7723888888888885E-3</v>
      </c>
      <c r="BQ65" t="s">
        <v>83</v>
      </c>
      <c r="BR65" t="s">
        <v>83</v>
      </c>
      <c r="BS65">
        <v>1.9961199999999997E-4</v>
      </c>
      <c r="BT65">
        <v>7.2010101010101</v>
      </c>
      <c r="BU65">
        <v>2.7723888888888885E-3</v>
      </c>
      <c r="BV65">
        <v>1.9961199999999997E-4</v>
      </c>
    </row>
    <row r="66" spans="1:74" x14ac:dyDescent="0.25">
      <c r="A66" t="s">
        <v>53</v>
      </c>
      <c r="B66" t="s">
        <v>28</v>
      </c>
      <c r="C66">
        <v>12</v>
      </c>
      <c r="D66">
        <v>12</v>
      </c>
      <c r="F66" s="8">
        <v>45461.388900462996</v>
      </c>
      <c r="G66">
        <v>6120</v>
      </c>
      <c r="H66">
        <v>7.2</v>
      </c>
      <c r="I66">
        <v>0.5</v>
      </c>
      <c r="J66">
        <v>34</v>
      </c>
      <c r="L66">
        <v>5751.09</v>
      </c>
      <c r="M66">
        <v>19.399999999999999</v>
      </c>
      <c r="N66">
        <v>17.8</v>
      </c>
      <c r="O66">
        <v>91.8</v>
      </c>
      <c r="P66">
        <v>17.100000000000001</v>
      </c>
      <c r="Q66">
        <v>377</v>
      </c>
      <c r="R66">
        <v>1.46</v>
      </c>
      <c r="S66">
        <v>0.16</v>
      </c>
      <c r="T66">
        <v>2.34</v>
      </c>
      <c r="V66">
        <v>0.17</v>
      </c>
      <c r="W66">
        <v>0.13</v>
      </c>
      <c r="X66">
        <v>0.46</v>
      </c>
      <c r="Y66">
        <v>7.2709999999999999</v>
      </c>
      <c r="Z66">
        <v>119.8</v>
      </c>
      <c r="AA66">
        <v>33.5</v>
      </c>
      <c r="AB66">
        <v>1.95</v>
      </c>
      <c r="AC66">
        <v>156.19999999999999</v>
      </c>
      <c r="AD66">
        <v>53.8</v>
      </c>
      <c r="AE66">
        <v>105.1</v>
      </c>
      <c r="AF66">
        <v>27.1</v>
      </c>
      <c r="AG66">
        <v>7.3129999999999997</v>
      </c>
      <c r="AH66">
        <v>299</v>
      </c>
      <c r="AJ66">
        <v>7.3</v>
      </c>
      <c r="AK66">
        <v>50.1</v>
      </c>
      <c r="AL66">
        <v>34</v>
      </c>
      <c r="AM66">
        <v>31.32</v>
      </c>
      <c r="AN66">
        <v>91.54</v>
      </c>
      <c r="AO66">
        <v>13</v>
      </c>
      <c r="AQ66">
        <v>236</v>
      </c>
      <c r="AR66">
        <v>57</v>
      </c>
      <c r="AW66">
        <v>22</v>
      </c>
      <c r="AX66">
        <v>11</v>
      </c>
      <c r="AZ66">
        <v>15</v>
      </c>
      <c r="BA66">
        <v>1700</v>
      </c>
      <c r="BB66">
        <v>34</v>
      </c>
      <c r="BC66">
        <v>7.2</v>
      </c>
      <c r="BD66">
        <v>50</v>
      </c>
      <c r="BE66">
        <v>4.0000000000000002E-4</v>
      </c>
      <c r="BI66">
        <v>1.3790443200000002E-2</v>
      </c>
      <c r="BJ66">
        <v>0.36536017920000002</v>
      </c>
      <c r="BK66">
        <v>1936.8600000000001</v>
      </c>
      <c r="BL66">
        <v>0.12184670032939912</v>
      </c>
      <c r="BM66">
        <v>0.13882352941176471</v>
      </c>
      <c r="BN66">
        <v>0</v>
      </c>
      <c r="BO66" t="s">
        <v>83</v>
      </c>
      <c r="BP66" t="s">
        <v>83</v>
      </c>
      <c r="BQ66">
        <v>1.3790443200000002E-2</v>
      </c>
      <c r="BR66">
        <v>0</v>
      </c>
      <c r="BS66" t="s">
        <v>83</v>
      </c>
      <c r="BT66">
        <v>35.819332987012992</v>
      </c>
      <c r="BV66">
        <v>0</v>
      </c>
    </row>
    <row r="67" spans="1:74" x14ac:dyDescent="0.25">
      <c r="A67" t="s">
        <v>54</v>
      </c>
      <c r="B67" t="s">
        <v>27</v>
      </c>
      <c r="C67">
        <v>12</v>
      </c>
      <c r="D67">
        <v>12</v>
      </c>
      <c r="F67" s="8">
        <v>45461.392164351899</v>
      </c>
      <c r="G67">
        <v>6120</v>
      </c>
      <c r="H67">
        <v>7.2</v>
      </c>
      <c r="I67">
        <v>0.5</v>
      </c>
      <c r="J67">
        <v>34</v>
      </c>
      <c r="L67">
        <v>5470.3950000000004</v>
      </c>
      <c r="M67">
        <v>21</v>
      </c>
      <c r="N67">
        <v>18.8</v>
      </c>
      <c r="O67">
        <v>89.6</v>
      </c>
      <c r="P67">
        <v>17.8</v>
      </c>
      <c r="Q67">
        <v>470</v>
      </c>
      <c r="R67">
        <v>4.5199999999999996</v>
      </c>
      <c r="S67">
        <v>0.19</v>
      </c>
      <c r="T67">
        <v>5.85</v>
      </c>
      <c r="V67">
        <v>1.4</v>
      </c>
      <c r="W67">
        <v>4.05</v>
      </c>
      <c r="X67">
        <v>1.0900000000000001</v>
      </c>
      <c r="Y67">
        <v>7.08</v>
      </c>
      <c r="Z67">
        <v>160.19999999999999</v>
      </c>
      <c r="AA67">
        <v>28.2</v>
      </c>
      <c r="AB67">
        <v>1.33</v>
      </c>
      <c r="AC67">
        <v>171.2</v>
      </c>
      <c r="AD67">
        <v>45.9</v>
      </c>
      <c r="AE67">
        <v>140.5</v>
      </c>
      <c r="AF67">
        <v>22.8</v>
      </c>
      <c r="AG67">
        <v>7.1180000000000003</v>
      </c>
      <c r="AH67">
        <v>300</v>
      </c>
      <c r="AJ67">
        <v>7.12</v>
      </c>
      <c r="AK67">
        <v>50.8</v>
      </c>
      <c r="AL67">
        <v>34</v>
      </c>
      <c r="AM67">
        <v>33.53</v>
      </c>
      <c r="AN67">
        <v>14.77</v>
      </c>
      <c r="AO67">
        <v>12</v>
      </c>
      <c r="AQ67">
        <v>389</v>
      </c>
      <c r="AR67">
        <v>95</v>
      </c>
      <c r="AW67">
        <v>82</v>
      </c>
      <c r="AX67">
        <v>12</v>
      </c>
      <c r="AZ67">
        <v>15</v>
      </c>
      <c r="BA67">
        <v>1700</v>
      </c>
      <c r="BB67">
        <v>34</v>
      </c>
      <c r="BC67">
        <v>7.2</v>
      </c>
      <c r="BD67">
        <v>50</v>
      </c>
      <c r="BE67">
        <v>4.0000000000000002E-4</v>
      </c>
      <c r="BI67">
        <v>1.5433296000000003E-2</v>
      </c>
      <c r="BJ67">
        <v>0.34974768000000006</v>
      </c>
      <c r="BK67">
        <v>2052.3000000000002</v>
      </c>
      <c r="BL67">
        <v>0.1895434390683623</v>
      </c>
      <c r="BM67">
        <v>0.2288235294117647</v>
      </c>
      <c r="BN67">
        <v>0</v>
      </c>
      <c r="BO67">
        <v>0</v>
      </c>
      <c r="BP67" t="s">
        <v>83</v>
      </c>
      <c r="BQ67" t="s">
        <v>83</v>
      </c>
      <c r="BR67">
        <v>0</v>
      </c>
      <c r="BS67" t="s">
        <v>83</v>
      </c>
      <c r="BT67">
        <v>0</v>
      </c>
      <c r="BV67">
        <v>0</v>
      </c>
    </row>
    <row r="68" spans="1:74" x14ac:dyDescent="0.25">
      <c r="A68" t="s">
        <v>55</v>
      </c>
      <c r="B68" t="s">
        <v>27</v>
      </c>
      <c r="C68">
        <v>12</v>
      </c>
      <c r="D68">
        <v>12</v>
      </c>
      <c r="F68" s="8">
        <v>45461.395752314798</v>
      </c>
      <c r="G68">
        <v>6120</v>
      </c>
      <c r="H68">
        <v>7.2</v>
      </c>
      <c r="I68">
        <v>0.5</v>
      </c>
      <c r="J68">
        <v>34</v>
      </c>
      <c r="L68">
        <v>5767.0649999999996</v>
      </c>
      <c r="M68">
        <v>20.8</v>
      </c>
      <c r="N68">
        <v>18.8</v>
      </c>
      <c r="O68">
        <v>90.6</v>
      </c>
      <c r="P68">
        <v>18</v>
      </c>
      <c r="Q68">
        <v>386</v>
      </c>
      <c r="R68">
        <v>2.93</v>
      </c>
      <c r="S68">
        <v>0.18</v>
      </c>
      <c r="T68">
        <v>0.49</v>
      </c>
      <c r="V68">
        <v>0.43</v>
      </c>
      <c r="W68">
        <v>0.34</v>
      </c>
      <c r="X68">
        <v>0.59</v>
      </c>
      <c r="Y68">
        <v>7.2759999999999998</v>
      </c>
      <c r="Z68">
        <v>118.2</v>
      </c>
      <c r="AA68">
        <v>22.8</v>
      </c>
      <c r="AB68">
        <v>1.54</v>
      </c>
      <c r="AC68">
        <v>162.80000000000001</v>
      </c>
      <c r="AD68">
        <v>53.6</v>
      </c>
      <c r="AE68">
        <v>103.6</v>
      </c>
      <c r="AF68">
        <v>18.5</v>
      </c>
      <c r="AG68">
        <v>7.3179999999999996</v>
      </c>
      <c r="AH68">
        <v>302</v>
      </c>
      <c r="AJ68">
        <v>7.3</v>
      </c>
      <c r="AK68">
        <v>49.1</v>
      </c>
      <c r="AL68">
        <v>34</v>
      </c>
      <c r="AM68">
        <v>27.27</v>
      </c>
      <c r="AN68">
        <v>24.9</v>
      </c>
      <c r="AO68">
        <v>9</v>
      </c>
      <c r="AQ68">
        <v>291</v>
      </c>
      <c r="AR68">
        <v>95</v>
      </c>
      <c r="AW68">
        <v>9</v>
      </c>
      <c r="AX68">
        <v>16</v>
      </c>
      <c r="AZ68">
        <v>15</v>
      </c>
      <c r="BA68">
        <v>1700</v>
      </c>
      <c r="BB68">
        <v>34</v>
      </c>
      <c r="BC68">
        <v>7.2</v>
      </c>
      <c r="BD68">
        <v>50</v>
      </c>
      <c r="BE68">
        <v>4.0000000000000002E-4</v>
      </c>
      <c r="BI68">
        <v>1.4702878400000001E-2</v>
      </c>
      <c r="BJ68">
        <v>0.37079335680000003</v>
      </c>
      <c r="BK68">
        <v>1955.17</v>
      </c>
      <c r="BL68">
        <v>0.14883616258432769</v>
      </c>
      <c r="BM68">
        <v>0.17117647058823529</v>
      </c>
      <c r="BN68">
        <v>0</v>
      </c>
      <c r="BO68">
        <v>0</v>
      </c>
      <c r="BP68" t="s">
        <v>83</v>
      </c>
      <c r="BQ68" t="s">
        <v>83</v>
      </c>
      <c r="BR68">
        <v>12.26869175</v>
      </c>
      <c r="BS68" t="s">
        <v>83</v>
      </c>
      <c r="BT68">
        <v>0</v>
      </c>
      <c r="BV68">
        <v>12.26869175</v>
      </c>
    </row>
    <row r="69" spans="1:74" x14ac:dyDescent="0.25">
      <c r="A69" t="s">
        <v>57</v>
      </c>
      <c r="B69" t="s">
        <v>26</v>
      </c>
      <c r="C69">
        <v>12</v>
      </c>
      <c r="D69">
        <v>12</v>
      </c>
      <c r="F69" s="8">
        <v>45461.399386574099</v>
      </c>
      <c r="G69">
        <v>6120</v>
      </c>
      <c r="H69">
        <v>7.2</v>
      </c>
      <c r="I69">
        <v>0.5</v>
      </c>
      <c r="J69">
        <v>34</v>
      </c>
      <c r="L69">
        <v>5949.0450000000001</v>
      </c>
      <c r="M69">
        <v>22</v>
      </c>
      <c r="N69">
        <v>18.7</v>
      </c>
      <c r="O69">
        <v>85</v>
      </c>
      <c r="P69">
        <v>17</v>
      </c>
      <c r="Q69">
        <v>374</v>
      </c>
      <c r="R69">
        <v>4.28</v>
      </c>
      <c r="S69">
        <v>0.2</v>
      </c>
      <c r="T69">
        <v>0.11</v>
      </c>
      <c r="V69">
        <v>0.74</v>
      </c>
      <c r="W69">
        <v>1.68</v>
      </c>
      <c r="X69">
        <v>0.28000000000000003</v>
      </c>
      <c r="Y69">
        <v>7.2530000000000001</v>
      </c>
      <c r="Z69">
        <v>122.9</v>
      </c>
      <c r="AA69">
        <v>24.7</v>
      </c>
      <c r="AB69">
        <v>1.9</v>
      </c>
      <c r="AC69">
        <v>157.69999999999999</v>
      </c>
      <c r="AD69">
        <v>52.9</v>
      </c>
      <c r="AE69">
        <v>107.8</v>
      </c>
      <c r="AF69">
        <v>19.899999999999999</v>
      </c>
      <c r="AG69">
        <v>7.2949999999999999</v>
      </c>
      <c r="AH69">
        <v>301</v>
      </c>
      <c r="AJ69">
        <v>7.3</v>
      </c>
      <c r="AK69">
        <v>49.7</v>
      </c>
      <c r="AL69">
        <v>34</v>
      </c>
      <c r="AM69">
        <v>24.77</v>
      </c>
      <c r="AN69">
        <v>23.2</v>
      </c>
      <c r="AO69">
        <v>22</v>
      </c>
      <c r="AQ69">
        <v>312</v>
      </c>
      <c r="AR69">
        <v>74</v>
      </c>
      <c r="AW69">
        <v>26</v>
      </c>
      <c r="AX69">
        <v>7</v>
      </c>
      <c r="AZ69">
        <v>15</v>
      </c>
      <c r="BA69">
        <v>1700</v>
      </c>
      <c r="BB69">
        <v>34</v>
      </c>
      <c r="BC69">
        <v>7.2</v>
      </c>
      <c r="BD69">
        <v>50</v>
      </c>
      <c r="BE69">
        <v>4.0000000000000002E-4</v>
      </c>
      <c r="BI69">
        <v>1.4690495600000002E-2</v>
      </c>
      <c r="BJ69">
        <v>0.3702756384</v>
      </c>
      <c r="BK69">
        <v>1963.9700000000003</v>
      </c>
      <c r="BL69">
        <v>0.15886189707582091</v>
      </c>
      <c r="BM69">
        <v>0.18352941176470589</v>
      </c>
      <c r="BN69">
        <v>0</v>
      </c>
      <c r="BO69" t="s">
        <v>83</v>
      </c>
      <c r="BP69">
        <v>0</v>
      </c>
      <c r="BQ69" t="s">
        <v>83</v>
      </c>
      <c r="BR69" t="s">
        <v>83</v>
      </c>
      <c r="BS69">
        <v>0</v>
      </c>
      <c r="BT69">
        <v>0</v>
      </c>
      <c r="BV69">
        <v>0</v>
      </c>
    </row>
    <row r="70" spans="1:74" ht="15.75" thickBot="1" x14ac:dyDescent="0.3">
      <c r="A70" t="s">
        <v>58</v>
      </c>
      <c r="B70" t="s">
        <v>26</v>
      </c>
      <c r="C70">
        <v>12</v>
      </c>
      <c r="D70">
        <v>12</v>
      </c>
      <c r="F70" s="8">
        <v>45461.402337963002</v>
      </c>
      <c r="G70">
        <v>6120</v>
      </c>
      <c r="H70">
        <v>7.2</v>
      </c>
      <c r="I70">
        <v>0.5</v>
      </c>
      <c r="J70">
        <v>34</v>
      </c>
      <c r="L70">
        <v>6160.4250000000002</v>
      </c>
      <c r="M70">
        <v>24.2</v>
      </c>
      <c r="N70">
        <v>17.3</v>
      </c>
      <c r="O70">
        <v>71.599999999999994</v>
      </c>
      <c r="P70">
        <v>16.399999999999999</v>
      </c>
      <c r="Q70">
        <v>361</v>
      </c>
      <c r="R70">
        <v>5.59</v>
      </c>
      <c r="S70">
        <v>0.28999999999999998</v>
      </c>
      <c r="T70">
        <v>0</v>
      </c>
      <c r="V70">
        <v>0.38</v>
      </c>
      <c r="W70">
        <v>0.77</v>
      </c>
      <c r="X70">
        <v>0.61</v>
      </c>
      <c r="Y70">
        <v>7.2439999999999998</v>
      </c>
      <c r="Z70">
        <v>114.1</v>
      </c>
      <c r="AA70">
        <v>44.7</v>
      </c>
      <c r="AB70">
        <v>2.83</v>
      </c>
      <c r="AC70">
        <v>155.5</v>
      </c>
      <c r="AD70">
        <v>48</v>
      </c>
      <c r="AE70">
        <v>100.1</v>
      </c>
      <c r="AF70">
        <v>36.200000000000003</v>
      </c>
      <c r="AG70">
        <v>7.2850000000000001</v>
      </c>
      <c r="AH70">
        <v>302</v>
      </c>
      <c r="AJ70">
        <v>7.3</v>
      </c>
      <c r="AK70">
        <v>50.3</v>
      </c>
      <c r="AL70">
        <v>34</v>
      </c>
      <c r="AM70">
        <v>21.77</v>
      </c>
      <c r="AN70">
        <v>84.84</v>
      </c>
      <c r="AO70">
        <v>22</v>
      </c>
      <c r="AQ70">
        <v>294</v>
      </c>
      <c r="AR70">
        <v>82</v>
      </c>
      <c r="AW70">
        <v>7</v>
      </c>
      <c r="AX70">
        <v>0</v>
      </c>
      <c r="AZ70">
        <v>15</v>
      </c>
      <c r="BA70">
        <v>1700</v>
      </c>
      <c r="BB70">
        <v>34</v>
      </c>
      <c r="BC70">
        <v>7.2</v>
      </c>
      <c r="BD70">
        <v>50</v>
      </c>
      <c r="BE70">
        <v>4.0000000000000002E-4</v>
      </c>
      <c r="BI70">
        <v>1.3927261200000002E-2</v>
      </c>
      <c r="BJ70">
        <v>0.35642718720000005</v>
      </c>
      <c r="BK70">
        <v>2012.6100000000001</v>
      </c>
      <c r="BL70">
        <v>0.1460789720810291</v>
      </c>
      <c r="BM70">
        <v>0.17294117647058824</v>
      </c>
      <c r="BN70">
        <v>0</v>
      </c>
      <c r="BO70" t="s">
        <v>83</v>
      </c>
      <c r="BP70">
        <v>0</v>
      </c>
      <c r="BQ70" t="s">
        <v>83</v>
      </c>
      <c r="BR70" t="s">
        <v>83</v>
      </c>
      <c r="BS70">
        <v>0</v>
      </c>
      <c r="BT70">
        <v>0</v>
      </c>
      <c r="BV70">
        <v>0</v>
      </c>
    </row>
    <row r="71" spans="1:74" ht="15.75" hidden="1" thickBot="1" x14ac:dyDescent="0.3">
      <c r="A71" t="s">
        <v>84</v>
      </c>
      <c r="B71" t="s">
        <v>26</v>
      </c>
      <c r="C71">
        <v>12</v>
      </c>
      <c r="D71">
        <v>0</v>
      </c>
      <c r="F71" s="8">
        <v>45491.472488425898</v>
      </c>
      <c r="G71">
        <v>146.51</v>
      </c>
      <c r="H71">
        <v>7.2</v>
      </c>
      <c r="I71">
        <v>0.5</v>
      </c>
      <c r="J71">
        <v>34</v>
      </c>
      <c r="L71">
        <v>121.58</v>
      </c>
      <c r="M71">
        <v>12.4</v>
      </c>
      <c r="N71">
        <v>12.2</v>
      </c>
      <c r="O71">
        <v>98.4</v>
      </c>
      <c r="P71">
        <v>16.7</v>
      </c>
      <c r="Q71">
        <v>331</v>
      </c>
      <c r="R71">
        <v>0.63</v>
      </c>
      <c r="S71">
        <v>0.57999999999999996</v>
      </c>
      <c r="T71">
        <v>6.06</v>
      </c>
      <c r="V71">
        <v>1.02</v>
      </c>
      <c r="W71">
        <v>2.4500000000000002</v>
      </c>
      <c r="X71">
        <v>0.9</v>
      </c>
      <c r="Y71">
        <v>7.0590000000000002</v>
      </c>
      <c r="Z71">
        <v>99.5</v>
      </c>
      <c r="AA71">
        <v>94</v>
      </c>
      <c r="AB71">
        <v>6.59</v>
      </c>
      <c r="AC71">
        <v>107.8</v>
      </c>
      <c r="AD71">
        <v>27.1</v>
      </c>
      <c r="AE71">
        <v>87.3</v>
      </c>
      <c r="AF71">
        <v>78.099999999999994</v>
      </c>
      <c r="AG71">
        <v>7.0970000000000004</v>
      </c>
      <c r="AH71">
        <v>300</v>
      </c>
      <c r="AI71">
        <v>50</v>
      </c>
      <c r="AJ71">
        <v>7.09</v>
      </c>
      <c r="AK71">
        <v>0.5</v>
      </c>
      <c r="AL71">
        <v>34</v>
      </c>
      <c r="AM71">
        <v>3.3</v>
      </c>
      <c r="AN71">
        <v>0</v>
      </c>
      <c r="AO71">
        <v>0</v>
      </c>
      <c r="AP71">
        <v>4.6805555555555498E-3</v>
      </c>
      <c r="AQ71">
        <v>0</v>
      </c>
      <c r="AR71">
        <v>0</v>
      </c>
      <c r="AS71">
        <v>711</v>
      </c>
      <c r="AW71">
        <v>0</v>
      </c>
      <c r="AX71">
        <v>0</v>
      </c>
      <c r="AY71">
        <v>0</v>
      </c>
      <c r="AZ71">
        <v>15</v>
      </c>
      <c r="BA71">
        <v>1700</v>
      </c>
      <c r="BB71">
        <v>34</v>
      </c>
      <c r="BC71">
        <v>7.2</v>
      </c>
      <c r="BD71">
        <v>50</v>
      </c>
      <c r="BE71">
        <v>2.9999999999999997E-4</v>
      </c>
      <c r="BG71">
        <v>3.9999999999999957E-3</v>
      </c>
      <c r="BH71">
        <v>9.9999999999999995E-8</v>
      </c>
      <c r="BI71">
        <v>6.1671E-3</v>
      </c>
      <c r="BJ71">
        <v>8.8806239999999992</v>
      </c>
      <c r="BK71">
        <v>1685</v>
      </c>
      <c r="BL71">
        <v>0</v>
      </c>
      <c r="BM71">
        <v>0</v>
      </c>
      <c r="BN71">
        <v>6.7399999999999922</v>
      </c>
      <c r="BO71" t="s">
        <v>83</v>
      </c>
      <c r="BP71">
        <v>4.6805555555555498E-3</v>
      </c>
      <c r="BQ71" t="s">
        <v>83</v>
      </c>
      <c r="BS71">
        <v>1.685E-4</v>
      </c>
      <c r="BT71">
        <v>12.157287157287143</v>
      </c>
      <c r="BU71">
        <v>4.6805555555555498E-3</v>
      </c>
      <c r="BV71">
        <v>1.685E-4</v>
      </c>
    </row>
    <row r="72" spans="1:74" ht="15.75" hidden="1" thickBot="1" x14ac:dyDescent="0.3">
      <c r="A72" t="s">
        <v>85</v>
      </c>
      <c r="B72" t="s">
        <v>26</v>
      </c>
      <c r="C72">
        <v>12</v>
      </c>
      <c r="D72">
        <v>0</v>
      </c>
      <c r="F72" s="8">
        <v>45491.474918981497</v>
      </c>
      <c r="G72">
        <v>146.51</v>
      </c>
      <c r="H72">
        <v>7.2</v>
      </c>
      <c r="I72">
        <v>0.5</v>
      </c>
      <c r="J72">
        <v>34</v>
      </c>
      <c r="L72">
        <v>118.99</v>
      </c>
      <c r="M72">
        <v>13.1</v>
      </c>
      <c r="N72">
        <v>12.9</v>
      </c>
      <c r="O72">
        <v>98.6</v>
      </c>
      <c r="P72">
        <v>16.7</v>
      </c>
      <c r="Q72">
        <v>329</v>
      </c>
      <c r="R72">
        <v>0.63</v>
      </c>
      <c r="S72">
        <v>0.6</v>
      </c>
      <c r="T72">
        <v>5.93</v>
      </c>
      <c r="V72">
        <v>0.98</v>
      </c>
      <c r="W72">
        <v>2.34</v>
      </c>
      <c r="X72">
        <v>0.89</v>
      </c>
      <c r="Y72">
        <v>7.0279999999999996</v>
      </c>
      <c r="Z72">
        <v>103</v>
      </c>
      <c r="AA72">
        <v>59.4</v>
      </c>
      <c r="AB72">
        <v>6.56</v>
      </c>
      <c r="AC72">
        <v>108.4</v>
      </c>
      <c r="AD72">
        <v>26.1</v>
      </c>
      <c r="AE72">
        <v>90.3</v>
      </c>
      <c r="AF72">
        <v>48.3</v>
      </c>
      <c r="AG72">
        <v>7.0650000000000004</v>
      </c>
      <c r="AH72">
        <v>300</v>
      </c>
      <c r="AI72">
        <v>50</v>
      </c>
      <c r="AJ72">
        <v>7.1</v>
      </c>
      <c r="AK72">
        <v>0.5</v>
      </c>
      <c r="AL72">
        <v>34</v>
      </c>
      <c r="AM72">
        <v>2.94</v>
      </c>
      <c r="AN72">
        <v>0</v>
      </c>
      <c r="AO72">
        <v>0</v>
      </c>
      <c r="AP72">
        <v>4.6805555555555498E-3</v>
      </c>
      <c r="AQ72">
        <v>0</v>
      </c>
      <c r="AR72">
        <v>0</v>
      </c>
      <c r="AS72">
        <v>670</v>
      </c>
      <c r="AW72">
        <v>0</v>
      </c>
      <c r="AX72">
        <v>0</v>
      </c>
      <c r="AY72">
        <v>0</v>
      </c>
      <c r="AZ72">
        <v>15</v>
      </c>
      <c r="BA72">
        <v>1700</v>
      </c>
      <c r="BB72">
        <v>34</v>
      </c>
      <c r="BC72">
        <v>7.2</v>
      </c>
      <c r="BD72">
        <v>50</v>
      </c>
      <c r="BE72">
        <v>2.9999999999999997E-4</v>
      </c>
      <c r="BG72">
        <v>3.9999999999999957E-3</v>
      </c>
      <c r="BH72">
        <v>9.9999999999999995E-8</v>
      </c>
      <c r="BI72">
        <v>6.5209499999999993E-3</v>
      </c>
      <c r="BJ72">
        <v>9.3901679999999992</v>
      </c>
      <c r="BK72">
        <v>1685</v>
      </c>
      <c r="BL72">
        <v>0</v>
      </c>
      <c r="BM72">
        <v>0</v>
      </c>
      <c r="BN72">
        <v>6.7399999999999922</v>
      </c>
      <c r="BO72" t="s">
        <v>83</v>
      </c>
      <c r="BP72">
        <v>4.6805555555555498E-3</v>
      </c>
      <c r="BQ72" t="s">
        <v>83</v>
      </c>
      <c r="BS72">
        <v>1.685E-4</v>
      </c>
      <c r="BT72">
        <v>12.157287157287143</v>
      </c>
      <c r="BU72">
        <v>4.6805555555555498E-3</v>
      </c>
      <c r="BV72">
        <v>1.685E-4</v>
      </c>
    </row>
    <row r="73" spans="1:74" ht="15.75" hidden="1" thickBot="1" x14ac:dyDescent="0.3">
      <c r="A73" t="s">
        <v>86</v>
      </c>
      <c r="B73" t="s">
        <v>27</v>
      </c>
      <c r="C73">
        <v>12</v>
      </c>
      <c r="D73">
        <v>0</v>
      </c>
      <c r="F73" s="8">
        <v>45491.477488425902</v>
      </c>
      <c r="G73">
        <v>146.51</v>
      </c>
      <c r="H73">
        <v>7.2</v>
      </c>
      <c r="I73">
        <v>0.5</v>
      </c>
      <c r="J73">
        <v>34</v>
      </c>
      <c r="L73">
        <v>118.11</v>
      </c>
      <c r="M73">
        <v>13.5</v>
      </c>
      <c r="N73">
        <v>13.3</v>
      </c>
      <c r="O73">
        <v>98.1</v>
      </c>
      <c r="P73">
        <v>16.600000000000001</v>
      </c>
      <c r="Q73">
        <v>327</v>
      </c>
      <c r="R73">
        <v>0.63</v>
      </c>
      <c r="S73">
        <v>0.61</v>
      </c>
      <c r="T73">
        <v>5.96</v>
      </c>
      <c r="V73">
        <v>0.97</v>
      </c>
      <c r="W73">
        <v>2.36</v>
      </c>
      <c r="X73">
        <v>0.93</v>
      </c>
      <c r="Y73">
        <v>7.0679999999999996</v>
      </c>
      <c r="Z73">
        <v>95</v>
      </c>
      <c r="AA73">
        <v>55.9</v>
      </c>
      <c r="AB73">
        <v>6.59</v>
      </c>
      <c r="AC73">
        <v>106.4</v>
      </c>
      <c r="AD73">
        <v>26.4</v>
      </c>
      <c r="AE73">
        <v>83.4</v>
      </c>
      <c r="AF73">
        <v>45.4</v>
      </c>
      <c r="AG73">
        <v>7.1050000000000004</v>
      </c>
      <c r="AH73">
        <v>300</v>
      </c>
      <c r="AI73">
        <v>49.3</v>
      </c>
      <c r="AJ73">
        <v>7.1</v>
      </c>
      <c r="AK73">
        <v>0.49299999999999999</v>
      </c>
      <c r="AL73">
        <v>34</v>
      </c>
      <c r="AM73">
        <v>3.13</v>
      </c>
      <c r="AN73">
        <v>0</v>
      </c>
      <c r="AO73">
        <v>0</v>
      </c>
      <c r="AP73">
        <v>6.9716747687283455E-3</v>
      </c>
      <c r="AQ73">
        <v>0</v>
      </c>
      <c r="AR73">
        <v>0</v>
      </c>
      <c r="AS73">
        <v>775</v>
      </c>
      <c r="AW73">
        <v>0</v>
      </c>
      <c r="AX73">
        <v>0</v>
      </c>
      <c r="AY73">
        <v>0</v>
      </c>
      <c r="AZ73">
        <v>15</v>
      </c>
      <c r="BA73">
        <v>1700</v>
      </c>
      <c r="BB73">
        <v>34</v>
      </c>
      <c r="BC73">
        <v>7.2</v>
      </c>
      <c r="BD73">
        <v>50</v>
      </c>
      <c r="BE73">
        <v>2.9999999999999997E-4</v>
      </c>
      <c r="BF73">
        <v>5.9579891198627997E-3</v>
      </c>
      <c r="BI73">
        <v>6.7231499999999998E-3</v>
      </c>
      <c r="BJ73">
        <v>9.6813359999999999</v>
      </c>
      <c r="BK73">
        <v>1685</v>
      </c>
      <c r="BL73">
        <v>0</v>
      </c>
      <c r="BM73">
        <v>0</v>
      </c>
      <c r="BN73">
        <v>10.039211666968818</v>
      </c>
      <c r="BO73">
        <v>6.9716747687283455E-3</v>
      </c>
      <c r="BP73" t="s">
        <v>83</v>
      </c>
      <c r="BQ73" t="s">
        <v>83</v>
      </c>
      <c r="BR73">
        <v>0</v>
      </c>
      <c r="BS73" t="s">
        <v>83</v>
      </c>
      <c r="BT73">
        <v>18.10824615254116</v>
      </c>
      <c r="BU73">
        <v>6.9716747687283455E-3</v>
      </c>
      <c r="BV73">
        <v>0</v>
      </c>
    </row>
    <row r="74" spans="1:74" ht="15.75" hidden="1" thickBot="1" x14ac:dyDescent="0.3">
      <c r="A74" t="s">
        <v>87</v>
      </c>
      <c r="B74" t="s">
        <v>27</v>
      </c>
      <c r="C74">
        <v>12</v>
      </c>
      <c r="D74">
        <v>0</v>
      </c>
      <c r="F74" s="8">
        <v>45491.480787036999</v>
      </c>
      <c r="G74">
        <v>146.51</v>
      </c>
      <c r="H74">
        <v>7.2</v>
      </c>
      <c r="I74">
        <v>0.5</v>
      </c>
      <c r="J74">
        <v>34</v>
      </c>
      <c r="L74">
        <v>121.99</v>
      </c>
      <c r="M74">
        <v>12.5</v>
      </c>
      <c r="N74">
        <v>12.2</v>
      </c>
      <c r="O74">
        <v>97.7</v>
      </c>
      <c r="P74">
        <v>16.5</v>
      </c>
      <c r="Q74">
        <v>334</v>
      </c>
      <c r="R74">
        <v>0.64</v>
      </c>
      <c r="S74">
        <v>0.61</v>
      </c>
      <c r="T74">
        <v>5.91</v>
      </c>
      <c r="V74">
        <v>0.95</v>
      </c>
      <c r="W74">
        <v>2.34</v>
      </c>
      <c r="X74">
        <v>0.94</v>
      </c>
      <c r="Y74">
        <v>7.0460000000000003</v>
      </c>
      <c r="Z74">
        <v>92.7</v>
      </c>
      <c r="AA74">
        <v>58.7</v>
      </c>
      <c r="AB74">
        <v>6.57</v>
      </c>
      <c r="AC74">
        <v>106.9</v>
      </c>
      <c r="AD74">
        <v>24.5</v>
      </c>
      <c r="AE74">
        <v>300</v>
      </c>
      <c r="AF74">
        <v>51.2</v>
      </c>
      <c r="AG74">
        <v>7.11</v>
      </c>
      <c r="AH74">
        <v>300</v>
      </c>
      <c r="AI74">
        <v>48.9</v>
      </c>
      <c r="AJ74">
        <v>7.09</v>
      </c>
      <c r="AK74">
        <v>0.48899999999999999</v>
      </c>
      <c r="AL74">
        <v>34</v>
      </c>
      <c r="AM74">
        <v>2.85</v>
      </c>
      <c r="AN74">
        <v>0</v>
      </c>
      <c r="AO74">
        <v>0</v>
      </c>
      <c r="AP74">
        <v>8.4868529347877988E-3</v>
      </c>
      <c r="AQ74">
        <v>0</v>
      </c>
      <c r="AR74">
        <v>0</v>
      </c>
      <c r="AS74">
        <v>620</v>
      </c>
      <c r="AW74">
        <v>0</v>
      </c>
      <c r="AX74">
        <v>0</v>
      </c>
      <c r="AY74">
        <v>0</v>
      </c>
      <c r="AZ74">
        <v>15</v>
      </c>
      <c r="BA74">
        <v>1700</v>
      </c>
      <c r="BB74">
        <v>34</v>
      </c>
      <c r="BC74">
        <v>7.2</v>
      </c>
      <c r="BD74">
        <v>50</v>
      </c>
      <c r="BE74">
        <v>2.9999999999999997E-4</v>
      </c>
      <c r="BF74">
        <v>7.2528594813616801E-3</v>
      </c>
      <c r="BI74">
        <v>6.1671E-3</v>
      </c>
      <c r="BJ74">
        <v>8.8806239999999992</v>
      </c>
      <c r="BK74">
        <v>1685</v>
      </c>
      <c r="BL74">
        <v>0</v>
      </c>
      <c r="BM74">
        <v>0</v>
      </c>
      <c r="BN74">
        <v>12.221068226094431</v>
      </c>
      <c r="BO74">
        <v>8.4868529347877988E-3</v>
      </c>
      <c r="BP74" t="s">
        <v>83</v>
      </c>
      <c r="BQ74" t="s">
        <v>83</v>
      </c>
      <c r="BR74">
        <v>0</v>
      </c>
      <c r="BS74" t="s">
        <v>83</v>
      </c>
      <c r="BT74">
        <v>22.043773856591688</v>
      </c>
      <c r="BU74">
        <v>8.4868529347877988E-3</v>
      </c>
      <c r="BV74">
        <v>0</v>
      </c>
    </row>
    <row r="75" spans="1:74" ht="15.75" hidden="1" thickBot="1" x14ac:dyDescent="0.3">
      <c r="A75" t="s">
        <v>84</v>
      </c>
      <c r="B75" t="s">
        <v>26</v>
      </c>
      <c r="C75">
        <v>12</v>
      </c>
      <c r="D75">
        <v>1</v>
      </c>
      <c r="F75" s="8">
        <v>45492.338194444441</v>
      </c>
      <c r="G75">
        <v>509.83</v>
      </c>
      <c r="H75">
        <v>7.2</v>
      </c>
      <c r="I75">
        <v>0.5</v>
      </c>
      <c r="J75">
        <v>34</v>
      </c>
      <c r="L75">
        <v>430.17</v>
      </c>
      <c r="M75">
        <v>17</v>
      </c>
      <c r="N75">
        <v>16.7</v>
      </c>
      <c r="O75">
        <v>98.3</v>
      </c>
      <c r="P75">
        <v>16.8</v>
      </c>
      <c r="Q75">
        <v>333</v>
      </c>
      <c r="R75">
        <v>1.82</v>
      </c>
      <c r="S75">
        <v>0.56000000000000005</v>
      </c>
      <c r="T75">
        <v>0.93</v>
      </c>
      <c r="V75">
        <v>0.56000000000000005</v>
      </c>
      <c r="W75">
        <v>2.56</v>
      </c>
      <c r="X75">
        <v>2.87</v>
      </c>
      <c r="Y75">
        <v>7.0629999999999997</v>
      </c>
      <c r="Z75">
        <v>123.7</v>
      </c>
      <c r="AA75">
        <v>69</v>
      </c>
      <c r="AB75">
        <v>136.30000000000001</v>
      </c>
      <c r="AC75">
        <v>4.99</v>
      </c>
      <c r="AD75">
        <v>34.1</v>
      </c>
      <c r="AE75">
        <v>108.5</v>
      </c>
      <c r="AF75">
        <v>56.3</v>
      </c>
      <c r="AG75">
        <v>7.101</v>
      </c>
      <c r="AH75">
        <v>300</v>
      </c>
      <c r="AI75">
        <v>49.7</v>
      </c>
      <c r="AJ75">
        <v>7.1</v>
      </c>
      <c r="AK75">
        <v>0.49700000000000005</v>
      </c>
      <c r="AL75">
        <v>34</v>
      </c>
      <c r="AM75">
        <v>19.36</v>
      </c>
      <c r="AN75">
        <v>0</v>
      </c>
      <c r="AO75">
        <v>1</v>
      </c>
      <c r="AP75">
        <v>7.0290626807434503E-3</v>
      </c>
      <c r="AQ75">
        <v>5</v>
      </c>
      <c r="AR75">
        <v>0</v>
      </c>
      <c r="AS75">
        <v>709</v>
      </c>
      <c r="AW75">
        <v>5</v>
      </c>
      <c r="AX75">
        <v>0</v>
      </c>
      <c r="AY75">
        <v>2</v>
      </c>
      <c r="AZ75">
        <v>15</v>
      </c>
      <c r="BA75">
        <v>1700</v>
      </c>
      <c r="BB75">
        <v>34</v>
      </c>
      <c r="BC75">
        <v>7.2</v>
      </c>
      <c r="BD75">
        <v>50</v>
      </c>
      <c r="BE75">
        <v>2.9999999999999997E-4</v>
      </c>
      <c r="BG75">
        <v>5.9703250402690687E-3</v>
      </c>
      <c r="BH75">
        <v>9.9283171245639866E-3</v>
      </c>
      <c r="BI75">
        <v>8.4937535999999991E-3</v>
      </c>
      <c r="BJ75">
        <v>12.231005183999997</v>
      </c>
      <c r="BK75">
        <v>1695.36</v>
      </c>
      <c r="BL75">
        <v>2.949226123065308E-3</v>
      </c>
      <c r="BM75">
        <v>2.9411764705882353E-3</v>
      </c>
      <c r="BN75">
        <v>10.121850260270568</v>
      </c>
      <c r="BO75" t="s">
        <v>83</v>
      </c>
      <c r="BP75">
        <v>7.0290626807434503E-3</v>
      </c>
      <c r="BQ75" t="s">
        <v>83</v>
      </c>
      <c r="BR75" t="s">
        <v>83</v>
      </c>
      <c r="BS75">
        <v>16.832071720300799</v>
      </c>
      <c r="BT75">
        <v>18.257305664268703</v>
      </c>
      <c r="BU75">
        <v>7.0290626807434503E-3</v>
      </c>
      <c r="BV75">
        <v>16.832071720300799</v>
      </c>
    </row>
    <row r="76" spans="1:74" ht="15.75" hidden="1" thickBot="1" x14ac:dyDescent="0.3">
      <c r="A76" t="s">
        <v>85</v>
      </c>
      <c r="B76" t="s">
        <v>26</v>
      </c>
      <c r="C76">
        <v>12</v>
      </c>
      <c r="D76">
        <v>1</v>
      </c>
      <c r="E76" t="s">
        <v>88</v>
      </c>
      <c r="F76" s="8">
        <v>45492.34097222222</v>
      </c>
      <c r="G76">
        <v>509.83</v>
      </c>
      <c r="H76">
        <v>7.2</v>
      </c>
      <c r="I76">
        <v>0.5</v>
      </c>
      <c r="J76">
        <v>34</v>
      </c>
      <c r="L76">
        <v>436.43</v>
      </c>
      <c r="M76">
        <v>17.8</v>
      </c>
      <c r="N76">
        <v>17.399999999999999</v>
      </c>
      <c r="O76">
        <v>97.6</v>
      </c>
      <c r="P76">
        <v>16.7</v>
      </c>
      <c r="Q76">
        <v>338</v>
      </c>
      <c r="R76">
        <v>3.49</v>
      </c>
      <c r="S76">
        <v>0.52</v>
      </c>
      <c r="T76">
        <v>0.46</v>
      </c>
      <c r="V76">
        <v>0.4</v>
      </c>
      <c r="W76">
        <v>1.81</v>
      </c>
      <c r="X76">
        <v>3.15</v>
      </c>
      <c r="Y76">
        <v>7.1050000000000004</v>
      </c>
      <c r="Z76">
        <v>137.69999999999999</v>
      </c>
      <c r="AA76">
        <v>24.9</v>
      </c>
      <c r="AB76">
        <v>137.19999999999999</v>
      </c>
      <c r="AC76">
        <v>4.97</v>
      </c>
      <c r="AD76">
        <v>41.9</v>
      </c>
      <c r="AE76">
        <v>120.8</v>
      </c>
      <c r="AF76">
        <v>20.100000000000001</v>
      </c>
      <c r="AG76">
        <v>7.1440000000000001</v>
      </c>
      <c r="AH76">
        <v>300</v>
      </c>
      <c r="AI76">
        <v>47.8</v>
      </c>
      <c r="AJ76">
        <v>7.1</v>
      </c>
      <c r="AK76">
        <v>0.47799999999999998</v>
      </c>
      <c r="AL76">
        <v>34</v>
      </c>
      <c r="AM76">
        <v>19.71</v>
      </c>
      <c r="AN76">
        <v>0</v>
      </c>
      <c r="AO76">
        <v>1</v>
      </c>
      <c r="AP76">
        <v>7.37045380679486E-3</v>
      </c>
      <c r="AQ76">
        <v>5</v>
      </c>
      <c r="AR76">
        <v>0</v>
      </c>
      <c r="AS76">
        <v>640</v>
      </c>
      <c r="AW76">
        <v>5</v>
      </c>
      <c r="AX76">
        <v>0</v>
      </c>
      <c r="AY76">
        <v>30</v>
      </c>
      <c r="AZ76">
        <v>15</v>
      </c>
      <c r="BA76">
        <v>1700</v>
      </c>
      <c r="BB76">
        <v>34</v>
      </c>
      <c r="BC76">
        <v>7.2</v>
      </c>
      <c r="BD76">
        <v>50</v>
      </c>
      <c r="BE76">
        <v>2.9999999999999997E-4</v>
      </c>
      <c r="BG76">
        <v>6.2590027078831875E-3</v>
      </c>
      <c r="BH76">
        <v>1.0979069734018257E-2</v>
      </c>
      <c r="BI76">
        <v>8.8516061999999989E-3</v>
      </c>
      <c r="BJ76">
        <v>12.746312927999998</v>
      </c>
      <c r="BK76">
        <v>1695.71</v>
      </c>
      <c r="BL76">
        <v>2.9486173933042795E-3</v>
      </c>
      <c r="BM76">
        <v>2.9411764705882353E-3</v>
      </c>
      <c r="BN76">
        <v>10.6134534817846</v>
      </c>
      <c r="BO76" t="s">
        <v>83</v>
      </c>
      <c r="BP76">
        <v>7.37045380679486E-3</v>
      </c>
      <c r="BQ76" t="s">
        <v>83</v>
      </c>
      <c r="BR76" t="s">
        <v>83</v>
      </c>
      <c r="BS76">
        <v>18.617318338672099</v>
      </c>
      <c r="BT76">
        <v>19.144035861804831</v>
      </c>
      <c r="BU76">
        <v>7.37045380679486E-3</v>
      </c>
      <c r="BV76">
        <v>18.617318338672099</v>
      </c>
    </row>
    <row r="77" spans="1:74" ht="15.75" hidden="1" thickBot="1" x14ac:dyDescent="0.3">
      <c r="A77" t="s">
        <v>86</v>
      </c>
      <c r="B77" t="s">
        <v>27</v>
      </c>
      <c r="C77">
        <v>12</v>
      </c>
      <c r="D77">
        <v>1</v>
      </c>
      <c r="F77" s="8">
        <v>45492.34375</v>
      </c>
      <c r="G77">
        <v>509.83</v>
      </c>
      <c r="H77">
        <v>7.2</v>
      </c>
      <c r="I77">
        <v>0.5</v>
      </c>
      <c r="J77">
        <v>34</v>
      </c>
      <c r="L77">
        <v>433.26</v>
      </c>
      <c r="M77">
        <v>17.100000000000001</v>
      </c>
      <c r="N77">
        <v>16.8</v>
      </c>
      <c r="O77">
        <v>98.4</v>
      </c>
      <c r="P77">
        <v>17</v>
      </c>
      <c r="Q77">
        <v>339</v>
      </c>
      <c r="R77">
        <v>1.85</v>
      </c>
      <c r="S77">
        <v>0.54</v>
      </c>
      <c r="T77">
        <v>1.1100000000000001</v>
      </c>
      <c r="V77">
        <v>0.68</v>
      </c>
      <c r="W77">
        <v>2.56</v>
      </c>
      <c r="X77">
        <v>2.99</v>
      </c>
      <c r="Y77">
        <v>7.07</v>
      </c>
      <c r="Z77">
        <v>117.2</v>
      </c>
      <c r="AA77">
        <v>54.1</v>
      </c>
      <c r="AB77">
        <v>136.30000000000001</v>
      </c>
      <c r="AC77">
        <v>5</v>
      </c>
      <c r="AD77">
        <v>32.799999999999997</v>
      </c>
      <c r="AE77">
        <v>102.8</v>
      </c>
      <c r="AF77">
        <v>43.9</v>
      </c>
      <c r="AG77">
        <v>7.1079999999999997</v>
      </c>
      <c r="AH77">
        <v>300</v>
      </c>
      <c r="AI77">
        <v>49.5</v>
      </c>
      <c r="AJ77">
        <v>7.1</v>
      </c>
      <c r="AK77">
        <v>0.495</v>
      </c>
      <c r="AL77">
        <v>34</v>
      </c>
      <c r="AM77">
        <v>19.48</v>
      </c>
      <c r="AN77">
        <v>0</v>
      </c>
      <c r="AO77">
        <v>1</v>
      </c>
      <c r="AP77">
        <v>5.3061875000344899E-3</v>
      </c>
      <c r="AQ77">
        <v>7.5</v>
      </c>
      <c r="AR77">
        <v>0</v>
      </c>
      <c r="AS77">
        <v>772</v>
      </c>
      <c r="AW77">
        <v>7.5</v>
      </c>
      <c r="AX77">
        <v>0</v>
      </c>
      <c r="AY77">
        <v>3</v>
      </c>
      <c r="AZ77">
        <v>15</v>
      </c>
      <c r="BA77">
        <v>1700</v>
      </c>
      <c r="BB77">
        <v>34</v>
      </c>
      <c r="BC77">
        <v>7.2</v>
      </c>
      <c r="BD77">
        <v>50</v>
      </c>
      <c r="BE77">
        <v>2.9999999999999997E-4</v>
      </c>
      <c r="BF77">
        <v>4.5000000000292497E-3</v>
      </c>
      <c r="BI77">
        <v>8.5578191999999987E-3</v>
      </c>
      <c r="BJ77">
        <v>12.323259647999999</v>
      </c>
      <c r="BK77">
        <v>1697.98</v>
      </c>
      <c r="BL77">
        <v>4.4170131568098568E-3</v>
      </c>
      <c r="BM77">
        <v>4.4117647058823529E-3</v>
      </c>
      <c r="BN77">
        <v>7.640910000049665</v>
      </c>
      <c r="BO77">
        <v>5.3061875000344899E-3</v>
      </c>
      <c r="BP77" t="s">
        <v>83</v>
      </c>
      <c r="BQ77" t="s">
        <v>83</v>
      </c>
      <c r="BR77">
        <v>16.512855499999997</v>
      </c>
      <c r="BS77" t="s">
        <v>83</v>
      </c>
      <c r="BT77">
        <v>13.78230519489478</v>
      </c>
      <c r="BU77">
        <v>5.3061875000344899E-3</v>
      </c>
      <c r="BV77">
        <v>16.512855499999997</v>
      </c>
    </row>
    <row r="78" spans="1:74" ht="15.75" hidden="1" thickBot="1" x14ac:dyDescent="0.3">
      <c r="A78" t="s">
        <v>87</v>
      </c>
      <c r="B78" t="s">
        <v>27</v>
      </c>
      <c r="C78">
        <v>12</v>
      </c>
      <c r="D78">
        <v>1</v>
      </c>
      <c r="F78" s="8">
        <v>45492.345833333333</v>
      </c>
      <c r="G78">
        <v>509.83</v>
      </c>
      <c r="H78">
        <v>7.2</v>
      </c>
      <c r="I78">
        <v>0.5</v>
      </c>
      <c r="J78">
        <v>34</v>
      </c>
      <c r="L78">
        <v>424.31</v>
      </c>
      <c r="M78">
        <v>18</v>
      </c>
      <c r="N78">
        <v>17.600000000000001</v>
      </c>
      <c r="O78">
        <v>98.1</v>
      </c>
      <c r="P78">
        <v>16.899999999999999</v>
      </c>
      <c r="Q78">
        <v>336</v>
      </c>
      <c r="R78">
        <v>1.75</v>
      </c>
      <c r="S78">
        <v>0.53</v>
      </c>
      <c r="T78">
        <v>0.99</v>
      </c>
      <c r="V78">
        <v>0.65</v>
      </c>
      <c r="W78">
        <v>2.56</v>
      </c>
      <c r="X78">
        <v>3.06</v>
      </c>
      <c r="Y78">
        <v>7.0709999999999997</v>
      </c>
      <c r="Z78">
        <v>98.6</v>
      </c>
      <c r="AA78">
        <v>64.099999999999994</v>
      </c>
      <c r="AB78">
        <v>134.69999999999999</v>
      </c>
      <c r="AC78">
        <v>4.88</v>
      </c>
      <c r="AD78">
        <v>27.6</v>
      </c>
      <c r="AE78">
        <v>86.4</v>
      </c>
      <c r="AF78">
        <v>52.2</v>
      </c>
      <c r="AG78">
        <v>7.1079999999999997</v>
      </c>
      <c r="AH78">
        <v>300</v>
      </c>
      <c r="AI78">
        <v>50.6</v>
      </c>
      <c r="AJ78">
        <v>7.1</v>
      </c>
      <c r="AK78">
        <v>0.50600000000000001</v>
      </c>
      <c r="AL78">
        <v>34</v>
      </c>
      <c r="AM78">
        <v>19.38</v>
      </c>
      <c r="AN78">
        <v>0</v>
      </c>
      <c r="AO78">
        <v>1</v>
      </c>
      <c r="AP78">
        <v>5.3108750041710312E-3</v>
      </c>
      <c r="AQ78">
        <v>9.1</v>
      </c>
      <c r="AR78">
        <v>0</v>
      </c>
      <c r="AS78">
        <v>617</v>
      </c>
      <c r="AW78">
        <v>9.1</v>
      </c>
      <c r="AX78">
        <v>0</v>
      </c>
      <c r="AY78">
        <v>3</v>
      </c>
      <c r="AZ78">
        <v>15</v>
      </c>
      <c r="BA78">
        <v>1700</v>
      </c>
      <c r="BB78">
        <v>34</v>
      </c>
      <c r="BC78">
        <v>7.2</v>
      </c>
      <c r="BD78">
        <v>50</v>
      </c>
      <c r="BE78">
        <v>2.9999999999999997E-4</v>
      </c>
      <c r="BF78">
        <v>4.50000000353419E-3</v>
      </c>
      <c r="BI78">
        <v>8.9732544000000001E-3</v>
      </c>
      <c r="BJ78">
        <v>12.921486336000001</v>
      </c>
      <c r="BK78">
        <v>1699.48</v>
      </c>
      <c r="BL78">
        <v>5.354579047708711E-3</v>
      </c>
      <c r="BM78">
        <v>5.3529411764705881E-3</v>
      </c>
      <c r="BN78">
        <v>7.6476600060062854</v>
      </c>
      <c r="BO78">
        <v>5.3108750041710312E-3</v>
      </c>
      <c r="BP78" t="s">
        <v>83</v>
      </c>
      <c r="BQ78" t="s">
        <v>83</v>
      </c>
      <c r="BR78">
        <v>17.037286999999999</v>
      </c>
      <c r="BS78" t="s">
        <v>83</v>
      </c>
      <c r="BT78">
        <v>13.794480530314367</v>
      </c>
      <c r="BU78">
        <v>5.3108750041710312E-3</v>
      </c>
      <c r="BV78">
        <v>17.037286999999999</v>
      </c>
    </row>
    <row r="79" spans="1:74" ht="15.75" hidden="1" thickBot="1" x14ac:dyDescent="0.3">
      <c r="A79" t="s">
        <v>84</v>
      </c>
      <c r="B79" t="s">
        <v>26</v>
      </c>
      <c r="C79">
        <v>12</v>
      </c>
      <c r="D79">
        <v>2</v>
      </c>
      <c r="E79" t="s">
        <v>89</v>
      </c>
      <c r="F79" s="8">
        <v>45493.525694444397</v>
      </c>
      <c r="G79">
        <v>997.91</v>
      </c>
      <c r="H79">
        <v>7.2</v>
      </c>
      <c r="I79">
        <v>0.5</v>
      </c>
      <c r="J79">
        <v>34</v>
      </c>
      <c r="L79">
        <v>933.27</v>
      </c>
      <c r="M79">
        <v>22.8</v>
      </c>
      <c r="N79">
        <v>22.3</v>
      </c>
      <c r="O79">
        <v>97.8</v>
      </c>
      <c r="P79">
        <v>16.899999999999999</v>
      </c>
      <c r="Q79">
        <v>331</v>
      </c>
      <c r="R79">
        <v>1.6</v>
      </c>
      <c r="S79">
        <v>0.43</v>
      </c>
      <c r="T79">
        <v>0.04</v>
      </c>
      <c r="V79">
        <v>0.1</v>
      </c>
      <c r="W79">
        <v>0.04</v>
      </c>
      <c r="X79">
        <v>3.86</v>
      </c>
      <c r="Y79">
        <v>7.0960000000000001</v>
      </c>
      <c r="Z79">
        <v>126.4</v>
      </c>
      <c r="AA79">
        <v>57.8</v>
      </c>
      <c r="AB79">
        <v>147.5</v>
      </c>
      <c r="AC79">
        <v>3.37</v>
      </c>
      <c r="AD79">
        <v>37.6</v>
      </c>
      <c r="AE79">
        <v>110.9</v>
      </c>
      <c r="AF79">
        <v>47</v>
      </c>
      <c r="AG79">
        <v>7.1340000000000003</v>
      </c>
      <c r="AH79">
        <v>300</v>
      </c>
      <c r="AI79">
        <v>51.2</v>
      </c>
      <c r="AJ79">
        <v>7.11</v>
      </c>
      <c r="AK79">
        <v>0.51200000000000001</v>
      </c>
      <c r="AL79">
        <v>34</v>
      </c>
      <c r="AM79">
        <v>26.193000000000001</v>
      </c>
      <c r="AN79">
        <v>0</v>
      </c>
      <c r="AO79">
        <v>3</v>
      </c>
      <c r="AP79">
        <v>1.9587601193460299E-2</v>
      </c>
      <c r="AQ79">
        <v>16</v>
      </c>
      <c r="AR79">
        <v>18</v>
      </c>
      <c r="AS79">
        <v>695</v>
      </c>
      <c r="AW79">
        <v>11</v>
      </c>
      <c r="AX79">
        <v>18</v>
      </c>
      <c r="AY79">
        <v>14</v>
      </c>
      <c r="AZ79">
        <v>15</v>
      </c>
      <c r="BA79">
        <v>1700</v>
      </c>
      <c r="BB79">
        <v>34</v>
      </c>
      <c r="BC79">
        <v>7.2</v>
      </c>
      <c r="BD79">
        <v>50</v>
      </c>
      <c r="BE79">
        <v>2.9999999999999997E-4</v>
      </c>
      <c r="BG79">
        <v>1.6416168450565701E-2</v>
      </c>
      <c r="BH79">
        <v>7.0438155546433375E-3</v>
      </c>
      <c r="BI79">
        <v>1.1494711169999998E-2</v>
      </c>
      <c r="BJ79">
        <v>16.552384084799996</v>
      </c>
      <c r="BK79">
        <v>1718.193</v>
      </c>
      <c r="BL79">
        <v>9.3121087095570758E-3</v>
      </c>
      <c r="BM79">
        <v>9.4117647058823521E-3</v>
      </c>
      <c r="BN79">
        <v>28.206145718582832</v>
      </c>
      <c r="BO79" t="s">
        <v>83</v>
      </c>
      <c r="BP79">
        <v>1.9587601193460299E-2</v>
      </c>
      <c r="BQ79" t="s">
        <v>83</v>
      </c>
      <c r="BR79" t="s">
        <v>83</v>
      </c>
      <c r="BS79">
        <v>12.1026345792793</v>
      </c>
      <c r="BT79">
        <v>50.876886216780001</v>
      </c>
      <c r="BU79">
        <v>1.9587601193460299E-2</v>
      </c>
      <c r="BV79">
        <v>12.1026345792793</v>
      </c>
    </row>
    <row r="80" spans="1:74" ht="15.75" hidden="1" thickBot="1" x14ac:dyDescent="0.3">
      <c r="A80" t="s">
        <v>86</v>
      </c>
      <c r="B80" t="s">
        <v>27</v>
      </c>
      <c r="C80">
        <v>12</v>
      </c>
      <c r="D80">
        <v>2</v>
      </c>
      <c r="E80" t="s">
        <v>90</v>
      </c>
      <c r="F80" s="8">
        <v>45493.528472222199</v>
      </c>
      <c r="G80">
        <v>997.91</v>
      </c>
      <c r="H80">
        <v>7.2</v>
      </c>
      <c r="I80">
        <v>0.5</v>
      </c>
      <c r="J80">
        <v>34</v>
      </c>
      <c r="L80">
        <v>919.68</v>
      </c>
      <c r="M80">
        <v>23.6</v>
      </c>
      <c r="N80">
        <v>23.1</v>
      </c>
      <c r="O80">
        <v>98.1</v>
      </c>
      <c r="P80">
        <v>16.8</v>
      </c>
      <c r="Q80">
        <v>327</v>
      </c>
      <c r="R80">
        <v>1.55</v>
      </c>
      <c r="S80">
        <v>0.44</v>
      </c>
      <c r="T80">
        <v>0</v>
      </c>
      <c r="V80">
        <v>0.11</v>
      </c>
      <c r="W80">
        <v>0.03</v>
      </c>
      <c r="X80">
        <v>3.55</v>
      </c>
      <c r="Y80">
        <v>7.1550000000000002</v>
      </c>
      <c r="Z80">
        <v>119</v>
      </c>
      <c r="AA80">
        <v>20.399999999999999</v>
      </c>
      <c r="AB80">
        <v>145.4</v>
      </c>
      <c r="AC80">
        <v>3.49</v>
      </c>
      <c r="AD80">
        <v>40.6</v>
      </c>
      <c r="AE80">
        <v>104.3</v>
      </c>
      <c r="AF80">
        <v>16.5</v>
      </c>
      <c r="AG80">
        <v>7.194</v>
      </c>
      <c r="AH80">
        <v>300</v>
      </c>
      <c r="AI80">
        <v>51.1</v>
      </c>
      <c r="AJ80">
        <v>7.13</v>
      </c>
      <c r="AK80">
        <v>0.51100000000000001</v>
      </c>
      <c r="AL80">
        <v>34</v>
      </c>
      <c r="AM80">
        <v>24.361000000000001</v>
      </c>
      <c r="AN80">
        <v>0</v>
      </c>
      <c r="AO80">
        <v>3</v>
      </c>
      <c r="AP80">
        <v>1.190824173E-2</v>
      </c>
      <c r="AQ80">
        <v>16</v>
      </c>
      <c r="AR80">
        <v>20</v>
      </c>
      <c r="AS80">
        <v>762</v>
      </c>
      <c r="AW80">
        <v>8.5</v>
      </c>
      <c r="AX80">
        <v>20</v>
      </c>
      <c r="AY80">
        <v>10</v>
      </c>
      <c r="AZ80">
        <v>15</v>
      </c>
      <c r="BA80">
        <v>1700</v>
      </c>
      <c r="BB80">
        <v>34</v>
      </c>
      <c r="BC80">
        <v>7.2</v>
      </c>
      <c r="BD80">
        <v>50</v>
      </c>
      <c r="BE80">
        <v>2.9999999999999997E-4</v>
      </c>
      <c r="BF80">
        <v>4.4999999999999997E-3</v>
      </c>
      <c r="BI80">
        <v>1.190824173E-2</v>
      </c>
      <c r="BJ80">
        <v>17.147868091199999</v>
      </c>
      <c r="BK80">
        <v>1718.3610000000001</v>
      </c>
      <c r="BL80">
        <v>9.3111982872050737E-3</v>
      </c>
      <c r="BM80">
        <v>9.4117647058823521E-3</v>
      </c>
      <c r="BN80">
        <v>17.147868091199999</v>
      </c>
      <c r="BO80">
        <v>1.190824173E-2</v>
      </c>
      <c r="BP80" t="s">
        <v>83</v>
      </c>
      <c r="BQ80" t="s">
        <v>83</v>
      </c>
      <c r="BR80">
        <v>12.887707500000001</v>
      </c>
      <c r="BS80" t="s">
        <v>83</v>
      </c>
      <c r="BT80">
        <v>30.930498</v>
      </c>
      <c r="BU80">
        <v>1.190824173E-2</v>
      </c>
      <c r="BV80">
        <v>12.887707500000001</v>
      </c>
    </row>
    <row r="81" spans="1:74" ht="15.75" hidden="1" thickBot="1" x14ac:dyDescent="0.3">
      <c r="A81" t="s">
        <v>87</v>
      </c>
      <c r="B81" t="s">
        <v>27</v>
      </c>
      <c r="C81">
        <v>12</v>
      </c>
      <c r="D81">
        <v>2</v>
      </c>
      <c r="E81" t="s">
        <v>91</v>
      </c>
      <c r="F81" s="8">
        <v>45493.536805555603</v>
      </c>
      <c r="G81">
        <v>997.91</v>
      </c>
      <c r="H81">
        <v>7.2</v>
      </c>
      <c r="I81">
        <v>0.5</v>
      </c>
      <c r="J81">
        <v>34</v>
      </c>
      <c r="L81">
        <v>949.59</v>
      </c>
      <c r="M81">
        <v>23.2</v>
      </c>
      <c r="N81">
        <v>22.7</v>
      </c>
      <c r="O81">
        <v>97.9</v>
      </c>
      <c r="P81">
        <v>16.899999999999999</v>
      </c>
      <c r="Q81">
        <v>338</v>
      </c>
      <c r="R81">
        <v>1.47</v>
      </c>
      <c r="S81">
        <v>0.43</v>
      </c>
      <c r="T81">
        <v>0.45</v>
      </c>
      <c r="V81">
        <v>0.14000000000000001</v>
      </c>
      <c r="W81">
        <v>0.01</v>
      </c>
      <c r="X81">
        <v>4.01</v>
      </c>
      <c r="Y81">
        <v>7.093</v>
      </c>
      <c r="Z81">
        <v>118.1</v>
      </c>
      <c r="AA81">
        <v>30.6</v>
      </c>
      <c r="AB81">
        <v>148.19999999999999</v>
      </c>
      <c r="AC81">
        <v>3.26</v>
      </c>
      <c r="AD81">
        <v>34.9</v>
      </c>
      <c r="AE81">
        <v>103.6</v>
      </c>
      <c r="AF81">
        <v>24.7</v>
      </c>
      <c r="AG81">
        <v>7.1310000000000002</v>
      </c>
      <c r="AH81">
        <v>300</v>
      </c>
      <c r="AI81">
        <v>49.5</v>
      </c>
      <c r="AJ81">
        <v>7.1</v>
      </c>
      <c r="AK81">
        <v>0.495</v>
      </c>
      <c r="AL81">
        <v>34</v>
      </c>
      <c r="AM81">
        <v>26.657</v>
      </c>
      <c r="AN81">
        <v>0</v>
      </c>
      <c r="AO81">
        <v>2</v>
      </c>
      <c r="AP81">
        <v>1.1710864169999998E-2</v>
      </c>
      <c r="AQ81">
        <v>18</v>
      </c>
      <c r="AR81">
        <v>18</v>
      </c>
      <c r="AS81">
        <v>608</v>
      </c>
      <c r="AW81">
        <v>8.9</v>
      </c>
      <c r="AX81">
        <v>18</v>
      </c>
      <c r="AY81">
        <v>9</v>
      </c>
      <c r="AZ81">
        <v>15</v>
      </c>
      <c r="BA81">
        <v>1700</v>
      </c>
      <c r="BB81">
        <v>34</v>
      </c>
      <c r="BC81">
        <v>7.2</v>
      </c>
      <c r="BD81">
        <v>50</v>
      </c>
      <c r="BE81">
        <v>2.9999999999999997E-4</v>
      </c>
      <c r="BF81">
        <v>4.5000000009706104E-3</v>
      </c>
      <c r="BI81">
        <v>1.1710864169999998E-2</v>
      </c>
      <c r="BJ81">
        <v>16.863644404799995</v>
      </c>
      <c r="BK81">
        <v>1719.6569999999999</v>
      </c>
      <c r="BL81">
        <v>1.0467203634213102E-2</v>
      </c>
      <c r="BM81">
        <v>1.0588235294117647E-2</v>
      </c>
      <c r="BN81">
        <v>16.863644404799995</v>
      </c>
      <c r="BO81">
        <v>1.1710864169999998E-2</v>
      </c>
      <c r="BP81" t="s">
        <v>83</v>
      </c>
      <c r="BQ81" t="s">
        <v>83</v>
      </c>
      <c r="BR81">
        <v>10.962813374999998</v>
      </c>
      <c r="BS81" t="s">
        <v>83</v>
      </c>
      <c r="BT81">
        <v>30.41782901298701</v>
      </c>
      <c r="BU81">
        <v>1.1710864169999998E-2</v>
      </c>
      <c r="BV81">
        <v>10.962813374999998</v>
      </c>
    </row>
    <row r="82" spans="1:74" ht="15.75" hidden="1" thickBot="1" x14ac:dyDescent="0.3">
      <c r="A82" t="s">
        <v>84</v>
      </c>
      <c r="B82" t="s">
        <v>26</v>
      </c>
      <c r="C82">
        <v>12</v>
      </c>
      <c r="D82">
        <v>3</v>
      </c>
      <c r="F82" s="8">
        <v>45494.550289351901</v>
      </c>
      <c r="G82">
        <v>1505.08</v>
      </c>
      <c r="H82">
        <v>7.2</v>
      </c>
      <c r="I82">
        <v>0.5</v>
      </c>
      <c r="J82">
        <v>34</v>
      </c>
      <c r="L82">
        <v>1446.18</v>
      </c>
      <c r="M82">
        <v>24</v>
      </c>
      <c r="N82">
        <v>23.1</v>
      </c>
      <c r="O82">
        <v>96</v>
      </c>
      <c r="P82">
        <v>17.100000000000001</v>
      </c>
      <c r="Q82">
        <v>350</v>
      </c>
      <c r="R82">
        <v>1.58</v>
      </c>
      <c r="S82">
        <v>0.38</v>
      </c>
      <c r="T82">
        <v>2.0099999999999998</v>
      </c>
      <c r="V82">
        <v>0</v>
      </c>
      <c r="W82">
        <v>0.03</v>
      </c>
      <c r="X82">
        <v>2.76</v>
      </c>
      <c r="Y82">
        <v>7.218</v>
      </c>
      <c r="Z82">
        <v>139.80000000000001</v>
      </c>
      <c r="AA82">
        <v>0</v>
      </c>
      <c r="AB82">
        <v>2.92</v>
      </c>
      <c r="AC82">
        <v>149</v>
      </c>
      <c r="AD82">
        <v>55.4</v>
      </c>
      <c r="AE82">
        <v>122.6</v>
      </c>
      <c r="AF82">
        <v>0</v>
      </c>
      <c r="AG82">
        <v>7.2590000000000003</v>
      </c>
      <c r="AH82">
        <v>300</v>
      </c>
      <c r="AI82">
        <v>49.2</v>
      </c>
      <c r="AJ82">
        <v>7.19</v>
      </c>
      <c r="AK82">
        <v>0.49200000000000005</v>
      </c>
      <c r="AL82">
        <v>34</v>
      </c>
      <c r="AM82">
        <v>27.664999999999999</v>
      </c>
      <c r="AN82">
        <v>0</v>
      </c>
      <c r="AO82">
        <v>4</v>
      </c>
      <c r="AP82">
        <v>8.8587227564962904E-3</v>
      </c>
      <c r="AQ82">
        <v>42</v>
      </c>
      <c r="AR82">
        <v>31</v>
      </c>
      <c r="AS82">
        <v>668</v>
      </c>
      <c r="AW82">
        <v>26</v>
      </c>
      <c r="AX82">
        <v>13</v>
      </c>
      <c r="AY82">
        <v>27</v>
      </c>
      <c r="AZ82">
        <v>15</v>
      </c>
      <c r="BA82">
        <v>1700</v>
      </c>
      <c r="BB82">
        <v>34</v>
      </c>
      <c r="BC82">
        <v>7.2</v>
      </c>
      <c r="BD82">
        <v>50</v>
      </c>
      <c r="BE82">
        <v>2.9999999999999997E-4</v>
      </c>
      <c r="BG82">
        <v>7.3117537001972637E-3</v>
      </c>
      <c r="BH82">
        <v>6.5266999691008876E-3</v>
      </c>
      <c r="BI82">
        <v>1.2090528449999999E-2</v>
      </c>
      <c r="BJ82">
        <v>17.410360967999999</v>
      </c>
      <c r="BK82">
        <v>1744.665</v>
      </c>
      <c r="BL82">
        <v>2.4073389447257783E-2</v>
      </c>
      <c r="BM82">
        <v>2.4705882352941175E-2</v>
      </c>
      <c r="BN82">
        <v>12.756560769354659</v>
      </c>
      <c r="BO82" t="s">
        <v>83</v>
      </c>
      <c r="BP82">
        <v>8.8587227564962904E-3</v>
      </c>
      <c r="BQ82" t="s">
        <v>83</v>
      </c>
      <c r="BR82" t="s">
        <v>83</v>
      </c>
      <c r="BS82">
        <v>11.3869050015914</v>
      </c>
      <c r="BT82">
        <v>23.009669497392963</v>
      </c>
      <c r="BU82">
        <v>8.8587227564962904E-3</v>
      </c>
      <c r="BV82">
        <v>11.3869050015914</v>
      </c>
    </row>
    <row r="83" spans="1:74" ht="15.75" hidden="1" thickBot="1" x14ac:dyDescent="0.3">
      <c r="A83" t="s">
        <v>86</v>
      </c>
      <c r="B83" t="s">
        <v>27</v>
      </c>
      <c r="C83">
        <v>12</v>
      </c>
      <c r="D83">
        <v>3</v>
      </c>
      <c r="F83" s="8">
        <v>45494.554664351897</v>
      </c>
      <c r="G83">
        <v>1505.08</v>
      </c>
      <c r="H83">
        <v>7.2</v>
      </c>
      <c r="I83">
        <v>0.5</v>
      </c>
      <c r="J83">
        <v>34</v>
      </c>
      <c r="L83">
        <v>1350.49</v>
      </c>
      <c r="M83">
        <v>24.8</v>
      </c>
      <c r="N83">
        <v>23.3</v>
      </c>
      <c r="O83">
        <v>94.2</v>
      </c>
      <c r="P83">
        <v>16.5</v>
      </c>
      <c r="Q83">
        <v>372</v>
      </c>
      <c r="R83">
        <v>2.68</v>
      </c>
      <c r="S83">
        <v>0.4</v>
      </c>
      <c r="T83">
        <v>0.01</v>
      </c>
      <c r="V83">
        <v>0.08</v>
      </c>
      <c r="W83">
        <v>0.1</v>
      </c>
      <c r="X83">
        <v>3.17</v>
      </c>
      <c r="Y83">
        <v>7.3440000000000003</v>
      </c>
      <c r="Z83">
        <v>146.69999999999999</v>
      </c>
      <c r="AA83">
        <v>0</v>
      </c>
      <c r="AB83">
        <v>3.6</v>
      </c>
      <c r="AC83">
        <v>167.8</v>
      </c>
      <c r="AD83">
        <v>78</v>
      </c>
      <c r="AE83">
        <v>128.6</v>
      </c>
      <c r="AF83">
        <v>0</v>
      </c>
      <c r="AG83">
        <v>7.3869999999999996</v>
      </c>
      <c r="AH83">
        <v>300</v>
      </c>
      <c r="AI83">
        <v>52.2</v>
      </c>
      <c r="AJ83">
        <v>7.29</v>
      </c>
      <c r="AK83">
        <v>0.52200000000000002</v>
      </c>
      <c r="AL83">
        <v>34</v>
      </c>
      <c r="AM83">
        <v>37.567</v>
      </c>
      <c r="AN83">
        <v>0</v>
      </c>
      <c r="AO83">
        <v>4</v>
      </c>
      <c r="AP83">
        <v>4.7913410285290454E-2</v>
      </c>
      <c r="AQ83">
        <v>33</v>
      </c>
      <c r="AR83">
        <v>34</v>
      </c>
      <c r="AS83">
        <v>743</v>
      </c>
      <c r="AW83">
        <v>17</v>
      </c>
      <c r="AX83">
        <v>14</v>
      </c>
      <c r="AY83">
        <v>19</v>
      </c>
      <c r="AZ83">
        <v>15</v>
      </c>
      <c r="BA83">
        <v>1700</v>
      </c>
      <c r="BB83">
        <v>34</v>
      </c>
      <c r="BC83">
        <v>7.2</v>
      </c>
      <c r="BD83">
        <v>50</v>
      </c>
      <c r="BE83">
        <v>2.9999999999999997E-4</v>
      </c>
      <c r="BF83">
        <v>3.9458202522876303E-2</v>
      </c>
      <c r="BI83">
        <v>1.2222483329999999E-2</v>
      </c>
      <c r="BJ83">
        <v>17.600375995199997</v>
      </c>
      <c r="BK83">
        <v>1748.567</v>
      </c>
      <c r="BL83">
        <v>1.8872596817851417E-2</v>
      </c>
      <c r="BM83">
        <v>1.9411764705882354E-2</v>
      </c>
      <c r="BN83">
        <v>68.995310810818253</v>
      </c>
      <c r="BO83">
        <v>4.7913410285290454E-2</v>
      </c>
      <c r="BP83" t="s">
        <v>83</v>
      </c>
      <c r="BQ83" t="s">
        <v>83</v>
      </c>
      <c r="BR83">
        <v>13.070538324999999</v>
      </c>
      <c r="BS83" t="s">
        <v>83</v>
      </c>
      <c r="BT83">
        <v>124.45041632542976</v>
      </c>
      <c r="BU83">
        <v>4.7913410285290454E-2</v>
      </c>
      <c r="BV83">
        <v>13.070538324999999</v>
      </c>
    </row>
    <row r="84" spans="1:74" ht="15.75" hidden="1" thickBot="1" x14ac:dyDescent="0.3">
      <c r="A84" t="s">
        <v>84</v>
      </c>
      <c r="B84" t="s">
        <v>27</v>
      </c>
      <c r="C84">
        <v>12</v>
      </c>
      <c r="D84">
        <v>4</v>
      </c>
      <c r="E84" t="s">
        <v>92</v>
      </c>
      <c r="F84" s="8">
        <v>45495.347314814797</v>
      </c>
      <c r="G84">
        <v>2119.61</v>
      </c>
      <c r="H84">
        <v>7.2</v>
      </c>
      <c r="I84">
        <v>0.5</v>
      </c>
      <c r="J84">
        <v>34</v>
      </c>
      <c r="L84">
        <v>1695.12</v>
      </c>
      <c r="M84">
        <v>26.4</v>
      </c>
      <c r="N84">
        <v>24.2</v>
      </c>
      <c r="O84">
        <v>91.6</v>
      </c>
      <c r="P84">
        <v>16.2</v>
      </c>
      <c r="Q84">
        <v>349</v>
      </c>
      <c r="R84">
        <v>1.35</v>
      </c>
      <c r="S84">
        <v>0.4</v>
      </c>
      <c r="T84">
        <v>2.91</v>
      </c>
      <c r="V84">
        <v>0.15</v>
      </c>
      <c r="W84">
        <v>0.01</v>
      </c>
      <c r="X84">
        <v>2.48</v>
      </c>
      <c r="Y84">
        <v>7.29</v>
      </c>
      <c r="Z84">
        <v>117.3</v>
      </c>
      <c r="AA84">
        <v>36.4</v>
      </c>
      <c r="AB84">
        <v>3.07</v>
      </c>
      <c r="AC84">
        <v>150.19999999999999</v>
      </c>
      <c r="AD84">
        <v>55</v>
      </c>
      <c r="AE84">
        <v>102.9</v>
      </c>
      <c r="AF84">
        <v>29.4</v>
      </c>
      <c r="AG84">
        <v>7.3319999999999999</v>
      </c>
      <c r="AH84">
        <v>300</v>
      </c>
      <c r="AI84">
        <v>49.7</v>
      </c>
      <c r="AJ84">
        <v>7.29</v>
      </c>
      <c r="AK84">
        <v>0.49700000000000005</v>
      </c>
      <c r="AL84">
        <v>34</v>
      </c>
      <c r="AM84">
        <v>27.664999999999999</v>
      </c>
      <c r="AN84">
        <v>6.7811000000000003</v>
      </c>
      <c r="AO84">
        <v>5</v>
      </c>
      <c r="AP84">
        <v>5.6609312374999998E-2</v>
      </c>
      <c r="AQ84">
        <v>57</v>
      </c>
      <c r="AR84">
        <v>43</v>
      </c>
      <c r="AS84">
        <v>652</v>
      </c>
      <c r="AW84">
        <v>15</v>
      </c>
      <c r="AX84">
        <v>12</v>
      </c>
      <c r="AY84">
        <v>16</v>
      </c>
      <c r="AZ84">
        <v>15</v>
      </c>
      <c r="BA84">
        <v>1700</v>
      </c>
      <c r="BB84">
        <v>34</v>
      </c>
      <c r="BC84">
        <v>7.2</v>
      </c>
      <c r="BD84">
        <v>50</v>
      </c>
      <c r="BE84">
        <v>2.9999999999999997E-4</v>
      </c>
      <c r="BF84">
        <v>4.6199999999999998E-2</v>
      </c>
      <c r="BG84">
        <v>1.9025010815166301E-2</v>
      </c>
      <c r="BH84">
        <v>4.4359414913319028E-3</v>
      </c>
      <c r="BI84">
        <v>1.2809878686E-2</v>
      </c>
      <c r="BJ84">
        <v>18.446225307839999</v>
      </c>
      <c r="BK84">
        <v>1764.4461000000001</v>
      </c>
      <c r="BL84">
        <v>3.2304755583069382E-2</v>
      </c>
      <c r="BM84">
        <v>3.3529411764705884E-2</v>
      </c>
      <c r="BN84">
        <v>81.517409819999997</v>
      </c>
      <c r="BO84">
        <v>5.6609312374999998E-2</v>
      </c>
      <c r="BP84" t="s">
        <v>83</v>
      </c>
      <c r="BQ84" t="s">
        <v>83</v>
      </c>
      <c r="BR84">
        <v>0</v>
      </c>
      <c r="BS84" t="s">
        <v>83</v>
      </c>
      <c r="BT84">
        <v>147.03717499999999</v>
      </c>
      <c r="BU84">
        <v>5.6609312374999998E-2</v>
      </c>
      <c r="BV84">
        <v>0</v>
      </c>
    </row>
    <row r="85" spans="1:74" ht="15.75" hidden="1" thickBot="1" x14ac:dyDescent="0.3">
      <c r="A85" t="s">
        <v>86</v>
      </c>
      <c r="B85" t="s">
        <v>27</v>
      </c>
      <c r="C85">
        <v>12</v>
      </c>
      <c r="D85">
        <v>4</v>
      </c>
      <c r="E85" t="s">
        <v>88</v>
      </c>
      <c r="F85" s="8">
        <v>45495.3506597222</v>
      </c>
      <c r="G85">
        <v>2119.61</v>
      </c>
      <c r="H85">
        <v>7.2</v>
      </c>
      <c r="I85">
        <v>0.5</v>
      </c>
      <c r="J85">
        <v>34</v>
      </c>
      <c r="M85">
        <v>32.299999999999997</v>
      </c>
      <c r="N85">
        <v>28.4</v>
      </c>
      <c r="O85">
        <v>88.1</v>
      </c>
      <c r="P85">
        <v>16.399999999999999</v>
      </c>
      <c r="Q85">
        <v>382</v>
      </c>
      <c r="R85">
        <v>1.62</v>
      </c>
      <c r="S85">
        <v>0.35</v>
      </c>
      <c r="T85">
        <v>1.1599999999999999</v>
      </c>
      <c r="V85">
        <v>0.46</v>
      </c>
      <c r="W85">
        <v>0.92</v>
      </c>
      <c r="X85">
        <v>1.68</v>
      </c>
      <c r="Y85">
        <v>7.1740000000000004</v>
      </c>
      <c r="Z85">
        <v>161.9</v>
      </c>
      <c r="AA85">
        <v>0</v>
      </c>
      <c r="AB85">
        <v>2.3199999999999998</v>
      </c>
      <c r="AC85">
        <v>169.6</v>
      </c>
      <c r="AD85">
        <v>57.8</v>
      </c>
      <c r="AE85">
        <v>142</v>
      </c>
      <c r="AF85">
        <v>0</v>
      </c>
      <c r="AG85">
        <v>7.2140000000000004</v>
      </c>
      <c r="AK85">
        <v>0</v>
      </c>
      <c r="AP85">
        <v>0</v>
      </c>
      <c r="AW85">
        <v>-33</v>
      </c>
      <c r="AX85">
        <v>-34</v>
      </c>
      <c r="AY85">
        <v>743</v>
      </c>
      <c r="AZ85">
        <v>15</v>
      </c>
      <c r="BA85">
        <v>1700</v>
      </c>
      <c r="BB85">
        <v>34</v>
      </c>
      <c r="BC85">
        <v>7.2</v>
      </c>
      <c r="BD85">
        <v>50</v>
      </c>
      <c r="BE85">
        <v>2.9999999999999997E-4</v>
      </c>
      <c r="BI85">
        <v>1.3844999999999998E-2</v>
      </c>
      <c r="BJ85">
        <v>19.936799999999998</v>
      </c>
      <c r="BK85">
        <v>1625</v>
      </c>
      <c r="BL85" t="e">
        <v>#N/A</v>
      </c>
      <c r="BM85" t="e">
        <v>#N/A</v>
      </c>
      <c r="BN85">
        <v>0</v>
      </c>
      <c r="BO85">
        <v>0</v>
      </c>
      <c r="BP85" t="s">
        <v>83</v>
      </c>
      <c r="BQ85" t="s">
        <v>83</v>
      </c>
      <c r="BR85">
        <v>7.4749999999999996</v>
      </c>
      <c r="BS85" t="s">
        <v>83</v>
      </c>
      <c r="BT85">
        <v>0</v>
      </c>
      <c r="BU85">
        <v>0</v>
      </c>
      <c r="BV85">
        <v>7.4749999999999996</v>
      </c>
    </row>
    <row r="86" spans="1:74" ht="15.75" hidden="1" thickBot="1" x14ac:dyDescent="0.3">
      <c r="A86" t="s">
        <v>84</v>
      </c>
      <c r="B86" t="s">
        <v>27</v>
      </c>
      <c r="C86">
        <v>12</v>
      </c>
      <c r="D86">
        <v>5</v>
      </c>
      <c r="F86" s="8">
        <v>45496.345405092601</v>
      </c>
      <c r="G86">
        <v>2716.05</v>
      </c>
      <c r="H86">
        <v>7.2</v>
      </c>
      <c r="I86">
        <v>0.5</v>
      </c>
      <c r="J86">
        <v>34</v>
      </c>
      <c r="L86">
        <v>2348.04</v>
      </c>
      <c r="M86">
        <v>24.8</v>
      </c>
      <c r="N86">
        <v>23.6</v>
      </c>
      <c r="O86">
        <v>95.2</v>
      </c>
      <c r="P86">
        <v>17.5</v>
      </c>
      <c r="Q86">
        <v>378</v>
      </c>
      <c r="R86">
        <v>1.46</v>
      </c>
      <c r="S86">
        <v>0.31</v>
      </c>
      <c r="T86">
        <v>5.87</v>
      </c>
      <c r="V86">
        <v>0.43</v>
      </c>
      <c r="W86">
        <v>0.37</v>
      </c>
      <c r="X86">
        <v>1.69</v>
      </c>
      <c r="Y86">
        <v>7.2469999999999999</v>
      </c>
      <c r="Z86">
        <v>133.6</v>
      </c>
      <c r="AA86">
        <v>46.5</v>
      </c>
      <c r="AB86">
        <v>2.27</v>
      </c>
      <c r="AC86">
        <v>153.19999999999999</v>
      </c>
      <c r="AD86">
        <v>56.6</v>
      </c>
      <c r="AE86">
        <v>117.2</v>
      </c>
      <c r="AF86">
        <v>37.6</v>
      </c>
      <c r="AG86">
        <v>7.2880000000000003</v>
      </c>
      <c r="AH86">
        <v>300</v>
      </c>
      <c r="AI86">
        <v>51.3</v>
      </c>
      <c r="AJ86">
        <v>7.25</v>
      </c>
      <c r="AK86">
        <v>0.51300000000000001</v>
      </c>
      <c r="AL86">
        <v>34</v>
      </c>
      <c r="AM86">
        <v>27.67</v>
      </c>
      <c r="AN86">
        <v>8.17</v>
      </c>
      <c r="AO86">
        <v>6</v>
      </c>
      <c r="AP86">
        <v>4.7622754435182282E-2</v>
      </c>
      <c r="AQ86">
        <v>113</v>
      </c>
      <c r="AR86">
        <v>43</v>
      </c>
      <c r="AS86">
        <v>591</v>
      </c>
      <c r="AW86">
        <v>56</v>
      </c>
      <c r="AX86">
        <v>0</v>
      </c>
      <c r="AY86">
        <v>61</v>
      </c>
      <c r="AZ86">
        <v>15</v>
      </c>
      <c r="BA86">
        <v>1700</v>
      </c>
      <c r="BB86">
        <v>34</v>
      </c>
      <c r="BC86">
        <v>7.2</v>
      </c>
      <c r="BD86">
        <v>50</v>
      </c>
      <c r="BE86">
        <v>4.0000000000000002E-4</v>
      </c>
      <c r="BF86">
        <v>3.7932984327519299E-2</v>
      </c>
      <c r="BG86">
        <v>1.4359799331487877E-2</v>
      </c>
      <c r="BH86">
        <v>9.9668112222320009E-8</v>
      </c>
      <c r="BI86">
        <v>1.7066009600000001E-2</v>
      </c>
      <c r="BJ86">
        <v>24.575053824000001</v>
      </c>
      <c r="BK86">
        <v>1807.84</v>
      </c>
      <c r="BL86">
        <v>6.2505531462961325E-2</v>
      </c>
      <c r="BM86">
        <v>6.6470588235294115E-2</v>
      </c>
      <c r="BN86">
        <v>68.576766386662499</v>
      </c>
      <c r="BO86">
        <v>4.7622754435182282E-2</v>
      </c>
      <c r="BP86">
        <v>1.8027930294053501E-2</v>
      </c>
      <c r="BQ86" t="s">
        <v>83</v>
      </c>
      <c r="BR86">
        <v>0</v>
      </c>
      <c r="BS86">
        <v>1.8018399999999901E-4</v>
      </c>
      <c r="BT86">
        <v>123.69546606540854</v>
      </c>
      <c r="BU86">
        <v>4.7622754435182282E-2</v>
      </c>
      <c r="BV86">
        <v>0</v>
      </c>
    </row>
    <row r="87" spans="1:74" ht="15.75" hidden="1" thickBot="1" x14ac:dyDescent="0.3">
      <c r="A87" t="s">
        <v>84</v>
      </c>
      <c r="B87" t="s">
        <v>27</v>
      </c>
      <c r="C87">
        <v>12</v>
      </c>
      <c r="D87">
        <v>6</v>
      </c>
      <c r="F87" s="8">
        <v>45497.344409722202</v>
      </c>
      <c r="G87">
        <v>3307.9</v>
      </c>
      <c r="H87">
        <v>7.2</v>
      </c>
      <c r="I87">
        <v>0.5</v>
      </c>
      <c r="J87">
        <v>34</v>
      </c>
      <c r="L87">
        <v>2987.82</v>
      </c>
      <c r="M87">
        <v>23.1</v>
      </c>
      <c r="N87">
        <v>22</v>
      </c>
      <c r="O87">
        <v>95.6</v>
      </c>
      <c r="P87">
        <v>18.2</v>
      </c>
      <c r="Q87">
        <v>406</v>
      </c>
      <c r="R87">
        <v>2.33</v>
      </c>
      <c r="S87">
        <v>0.27</v>
      </c>
      <c r="T87">
        <v>7.7</v>
      </c>
      <c r="V87">
        <v>0.65</v>
      </c>
      <c r="W87">
        <v>2</v>
      </c>
      <c r="X87">
        <v>1.75</v>
      </c>
      <c r="Y87">
        <v>7.1079999999999997</v>
      </c>
      <c r="Z87">
        <v>124.9</v>
      </c>
      <c r="AA87">
        <v>0</v>
      </c>
      <c r="AB87">
        <v>1.94</v>
      </c>
      <c r="AC87">
        <v>158.80000000000001</v>
      </c>
      <c r="AD87">
        <v>38.200000000000003</v>
      </c>
      <c r="AE87">
        <v>109.6</v>
      </c>
      <c r="AF87">
        <v>0</v>
      </c>
      <c r="AG87">
        <v>7.1470000000000002</v>
      </c>
      <c r="AH87">
        <v>300</v>
      </c>
      <c r="AI87">
        <v>51.6</v>
      </c>
      <c r="AJ87">
        <v>7.13</v>
      </c>
      <c r="AK87">
        <v>0.51600000000000001</v>
      </c>
      <c r="AL87">
        <v>34</v>
      </c>
      <c r="AM87">
        <v>27.67</v>
      </c>
      <c r="AN87">
        <v>8.17</v>
      </c>
      <c r="AO87">
        <v>6</v>
      </c>
      <c r="AP87">
        <v>4.0639629441766648E-2</v>
      </c>
      <c r="AQ87">
        <v>184</v>
      </c>
      <c r="AR87">
        <v>43</v>
      </c>
      <c r="AS87">
        <v>515</v>
      </c>
      <c r="AW87">
        <v>71</v>
      </c>
      <c r="AX87">
        <v>0</v>
      </c>
      <c r="AY87">
        <v>76</v>
      </c>
      <c r="AZ87">
        <v>15</v>
      </c>
      <c r="BA87">
        <v>1700</v>
      </c>
      <c r="BB87">
        <v>34</v>
      </c>
      <c r="BC87">
        <v>7.2</v>
      </c>
      <c r="BD87">
        <v>50</v>
      </c>
      <c r="BE87">
        <v>4.0000000000000002E-4</v>
      </c>
      <c r="BF87">
        <v>3.1398117003682703E-2</v>
      </c>
      <c r="BG87">
        <v>5.8037926537741662E-3</v>
      </c>
      <c r="BH87">
        <v>9.9999999999999995E-8</v>
      </c>
      <c r="BI87">
        <v>1.6401792000000005E-2</v>
      </c>
      <c r="BJ87">
        <v>23.618580480000009</v>
      </c>
      <c r="BK87">
        <v>1863.8400000000001</v>
      </c>
      <c r="BL87">
        <v>9.8720920250665284E-2</v>
      </c>
      <c r="BM87">
        <v>0.10823529411764705</v>
      </c>
      <c r="BN87">
        <v>58.521066396143972</v>
      </c>
      <c r="BO87">
        <v>4.0639629441766648E-2</v>
      </c>
      <c r="BP87">
        <v>7.5120422915350296E-3</v>
      </c>
      <c r="BQ87" t="s">
        <v>83</v>
      </c>
      <c r="BR87">
        <v>0</v>
      </c>
      <c r="BS87">
        <v>1.86384E-4</v>
      </c>
      <c r="BT87">
        <v>105.55747906952377</v>
      </c>
      <c r="BU87">
        <v>4.0639629441766648E-2</v>
      </c>
      <c r="BV87">
        <v>0</v>
      </c>
    </row>
    <row r="88" spans="1:74" ht="15.75" hidden="1" thickBot="1" x14ac:dyDescent="0.3">
      <c r="A88" t="s">
        <v>84</v>
      </c>
      <c r="B88" t="s">
        <v>27</v>
      </c>
      <c r="C88">
        <v>12</v>
      </c>
      <c r="D88">
        <v>7</v>
      </c>
      <c r="F88" s="8">
        <v>45498.335474537002</v>
      </c>
      <c r="G88">
        <v>3888.32</v>
      </c>
      <c r="H88">
        <v>7.2</v>
      </c>
      <c r="I88">
        <v>0.5</v>
      </c>
      <c r="J88">
        <v>34</v>
      </c>
      <c r="L88">
        <v>3528.9749999999999</v>
      </c>
      <c r="M88">
        <v>24.7</v>
      </c>
      <c r="N88">
        <v>23.6</v>
      </c>
      <c r="O88">
        <v>95.7</v>
      </c>
      <c r="P88">
        <v>18.600000000000001</v>
      </c>
      <c r="Q88">
        <v>438</v>
      </c>
      <c r="R88">
        <v>2.58</v>
      </c>
      <c r="S88">
        <v>0.27</v>
      </c>
      <c r="T88">
        <v>7.81</v>
      </c>
      <c r="V88">
        <v>0.89</v>
      </c>
      <c r="W88">
        <v>3.24</v>
      </c>
      <c r="X88">
        <v>1.87</v>
      </c>
      <c r="Y88">
        <v>7.0670000000000002</v>
      </c>
      <c r="Z88">
        <v>174.1</v>
      </c>
      <c r="AA88">
        <v>5.5</v>
      </c>
      <c r="AB88">
        <v>1.78</v>
      </c>
      <c r="AC88">
        <v>162.80000000000001</v>
      </c>
      <c r="AD88">
        <v>48.4</v>
      </c>
      <c r="AE88">
        <v>152.6</v>
      </c>
      <c r="AF88">
        <v>4.4000000000000004</v>
      </c>
      <c r="AG88">
        <v>7.1050000000000004</v>
      </c>
      <c r="AH88">
        <v>300</v>
      </c>
      <c r="AI88">
        <v>54.4</v>
      </c>
      <c r="AJ88">
        <v>7.1</v>
      </c>
      <c r="AK88">
        <v>0.54400000000000004</v>
      </c>
      <c r="AL88">
        <v>34</v>
      </c>
      <c r="AM88">
        <v>30.1</v>
      </c>
      <c r="AN88">
        <v>8.17</v>
      </c>
      <c r="AO88">
        <v>6</v>
      </c>
      <c r="AP88">
        <v>3.9685397916666663E-2</v>
      </c>
      <c r="AQ88">
        <v>244</v>
      </c>
      <c r="AR88">
        <v>43</v>
      </c>
      <c r="AS88">
        <v>450</v>
      </c>
      <c r="AW88">
        <v>60</v>
      </c>
      <c r="AX88">
        <v>0</v>
      </c>
      <c r="AY88">
        <v>65</v>
      </c>
      <c r="AZ88">
        <v>15</v>
      </c>
      <c r="BA88">
        <v>1700</v>
      </c>
      <c r="BB88">
        <v>34</v>
      </c>
      <c r="BC88">
        <v>7.2</v>
      </c>
      <c r="BD88">
        <v>50</v>
      </c>
      <c r="BE88">
        <v>4.0000000000000002E-4</v>
      </c>
      <c r="BF88">
        <v>2.9899999999999999E-2</v>
      </c>
      <c r="BG88">
        <v>8.8711852715143927E-3</v>
      </c>
      <c r="BH88">
        <v>9.9999999999999995E-8</v>
      </c>
      <c r="BI88">
        <v>1.80423888E-2</v>
      </c>
      <c r="BJ88">
        <v>25.981039871999997</v>
      </c>
      <c r="BK88">
        <v>1911.27</v>
      </c>
      <c r="BL88">
        <v>0.1276638046953073</v>
      </c>
      <c r="BM88">
        <v>0.14352941176470588</v>
      </c>
      <c r="BN88">
        <v>57.146972999999988</v>
      </c>
      <c r="BO88">
        <v>3.9685397916666663E-2</v>
      </c>
      <c r="BP88">
        <v>1.1774465467977301E-2</v>
      </c>
      <c r="BQ88" t="s">
        <v>83</v>
      </c>
      <c r="BR88">
        <v>0</v>
      </c>
      <c r="BS88">
        <v>1.91127E-4</v>
      </c>
      <c r="BT88">
        <v>103.07895562770562</v>
      </c>
      <c r="BU88">
        <v>3.9685397916666663E-2</v>
      </c>
      <c r="BV88">
        <v>0</v>
      </c>
    </row>
    <row r="89" spans="1:74" ht="15.75" hidden="1" thickBot="1" x14ac:dyDescent="0.3">
      <c r="A89" t="s">
        <v>84</v>
      </c>
      <c r="B89" t="s">
        <v>27</v>
      </c>
      <c r="C89">
        <v>12</v>
      </c>
      <c r="D89">
        <v>8</v>
      </c>
      <c r="F89" s="8">
        <v>45499.369444444397</v>
      </c>
      <c r="G89">
        <v>4309.7</v>
      </c>
      <c r="H89">
        <v>7.2</v>
      </c>
      <c r="I89">
        <v>0.5</v>
      </c>
      <c r="J89">
        <v>34</v>
      </c>
      <c r="L89">
        <v>4097.625</v>
      </c>
      <c r="M89">
        <v>25.3</v>
      </c>
      <c r="N89">
        <v>24</v>
      </c>
      <c r="O89">
        <v>94.8</v>
      </c>
      <c r="P89">
        <v>18.8</v>
      </c>
      <c r="Q89">
        <v>458</v>
      </c>
      <c r="R89">
        <v>3</v>
      </c>
      <c r="S89">
        <v>0.25</v>
      </c>
      <c r="T89">
        <v>7.34</v>
      </c>
      <c r="V89">
        <v>1.1200000000000001</v>
      </c>
      <c r="W89">
        <v>3.94</v>
      </c>
      <c r="X89">
        <v>1.89</v>
      </c>
      <c r="Y89">
        <v>7.0620000000000003</v>
      </c>
      <c r="Z89">
        <v>165.6</v>
      </c>
      <c r="AA89">
        <v>9</v>
      </c>
      <c r="AB89">
        <v>1.51</v>
      </c>
      <c r="AC89">
        <v>165.7</v>
      </c>
      <c r="AD89">
        <v>45.5</v>
      </c>
      <c r="AE89">
        <v>145.19999999999999</v>
      </c>
      <c r="AF89">
        <v>7.3</v>
      </c>
      <c r="AG89">
        <v>7.1</v>
      </c>
      <c r="AH89">
        <v>300</v>
      </c>
      <c r="AI89">
        <v>49.9</v>
      </c>
      <c r="AJ89">
        <v>7.1</v>
      </c>
      <c r="AK89">
        <v>0.499</v>
      </c>
      <c r="AL89">
        <v>34</v>
      </c>
      <c r="AM89">
        <v>32.640999999999998</v>
      </c>
      <c r="AN89">
        <v>8.1745999999999999</v>
      </c>
      <c r="AO89">
        <v>7</v>
      </c>
      <c r="AP89">
        <v>4.1624831499999994E-2</v>
      </c>
      <c r="AQ89">
        <v>303</v>
      </c>
      <c r="AR89">
        <v>43</v>
      </c>
      <c r="AS89">
        <v>387</v>
      </c>
      <c r="AW89">
        <v>59</v>
      </c>
      <c r="AX89">
        <v>0</v>
      </c>
      <c r="AY89">
        <v>63</v>
      </c>
      <c r="AZ89">
        <v>15</v>
      </c>
      <c r="BA89">
        <v>1700</v>
      </c>
      <c r="BB89">
        <v>34</v>
      </c>
      <c r="BC89">
        <v>7.2</v>
      </c>
      <c r="BD89">
        <v>50</v>
      </c>
      <c r="BE89">
        <v>4.0000000000000002E-4</v>
      </c>
      <c r="BF89">
        <v>3.0599999999999999E-2</v>
      </c>
      <c r="BG89">
        <v>1.1338377715141717E-2</v>
      </c>
      <c r="BH89">
        <v>1.0000000000000001E-7</v>
      </c>
      <c r="BI89">
        <v>1.880462976E-2</v>
      </c>
      <c r="BJ89">
        <v>27.078666854400002</v>
      </c>
      <c r="BK89">
        <v>1958.8155999999999</v>
      </c>
      <c r="BL89">
        <v>0.15468531085825538</v>
      </c>
      <c r="BM89">
        <v>0.17823529411764705</v>
      </c>
      <c r="BN89">
        <v>59.939757359999994</v>
      </c>
      <c r="BO89">
        <v>4.1624831499999994E-2</v>
      </c>
      <c r="BP89">
        <v>1.54234660743833E-2</v>
      </c>
      <c r="BQ89" t="s">
        <v>83</v>
      </c>
      <c r="BR89">
        <v>0</v>
      </c>
      <c r="BS89">
        <v>1.9588156E-4</v>
      </c>
      <c r="BT89">
        <v>108.11644545454544</v>
      </c>
      <c r="BU89">
        <v>4.1624831499999994E-2</v>
      </c>
      <c r="BV89">
        <v>0</v>
      </c>
    </row>
    <row r="90" spans="1:74" ht="15.75" hidden="1" thickBot="1" x14ac:dyDescent="0.3">
      <c r="A90" t="s">
        <v>84</v>
      </c>
      <c r="B90" t="s">
        <v>27</v>
      </c>
      <c r="C90">
        <v>12</v>
      </c>
      <c r="D90">
        <v>9</v>
      </c>
      <c r="F90" s="8">
        <v>45500.443576388898</v>
      </c>
      <c r="G90">
        <v>4805.7299999999996</v>
      </c>
      <c r="H90">
        <v>7.2</v>
      </c>
      <c r="I90">
        <v>0.5</v>
      </c>
      <c r="J90">
        <v>34</v>
      </c>
      <c r="L90">
        <v>4453.3999999999996</v>
      </c>
      <c r="M90">
        <v>25.2</v>
      </c>
      <c r="N90">
        <v>23.6</v>
      </c>
      <c r="O90">
        <v>93.6</v>
      </c>
      <c r="P90">
        <v>18.8</v>
      </c>
      <c r="Q90">
        <v>486</v>
      </c>
      <c r="R90">
        <v>3.91</v>
      </c>
      <c r="S90">
        <v>0.23</v>
      </c>
      <c r="T90">
        <v>6.91</v>
      </c>
      <c r="V90">
        <v>1.72</v>
      </c>
      <c r="W90">
        <v>4.5999999999999996</v>
      </c>
      <c r="X90">
        <v>2.09</v>
      </c>
      <c r="Y90">
        <v>7.0579999999999998</v>
      </c>
      <c r="Z90">
        <v>164.4</v>
      </c>
      <c r="AA90">
        <v>1.7</v>
      </c>
      <c r="AB90">
        <v>1.52</v>
      </c>
      <c r="AC90">
        <v>174.3</v>
      </c>
      <c r="AD90">
        <v>44.7</v>
      </c>
      <c r="AE90">
        <v>144.19999999999999</v>
      </c>
      <c r="AF90">
        <v>1.4</v>
      </c>
      <c r="AG90">
        <v>7.0960000000000001</v>
      </c>
      <c r="AH90">
        <v>300</v>
      </c>
      <c r="AI90">
        <v>51.3</v>
      </c>
      <c r="AJ90">
        <v>7.1</v>
      </c>
      <c r="AK90">
        <v>0.51300000000000001</v>
      </c>
      <c r="AL90">
        <v>34</v>
      </c>
      <c r="AM90">
        <v>35.975999999999999</v>
      </c>
      <c r="AN90">
        <v>8.1745999999999999</v>
      </c>
      <c r="AO90">
        <v>8</v>
      </c>
      <c r="AP90">
        <v>0</v>
      </c>
      <c r="AQ90">
        <v>367</v>
      </c>
      <c r="AR90">
        <v>43</v>
      </c>
      <c r="AS90">
        <v>316</v>
      </c>
      <c r="AW90">
        <v>64</v>
      </c>
      <c r="AX90">
        <v>0</v>
      </c>
      <c r="AY90">
        <v>71</v>
      </c>
      <c r="AZ90">
        <v>15</v>
      </c>
      <c r="BA90">
        <v>1700</v>
      </c>
      <c r="BB90">
        <v>34</v>
      </c>
      <c r="BC90">
        <v>7.2</v>
      </c>
      <c r="BD90">
        <v>50</v>
      </c>
      <c r="BE90">
        <v>4.0000000000000002E-4</v>
      </c>
      <c r="BG90">
        <v>1.3595595557568218E-2</v>
      </c>
      <c r="BH90">
        <v>1.0000000000000001E-7</v>
      </c>
      <c r="BI90">
        <v>1.8994701664E-2</v>
      </c>
      <c r="BJ90">
        <v>27.352370396160001</v>
      </c>
      <c r="BK90">
        <v>2012.1505999999999</v>
      </c>
      <c r="BL90">
        <v>0.18239191440243091</v>
      </c>
      <c r="BM90">
        <v>0.21588235294117647</v>
      </c>
      <c r="BN90">
        <v>0</v>
      </c>
      <c r="BO90">
        <v>0</v>
      </c>
      <c r="BP90">
        <v>1.8997490110082099E-2</v>
      </c>
      <c r="BQ90" t="s">
        <v>83</v>
      </c>
      <c r="BR90">
        <v>0</v>
      </c>
      <c r="BS90">
        <v>2.0121506000000001E-4</v>
      </c>
      <c r="BT90">
        <v>0</v>
      </c>
      <c r="BU90">
        <v>0</v>
      </c>
      <c r="BV90">
        <v>0</v>
      </c>
    </row>
    <row r="91" spans="1:74" ht="15.75" hidden="1" thickBot="1" x14ac:dyDescent="0.3">
      <c r="A91" t="s">
        <v>84</v>
      </c>
      <c r="B91" t="s">
        <v>27</v>
      </c>
      <c r="C91">
        <v>12</v>
      </c>
      <c r="D91">
        <v>10</v>
      </c>
      <c r="F91" s="8">
        <v>45501.511122685202</v>
      </c>
      <c r="G91">
        <v>5302.42</v>
      </c>
      <c r="H91">
        <v>7.2</v>
      </c>
      <c r="I91">
        <v>0.5</v>
      </c>
      <c r="J91">
        <v>34</v>
      </c>
      <c r="L91">
        <v>4845.16</v>
      </c>
      <c r="M91">
        <v>26.5</v>
      </c>
      <c r="N91">
        <v>24.4</v>
      </c>
      <c r="O91">
        <v>92.1</v>
      </c>
      <c r="P91">
        <v>18.399999999999999</v>
      </c>
      <c r="Q91">
        <v>483</v>
      </c>
      <c r="R91">
        <v>4.24</v>
      </c>
      <c r="S91">
        <v>0.2</v>
      </c>
      <c r="T91">
        <v>3.09</v>
      </c>
      <c r="V91">
        <v>1.59</v>
      </c>
      <c r="W91">
        <v>4.58</v>
      </c>
      <c r="X91">
        <v>2.5099999999999998</v>
      </c>
      <c r="Y91">
        <v>7.0579999999999998</v>
      </c>
      <c r="Z91">
        <v>163.80000000000001</v>
      </c>
      <c r="AA91">
        <v>0</v>
      </c>
      <c r="AB91">
        <v>1.49</v>
      </c>
      <c r="AC91">
        <v>182.7</v>
      </c>
      <c r="AD91">
        <v>44.6</v>
      </c>
      <c r="AE91">
        <v>143.6</v>
      </c>
      <c r="AF91">
        <v>0</v>
      </c>
      <c r="AG91">
        <v>7.0960000000000001</v>
      </c>
      <c r="AH91">
        <v>300</v>
      </c>
      <c r="AI91">
        <v>48.9</v>
      </c>
      <c r="AJ91">
        <v>7.1</v>
      </c>
      <c r="AK91">
        <v>0.48899999999999999</v>
      </c>
      <c r="AL91">
        <v>34</v>
      </c>
      <c r="AM91">
        <v>40.124000000000002</v>
      </c>
      <c r="AN91">
        <v>8.1745999999999999</v>
      </c>
      <c r="AO91">
        <v>10</v>
      </c>
      <c r="AP91">
        <v>4.6455224958333333E-2</v>
      </c>
      <c r="AQ91">
        <v>397</v>
      </c>
      <c r="AR91">
        <v>43</v>
      </c>
      <c r="AS91">
        <v>284</v>
      </c>
      <c r="AW91">
        <v>30</v>
      </c>
      <c r="AX91">
        <v>0</v>
      </c>
      <c r="AY91">
        <v>32</v>
      </c>
      <c r="AZ91">
        <v>15</v>
      </c>
      <c r="BA91">
        <v>1700</v>
      </c>
      <c r="BB91">
        <v>34</v>
      </c>
      <c r="BC91">
        <v>7.2</v>
      </c>
      <c r="BD91">
        <v>50</v>
      </c>
      <c r="BE91">
        <v>4.0000000000000002E-4</v>
      </c>
      <c r="BF91">
        <v>3.2899999999999999E-2</v>
      </c>
      <c r="BG91">
        <v>2.3999999999999994E-2</v>
      </c>
      <c r="BH91">
        <v>4.7067865967358406E-3</v>
      </c>
      <c r="BI91">
        <v>1.9844994336E-2</v>
      </c>
      <c r="BJ91">
        <v>28.576791843840002</v>
      </c>
      <c r="BK91">
        <v>2033.2986000000001</v>
      </c>
      <c r="BL91">
        <v>0.19524923688040702</v>
      </c>
      <c r="BM91">
        <v>0.23352941176470587</v>
      </c>
      <c r="BN91">
        <v>66.895523940000004</v>
      </c>
      <c r="BO91">
        <v>4.6455224958333333E-2</v>
      </c>
      <c r="BP91">
        <v>3.3888309999999998E-2</v>
      </c>
      <c r="BQ91" t="s">
        <v>83</v>
      </c>
      <c r="BR91">
        <v>0</v>
      </c>
      <c r="BS91">
        <v>9.5703025976417493</v>
      </c>
      <c r="BT91">
        <v>120.66292196969698</v>
      </c>
      <c r="BU91">
        <v>4.6455224958333333E-2</v>
      </c>
      <c r="BV91">
        <v>0</v>
      </c>
    </row>
    <row r="92" spans="1:74" ht="15.75" hidden="1" thickBot="1" x14ac:dyDescent="0.3">
      <c r="A92" t="s">
        <v>84</v>
      </c>
      <c r="B92" t="s">
        <v>27</v>
      </c>
      <c r="C92">
        <v>12</v>
      </c>
      <c r="D92">
        <v>11</v>
      </c>
      <c r="F92" s="8">
        <v>45502.407256944403</v>
      </c>
      <c r="G92">
        <v>5791.69</v>
      </c>
      <c r="H92">
        <v>7.2</v>
      </c>
      <c r="I92">
        <v>0.5</v>
      </c>
      <c r="J92">
        <v>34</v>
      </c>
      <c r="L92">
        <v>5027.07</v>
      </c>
      <c r="M92">
        <v>28.2</v>
      </c>
      <c r="N92">
        <v>25.5</v>
      </c>
      <c r="O92">
        <v>90.3</v>
      </c>
      <c r="P92">
        <v>18.3</v>
      </c>
      <c r="Q92">
        <v>529</v>
      </c>
      <c r="R92">
        <v>5</v>
      </c>
      <c r="S92">
        <v>0.2</v>
      </c>
      <c r="T92">
        <v>3.34</v>
      </c>
      <c r="V92">
        <v>2</v>
      </c>
      <c r="W92">
        <v>5.05</v>
      </c>
      <c r="X92">
        <v>3.15</v>
      </c>
      <c r="Y92">
        <v>7.0510000000000002</v>
      </c>
      <c r="Z92">
        <v>164.4</v>
      </c>
      <c r="AA92">
        <v>20.2</v>
      </c>
      <c r="AB92">
        <v>1.53</v>
      </c>
      <c r="AC92">
        <v>196.9</v>
      </c>
      <c r="AD92">
        <v>43.9</v>
      </c>
      <c r="AE92">
        <v>144.1</v>
      </c>
      <c r="AF92">
        <v>16.3</v>
      </c>
      <c r="AG92">
        <v>7.0880000000000001</v>
      </c>
      <c r="AH92">
        <v>300</v>
      </c>
      <c r="AI92">
        <v>51.3</v>
      </c>
      <c r="AJ92">
        <v>7.1</v>
      </c>
      <c r="AK92">
        <v>0.51300000000000001</v>
      </c>
      <c r="AL92">
        <v>34</v>
      </c>
      <c r="AM92">
        <v>46.48</v>
      </c>
      <c r="AN92">
        <v>8.17</v>
      </c>
      <c r="AO92">
        <v>11</v>
      </c>
      <c r="AP92">
        <v>0</v>
      </c>
      <c r="AQ92">
        <v>456</v>
      </c>
      <c r="AR92">
        <v>43</v>
      </c>
      <c r="AS92">
        <v>221</v>
      </c>
      <c r="AW92">
        <v>59</v>
      </c>
      <c r="AX92">
        <v>0</v>
      </c>
      <c r="AY92">
        <v>63</v>
      </c>
      <c r="AZ92">
        <v>15</v>
      </c>
      <c r="BA92">
        <v>1700</v>
      </c>
      <c r="BB92">
        <v>34</v>
      </c>
      <c r="BC92">
        <v>7.2</v>
      </c>
      <c r="BD92">
        <v>50</v>
      </c>
      <c r="BE92">
        <v>4.0000000000000002E-4</v>
      </c>
      <c r="BG92">
        <v>4.874288693960515E-3</v>
      </c>
      <c r="BH92">
        <v>2.4030259080113927E-3</v>
      </c>
      <c r="BI92">
        <v>2.1263430000000003E-2</v>
      </c>
      <c r="BJ92">
        <v>30.619339200000006</v>
      </c>
      <c r="BK92">
        <v>2084.65</v>
      </c>
      <c r="BL92">
        <v>0.21874175521070682</v>
      </c>
      <c r="BM92">
        <v>0.26823529411764707</v>
      </c>
      <c r="BN92">
        <v>0</v>
      </c>
      <c r="BO92">
        <v>0</v>
      </c>
      <c r="BP92">
        <v>7.0563791151838796E-3</v>
      </c>
      <c r="BQ92" t="s">
        <v>83</v>
      </c>
      <c r="BR92">
        <v>0</v>
      </c>
      <c r="BS92">
        <v>5.0094679591359501</v>
      </c>
      <c r="BT92">
        <v>0</v>
      </c>
      <c r="BU92">
        <v>0</v>
      </c>
      <c r="BV92">
        <v>0</v>
      </c>
    </row>
    <row r="93" spans="1:74" ht="15.75" hidden="1" thickBot="1" x14ac:dyDescent="0.3">
      <c r="A93" t="s">
        <v>84</v>
      </c>
      <c r="B93" t="s">
        <v>27</v>
      </c>
      <c r="C93">
        <v>12</v>
      </c>
      <c r="D93">
        <v>12</v>
      </c>
      <c r="F93" s="8">
        <v>45503.370902777802</v>
      </c>
      <c r="G93">
        <v>6120</v>
      </c>
      <c r="H93">
        <v>7.2</v>
      </c>
      <c r="I93">
        <v>0.5</v>
      </c>
      <c r="J93">
        <v>34</v>
      </c>
      <c r="L93">
        <v>5083.29</v>
      </c>
      <c r="M93">
        <v>25.4</v>
      </c>
      <c r="N93">
        <v>22.3</v>
      </c>
      <c r="O93">
        <v>87.9</v>
      </c>
      <c r="P93">
        <v>18.100000000000001</v>
      </c>
      <c r="Q93">
        <v>588</v>
      </c>
      <c r="R93">
        <v>6.42</v>
      </c>
      <c r="S93">
        <v>0.24</v>
      </c>
      <c r="T93">
        <v>3.39</v>
      </c>
      <c r="W93">
        <v>8.5399999999999991</v>
      </c>
      <c r="X93">
        <v>4.5</v>
      </c>
      <c r="Y93">
        <v>7.0289999999999999</v>
      </c>
      <c r="Z93">
        <v>163.6</v>
      </c>
      <c r="AA93">
        <v>31.8</v>
      </c>
      <c r="AB93">
        <v>1.69</v>
      </c>
      <c r="AC93">
        <v>205.5</v>
      </c>
      <c r="AD93">
        <v>42.9</v>
      </c>
      <c r="AE93">
        <v>156.5</v>
      </c>
      <c r="AF93">
        <v>29.7</v>
      </c>
      <c r="AG93">
        <v>7.0419999999999998</v>
      </c>
      <c r="AH93">
        <v>300</v>
      </c>
      <c r="AI93">
        <v>49.3</v>
      </c>
      <c r="AJ93">
        <v>7.1</v>
      </c>
      <c r="AK93">
        <v>0.49299999999999999</v>
      </c>
      <c r="AL93">
        <v>34</v>
      </c>
      <c r="AM93">
        <v>57.96</v>
      </c>
      <c r="AN93">
        <v>8.17</v>
      </c>
      <c r="AO93">
        <v>12</v>
      </c>
      <c r="AP93">
        <v>0</v>
      </c>
      <c r="AQ93">
        <v>521</v>
      </c>
      <c r="AR93">
        <v>43</v>
      </c>
      <c r="AS93">
        <v>150</v>
      </c>
      <c r="AW93">
        <v>65</v>
      </c>
      <c r="AX93">
        <v>0</v>
      </c>
      <c r="AY93">
        <v>71</v>
      </c>
      <c r="AZ93">
        <v>15</v>
      </c>
      <c r="BA93">
        <v>1700</v>
      </c>
      <c r="BB93">
        <v>34</v>
      </c>
      <c r="BC93">
        <v>7.2</v>
      </c>
      <c r="BD93">
        <v>50</v>
      </c>
      <c r="BE93">
        <v>4.0000000000000002E-4</v>
      </c>
      <c r="BI93">
        <v>1.9152399600000002E-2</v>
      </c>
      <c r="BJ93">
        <v>27.579455424000002</v>
      </c>
      <c r="BK93">
        <v>2147.13</v>
      </c>
      <c r="BL93">
        <v>0.24264949024977528</v>
      </c>
      <c r="BM93">
        <v>0.30647058823529411</v>
      </c>
      <c r="BN93">
        <v>0</v>
      </c>
      <c r="BO93">
        <v>0</v>
      </c>
      <c r="BP93" t="s">
        <v>83</v>
      </c>
      <c r="BQ93" t="s">
        <v>83</v>
      </c>
      <c r="BR93">
        <v>0</v>
      </c>
      <c r="BS93" t="s">
        <v>83</v>
      </c>
      <c r="BT93">
        <v>0</v>
      </c>
      <c r="BU93">
        <v>0</v>
      </c>
      <c r="BV93">
        <v>0</v>
      </c>
    </row>
    <row r="94" spans="1:74" x14ac:dyDescent="0.25">
      <c r="A94" s="10" t="s">
        <v>96</v>
      </c>
      <c r="B94" s="11" t="s">
        <v>26</v>
      </c>
      <c r="C94" s="11">
        <v>12</v>
      </c>
      <c r="D94" s="11">
        <v>0</v>
      </c>
      <c r="E94" s="11"/>
      <c r="F94" s="12">
        <v>45533.530428240701</v>
      </c>
      <c r="G94" s="11">
        <v>146.51</v>
      </c>
      <c r="H94">
        <v>7.2</v>
      </c>
      <c r="I94">
        <v>0.5</v>
      </c>
      <c r="J94">
        <v>34</v>
      </c>
      <c r="L94" s="13">
        <v>121.7636</v>
      </c>
      <c r="M94" s="13">
        <v>12.8</v>
      </c>
      <c r="N94" s="13">
        <v>12.6</v>
      </c>
      <c r="O94" s="13">
        <v>99.2</v>
      </c>
      <c r="P94" s="13">
        <v>17.2</v>
      </c>
      <c r="Q94" s="13">
        <v>320</v>
      </c>
      <c r="R94" s="13">
        <v>0.67</v>
      </c>
      <c r="S94" s="13">
        <v>0.7</v>
      </c>
      <c r="T94" s="13">
        <v>6.03</v>
      </c>
      <c r="U94" s="13"/>
      <c r="V94" s="13">
        <v>0.72</v>
      </c>
      <c r="W94" s="13">
        <v>2.4500000000000002</v>
      </c>
      <c r="X94" s="13">
        <v>0.95</v>
      </c>
      <c r="Y94" s="13">
        <v>7.2160000000000002</v>
      </c>
      <c r="Z94" s="13">
        <v>64</v>
      </c>
      <c r="AA94" s="13">
        <v>34.4</v>
      </c>
      <c r="AB94" s="13">
        <v>6.93</v>
      </c>
      <c r="AC94" s="13">
        <v>112.2</v>
      </c>
      <c r="AD94" s="13">
        <v>25.2</v>
      </c>
      <c r="AE94" s="13">
        <v>56.1</v>
      </c>
      <c r="AF94" s="13">
        <v>27.8</v>
      </c>
      <c r="AG94" s="14">
        <v>7.2560000000000002</v>
      </c>
      <c r="AH94" s="15">
        <v>299</v>
      </c>
      <c r="AI94" s="15">
        <v>50.4</v>
      </c>
      <c r="AJ94" s="15">
        <v>7.09</v>
      </c>
      <c r="AK94" s="15">
        <f t="shared" ref="AK94:AK157" si="0">AI94/100</f>
        <v>0.504</v>
      </c>
      <c r="AL94" s="15">
        <v>34</v>
      </c>
      <c r="AM94" s="15">
        <v>2.88</v>
      </c>
      <c r="AN94" s="15">
        <v>0</v>
      </c>
      <c r="AO94" s="15">
        <v>0</v>
      </c>
      <c r="AP94" s="38">
        <f t="shared" ref="AP94:AP157" si="1">BU94</f>
        <v>4.9734010316631501E-3</v>
      </c>
      <c r="AQ94" s="15">
        <v>0</v>
      </c>
      <c r="AR94" s="15">
        <v>0</v>
      </c>
      <c r="AS94" s="15">
        <v>685</v>
      </c>
      <c r="AT94" s="15">
        <v>1830</v>
      </c>
      <c r="AU94" s="15">
        <v>137.11999999999989</v>
      </c>
      <c r="AV94" s="15">
        <f t="shared" ref="AV94:AV157" si="2">AT94-AU94</f>
        <v>1692.88</v>
      </c>
      <c r="AW94" s="15">
        <v>0</v>
      </c>
      <c r="AX94" s="15">
        <v>0</v>
      </c>
      <c r="AY94" s="15">
        <v>0</v>
      </c>
      <c r="AZ94" s="39">
        <v>10</v>
      </c>
      <c r="BA94" s="39">
        <v>1700</v>
      </c>
      <c r="BB94" s="15">
        <v>34</v>
      </c>
      <c r="BC94" s="15">
        <v>7.2</v>
      </c>
      <c r="BD94" s="15">
        <v>50</v>
      </c>
      <c r="BE94" s="38">
        <v>2.9999999999999997E-4</v>
      </c>
      <c r="BG94">
        <v>4.2304814786605872E-3</v>
      </c>
      <c r="BH94">
        <v>0</v>
      </c>
      <c r="BI94">
        <v>6.3990864000000001E-3</v>
      </c>
      <c r="BJ94">
        <v>9.2146844160000008</v>
      </c>
      <c r="BK94">
        <v>1692.88</v>
      </c>
      <c r="BL94">
        <v>0</v>
      </c>
      <c r="BM94">
        <v>0</v>
      </c>
      <c r="BN94">
        <v>7.161697485594936</v>
      </c>
      <c r="BO94" t="s">
        <v>83</v>
      </c>
      <c r="BP94">
        <v>4.9734010316631501E-3</v>
      </c>
      <c r="BQ94" t="s">
        <v>83</v>
      </c>
      <c r="BR94" t="s">
        <v>83</v>
      </c>
      <c r="BS94">
        <v>0</v>
      </c>
      <c r="BT94">
        <v>12.917924757566624</v>
      </c>
      <c r="BU94">
        <v>4.9734010316631501E-3</v>
      </c>
      <c r="BV94">
        <v>0</v>
      </c>
    </row>
    <row r="95" spans="1:74" x14ac:dyDescent="0.25">
      <c r="A95" s="16" t="s">
        <v>97</v>
      </c>
      <c r="B95" t="s">
        <v>26</v>
      </c>
      <c r="C95">
        <v>12</v>
      </c>
      <c r="D95">
        <v>0</v>
      </c>
      <c r="F95" s="17">
        <v>45533.540613425903</v>
      </c>
      <c r="G95">
        <v>146.51</v>
      </c>
      <c r="H95">
        <v>7.2</v>
      </c>
      <c r="I95">
        <v>0.5</v>
      </c>
      <c r="J95">
        <v>34</v>
      </c>
      <c r="L95" s="15">
        <v>124.4211</v>
      </c>
      <c r="M95" s="15">
        <v>12.1</v>
      </c>
      <c r="N95" s="15">
        <v>11.9</v>
      </c>
      <c r="O95" s="15">
        <v>97.9</v>
      </c>
      <c r="P95" s="15">
        <v>16.7</v>
      </c>
      <c r="Q95" s="15">
        <v>323</v>
      </c>
      <c r="R95" s="15">
        <v>0.64</v>
      </c>
      <c r="S95" s="15">
        <v>0.61</v>
      </c>
      <c r="T95" s="15">
        <v>5.86</v>
      </c>
      <c r="U95" s="15"/>
      <c r="V95" s="15">
        <v>0.97</v>
      </c>
      <c r="W95" s="15">
        <v>2.4900000000000002</v>
      </c>
      <c r="X95" s="15">
        <v>1.02</v>
      </c>
      <c r="Y95" s="15">
        <v>7.2439999999999998</v>
      </c>
      <c r="Z95" s="15">
        <v>72.8</v>
      </c>
      <c r="AA95" s="15">
        <v>68.5</v>
      </c>
      <c r="AB95" s="15">
        <v>6.59</v>
      </c>
      <c r="AC95" s="15">
        <v>109.1</v>
      </c>
      <c r="AD95" s="15">
        <v>30.7</v>
      </c>
      <c r="AE95" s="15">
        <v>63.9</v>
      </c>
      <c r="AF95" s="15">
        <v>55.9</v>
      </c>
      <c r="AG95" s="18">
        <v>7.2850000000000001</v>
      </c>
      <c r="AH95" s="15">
        <v>299</v>
      </c>
      <c r="AI95" s="15">
        <v>49.6</v>
      </c>
      <c r="AJ95" s="15">
        <v>7.09</v>
      </c>
      <c r="AK95" s="15">
        <f t="shared" si="0"/>
        <v>0.496</v>
      </c>
      <c r="AL95" s="15">
        <v>34</v>
      </c>
      <c r="AM95" s="15">
        <v>4.2300000000000004</v>
      </c>
      <c r="AN95" s="15">
        <v>0</v>
      </c>
      <c r="AO95" s="15">
        <v>0</v>
      </c>
      <c r="AP95" s="15">
        <f t="shared" si="1"/>
        <v>5.0826556046544499E-3</v>
      </c>
      <c r="AQ95" s="15">
        <v>0</v>
      </c>
      <c r="AR95" s="15">
        <v>0</v>
      </c>
      <c r="AS95" s="15">
        <v>692</v>
      </c>
      <c r="AT95" s="15">
        <v>1740</v>
      </c>
      <c r="AU95" s="15">
        <v>45.769999999999982</v>
      </c>
      <c r="AV95" s="15">
        <f t="shared" si="2"/>
        <v>1694.23</v>
      </c>
      <c r="AW95" s="15">
        <v>0</v>
      </c>
      <c r="AX95" s="15">
        <v>0</v>
      </c>
      <c r="AY95" s="15">
        <v>0</v>
      </c>
      <c r="AZ95" s="39">
        <v>10</v>
      </c>
      <c r="BA95" s="39">
        <v>1700</v>
      </c>
      <c r="BB95" s="15">
        <v>34</v>
      </c>
      <c r="BC95" s="15">
        <v>7.2</v>
      </c>
      <c r="BD95" s="15">
        <v>50</v>
      </c>
      <c r="BE95" s="38">
        <v>2.9999999999999997E-4</v>
      </c>
      <c r="BG95">
        <v>4.3199707658950724E-3</v>
      </c>
      <c r="BH95">
        <v>0</v>
      </c>
      <c r="BI95">
        <v>6.0484010999999997E-3</v>
      </c>
      <c r="BJ95">
        <v>8.7096975839999988</v>
      </c>
      <c r="BK95">
        <v>1694.23</v>
      </c>
      <c r="BL95">
        <v>0</v>
      </c>
      <c r="BM95">
        <v>0</v>
      </c>
      <c r="BN95">
        <v>7.3190240707024081</v>
      </c>
      <c r="BO95" t="s">
        <v>83</v>
      </c>
      <c r="BP95">
        <v>5.0826556046544499E-3</v>
      </c>
      <c r="BQ95" t="s">
        <v>83</v>
      </c>
      <c r="BR95" t="s">
        <v>83</v>
      </c>
      <c r="BS95">
        <v>0</v>
      </c>
      <c r="BT95">
        <v>13.201702869232339</v>
      </c>
      <c r="BU95">
        <v>5.0826556046544499E-3</v>
      </c>
      <c r="BV95">
        <v>0</v>
      </c>
    </row>
    <row r="96" spans="1:74" x14ac:dyDescent="0.25">
      <c r="A96" s="16" t="s">
        <v>98</v>
      </c>
      <c r="B96" t="s">
        <v>26</v>
      </c>
      <c r="C96">
        <v>12</v>
      </c>
      <c r="D96">
        <v>0</v>
      </c>
      <c r="F96" s="17">
        <v>45533.546666666698</v>
      </c>
      <c r="G96">
        <v>146.51</v>
      </c>
      <c r="H96">
        <v>7.2</v>
      </c>
      <c r="I96">
        <v>0.5</v>
      </c>
      <c r="J96">
        <v>34</v>
      </c>
      <c r="L96" s="15">
        <v>124.04219999999999</v>
      </c>
      <c r="M96" s="15">
        <v>12.6</v>
      </c>
      <c r="N96" s="15">
        <v>12.4</v>
      </c>
      <c r="O96" s="15">
        <v>97.9</v>
      </c>
      <c r="P96" s="15">
        <v>16.7</v>
      </c>
      <c r="Q96" s="15">
        <v>322</v>
      </c>
      <c r="R96" s="15">
        <v>0.66</v>
      </c>
      <c r="S96" s="15">
        <v>0.61</v>
      </c>
      <c r="T96" s="15">
        <v>5.81</v>
      </c>
      <c r="U96" s="15"/>
      <c r="V96" s="15">
        <v>0.99</v>
      </c>
      <c r="W96" s="15">
        <v>2.44</v>
      </c>
      <c r="X96" s="15">
        <v>1.03</v>
      </c>
      <c r="Y96" s="15">
        <v>7.3230000000000004</v>
      </c>
      <c r="Z96" s="15">
        <v>54</v>
      </c>
      <c r="AA96" s="15">
        <v>77.099999999999994</v>
      </c>
      <c r="AB96" s="15">
        <v>6.62</v>
      </c>
      <c r="AC96" s="15">
        <v>108.8</v>
      </c>
      <c r="AD96" s="15">
        <v>27.3</v>
      </c>
      <c r="AE96" s="15">
        <v>47.3</v>
      </c>
      <c r="AF96" s="15">
        <v>63.2</v>
      </c>
      <c r="AG96" s="18">
        <v>7.3659999999999997</v>
      </c>
      <c r="AH96" s="15">
        <v>301</v>
      </c>
      <c r="AI96" s="15">
        <v>49.9</v>
      </c>
      <c r="AJ96" s="15">
        <v>7.09</v>
      </c>
      <c r="AK96" s="15">
        <f t="shared" si="0"/>
        <v>0.499</v>
      </c>
      <c r="AL96" s="15">
        <v>34</v>
      </c>
      <c r="AM96" s="15">
        <v>4.3</v>
      </c>
      <c r="AN96" s="15">
        <v>0</v>
      </c>
      <c r="AO96" s="15">
        <v>0</v>
      </c>
      <c r="AP96" s="15">
        <f t="shared" si="1"/>
        <v>5.1296020625802704E-3</v>
      </c>
      <c r="AQ96" s="15">
        <v>0</v>
      </c>
      <c r="AR96" s="15">
        <v>0</v>
      </c>
      <c r="AS96" s="15">
        <v>683</v>
      </c>
      <c r="AT96" s="15">
        <v>1779</v>
      </c>
      <c r="AU96" s="15">
        <v>84.700000000000045</v>
      </c>
      <c r="AV96" s="15">
        <f t="shared" si="2"/>
        <v>1694.3</v>
      </c>
      <c r="AW96" s="15">
        <v>0</v>
      </c>
      <c r="AX96" s="15">
        <v>0</v>
      </c>
      <c r="AY96" s="15">
        <v>0</v>
      </c>
      <c r="AZ96" s="39">
        <v>10</v>
      </c>
      <c r="BA96" s="39">
        <v>1700</v>
      </c>
      <c r="BB96" s="15">
        <v>34</v>
      </c>
      <c r="BC96" s="15">
        <v>7.2</v>
      </c>
      <c r="BD96" s="15">
        <v>50</v>
      </c>
      <c r="BE96" s="38">
        <v>2.9999999999999997E-4</v>
      </c>
      <c r="BG96">
        <v>4.3596924807387059E-3</v>
      </c>
      <c r="BH96">
        <v>0</v>
      </c>
      <c r="BI96">
        <v>6.3027960000000003E-3</v>
      </c>
      <c r="BJ96">
        <v>9.0760262400000009</v>
      </c>
      <c r="BK96">
        <v>1694.3</v>
      </c>
      <c r="BL96">
        <v>0</v>
      </c>
      <c r="BM96">
        <v>0</v>
      </c>
      <c r="BN96">
        <v>7.3866269701155893</v>
      </c>
      <c r="BO96" t="s">
        <v>83</v>
      </c>
      <c r="BP96">
        <v>5.1296020625802704E-3</v>
      </c>
      <c r="BQ96" t="s">
        <v>83</v>
      </c>
      <c r="BR96" t="s">
        <v>83</v>
      </c>
      <c r="BS96">
        <v>0</v>
      </c>
      <c r="BT96">
        <v>13.323641720987716</v>
      </c>
      <c r="BU96">
        <v>5.1296020625802704E-3</v>
      </c>
      <c r="BV96">
        <v>0</v>
      </c>
    </row>
    <row r="97" spans="1:74" x14ac:dyDescent="0.25">
      <c r="A97" s="16" t="s">
        <v>99</v>
      </c>
      <c r="B97" t="s">
        <v>27</v>
      </c>
      <c r="C97">
        <v>12</v>
      </c>
      <c r="D97">
        <v>0</v>
      </c>
      <c r="F97" s="17">
        <v>45533.574027777802</v>
      </c>
      <c r="G97">
        <v>146.51</v>
      </c>
      <c r="H97">
        <v>7.2</v>
      </c>
      <c r="I97">
        <v>0.5</v>
      </c>
      <c r="J97">
        <v>34</v>
      </c>
      <c r="L97" s="15">
        <v>134.7627</v>
      </c>
      <c r="M97" s="15">
        <v>13.5</v>
      </c>
      <c r="N97" s="15">
        <v>13.3</v>
      </c>
      <c r="O97" s="15">
        <v>98.3</v>
      </c>
      <c r="P97" s="15">
        <v>17</v>
      </c>
      <c r="Q97" s="15">
        <v>324</v>
      </c>
      <c r="R97" s="15">
        <v>0.74</v>
      </c>
      <c r="S97" s="15">
        <v>0.69</v>
      </c>
      <c r="T97" s="15">
        <v>5.67</v>
      </c>
      <c r="U97" s="15"/>
      <c r="V97" s="15">
        <v>0.72</v>
      </c>
      <c r="W97" s="15">
        <v>2.42</v>
      </c>
      <c r="X97" s="15">
        <v>1.1299999999999999</v>
      </c>
      <c r="Y97" s="15">
        <v>7.2439999999999998</v>
      </c>
      <c r="Z97" s="15">
        <v>70.099999999999994</v>
      </c>
      <c r="AA97" s="15">
        <v>52.8</v>
      </c>
      <c r="AB97" s="15">
        <v>6.79</v>
      </c>
      <c r="AC97" s="15">
        <v>115.2</v>
      </c>
      <c r="AD97" s="15">
        <v>29.5</v>
      </c>
      <c r="AE97" s="15">
        <v>61.5</v>
      </c>
      <c r="AF97" s="15">
        <v>42.8</v>
      </c>
      <c r="AG97" s="18">
        <v>7.2850000000000001</v>
      </c>
      <c r="AH97" s="15">
        <v>299</v>
      </c>
      <c r="AI97" s="15">
        <v>50.2</v>
      </c>
      <c r="AJ97" s="15">
        <v>7.09</v>
      </c>
      <c r="AK97" s="15">
        <f t="shared" si="0"/>
        <v>0.502</v>
      </c>
      <c r="AL97" s="15">
        <v>34</v>
      </c>
      <c r="AM97" s="15">
        <v>5.58</v>
      </c>
      <c r="AN97" s="15">
        <v>0</v>
      </c>
      <c r="AO97" s="15">
        <v>0</v>
      </c>
      <c r="AP97" s="15">
        <f t="shared" si="1"/>
        <v>6.8294194444444437E-3</v>
      </c>
      <c r="AQ97" s="15">
        <v>0</v>
      </c>
      <c r="AR97" s="15">
        <v>0</v>
      </c>
      <c r="AS97" s="15">
        <v>680</v>
      </c>
      <c r="AT97" s="15">
        <v>1743</v>
      </c>
      <c r="AU97" s="15">
        <v>47.420000000000073</v>
      </c>
      <c r="AV97" s="15">
        <f t="shared" si="2"/>
        <v>1695.58</v>
      </c>
      <c r="AW97" s="15">
        <v>0</v>
      </c>
      <c r="AX97" s="15">
        <v>0</v>
      </c>
      <c r="AY97" s="15">
        <v>0</v>
      </c>
      <c r="AZ97" s="39">
        <v>10</v>
      </c>
      <c r="BA97" s="39">
        <v>1700</v>
      </c>
      <c r="BB97" s="15">
        <v>34</v>
      </c>
      <c r="BC97" s="15">
        <v>7.2</v>
      </c>
      <c r="BD97" s="15">
        <v>50</v>
      </c>
      <c r="BE97" s="38">
        <v>2.9999999999999997E-4</v>
      </c>
      <c r="BF97">
        <v>5.7999999999999996E-3</v>
      </c>
      <c r="BI97">
        <v>6.7653641999999986E-3</v>
      </c>
      <c r="BJ97">
        <v>9.7421244479999984</v>
      </c>
      <c r="BK97">
        <v>1695.58</v>
      </c>
      <c r="BL97">
        <v>0</v>
      </c>
      <c r="BM97">
        <v>0</v>
      </c>
      <c r="BN97">
        <v>9.834363999999999</v>
      </c>
      <c r="BO97">
        <v>6.8294194444444437E-3</v>
      </c>
      <c r="BP97" t="s">
        <v>83</v>
      </c>
      <c r="BQ97" t="s">
        <v>83</v>
      </c>
      <c r="BR97">
        <v>0</v>
      </c>
      <c r="BS97" t="s">
        <v>83</v>
      </c>
      <c r="BT97">
        <v>17.738751803751803</v>
      </c>
      <c r="BU97">
        <v>6.8294194444444437E-3</v>
      </c>
      <c r="BV97">
        <v>0</v>
      </c>
    </row>
    <row r="98" spans="1:74" x14ac:dyDescent="0.25">
      <c r="A98" s="16" t="s">
        <v>100</v>
      </c>
      <c r="B98" t="s">
        <v>27</v>
      </c>
      <c r="C98">
        <v>12</v>
      </c>
      <c r="D98">
        <v>0</v>
      </c>
      <c r="F98" s="17">
        <v>45533.582581018498</v>
      </c>
      <c r="G98">
        <v>146.51</v>
      </c>
      <c r="H98">
        <v>7.2</v>
      </c>
      <c r="I98">
        <v>0.5</v>
      </c>
      <c r="J98">
        <v>34</v>
      </c>
      <c r="L98" s="15">
        <v>128.94479999999999</v>
      </c>
      <c r="M98" s="15">
        <v>12.7</v>
      </c>
      <c r="N98" s="15">
        <v>12.5</v>
      </c>
      <c r="O98" s="15">
        <v>98.1</v>
      </c>
      <c r="P98" s="15">
        <v>17</v>
      </c>
      <c r="Q98" s="15">
        <v>324</v>
      </c>
      <c r="R98" s="15">
        <v>0.75</v>
      </c>
      <c r="S98" s="15">
        <v>0.65</v>
      </c>
      <c r="T98" s="15">
        <v>5.71</v>
      </c>
      <c r="U98" s="15"/>
      <c r="V98" s="15">
        <v>0.71</v>
      </c>
      <c r="W98" s="15">
        <v>2.41</v>
      </c>
      <c r="X98" s="15">
        <v>1.1299999999999999</v>
      </c>
      <c r="Y98" s="15">
        <v>7.2309999999999999</v>
      </c>
      <c r="Z98" s="15">
        <v>71.5</v>
      </c>
      <c r="AA98" s="15">
        <v>49.5</v>
      </c>
      <c r="AB98" s="15">
        <v>6.69</v>
      </c>
      <c r="AC98" s="15">
        <v>111.9</v>
      </c>
      <c r="AD98" s="15">
        <v>29.2</v>
      </c>
      <c r="AE98" s="15">
        <v>62.7</v>
      </c>
      <c r="AF98" s="15">
        <v>40.1</v>
      </c>
      <c r="AG98" s="18">
        <v>7.2720000000000002</v>
      </c>
      <c r="AH98" s="15">
        <v>302</v>
      </c>
      <c r="AI98" s="15">
        <v>50.2</v>
      </c>
      <c r="AJ98" s="15">
        <v>7.09</v>
      </c>
      <c r="AK98" s="15">
        <f t="shared" si="0"/>
        <v>0.502</v>
      </c>
      <c r="AL98" s="15">
        <v>34</v>
      </c>
      <c r="AM98" s="15">
        <v>5.44</v>
      </c>
      <c r="AN98" s="15">
        <v>0</v>
      </c>
      <c r="AO98" s="15">
        <v>0</v>
      </c>
      <c r="AP98" s="15">
        <f t="shared" si="1"/>
        <v>9.3013722222222237E-3</v>
      </c>
      <c r="AQ98" s="15">
        <v>0</v>
      </c>
      <c r="AR98" s="15">
        <v>0</v>
      </c>
      <c r="AS98" s="15">
        <v>661</v>
      </c>
      <c r="AT98" s="15">
        <v>1829</v>
      </c>
      <c r="AU98" s="15">
        <v>133.55999999999995</v>
      </c>
      <c r="AV98" s="15">
        <f t="shared" si="2"/>
        <v>1695.44</v>
      </c>
      <c r="AW98" s="15">
        <v>0</v>
      </c>
      <c r="AX98" s="15">
        <v>0</v>
      </c>
      <c r="AY98" s="15">
        <v>0</v>
      </c>
      <c r="AZ98" s="39">
        <v>10</v>
      </c>
      <c r="BA98" s="39">
        <v>1700</v>
      </c>
      <c r="BB98" s="15">
        <v>34</v>
      </c>
      <c r="BC98" s="15">
        <v>7.2</v>
      </c>
      <c r="BD98" s="15">
        <v>50</v>
      </c>
      <c r="BE98" s="38">
        <v>2.9999999999999997E-4</v>
      </c>
      <c r="BF98">
        <v>7.9000000000000008E-3</v>
      </c>
      <c r="BI98">
        <v>6.3578999999999997E-3</v>
      </c>
      <c r="BJ98">
        <v>9.1553760000000004</v>
      </c>
      <c r="BK98">
        <v>1695.44</v>
      </c>
      <c r="BL98">
        <v>0</v>
      </c>
      <c r="BM98">
        <v>0</v>
      </c>
      <c r="BN98">
        <v>13.393976000000002</v>
      </c>
      <c r="BO98">
        <v>9.3013722222222237E-3</v>
      </c>
      <c r="BP98" t="s">
        <v>83</v>
      </c>
      <c r="BQ98" t="s">
        <v>83</v>
      </c>
      <c r="BR98">
        <v>0</v>
      </c>
      <c r="BS98" t="s">
        <v>83</v>
      </c>
      <c r="BT98">
        <v>24.159408369408375</v>
      </c>
      <c r="BU98">
        <v>9.3013722222222237E-3</v>
      </c>
      <c r="BV98">
        <v>0</v>
      </c>
    </row>
    <row r="99" spans="1:74" ht="15.75" thickBot="1" x14ac:dyDescent="0.3">
      <c r="A99" s="19" t="s">
        <v>101</v>
      </c>
      <c r="B99" s="20" t="s">
        <v>27</v>
      </c>
      <c r="C99" s="20">
        <v>12</v>
      </c>
      <c r="D99" s="20">
        <v>0</v>
      </c>
      <c r="E99" s="20"/>
      <c r="F99" s="21">
        <v>45533.587789351899</v>
      </c>
      <c r="G99" s="20">
        <v>146.51</v>
      </c>
      <c r="H99">
        <v>7.2</v>
      </c>
      <c r="I99">
        <v>0.5</v>
      </c>
      <c r="J99">
        <v>34</v>
      </c>
      <c r="L99" s="22">
        <v>129.18170000000001</v>
      </c>
      <c r="M99" s="22">
        <v>12.2</v>
      </c>
      <c r="N99" s="22">
        <v>12</v>
      </c>
      <c r="O99" s="22">
        <v>98.2</v>
      </c>
      <c r="P99" s="22">
        <v>17</v>
      </c>
      <c r="Q99" s="22">
        <v>325</v>
      </c>
      <c r="R99" s="22">
        <v>0.76</v>
      </c>
      <c r="S99" s="22">
        <v>0.66</v>
      </c>
      <c r="T99" s="22">
        <v>5.66</v>
      </c>
      <c r="U99" s="22"/>
      <c r="V99" s="22">
        <v>0.63</v>
      </c>
      <c r="W99" s="22">
        <v>2.4300000000000002</v>
      </c>
      <c r="X99" s="22">
        <v>1.18</v>
      </c>
      <c r="Y99" s="22">
        <v>7.266</v>
      </c>
      <c r="Z99" s="22">
        <v>67.8</v>
      </c>
      <c r="AA99" s="22">
        <v>61.7</v>
      </c>
      <c r="AB99" s="22">
        <v>6.66</v>
      </c>
      <c r="AC99" s="22">
        <v>112.3</v>
      </c>
      <c r="AD99" s="22">
        <v>30</v>
      </c>
      <c r="AE99" s="22">
        <v>59.5</v>
      </c>
      <c r="AF99" s="22">
        <v>50.2</v>
      </c>
      <c r="AG99" s="23">
        <v>7.3070000000000004</v>
      </c>
      <c r="AH99" s="15">
        <v>300</v>
      </c>
      <c r="AI99" s="15">
        <v>49.6</v>
      </c>
      <c r="AJ99" s="15">
        <v>7.08</v>
      </c>
      <c r="AK99" s="15">
        <f t="shared" si="0"/>
        <v>0.496</v>
      </c>
      <c r="AL99" s="15">
        <v>34</v>
      </c>
      <c r="AM99" s="15">
        <v>6.34</v>
      </c>
      <c r="AN99" s="15">
        <v>0</v>
      </c>
      <c r="AO99" s="15">
        <v>0</v>
      </c>
      <c r="AP99" s="15">
        <f t="shared" si="1"/>
        <v>8.8351041666666647E-3</v>
      </c>
      <c r="AQ99" s="15">
        <v>0</v>
      </c>
      <c r="AR99" s="15">
        <v>0</v>
      </c>
      <c r="AS99" s="15">
        <v>689</v>
      </c>
      <c r="AT99" s="15">
        <v>1748</v>
      </c>
      <c r="AU99" s="15">
        <v>51.660000000000082</v>
      </c>
      <c r="AV99" s="15">
        <f t="shared" si="2"/>
        <v>1696.34</v>
      </c>
      <c r="AW99" s="15">
        <v>0</v>
      </c>
      <c r="AX99" s="15">
        <v>0</v>
      </c>
      <c r="AY99" s="15">
        <v>0</v>
      </c>
      <c r="AZ99" s="39">
        <v>10</v>
      </c>
      <c r="BA99" s="39">
        <v>1700</v>
      </c>
      <c r="BB99" s="15">
        <v>34</v>
      </c>
      <c r="BC99" s="15">
        <v>7.2</v>
      </c>
      <c r="BD99" s="15">
        <v>50</v>
      </c>
      <c r="BE99" s="38">
        <v>2.9999999999999997E-4</v>
      </c>
      <c r="BF99">
        <v>7.4999999999999997E-3</v>
      </c>
      <c r="BI99">
        <v>6.1068239999999994E-3</v>
      </c>
      <c r="BJ99">
        <v>8.7938265599999994</v>
      </c>
      <c r="BK99">
        <v>1696.34</v>
      </c>
      <c r="BL99">
        <v>0</v>
      </c>
      <c r="BM99">
        <v>0</v>
      </c>
      <c r="BN99">
        <v>12.722549999999998</v>
      </c>
      <c r="BO99">
        <v>8.8351041666666647E-3</v>
      </c>
      <c r="BP99" t="s">
        <v>83</v>
      </c>
      <c r="BQ99" t="s">
        <v>83</v>
      </c>
      <c r="BR99">
        <v>0</v>
      </c>
      <c r="BS99" t="s">
        <v>83</v>
      </c>
      <c r="BT99">
        <v>22.948322510822507</v>
      </c>
      <c r="BU99">
        <v>8.8351041666666647E-3</v>
      </c>
      <c r="BV99">
        <v>0</v>
      </c>
    </row>
    <row r="100" spans="1:74" x14ac:dyDescent="0.25">
      <c r="A100" s="10" t="s">
        <v>96</v>
      </c>
      <c r="B100" s="11" t="s">
        <v>26</v>
      </c>
      <c r="C100" s="11">
        <v>12</v>
      </c>
      <c r="D100" s="11">
        <v>1</v>
      </c>
      <c r="E100" s="11"/>
      <c r="F100" s="12">
        <v>45534.369583333297</v>
      </c>
      <c r="G100" s="11">
        <v>509.83</v>
      </c>
      <c r="H100">
        <v>7.2</v>
      </c>
      <c r="I100">
        <v>0.5</v>
      </c>
      <c r="J100">
        <v>34</v>
      </c>
      <c r="L100" s="13">
        <v>456.71940000000001</v>
      </c>
      <c r="M100" s="13">
        <v>18.899999999999999</v>
      </c>
      <c r="N100" s="13">
        <v>18.600000000000001</v>
      </c>
      <c r="O100" s="13">
        <v>98.1</v>
      </c>
      <c r="P100" s="13">
        <v>17.2</v>
      </c>
      <c r="Q100" s="13">
        <v>319</v>
      </c>
      <c r="R100" s="13">
        <v>1.85</v>
      </c>
      <c r="S100" s="13">
        <v>0.66</v>
      </c>
      <c r="T100" s="13">
        <v>0.78</v>
      </c>
      <c r="U100" s="13"/>
      <c r="V100" s="13">
        <v>0.46</v>
      </c>
      <c r="W100" s="13">
        <v>2.6</v>
      </c>
      <c r="X100" s="13">
        <v>3.06</v>
      </c>
      <c r="Y100" s="13">
        <v>7.0359999999999996</v>
      </c>
      <c r="Z100" s="13">
        <v>102.5</v>
      </c>
      <c r="AA100" s="13">
        <v>0</v>
      </c>
      <c r="AB100" s="13">
        <v>5.32</v>
      </c>
      <c r="AC100" s="13">
        <v>143.80000000000001</v>
      </c>
      <c r="AD100" s="13">
        <v>26.5</v>
      </c>
      <c r="AE100" s="13">
        <v>89.9</v>
      </c>
      <c r="AF100" s="13">
        <v>0</v>
      </c>
      <c r="AG100" s="14">
        <v>7.0730000000000004</v>
      </c>
      <c r="AH100" s="15">
        <v>301</v>
      </c>
      <c r="AI100" s="15">
        <v>50.4</v>
      </c>
      <c r="AJ100" s="15">
        <v>7.1</v>
      </c>
      <c r="AK100" s="15">
        <f t="shared" si="0"/>
        <v>0.504</v>
      </c>
      <c r="AL100" s="15">
        <v>34</v>
      </c>
      <c r="AM100" s="15">
        <v>15.95</v>
      </c>
      <c r="AN100" s="15">
        <v>0</v>
      </c>
      <c r="AO100" s="15">
        <v>0</v>
      </c>
      <c r="AP100" s="38">
        <f t="shared" si="1"/>
        <v>7.3138663723423701E-3</v>
      </c>
      <c r="AQ100" s="15">
        <v>5</v>
      </c>
      <c r="AR100" s="15">
        <v>0</v>
      </c>
      <c r="AS100" s="15">
        <v>680</v>
      </c>
      <c r="AT100" s="15">
        <v>1820</v>
      </c>
      <c r="AU100" s="15">
        <v>137.11999999999989</v>
      </c>
      <c r="AV100" s="15">
        <f t="shared" si="2"/>
        <v>1682.88</v>
      </c>
      <c r="AW100" s="15">
        <f t="shared" ref="AW100:AX131" si="3">AQ100-AQ94</f>
        <v>5</v>
      </c>
      <c r="AX100" s="15">
        <f t="shared" si="3"/>
        <v>0</v>
      </c>
      <c r="AY100" s="15">
        <f t="shared" ref="AY100:AY163" si="4">AS94-AS100</f>
        <v>5</v>
      </c>
      <c r="AZ100" s="39">
        <v>15</v>
      </c>
      <c r="BA100" s="39">
        <v>1700</v>
      </c>
      <c r="BB100" s="15">
        <v>34</v>
      </c>
      <c r="BC100" s="15">
        <v>7.2</v>
      </c>
      <c r="BD100" s="15">
        <v>50</v>
      </c>
      <c r="BE100" s="38">
        <v>2.9999999999999997E-4</v>
      </c>
      <c r="BG100">
        <v>6.2284322872781647E-3</v>
      </c>
      <c r="BH100">
        <v>1.0181939428244833E-2</v>
      </c>
      <c r="BI100">
        <v>9.4355010000000007E-3</v>
      </c>
      <c r="BJ100">
        <v>13.587121440000002</v>
      </c>
      <c r="BK100">
        <v>1690.95</v>
      </c>
      <c r="BL100">
        <v>2.9569177089801592E-3</v>
      </c>
      <c r="BM100">
        <v>2.9411764705882353E-3</v>
      </c>
      <c r="BN100">
        <v>10.531967576173013</v>
      </c>
      <c r="BO100" t="s">
        <v>83</v>
      </c>
      <c r="BP100">
        <v>7.3138663723423701E-3</v>
      </c>
      <c r="BQ100" t="s">
        <v>83</v>
      </c>
      <c r="BR100" t="s">
        <v>83</v>
      </c>
      <c r="BS100">
        <v>17.2171504761906</v>
      </c>
      <c r="BT100">
        <v>18.997055512577585</v>
      </c>
      <c r="BU100">
        <v>7.3138663723423701E-3</v>
      </c>
      <c r="BV100">
        <v>17.2171504761906</v>
      </c>
    </row>
    <row r="101" spans="1:74" x14ac:dyDescent="0.25">
      <c r="A101" s="16" t="s">
        <v>97</v>
      </c>
      <c r="B101" t="s">
        <v>26</v>
      </c>
      <c r="C101">
        <v>12</v>
      </c>
      <c r="D101">
        <v>1</v>
      </c>
      <c r="F101" s="17">
        <v>45534.376597222203</v>
      </c>
      <c r="G101">
        <v>509.83</v>
      </c>
      <c r="H101">
        <v>7.2</v>
      </c>
      <c r="I101">
        <v>0.5</v>
      </c>
      <c r="J101">
        <v>34</v>
      </c>
      <c r="L101" s="15">
        <v>450.46109999999999</v>
      </c>
      <c r="M101" s="15">
        <v>18.399999999999999</v>
      </c>
      <c r="N101" s="15">
        <v>18.100000000000001</v>
      </c>
      <c r="O101" s="15">
        <v>98.7</v>
      </c>
      <c r="P101" s="15">
        <v>17.3</v>
      </c>
      <c r="Q101" s="15">
        <v>325</v>
      </c>
      <c r="R101" s="15">
        <v>1.73</v>
      </c>
      <c r="S101" s="15">
        <v>0.56000000000000005</v>
      </c>
      <c r="T101" s="15">
        <v>0.86</v>
      </c>
      <c r="U101" s="15"/>
      <c r="V101" s="15">
        <v>0.47</v>
      </c>
      <c r="W101" s="15">
        <v>2.57</v>
      </c>
      <c r="X101" s="15">
        <v>3.06</v>
      </c>
      <c r="Y101" s="15">
        <v>7.0389999999999997</v>
      </c>
      <c r="Z101" s="15">
        <v>110.8</v>
      </c>
      <c r="AA101" s="15">
        <v>40.6</v>
      </c>
      <c r="AB101" s="15">
        <v>4.93</v>
      </c>
      <c r="AC101" s="15">
        <v>130.9</v>
      </c>
      <c r="AD101" s="15">
        <v>28.8</v>
      </c>
      <c r="AE101" s="15">
        <v>97.2</v>
      </c>
      <c r="AF101" s="15">
        <v>32.9</v>
      </c>
      <c r="AG101" s="18">
        <v>7.0759999999999996</v>
      </c>
      <c r="AH101" s="15">
        <v>301</v>
      </c>
      <c r="AI101" s="15">
        <v>50</v>
      </c>
      <c r="AJ101" s="15">
        <v>7.1</v>
      </c>
      <c r="AK101" s="15">
        <f t="shared" si="0"/>
        <v>0.5</v>
      </c>
      <c r="AL101" s="15">
        <v>34</v>
      </c>
      <c r="AM101" s="15">
        <v>17.3</v>
      </c>
      <c r="AN101" s="15">
        <v>0</v>
      </c>
      <c r="AO101" s="15">
        <v>0</v>
      </c>
      <c r="AP101" s="15">
        <f t="shared" si="1"/>
        <v>7.4155433071382898E-3</v>
      </c>
      <c r="AQ101" s="15">
        <v>5</v>
      </c>
      <c r="AR101" s="15">
        <v>0</v>
      </c>
      <c r="AS101" s="15">
        <v>687</v>
      </c>
      <c r="AT101" s="15">
        <v>1733</v>
      </c>
      <c r="AU101" s="15">
        <v>45.769999999999982</v>
      </c>
      <c r="AV101" s="15">
        <f t="shared" si="2"/>
        <v>1687.23</v>
      </c>
      <c r="AW101" s="15">
        <f t="shared" si="3"/>
        <v>5</v>
      </c>
      <c r="AX101" s="15">
        <f t="shared" si="3"/>
        <v>0</v>
      </c>
      <c r="AY101" s="15">
        <f t="shared" si="4"/>
        <v>5</v>
      </c>
      <c r="AZ101" s="39">
        <v>15</v>
      </c>
      <c r="BA101" s="39">
        <v>1700</v>
      </c>
      <c r="BB101" s="15">
        <v>34</v>
      </c>
      <c r="BC101" s="15">
        <v>7.2</v>
      </c>
      <c r="BD101" s="15">
        <v>50</v>
      </c>
      <c r="BE101" s="38">
        <v>2.9999999999999997E-4</v>
      </c>
      <c r="BG101">
        <v>6.3099818958099263E-3</v>
      </c>
      <c r="BH101">
        <v>9.9387398805143891E-3</v>
      </c>
      <c r="BI101">
        <v>9.1891889999999986E-3</v>
      </c>
      <c r="BJ101">
        <v>13.232432159999997</v>
      </c>
      <c r="BK101">
        <v>1692.3</v>
      </c>
      <c r="BL101">
        <v>2.9545588843585655E-3</v>
      </c>
      <c r="BM101">
        <v>2.9411764705882353E-3</v>
      </c>
      <c r="BN101">
        <v>10.678382362279137</v>
      </c>
      <c r="BO101" t="s">
        <v>83</v>
      </c>
      <c r="BP101">
        <v>7.4155433071382898E-3</v>
      </c>
      <c r="BQ101" t="s">
        <v>83</v>
      </c>
      <c r="BR101" t="s">
        <v>83</v>
      </c>
      <c r="BS101">
        <v>16.819329499794499</v>
      </c>
      <c r="BT101">
        <v>19.261151447112443</v>
      </c>
      <c r="BU101">
        <v>7.4155433071382898E-3</v>
      </c>
      <c r="BV101">
        <v>16.819329499794499</v>
      </c>
    </row>
    <row r="102" spans="1:74" x14ac:dyDescent="0.25">
      <c r="A102" s="16" t="s">
        <v>98</v>
      </c>
      <c r="B102" t="s">
        <v>26</v>
      </c>
      <c r="C102">
        <v>12</v>
      </c>
      <c r="D102">
        <v>1</v>
      </c>
      <c r="F102" s="17">
        <v>45534.381574074097</v>
      </c>
      <c r="G102">
        <v>509.83</v>
      </c>
      <c r="H102">
        <v>7.2</v>
      </c>
      <c r="I102">
        <v>0.5</v>
      </c>
      <c r="J102">
        <v>34</v>
      </c>
      <c r="L102" s="15">
        <v>444.04739999999998</v>
      </c>
      <c r="M102" s="15">
        <v>18.600000000000001</v>
      </c>
      <c r="N102" s="15">
        <v>18.3</v>
      </c>
      <c r="O102" s="15">
        <v>98.5</v>
      </c>
      <c r="P102" s="15">
        <v>17.3</v>
      </c>
      <c r="Q102" s="15">
        <v>305</v>
      </c>
      <c r="R102" s="15">
        <v>1.78</v>
      </c>
      <c r="S102" s="15">
        <v>0.6</v>
      </c>
      <c r="T102" s="15">
        <v>1.49</v>
      </c>
      <c r="U102" s="15"/>
      <c r="V102" s="15">
        <v>0.49</v>
      </c>
      <c r="W102" s="15">
        <v>2.52</v>
      </c>
      <c r="X102" s="15">
        <v>2.56</v>
      </c>
      <c r="Y102" s="15">
        <v>6.9790000000000001</v>
      </c>
      <c r="Z102" s="15">
        <v>89.9</v>
      </c>
      <c r="AA102" s="15">
        <v>32.799999999999997</v>
      </c>
      <c r="AB102" s="15">
        <v>5.0599999999999996</v>
      </c>
      <c r="AC102" s="15">
        <v>122.7</v>
      </c>
      <c r="AD102" s="15">
        <v>20.3</v>
      </c>
      <c r="AE102" s="15">
        <v>78.8</v>
      </c>
      <c r="AF102" s="15">
        <v>26.6</v>
      </c>
      <c r="AG102" s="18">
        <v>7.0140000000000002</v>
      </c>
      <c r="AH102" s="15">
        <v>299</v>
      </c>
      <c r="AI102" s="15">
        <v>47.4</v>
      </c>
      <c r="AJ102" s="15">
        <v>7.1</v>
      </c>
      <c r="AK102" s="15">
        <f t="shared" si="0"/>
        <v>0.47399999999999998</v>
      </c>
      <c r="AL102" s="15">
        <v>34</v>
      </c>
      <c r="AM102" s="15">
        <v>10.66</v>
      </c>
      <c r="AN102" s="15">
        <v>0.65</v>
      </c>
      <c r="AO102" s="15">
        <v>0</v>
      </c>
      <c r="AP102" s="15">
        <f t="shared" si="1"/>
        <v>6.7023138508712403E-3</v>
      </c>
      <c r="AQ102" s="15">
        <v>5</v>
      </c>
      <c r="AR102" s="15">
        <v>0</v>
      </c>
      <c r="AS102" s="15">
        <v>676</v>
      </c>
      <c r="AT102" s="15">
        <v>1770</v>
      </c>
      <c r="AU102" s="15">
        <v>84.700000000000045</v>
      </c>
      <c r="AV102" s="15">
        <f t="shared" si="2"/>
        <v>1685.3</v>
      </c>
      <c r="AW102" s="15">
        <f t="shared" si="3"/>
        <v>5</v>
      </c>
      <c r="AX102" s="15">
        <f t="shared" si="3"/>
        <v>0</v>
      </c>
      <c r="AY102" s="15">
        <f t="shared" si="4"/>
        <v>7</v>
      </c>
      <c r="AZ102" s="39">
        <v>15</v>
      </c>
      <c r="BA102" s="39">
        <v>1700</v>
      </c>
      <c r="BB102" s="15">
        <v>34</v>
      </c>
      <c r="BC102" s="15">
        <v>7.2</v>
      </c>
      <c r="BD102" s="15">
        <v>50</v>
      </c>
      <c r="BE102" s="38">
        <v>2.9999999999999997E-4</v>
      </c>
      <c r="BG102">
        <v>5.7233438366934824E-3</v>
      </c>
      <c r="BH102">
        <v>8.6286073507802243E-3</v>
      </c>
      <c r="BI102">
        <v>9.2578419000000009E-3</v>
      </c>
      <c r="BJ102">
        <v>13.331292336000001</v>
      </c>
      <c r="BK102">
        <v>1686.31</v>
      </c>
      <c r="BL102">
        <v>2.9650538750289092E-3</v>
      </c>
      <c r="BM102">
        <v>2.9411764705882353E-3</v>
      </c>
      <c r="BN102">
        <v>9.6513319452545865</v>
      </c>
      <c r="BO102" t="s">
        <v>83</v>
      </c>
      <c r="BP102">
        <v>6.7023138508712403E-3</v>
      </c>
      <c r="BQ102" t="s">
        <v>83</v>
      </c>
      <c r="BR102" t="s">
        <v>83</v>
      </c>
      <c r="BS102">
        <v>14.550506861694201</v>
      </c>
      <c r="BT102">
        <v>17.408607404860366</v>
      </c>
      <c r="BU102">
        <v>6.7023138508712403E-3</v>
      </c>
      <c r="BV102">
        <v>14.550506861694201</v>
      </c>
    </row>
    <row r="103" spans="1:74" x14ac:dyDescent="0.25">
      <c r="A103" s="16" t="s">
        <v>99</v>
      </c>
      <c r="B103" t="s">
        <v>27</v>
      </c>
      <c r="C103">
        <v>12</v>
      </c>
      <c r="D103">
        <v>1</v>
      </c>
      <c r="E103" t="s">
        <v>102</v>
      </c>
      <c r="F103" s="17">
        <v>45534.389444444401</v>
      </c>
      <c r="G103">
        <v>509.83</v>
      </c>
      <c r="H103">
        <v>7.2</v>
      </c>
      <c r="I103">
        <v>0.5</v>
      </c>
      <c r="J103">
        <v>34</v>
      </c>
      <c r="L103" s="15">
        <v>463.05059999999997</v>
      </c>
      <c r="M103" s="15">
        <v>18.2</v>
      </c>
      <c r="N103" s="15">
        <v>17.899999999999999</v>
      </c>
      <c r="O103" s="15">
        <v>98.6</v>
      </c>
      <c r="P103" s="15">
        <v>17.5</v>
      </c>
      <c r="Q103" s="15">
        <v>323</v>
      </c>
      <c r="R103" s="15">
        <v>1.77</v>
      </c>
      <c r="S103" s="15">
        <v>0.57999999999999996</v>
      </c>
      <c r="T103" s="15">
        <v>1.1499999999999999</v>
      </c>
      <c r="U103" s="15"/>
      <c r="V103" s="15">
        <v>0.49</v>
      </c>
      <c r="W103" s="15">
        <v>2.62</v>
      </c>
      <c r="X103" s="15">
        <v>2.99</v>
      </c>
      <c r="Y103" s="15">
        <v>7.0460000000000003</v>
      </c>
      <c r="Z103" s="15">
        <v>103.5</v>
      </c>
      <c r="AA103" s="15">
        <v>35.4</v>
      </c>
      <c r="AB103" s="15">
        <v>4.91</v>
      </c>
      <c r="AC103" s="15">
        <v>131.5</v>
      </c>
      <c r="AD103" s="15">
        <v>27.3</v>
      </c>
      <c r="AE103" s="15">
        <v>90.7</v>
      </c>
      <c r="AF103" s="15">
        <v>28.6</v>
      </c>
      <c r="AG103" s="18">
        <v>7.0830000000000002</v>
      </c>
      <c r="AH103" s="15">
        <v>299</v>
      </c>
      <c r="AI103" s="15">
        <v>53</v>
      </c>
      <c r="AJ103" s="15">
        <v>7.1</v>
      </c>
      <c r="AK103" s="15">
        <f t="shared" si="0"/>
        <v>0.53</v>
      </c>
      <c r="AL103" s="15">
        <v>34</v>
      </c>
      <c r="AM103" s="15">
        <v>16.100000000000001</v>
      </c>
      <c r="AN103" s="15">
        <v>0.01</v>
      </c>
      <c r="AO103" s="15">
        <v>0</v>
      </c>
      <c r="AP103" s="15">
        <f t="shared" si="1"/>
        <v>5.2940937500000002E-3</v>
      </c>
      <c r="AQ103" s="15">
        <v>8</v>
      </c>
      <c r="AR103" s="15">
        <v>0</v>
      </c>
      <c r="AS103" s="15">
        <v>671</v>
      </c>
      <c r="AT103" s="15">
        <v>1739</v>
      </c>
      <c r="AU103" s="15">
        <v>47.420000000000073</v>
      </c>
      <c r="AV103" s="15">
        <f t="shared" si="2"/>
        <v>1691.58</v>
      </c>
      <c r="AW103" s="15">
        <f t="shared" si="3"/>
        <v>8</v>
      </c>
      <c r="AX103" s="15">
        <f t="shared" si="3"/>
        <v>0</v>
      </c>
      <c r="AY103" s="15">
        <f t="shared" si="4"/>
        <v>9</v>
      </c>
      <c r="AZ103" s="39">
        <v>15</v>
      </c>
      <c r="BA103" s="39">
        <v>1700</v>
      </c>
      <c r="BB103" s="15">
        <v>34</v>
      </c>
      <c r="BC103" s="15">
        <v>7.2</v>
      </c>
      <c r="BD103" s="15">
        <v>50</v>
      </c>
      <c r="BE103" s="38">
        <v>2.9999999999999997E-4</v>
      </c>
      <c r="BF103">
        <v>4.4999999999999997E-3</v>
      </c>
      <c r="BI103">
        <v>9.0973706999999977E-3</v>
      </c>
      <c r="BJ103">
        <v>13.100213807999998</v>
      </c>
      <c r="BK103">
        <v>1694.11</v>
      </c>
      <c r="BL103">
        <v>4.7222435379048588E-3</v>
      </c>
      <c r="BM103">
        <v>4.7058823529411761E-3</v>
      </c>
      <c r="BN103">
        <v>7.623495000000001</v>
      </c>
      <c r="BO103">
        <v>5.2940937500000002E-3</v>
      </c>
      <c r="BP103" t="s">
        <v>83</v>
      </c>
      <c r="BQ103" t="s">
        <v>83</v>
      </c>
      <c r="BR103">
        <v>16.305808749999997</v>
      </c>
      <c r="BS103" t="s">
        <v>83</v>
      </c>
      <c r="BT103">
        <v>13.750892857142858</v>
      </c>
      <c r="BU103">
        <v>5.2940937500000002E-3</v>
      </c>
      <c r="BV103">
        <v>16.305808749999997</v>
      </c>
    </row>
    <row r="104" spans="1:74" x14ac:dyDescent="0.25">
      <c r="A104" s="16" t="s">
        <v>100</v>
      </c>
      <c r="B104" t="s">
        <v>27</v>
      </c>
      <c r="C104">
        <v>12</v>
      </c>
      <c r="D104">
        <v>1</v>
      </c>
      <c r="E104" t="s">
        <v>102</v>
      </c>
      <c r="F104" s="17">
        <v>45534.406238425901</v>
      </c>
      <c r="G104">
        <v>509.83</v>
      </c>
      <c r="H104">
        <v>7.2</v>
      </c>
      <c r="I104">
        <v>0.5</v>
      </c>
      <c r="J104">
        <v>34</v>
      </c>
      <c r="L104" s="15">
        <v>447.83280000000002</v>
      </c>
      <c r="M104" s="15">
        <v>17.399999999999999</v>
      </c>
      <c r="N104" s="15">
        <v>17.100000000000001</v>
      </c>
      <c r="O104" s="15">
        <v>98.4</v>
      </c>
      <c r="P104" s="15">
        <v>17.600000000000001</v>
      </c>
      <c r="Q104" s="15">
        <v>334</v>
      </c>
      <c r="R104" s="15">
        <v>2.04</v>
      </c>
      <c r="S104" s="15">
        <v>0.56999999999999995</v>
      </c>
      <c r="T104" s="15">
        <v>1.65</v>
      </c>
      <c r="U104" s="15"/>
      <c r="V104" s="15">
        <v>0.56000000000000005</v>
      </c>
      <c r="W104" s="15">
        <v>2.76</v>
      </c>
      <c r="X104" s="15">
        <v>3.07</v>
      </c>
      <c r="Y104" s="15">
        <v>7.0519999999999996</v>
      </c>
      <c r="Z104" s="15">
        <v>110.1</v>
      </c>
      <c r="AA104" s="15">
        <v>38.6</v>
      </c>
      <c r="AB104" s="15">
        <v>4.96</v>
      </c>
      <c r="AC104" s="15">
        <v>134.6</v>
      </c>
      <c r="AD104" s="15">
        <v>29.5</v>
      </c>
      <c r="AE104" s="15">
        <v>96.5</v>
      </c>
      <c r="AF104" s="15">
        <v>31.2</v>
      </c>
      <c r="AG104" s="18">
        <v>7.0890000000000004</v>
      </c>
      <c r="AH104" s="15">
        <v>301</v>
      </c>
      <c r="AI104" s="15">
        <v>49.7</v>
      </c>
      <c r="AJ104" s="15">
        <v>7.1</v>
      </c>
      <c r="AK104" s="15">
        <f t="shared" si="0"/>
        <v>0.49700000000000005</v>
      </c>
      <c r="AL104" s="15">
        <v>34</v>
      </c>
      <c r="AM104" s="15">
        <v>17.739999999999998</v>
      </c>
      <c r="AN104" s="15">
        <v>0</v>
      </c>
      <c r="AO104" s="15">
        <v>0</v>
      </c>
      <c r="AP104" s="15">
        <f t="shared" si="1"/>
        <v>7.0780833333333329E-3</v>
      </c>
      <c r="AQ104" s="15">
        <v>11</v>
      </c>
      <c r="AR104" s="15">
        <v>0</v>
      </c>
      <c r="AS104" s="15">
        <v>651</v>
      </c>
      <c r="AT104" s="15">
        <v>1836</v>
      </c>
      <c r="AU104" s="15">
        <v>133.55999999999995</v>
      </c>
      <c r="AV104" s="15">
        <f t="shared" si="2"/>
        <v>1702.44</v>
      </c>
      <c r="AW104" s="15">
        <f t="shared" si="3"/>
        <v>11</v>
      </c>
      <c r="AX104" s="15">
        <f t="shared" si="3"/>
        <v>0</v>
      </c>
      <c r="AY104" s="15">
        <f t="shared" si="4"/>
        <v>10</v>
      </c>
      <c r="AZ104" s="39">
        <v>15</v>
      </c>
      <c r="BA104" s="39">
        <v>1700</v>
      </c>
      <c r="BB104" s="15">
        <v>34</v>
      </c>
      <c r="BC104" s="15">
        <v>7.2</v>
      </c>
      <c r="BD104" s="15">
        <v>50</v>
      </c>
      <c r="BE104" s="38">
        <v>2.9999999999999997E-4</v>
      </c>
      <c r="BF104">
        <v>6.0000000000000001E-3</v>
      </c>
      <c r="BI104">
        <v>8.7145361999999994E-3</v>
      </c>
      <c r="BJ104">
        <v>12.548932128000001</v>
      </c>
      <c r="BK104">
        <v>1698.74</v>
      </c>
      <c r="BL104">
        <v>6.4753876402510093E-3</v>
      </c>
      <c r="BM104">
        <v>6.4705882352941177E-3</v>
      </c>
      <c r="BN104">
        <v>10.19244</v>
      </c>
      <c r="BO104">
        <v>7.0780833333333329E-3</v>
      </c>
      <c r="BP104" t="s">
        <v>83</v>
      </c>
      <c r="BQ104" t="s">
        <v>83</v>
      </c>
      <c r="BR104">
        <v>14.226947500000001</v>
      </c>
      <c r="BS104" t="s">
        <v>83</v>
      </c>
      <c r="BT104">
        <v>18.384632034632034</v>
      </c>
      <c r="BU104">
        <v>7.0780833333333329E-3</v>
      </c>
      <c r="BV104">
        <v>14.226947500000001</v>
      </c>
    </row>
    <row r="105" spans="1:74" ht="15.75" thickBot="1" x14ac:dyDescent="0.3">
      <c r="A105" s="19" t="s">
        <v>101</v>
      </c>
      <c r="B105" s="20" t="s">
        <v>27</v>
      </c>
      <c r="C105" s="20">
        <v>12</v>
      </c>
      <c r="D105" s="20">
        <v>1</v>
      </c>
      <c r="E105" s="20" t="s">
        <v>102</v>
      </c>
      <c r="F105" s="21">
        <v>45534.411597222199</v>
      </c>
      <c r="G105" s="20">
        <v>509.83</v>
      </c>
      <c r="H105">
        <v>7.2</v>
      </c>
      <c r="I105">
        <v>0.5</v>
      </c>
      <c r="J105">
        <v>34</v>
      </c>
      <c r="L105" s="22">
        <v>447.05189999999999</v>
      </c>
      <c r="M105" s="22">
        <v>17.100000000000001</v>
      </c>
      <c r="N105" s="22">
        <v>16.8</v>
      </c>
      <c r="O105" s="22">
        <v>98.2</v>
      </c>
      <c r="P105" s="22">
        <v>17.5</v>
      </c>
      <c r="Q105" s="22">
        <v>331</v>
      </c>
      <c r="R105" s="22">
        <v>1.84</v>
      </c>
      <c r="S105" s="22">
        <v>0.56999999999999995</v>
      </c>
      <c r="T105" s="22">
        <v>1.34</v>
      </c>
      <c r="U105" s="22"/>
      <c r="V105" s="22">
        <v>0.53</v>
      </c>
      <c r="W105" s="22">
        <v>2.72</v>
      </c>
      <c r="X105" s="22">
        <v>3.19</v>
      </c>
      <c r="Y105" s="22">
        <v>7.0490000000000004</v>
      </c>
      <c r="Z105" s="22">
        <v>100.7</v>
      </c>
      <c r="AA105" s="22">
        <v>35.700000000000003</v>
      </c>
      <c r="AB105" s="22">
        <v>4.91</v>
      </c>
      <c r="AC105" s="22">
        <v>133.5</v>
      </c>
      <c r="AD105" s="22">
        <v>26.8</v>
      </c>
      <c r="AE105" s="22">
        <v>88.3</v>
      </c>
      <c r="AF105" s="22">
        <v>28.8</v>
      </c>
      <c r="AG105" s="23">
        <v>7.0860000000000003</v>
      </c>
      <c r="AH105" s="15">
        <v>301</v>
      </c>
      <c r="AI105" s="15">
        <v>49.5</v>
      </c>
      <c r="AJ105" s="15">
        <v>7.1</v>
      </c>
      <c r="AK105" s="15">
        <f t="shared" si="0"/>
        <v>0.495</v>
      </c>
      <c r="AL105" s="15">
        <v>34</v>
      </c>
      <c r="AM105" s="15">
        <v>17.43</v>
      </c>
      <c r="AN105" s="15">
        <v>0.23</v>
      </c>
      <c r="AO105" s="15">
        <v>0</v>
      </c>
      <c r="AP105" s="15">
        <f t="shared" si="1"/>
        <v>7.0777499999999998E-3</v>
      </c>
      <c r="AQ105" s="15">
        <v>11</v>
      </c>
      <c r="AR105" s="15">
        <v>0</v>
      </c>
      <c r="AS105" s="15">
        <v>680</v>
      </c>
      <c r="AT105" s="15">
        <v>1752</v>
      </c>
      <c r="AU105" s="15">
        <v>51.660000000000082</v>
      </c>
      <c r="AV105" s="15">
        <f t="shared" si="2"/>
        <v>1700.34</v>
      </c>
      <c r="AW105" s="15">
        <f t="shared" si="3"/>
        <v>11</v>
      </c>
      <c r="AX105" s="15">
        <f t="shared" si="3"/>
        <v>0</v>
      </c>
      <c r="AY105" s="15">
        <f t="shared" si="4"/>
        <v>9</v>
      </c>
      <c r="AZ105" s="39">
        <v>15</v>
      </c>
      <c r="BA105" s="39">
        <v>1700</v>
      </c>
      <c r="BB105" s="15">
        <v>34</v>
      </c>
      <c r="BC105" s="15">
        <v>7.2</v>
      </c>
      <c r="BD105" s="15">
        <v>50</v>
      </c>
      <c r="BE105" s="38">
        <v>2.9999999999999997E-4</v>
      </c>
      <c r="BF105">
        <v>6.0000000000000001E-3</v>
      </c>
      <c r="BI105">
        <v>8.5612463999999999E-3</v>
      </c>
      <c r="BJ105">
        <v>12.328194816</v>
      </c>
      <c r="BK105">
        <v>1698.66</v>
      </c>
      <c r="BL105">
        <v>6.4756926047590448E-3</v>
      </c>
      <c r="BM105">
        <v>6.4705882352941177E-3</v>
      </c>
      <c r="BN105">
        <v>10.19196</v>
      </c>
      <c r="BO105">
        <v>7.0777499999999998E-3</v>
      </c>
      <c r="BP105" t="s">
        <v>83</v>
      </c>
      <c r="BQ105" t="s">
        <v>83</v>
      </c>
      <c r="BR105">
        <v>15.542739000000001</v>
      </c>
      <c r="BS105" t="s">
        <v>83</v>
      </c>
      <c r="BT105">
        <v>18.383766233766234</v>
      </c>
      <c r="BU105">
        <v>7.0777499999999998E-3</v>
      </c>
      <c r="BV105">
        <v>15.542739000000001</v>
      </c>
    </row>
    <row r="106" spans="1:74" x14ac:dyDescent="0.25">
      <c r="A106" s="10" t="s">
        <v>96</v>
      </c>
      <c r="B106" s="11" t="s">
        <v>26</v>
      </c>
      <c r="C106" s="11">
        <v>12</v>
      </c>
      <c r="D106" s="11">
        <v>2</v>
      </c>
      <c r="E106" s="11"/>
      <c r="F106" s="12">
        <v>45535.483865740702</v>
      </c>
      <c r="G106">
        <v>997.91</v>
      </c>
      <c r="H106">
        <v>7.2</v>
      </c>
      <c r="I106">
        <v>0.5</v>
      </c>
      <c r="J106">
        <v>34</v>
      </c>
      <c r="L106" s="13">
        <v>981.64</v>
      </c>
      <c r="M106" s="13">
        <v>24.9</v>
      </c>
      <c r="N106" s="13">
        <v>24.2</v>
      </c>
      <c r="O106" s="13">
        <v>97.2</v>
      </c>
      <c r="P106" s="13">
        <v>16.899999999999999</v>
      </c>
      <c r="Q106" s="13">
        <v>310</v>
      </c>
      <c r="R106" s="13">
        <v>1.1100000000000001</v>
      </c>
      <c r="S106" s="13">
        <v>0.47</v>
      </c>
      <c r="T106" s="13">
        <v>0.26</v>
      </c>
      <c r="U106" s="13"/>
      <c r="V106" s="13">
        <v>0.08</v>
      </c>
      <c r="W106" s="13">
        <v>0.09</v>
      </c>
      <c r="X106" s="13">
        <v>3.28</v>
      </c>
      <c r="Y106" s="13">
        <v>7.11</v>
      </c>
      <c r="Z106" s="13">
        <v>112.4</v>
      </c>
      <c r="AA106" s="13">
        <v>0</v>
      </c>
      <c r="AB106" s="13">
        <v>3</v>
      </c>
      <c r="AC106" s="13">
        <v>134.6</v>
      </c>
      <c r="AD106" s="13">
        <v>34.5</v>
      </c>
      <c r="AE106" s="13">
        <v>98.6</v>
      </c>
      <c r="AF106" s="13">
        <v>0</v>
      </c>
      <c r="AG106" s="14">
        <v>7.1479999999999997</v>
      </c>
      <c r="AH106" s="15">
        <v>301</v>
      </c>
      <c r="AI106" s="15">
        <v>54.9</v>
      </c>
      <c r="AJ106" s="15">
        <v>7.14</v>
      </c>
      <c r="AK106" s="15">
        <f t="shared" si="0"/>
        <v>0.54899999999999993</v>
      </c>
      <c r="AL106" s="15">
        <v>34</v>
      </c>
      <c r="AM106" s="15">
        <v>18.97</v>
      </c>
      <c r="AN106" s="15">
        <v>0</v>
      </c>
      <c r="AO106" s="15">
        <v>1</v>
      </c>
      <c r="AP106" s="38">
        <f t="shared" si="1"/>
        <v>1.5982715000000002E-2</v>
      </c>
      <c r="AQ106" s="15">
        <v>16</v>
      </c>
      <c r="AR106" s="15">
        <v>18</v>
      </c>
      <c r="AS106" s="15">
        <v>669</v>
      </c>
      <c r="AT106" s="15">
        <v>1807</v>
      </c>
      <c r="AU106" s="15">
        <v>137.11999999999989</v>
      </c>
      <c r="AV106" s="15">
        <f t="shared" si="2"/>
        <v>1669.88</v>
      </c>
      <c r="AW106" s="15">
        <f t="shared" si="3"/>
        <v>11</v>
      </c>
      <c r="AX106" s="15">
        <f t="shared" si="3"/>
        <v>18</v>
      </c>
      <c r="AY106" s="15">
        <f t="shared" si="4"/>
        <v>11</v>
      </c>
      <c r="AZ106" s="39">
        <v>15</v>
      </c>
      <c r="BA106" s="39">
        <v>1700</v>
      </c>
      <c r="BB106" s="15">
        <v>34</v>
      </c>
      <c r="BC106" s="15">
        <v>7.2</v>
      </c>
      <c r="BD106" s="15">
        <v>50</v>
      </c>
      <c r="BE106" s="38">
        <v>2.9999999999999997E-4</v>
      </c>
      <c r="BG106">
        <v>1.3467240267529566E-2</v>
      </c>
      <c r="BH106">
        <v>7.9374506866709185E-3</v>
      </c>
      <c r="BI106">
        <v>1.2407122199999999E-2</v>
      </c>
      <c r="BJ106">
        <v>17.866255968000001</v>
      </c>
      <c r="BK106">
        <v>1708.97</v>
      </c>
      <c r="BL106">
        <v>9.3623644651456717E-3</v>
      </c>
      <c r="BM106">
        <v>9.4117647058823521E-3</v>
      </c>
      <c r="BN106">
        <v>23.015109600000002</v>
      </c>
      <c r="BO106" t="s">
        <v>83</v>
      </c>
      <c r="BP106">
        <v>1.5982715000000002E-2</v>
      </c>
      <c r="BQ106" t="s">
        <v>83</v>
      </c>
      <c r="BR106" t="s">
        <v>83</v>
      </c>
      <c r="BS106">
        <v>13.5648651</v>
      </c>
      <c r="BT106">
        <v>41.513545454545458</v>
      </c>
      <c r="BU106">
        <v>1.5982715000000002E-2</v>
      </c>
      <c r="BV106">
        <v>13.5648651</v>
      </c>
    </row>
    <row r="107" spans="1:74" x14ac:dyDescent="0.25">
      <c r="A107" s="16" t="s">
        <v>97</v>
      </c>
      <c r="B107" t="s">
        <v>26</v>
      </c>
      <c r="C107">
        <v>12</v>
      </c>
      <c r="D107">
        <v>2</v>
      </c>
      <c r="F107" s="17">
        <v>45535.486967592602</v>
      </c>
      <c r="G107">
        <v>997.91</v>
      </c>
      <c r="H107">
        <v>7.2</v>
      </c>
      <c r="I107">
        <v>0.5</v>
      </c>
      <c r="J107">
        <v>34</v>
      </c>
      <c r="L107" s="15">
        <v>975.91</v>
      </c>
      <c r="M107" s="15">
        <v>23.9</v>
      </c>
      <c r="N107" s="15">
        <v>23.3</v>
      </c>
      <c r="O107" s="15">
        <v>97.7</v>
      </c>
      <c r="P107" s="15">
        <v>17</v>
      </c>
      <c r="Q107" s="15">
        <v>314</v>
      </c>
      <c r="R107" s="15">
        <v>1.02</v>
      </c>
      <c r="S107" s="15">
        <v>0.46</v>
      </c>
      <c r="T107" s="15">
        <v>0.09</v>
      </c>
      <c r="U107" s="15"/>
      <c r="V107" s="15">
        <v>0.1</v>
      </c>
      <c r="W107" s="15">
        <v>0.08</v>
      </c>
      <c r="X107" s="15">
        <v>3.29</v>
      </c>
      <c r="Y107" s="15">
        <v>7.1589999999999998</v>
      </c>
      <c r="Z107" s="15">
        <v>112.7</v>
      </c>
      <c r="AA107" s="15">
        <v>38.4</v>
      </c>
      <c r="AB107" s="15">
        <v>2.94</v>
      </c>
      <c r="AC107" s="15">
        <v>138.69999999999999</v>
      </c>
      <c r="AD107" s="15">
        <v>38.799999999999997</v>
      </c>
      <c r="AE107" s="15">
        <v>98.9</v>
      </c>
      <c r="AF107" s="15">
        <v>31.1</v>
      </c>
      <c r="AG107" s="18">
        <v>7.1980000000000004</v>
      </c>
      <c r="AH107" s="15">
        <v>300</v>
      </c>
      <c r="AI107" s="15">
        <v>57.4</v>
      </c>
      <c r="AJ107" s="15">
        <v>7.19</v>
      </c>
      <c r="AK107" s="15">
        <f t="shared" si="0"/>
        <v>0.57399999999999995</v>
      </c>
      <c r="AL107" s="15">
        <v>34</v>
      </c>
      <c r="AM107" s="15">
        <v>21.172000000000001</v>
      </c>
      <c r="AN107" s="15">
        <v>0</v>
      </c>
      <c r="AO107" s="15">
        <v>1</v>
      </c>
      <c r="AP107" s="15">
        <f t="shared" si="1"/>
        <v>1.6062493000000001E-2</v>
      </c>
      <c r="AQ107" s="15">
        <v>16</v>
      </c>
      <c r="AR107" s="15">
        <v>17</v>
      </c>
      <c r="AS107" s="15">
        <v>675</v>
      </c>
      <c r="AT107" s="15">
        <v>1717</v>
      </c>
      <c r="AU107" s="15">
        <v>45.769999999999982</v>
      </c>
      <c r="AV107" s="15">
        <f t="shared" si="2"/>
        <v>1671.23</v>
      </c>
      <c r="AW107" s="15">
        <f t="shared" si="3"/>
        <v>11</v>
      </c>
      <c r="AX107" s="15">
        <f t="shared" si="3"/>
        <v>17</v>
      </c>
      <c r="AY107" s="15">
        <f t="shared" si="4"/>
        <v>12</v>
      </c>
      <c r="AZ107" s="39">
        <v>15</v>
      </c>
      <c r="BA107" s="39">
        <v>1700</v>
      </c>
      <c r="BB107" s="15">
        <v>34</v>
      </c>
      <c r="BC107" s="15">
        <v>7.2</v>
      </c>
      <c r="BD107" s="15">
        <v>50</v>
      </c>
      <c r="BE107" s="38">
        <v>2.9999999999999997E-4</v>
      </c>
      <c r="BG107">
        <v>1.3524949490460611E-2</v>
      </c>
      <c r="BH107">
        <v>8.3405070834980336E-3</v>
      </c>
      <c r="BI107">
        <v>1.1954102279999998E-2</v>
      </c>
      <c r="BJ107">
        <v>17.213907283199998</v>
      </c>
      <c r="BK107">
        <v>1710.172</v>
      </c>
      <c r="BL107">
        <v>9.3557840965704034E-3</v>
      </c>
      <c r="BM107">
        <v>9.4117647058823521E-3</v>
      </c>
      <c r="BN107">
        <v>23.129989920000003</v>
      </c>
      <c r="BO107" t="s">
        <v>83</v>
      </c>
      <c r="BP107">
        <v>1.6062493000000001E-2</v>
      </c>
      <c r="BQ107" t="s">
        <v>83</v>
      </c>
      <c r="BR107" t="s">
        <v>83</v>
      </c>
      <c r="BS107">
        <v>14.26370168</v>
      </c>
      <c r="BT107">
        <v>41.720761038961044</v>
      </c>
      <c r="BU107">
        <v>1.6062493000000001E-2</v>
      </c>
      <c r="BV107">
        <v>14.26370168</v>
      </c>
    </row>
    <row r="108" spans="1:74" x14ac:dyDescent="0.25">
      <c r="A108" s="16" t="s">
        <v>98</v>
      </c>
      <c r="B108" t="s">
        <v>26</v>
      </c>
      <c r="C108">
        <v>12</v>
      </c>
      <c r="D108">
        <v>2</v>
      </c>
      <c r="F108" s="17">
        <v>45535.490289351903</v>
      </c>
      <c r="G108">
        <v>997.91</v>
      </c>
      <c r="H108">
        <v>7.2</v>
      </c>
      <c r="I108">
        <v>0.5</v>
      </c>
      <c r="J108">
        <v>34</v>
      </c>
      <c r="L108" s="15">
        <v>979.04</v>
      </c>
      <c r="M108" s="15">
        <v>23.1</v>
      </c>
      <c r="N108" s="15">
        <v>22.6</v>
      </c>
      <c r="O108" s="15">
        <v>97.6</v>
      </c>
      <c r="P108" s="15">
        <v>16.600000000000001</v>
      </c>
      <c r="Q108" s="15"/>
      <c r="R108" s="15">
        <v>0.87</v>
      </c>
      <c r="S108" s="15">
        <v>0.47</v>
      </c>
      <c r="T108" s="15">
        <v>0.41</v>
      </c>
      <c r="U108" s="15"/>
      <c r="V108" s="15">
        <v>0.19</v>
      </c>
      <c r="W108" s="15">
        <v>0.22</v>
      </c>
      <c r="X108" s="15">
        <v>2.36</v>
      </c>
      <c r="Y108" s="15">
        <v>7.15</v>
      </c>
      <c r="Z108" s="15">
        <v>96.2</v>
      </c>
      <c r="AA108" s="15">
        <v>19.8</v>
      </c>
      <c r="AB108" s="15">
        <v>3.22</v>
      </c>
      <c r="AC108" s="15">
        <v>126.8</v>
      </c>
      <c r="AD108" s="15">
        <v>32.5</v>
      </c>
      <c r="AE108" s="15">
        <v>84.3</v>
      </c>
      <c r="AF108" s="15">
        <v>16</v>
      </c>
      <c r="AG108" s="18">
        <v>7.19</v>
      </c>
      <c r="AH108" s="15">
        <v>299</v>
      </c>
      <c r="AI108" s="15">
        <v>50.3</v>
      </c>
      <c r="AJ108" s="15">
        <v>7.24</v>
      </c>
      <c r="AK108" s="15">
        <f t="shared" si="0"/>
        <v>0.503</v>
      </c>
      <c r="AL108" s="15">
        <v>34</v>
      </c>
      <c r="AM108" s="15">
        <v>13.597</v>
      </c>
      <c r="AN108" s="15">
        <v>0.64649999999999996</v>
      </c>
      <c r="AO108" s="15">
        <v>1</v>
      </c>
      <c r="AP108" s="15">
        <f t="shared" si="1"/>
        <v>1.0283611999999999E-2</v>
      </c>
      <c r="AQ108" s="15">
        <v>15</v>
      </c>
      <c r="AR108" s="15">
        <v>15</v>
      </c>
      <c r="AS108" s="15">
        <v>664</v>
      </c>
      <c r="AT108" s="15">
        <v>1733</v>
      </c>
      <c r="AU108" s="15">
        <v>84.700000000000045</v>
      </c>
      <c r="AV108" s="15">
        <f t="shared" si="2"/>
        <v>1648.3</v>
      </c>
      <c r="AW108" s="15">
        <f t="shared" si="3"/>
        <v>10</v>
      </c>
      <c r="AX108" s="15">
        <f t="shared" si="3"/>
        <v>15</v>
      </c>
      <c r="AY108" s="15">
        <f t="shared" si="4"/>
        <v>12</v>
      </c>
      <c r="AZ108" s="39">
        <v>15</v>
      </c>
      <c r="BA108" s="39">
        <v>1700</v>
      </c>
      <c r="BB108" s="15">
        <v>34</v>
      </c>
      <c r="BC108" s="15">
        <v>7.2</v>
      </c>
      <c r="BD108" s="15">
        <v>50</v>
      </c>
      <c r="BE108" s="38">
        <v>2.9999999999999997E-4</v>
      </c>
      <c r="BG108">
        <v>8.7095767635635719E-3</v>
      </c>
      <c r="BH108">
        <v>9.8993463171598642E-3</v>
      </c>
      <c r="BI108">
        <v>1.1527650929999999E-2</v>
      </c>
      <c r="BJ108">
        <v>16.599817339199998</v>
      </c>
      <c r="BK108">
        <v>1700.2435</v>
      </c>
      <c r="BL108">
        <v>8.8222657519349424E-3</v>
      </c>
      <c r="BM108">
        <v>8.8235294117647058E-3</v>
      </c>
      <c r="BN108">
        <v>14.80840128</v>
      </c>
      <c r="BO108" t="s">
        <v>83</v>
      </c>
      <c r="BP108">
        <v>1.0283611999999999E-2</v>
      </c>
      <c r="BQ108" t="s">
        <v>83</v>
      </c>
      <c r="BR108" t="s">
        <v>83</v>
      </c>
      <c r="BS108">
        <v>16.831299229999999</v>
      </c>
      <c r="BT108">
        <v>26.710680519480519</v>
      </c>
      <c r="BU108">
        <v>1.0283611999999999E-2</v>
      </c>
      <c r="BV108">
        <v>16.831299229999999</v>
      </c>
    </row>
    <row r="109" spans="1:74" x14ac:dyDescent="0.25">
      <c r="A109" s="16" t="s">
        <v>99</v>
      </c>
      <c r="B109" t="s">
        <v>27</v>
      </c>
      <c r="C109">
        <v>12</v>
      </c>
      <c r="D109">
        <v>2</v>
      </c>
      <c r="E109" t="s">
        <v>103</v>
      </c>
      <c r="F109" s="17">
        <v>45535.493217592601</v>
      </c>
      <c r="G109">
        <v>997.91</v>
      </c>
      <c r="H109">
        <v>7.2</v>
      </c>
      <c r="I109">
        <v>0.5</v>
      </c>
      <c r="J109">
        <v>34</v>
      </c>
      <c r="L109" s="15">
        <v>963.83</v>
      </c>
      <c r="M109" s="15">
        <v>21.9</v>
      </c>
      <c r="N109" s="15">
        <v>21.3</v>
      </c>
      <c r="O109" s="15">
        <v>97.4</v>
      </c>
      <c r="P109" s="15">
        <v>17</v>
      </c>
      <c r="Q109" s="15">
        <v>318</v>
      </c>
      <c r="R109" s="15">
        <v>0.95</v>
      </c>
      <c r="S109" s="15">
        <v>0.45</v>
      </c>
      <c r="T109" s="15">
        <v>0.3</v>
      </c>
      <c r="U109" s="15"/>
      <c r="V109" s="15">
        <v>0.13</v>
      </c>
      <c r="W109" s="15">
        <v>0.09</v>
      </c>
      <c r="X109" s="15">
        <v>3.19</v>
      </c>
      <c r="Y109" s="15">
        <v>7.1529999999999996</v>
      </c>
      <c r="Z109" s="15">
        <v>113.8</v>
      </c>
      <c r="AA109" s="15">
        <v>39.4</v>
      </c>
      <c r="AB109" s="15">
        <v>3.09</v>
      </c>
      <c r="AC109" s="15">
        <v>137.69999999999999</v>
      </c>
      <c r="AD109" s="15">
        <v>38.700000000000003</v>
      </c>
      <c r="AE109" s="15">
        <v>99.8</v>
      </c>
      <c r="AF109" s="15">
        <v>31.9</v>
      </c>
      <c r="AG109" s="18">
        <v>7.1929999999999996</v>
      </c>
      <c r="AH109" s="15">
        <v>300</v>
      </c>
      <c r="AI109" s="15">
        <v>52.1</v>
      </c>
      <c r="AJ109" s="15">
        <v>7.19</v>
      </c>
      <c r="AK109" s="15">
        <f t="shared" si="0"/>
        <v>0.52100000000000002</v>
      </c>
      <c r="AL109" s="15">
        <v>34</v>
      </c>
      <c r="AM109" s="15">
        <v>20.530999999999999</v>
      </c>
      <c r="AN109" s="15">
        <v>1.44E-2</v>
      </c>
      <c r="AO109" s="15">
        <v>1</v>
      </c>
      <c r="AP109" s="15">
        <f t="shared" si="1"/>
        <v>0</v>
      </c>
      <c r="AQ109" s="15">
        <v>16</v>
      </c>
      <c r="AR109" s="15">
        <v>17</v>
      </c>
      <c r="AS109" s="15">
        <v>662</v>
      </c>
      <c r="AT109" s="15">
        <v>1727</v>
      </c>
      <c r="AU109" s="15">
        <v>47.420000000000073</v>
      </c>
      <c r="AV109" s="15">
        <f t="shared" si="2"/>
        <v>1679.58</v>
      </c>
      <c r="AW109" s="15">
        <f t="shared" si="3"/>
        <v>8</v>
      </c>
      <c r="AX109" s="15">
        <f t="shared" si="3"/>
        <v>17</v>
      </c>
      <c r="AY109" s="15">
        <f t="shared" si="4"/>
        <v>9</v>
      </c>
      <c r="AZ109" s="39">
        <v>15</v>
      </c>
      <c r="BA109" s="39">
        <v>1700</v>
      </c>
      <c r="BB109" s="15">
        <v>34</v>
      </c>
      <c r="BC109" s="15">
        <v>7.2</v>
      </c>
      <c r="BD109" s="15">
        <v>50</v>
      </c>
      <c r="BE109" s="38">
        <v>2.9999999999999997E-4</v>
      </c>
      <c r="BI109">
        <v>1.0923995105999999E-2</v>
      </c>
      <c r="BJ109">
        <v>15.730552952639998</v>
      </c>
      <c r="BK109">
        <v>1709.5454</v>
      </c>
      <c r="BL109">
        <v>9.3592132738914095E-3</v>
      </c>
      <c r="BM109">
        <v>9.4117647058823521E-3</v>
      </c>
      <c r="BN109">
        <v>0</v>
      </c>
      <c r="BO109">
        <v>0</v>
      </c>
      <c r="BP109" t="s">
        <v>83</v>
      </c>
      <c r="BQ109" t="s">
        <v>83</v>
      </c>
      <c r="BR109">
        <v>11.53943145</v>
      </c>
      <c r="BS109" t="s">
        <v>83</v>
      </c>
      <c r="BT109">
        <v>0</v>
      </c>
      <c r="BU109">
        <v>0</v>
      </c>
      <c r="BV109">
        <v>11.53943145</v>
      </c>
    </row>
    <row r="110" spans="1:74" x14ac:dyDescent="0.25">
      <c r="A110" s="16" t="s">
        <v>100</v>
      </c>
      <c r="B110" t="s">
        <v>27</v>
      </c>
      <c r="C110">
        <v>12</v>
      </c>
      <c r="D110">
        <v>2</v>
      </c>
      <c r="E110" t="s">
        <v>103</v>
      </c>
      <c r="F110" s="17">
        <v>45535.496261574102</v>
      </c>
      <c r="G110">
        <v>997.91</v>
      </c>
      <c r="H110">
        <v>7.2</v>
      </c>
      <c r="I110">
        <v>0.5</v>
      </c>
      <c r="J110">
        <v>34</v>
      </c>
      <c r="L110" s="15">
        <v>933.7</v>
      </c>
      <c r="M110" s="15">
        <v>22</v>
      </c>
      <c r="N110" s="15">
        <v>21.4</v>
      </c>
      <c r="O110" s="15">
        <v>97.6</v>
      </c>
      <c r="P110" s="15">
        <v>17.399999999999999</v>
      </c>
      <c r="Q110" s="15">
        <v>329</v>
      </c>
      <c r="R110" s="15">
        <v>0.96</v>
      </c>
      <c r="S110" s="15">
        <v>0.46</v>
      </c>
      <c r="T110" s="15">
        <v>0.35</v>
      </c>
      <c r="U110" s="15"/>
      <c r="V110" s="15">
        <v>0.22</v>
      </c>
      <c r="W110" s="15">
        <v>0.62</v>
      </c>
      <c r="X110" s="15">
        <v>3.56</v>
      </c>
      <c r="Y110" s="15">
        <v>7.1559999999999997</v>
      </c>
      <c r="Z110" s="15">
        <v>113</v>
      </c>
      <c r="AA110" s="15">
        <v>58.1</v>
      </c>
      <c r="AB110" s="15">
        <v>3.03</v>
      </c>
      <c r="AC110" s="15">
        <v>144.9</v>
      </c>
      <c r="AD110" s="15">
        <v>38.700000000000003</v>
      </c>
      <c r="AE110" s="15">
        <v>99.1</v>
      </c>
      <c r="AF110" s="15">
        <v>47.2</v>
      </c>
      <c r="AG110" s="18">
        <v>7.1950000000000003</v>
      </c>
      <c r="AH110" s="15">
        <v>302</v>
      </c>
      <c r="AI110" s="15">
        <v>51.8</v>
      </c>
      <c r="AJ110" s="15">
        <v>7.16</v>
      </c>
      <c r="AK110" s="15">
        <f t="shared" si="0"/>
        <v>0.51800000000000002</v>
      </c>
      <c r="AL110" s="15">
        <v>34</v>
      </c>
      <c r="AM110" s="15">
        <v>22.977</v>
      </c>
      <c r="AN110" s="15">
        <v>0</v>
      </c>
      <c r="AO110" s="15">
        <v>1</v>
      </c>
      <c r="AP110" s="15">
        <f t="shared" si="1"/>
        <v>0</v>
      </c>
      <c r="AQ110" s="15">
        <v>22</v>
      </c>
      <c r="AR110" s="15">
        <v>15</v>
      </c>
      <c r="AS110" s="15">
        <v>636</v>
      </c>
      <c r="AT110" s="15">
        <v>1770</v>
      </c>
      <c r="AU110" s="15">
        <v>133.55999999999995</v>
      </c>
      <c r="AV110" s="15">
        <f t="shared" si="2"/>
        <v>1636.44</v>
      </c>
      <c r="AW110" s="15">
        <f t="shared" si="3"/>
        <v>11</v>
      </c>
      <c r="AX110" s="15">
        <f t="shared" si="3"/>
        <v>15</v>
      </c>
      <c r="AY110" s="15">
        <f t="shared" si="4"/>
        <v>15</v>
      </c>
      <c r="AZ110" s="39">
        <v>15</v>
      </c>
      <c r="BA110" s="39">
        <v>1700</v>
      </c>
      <c r="BB110" s="15">
        <v>34</v>
      </c>
      <c r="BC110" s="15">
        <v>7.2</v>
      </c>
      <c r="BD110" s="15">
        <v>50</v>
      </c>
      <c r="BE110" s="38">
        <v>2.9999999999999997E-4</v>
      </c>
      <c r="BI110">
        <v>1.1016572339999997E-2</v>
      </c>
      <c r="BJ110">
        <v>15.863864169599998</v>
      </c>
      <c r="BK110">
        <v>1715.9770000000001</v>
      </c>
      <c r="BL110">
        <v>1.2820684659526321E-2</v>
      </c>
      <c r="BM110">
        <v>1.2941176470588235E-2</v>
      </c>
      <c r="BN110">
        <v>0</v>
      </c>
      <c r="BO110">
        <v>0</v>
      </c>
      <c r="BP110" t="s">
        <v>83</v>
      </c>
      <c r="BQ110" t="s">
        <v>83</v>
      </c>
      <c r="BR110">
        <v>11.368347625000002</v>
      </c>
      <c r="BS110" t="s">
        <v>83</v>
      </c>
      <c r="BT110">
        <v>0</v>
      </c>
      <c r="BU110">
        <v>0</v>
      </c>
      <c r="BV110">
        <v>11.368347625000002</v>
      </c>
    </row>
    <row r="111" spans="1:74" ht="15.75" thickBot="1" x14ac:dyDescent="0.3">
      <c r="A111" s="19" t="s">
        <v>101</v>
      </c>
      <c r="B111" s="20" t="s">
        <v>27</v>
      </c>
      <c r="C111" s="20">
        <v>12</v>
      </c>
      <c r="D111" s="20">
        <v>2</v>
      </c>
      <c r="E111" s="20" t="s">
        <v>103</v>
      </c>
      <c r="F111" s="21">
        <v>45535.499872685199</v>
      </c>
      <c r="G111">
        <v>997.91</v>
      </c>
      <c r="H111">
        <v>7.2</v>
      </c>
      <c r="I111">
        <v>0.5</v>
      </c>
      <c r="J111">
        <v>34</v>
      </c>
      <c r="L111" s="22">
        <v>957.65</v>
      </c>
      <c r="M111" s="22">
        <v>22.6</v>
      </c>
      <c r="N111" s="22">
        <v>22</v>
      </c>
      <c r="O111" s="22">
        <v>97.3</v>
      </c>
      <c r="P111" s="22">
        <v>17.2</v>
      </c>
      <c r="Q111" s="22">
        <v>322</v>
      </c>
      <c r="R111" s="22">
        <v>0.85</v>
      </c>
      <c r="S111" s="22">
        <v>0.45</v>
      </c>
      <c r="T111" s="22">
        <v>0.22</v>
      </c>
      <c r="U111" s="22"/>
      <c r="V111" s="22">
        <v>0.2</v>
      </c>
      <c r="W111" s="22">
        <v>0.44</v>
      </c>
      <c r="X111" s="22">
        <v>3.7</v>
      </c>
      <c r="Y111" s="22">
        <v>7.1689999999999996</v>
      </c>
      <c r="Z111" s="22">
        <v>96.3</v>
      </c>
      <c r="AA111" s="22">
        <v>44.2</v>
      </c>
      <c r="AB111" s="22">
        <v>3.04</v>
      </c>
      <c r="AC111" s="22">
        <v>141</v>
      </c>
      <c r="AD111" s="22">
        <v>34</v>
      </c>
      <c r="AE111" s="22">
        <v>84.5</v>
      </c>
      <c r="AF111" s="22">
        <v>35.799999999999997</v>
      </c>
      <c r="AG111" s="23">
        <v>7.2089999999999996</v>
      </c>
      <c r="AH111" s="15">
        <v>301</v>
      </c>
      <c r="AI111" s="15">
        <v>48.4</v>
      </c>
      <c r="AJ111" s="15">
        <v>7.2</v>
      </c>
      <c r="AK111" s="15">
        <f t="shared" si="0"/>
        <v>0.48399999999999999</v>
      </c>
      <c r="AL111" s="15">
        <v>34</v>
      </c>
      <c r="AM111" s="15">
        <v>22.199000000000002</v>
      </c>
      <c r="AN111" s="15">
        <v>2.299E-2</v>
      </c>
      <c r="AO111" s="15">
        <v>1</v>
      </c>
      <c r="AP111" s="15">
        <f t="shared" si="1"/>
        <v>0</v>
      </c>
      <c r="AQ111" s="15">
        <v>21</v>
      </c>
      <c r="AR111" s="15">
        <v>16</v>
      </c>
      <c r="AS111" s="15">
        <v>668</v>
      </c>
      <c r="AT111" s="15">
        <v>1731</v>
      </c>
      <c r="AU111" s="15">
        <v>51.660000000000082</v>
      </c>
      <c r="AV111" s="15">
        <f t="shared" si="2"/>
        <v>1679.34</v>
      </c>
      <c r="AW111" s="15">
        <f t="shared" si="3"/>
        <v>10</v>
      </c>
      <c r="AX111" s="15">
        <f t="shared" si="3"/>
        <v>16</v>
      </c>
      <c r="AY111" s="15">
        <f t="shared" si="4"/>
        <v>12</v>
      </c>
      <c r="AZ111" s="39">
        <v>15</v>
      </c>
      <c r="BA111" s="39">
        <v>1700</v>
      </c>
      <c r="BB111" s="15">
        <v>34</v>
      </c>
      <c r="BC111" s="15">
        <v>7.2</v>
      </c>
      <c r="BD111" s="15">
        <v>50</v>
      </c>
      <c r="BE111" s="38">
        <v>2.9999999999999997E-4</v>
      </c>
      <c r="BI111">
        <v>1.1320465133999999E-2</v>
      </c>
      <c r="BJ111">
        <v>16.301469792959999</v>
      </c>
      <c r="BK111">
        <v>1715.22199</v>
      </c>
      <c r="BL111">
        <v>1.2243313181869829E-2</v>
      </c>
      <c r="BM111">
        <v>1.2352941176470587E-2</v>
      </c>
      <c r="BN111">
        <v>0</v>
      </c>
      <c r="BO111">
        <v>0</v>
      </c>
      <c r="BP111" t="s">
        <v>83</v>
      </c>
      <c r="BQ111" t="s">
        <v>83</v>
      </c>
      <c r="BR111">
        <v>11.9207928305</v>
      </c>
      <c r="BS111" t="s">
        <v>83</v>
      </c>
      <c r="BT111">
        <v>0</v>
      </c>
      <c r="BU111">
        <v>0</v>
      </c>
      <c r="BV111">
        <v>11.9207928305</v>
      </c>
    </row>
    <row r="112" spans="1:74" x14ac:dyDescent="0.25">
      <c r="A112" s="10" t="s">
        <v>96</v>
      </c>
      <c r="B112" s="11" t="s">
        <v>26</v>
      </c>
      <c r="C112" s="11">
        <v>12</v>
      </c>
      <c r="D112" s="11">
        <v>3</v>
      </c>
      <c r="E112" s="11"/>
      <c r="F112" s="12">
        <v>45536.578854166699</v>
      </c>
      <c r="G112" s="11">
        <v>1505.08</v>
      </c>
      <c r="H112">
        <v>7.2</v>
      </c>
      <c r="I112">
        <v>0.5</v>
      </c>
      <c r="J112">
        <v>34</v>
      </c>
      <c r="L112" s="13">
        <v>1585.94</v>
      </c>
      <c r="M112" s="13">
        <v>22</v>
      </c>
      <c r="N112" s="13">
        <v>21</v>
      </c>
      <c r="O112" s="13">
        <v>95.7</v>
      </c>
      <c r="P112" s="13">
        <v>16.600000000000001</v>
      </c>
      <c r="Q112" s="13">
        <v>333</v>
      </c>
      <c r="R112" s="13">
        <v>1.43</v>
      </c>
      <c r="S112" s="13">
        <v>0.4</v>
      </c>
      <c r="T112" s="13">
        <v>1.31</v>
      </c>
      <c r="U112" s="13"/>
      <c r="V112" s="13">
        <v>0.15</v>
      </c>
      <c r="W112" s="13">
        <v>0.04</v>
      </c>
      <c r="X112" s="13">
        <v>2.75</v>
      </c>
      <c r="Y112" s="13">
        <v>7.2539999999999996</v>
      </c>
      <c r="Z112" s="13">
        <v>104.4</v>
      </c>
      <c r="AA112" s="13">
        <v>0</v>
      </c>
      <c r="AB112" s="13">
        <v>2.88</v>
      </c>
      <c r="AC112" s="13">
        <v>141</v>
      </c>
      <c r="AD112" s="13">
        <v>44.9</v>
      </c>
      <c r="AE112" s="13">
        <v>91.5</v>
      </c>
      <c r="AF112" s="13">
        <v>0</v>
      </c>
      <c r="AG112" s="14">
        <v>7.2949999999999999</v>
      </c>
      <c r="AH112" s="15">
        <v>301</v>
      </c>
      <c r="AI112" s="15">
        <v>50.9</v>
      </c>
      <c r="AJ112" s="15">
        <v>7.29</v>
      </c>
      <c r="AK112" s="15">
        <f t="shared" si="0"/>
        <v>0.50900000000000001</v>
      </c>
      <c r="AL112" s="15">
        <v>34</v>
      </c>
      <c r="AM112" s="15">
        <v>22.065000000000001</v>
      </c>
      <c r="AN112" s="15">
        <v>0.4597</v>
      </c>
      <c r="AO112" s="15">
        <v>1.7</v>
      </c>
      <c r="AP112" s="38">
        <f t="shared" si="1"/>
        <v>9.7818429790420998E-3</v>
      </c>
      <c r="AQ112" s="15">
        <v>39.340000000000003</v>
      </c>
      <c r="AR112" s="15">
        <v>31.99</v>
      </c>
      <c r="AS112" s="15">
        <v>642</v>
      </c>
      <c r="AT112" s="15">
        <v>1805</v>
      </c>
      <c r="AU112" s="15">
        <v>137.11999999999989</v>
      </c>
      <c r="AV112" s="15">
        <f t="shared" si="2"/>
        <v>1667.88</v>
      </c>
      <c r="AW112" s="15">
        <f t="shared" si="3"/>
        <v>23.340000000000003</v>
      </c>
      <c r="AX112" s="15">
        <f t="shared" si="3"/>
        <v>13.989999999999998</v>
      </c>
      <c r="AY112" s="15">
        <f t="shared" si="4"/>
        <v>27</v>
      </c>
      <c r="AZ112" s="39">
        <v>15</v>
      </c>
      <c r="BA112" s="39">
        <v>1700</v>
      </c>
      <c r="BB112" s="15">
        <v>34</v>
      </c>
      <c r="BC112" s="15">
        <v>7.2</v>
      </c>
      <c r="BD112" s="15">
        <v>50</v>
      </c>
      <c r="BE112" s="38">
        <v>2.9999999999999997E-4</v>
      </c>
      <c r="BG112">
        <v>8.1160529770802521E-3</v>
      </c>
      <c r="BH112">
        <v>7.907325656743288E-3</v>
      </c>
      <c r="BI112">
        <v>1.0933994609999997E-2</v>
      </c>
      <c r="BJ112">
        <v>15.744952238399996</v>
      </c>
      <c r="BK112">
        <v>1735.5546999999999</v>
      </c>
      <c r="BL112">
        <v>2.2667104643835197E-2</v>
      </c>
      <c r="BM112">
        <v>2.3141176470588238E-2</v>
      </c>
      <c r="BN112">
        <v>14.085853889820624</v>
      </c>
      <c r="BO112" t="s">
        <v>83</v>
      </c>
      <c r="BP112">
        <v>9.7818429790420998E-3</v>
      </c>
      <c r="BQ112" t="s">
        <v>83</v>
      </c>
      <c r="BR112" t="s">
        <v>83</v>
      </c>
      <c r="BS112">
        <v>13.723596207991401</v>
      </c>
      <c r="BT112">
        <v>25.407384361148313</v>
      </c>
      <c r="BU112">
        <v>9.7818429790420998E-3</v>
      </c>
      <c r="BV112">
        <v>13.723596207991401</v>
      </c>
    </row>
    <row r="113" spans="1:74" x14ac:dyDescent="0.25">
      <c r="A113" s="16" t="s">
        <v>97</v>
      </c>
      <c r="B113" t="s">
        <v>26</v>
      </c>
      <c r="C113">
        <v>12</v>
      </c>
      <c r="D113">
        <v>3</v>
      </c>
      <c r="F113" s="17">
        <v>45536.582280092603</v>
      </c>
      <c r="G113">
        <v>1505.08</v>
      </c>
      <c r="H113">
        <v>7.2</v>
      </c>
      <c r="I113">
        <v>0.5</v>
      </c>
      <c r="J113">
        <v>34</v>
      </c>
      <c r="L113" s="15">
        <v>1561.79</v>
      </c>
      <c r="M113" s="15">
        <v>25.7</v>
      </c>
      <c r="N113" s="15">
        <v>24.7</v>
      </c>
      <c r="O113" s="15">
        <v>96.2</v>
      </c>
      <c r="P113" s="15">
        <v>16.899999999999999</v>
      </c>
      <c r="Q113" s="15">
        <v>333</v>
      </c>
      <c r="R113" s="15">
        <v>1.45</v>
      </c>
      <c r="S113" s="15">
        <v>0.39</v>
      </c>
      <c r="T113" s="15">
        <v>1.22</v>
      </c>
      <c r="U113" s="15"/>
      <c r="V113" s="15">
        <v>0.17</v>
      </c>
      <c r="W113" s="15">
        <v>0.03</v>
      </c>
      <c r="X113" s="15">
        <v>2.86</v>
      </c>
      <c r="Y113" s="15">
        <v>7.2460000000000004</v>
      </c>
      <c r="Z113" s="15">
        <v>114.6</v>
      </c>
      <c r="AA113" s="15">
        <v>27.3</v>
      </c>
      <c r="AB113" s="15">
        <v>2.7</v>
      </c>
      <c r="AC113" s="15">
        <v>145.6</v>
      </c>
      <c r="AD113" s="15">
        <v>48.5</v>
      </c>
      <c r="AE113" s="15">
        <v>100.5</v>
      </c>
      <c r="AF113" s="15">
        <v>22.1</v>
      </c>
      <c r="AG113" s="18">
        <v>7.2869999999999999</v>
      </c>
      <c r="AH113" s="15">
        <v>301</v>
      </c>
      <c r="AI113" s="15">
        <v>48.1</v>
      </c>
      <c r="AJ113" s="15">
        <v>7.27</v>
      </c>
      <c r="AK113" s="15">
        <f t="shared" si="0"/>
        <v>0.48100000000000004</v>
      </c>
      <c r="AL113" s="15">
        <v>34</v>
      </c>
      <c r="AM113" s="15">
        <v>24.568000000000001</v>
      </c>
      <c r="AN113" s="15">
        <v>0.89070000000000005</v>
      </c>
      <c r="AO113" s="15">
        <v>1.08</v>
      </c>
      <c r="AP113" s="15">
        <f t="shared" si="1"/>
        <v>1.09245133137067E-2</v>
      </c>
      <c r="AQ113" s="15">
        <v>39.74</v>
      </c>
      <c r="AR113" s="15">
        <v>32.46</v>
      </c>
      <c r="AS113" s="15">
        <v>647</v>
      </c>
      <c r="AT113" s="15">
        <v>1733</v>
      </c>
      <c r="AU113" s="15">
        <v>45.769999999999982</v>
      </c>
      <c r="AV113" s="15">
        <f t="shared" si="2"/>
        <v>1687.23</v>
      </c>
      <c r="AW113" s="15">
        <f t="shared" si="3"/>
        <v>23.740000000000002</v>
      </c>
      <c r="AX113" s="15">
        <f t="shared" si="3"/>
        <v>15.46</v>
      </c>
      <c r="AY113" s="15">
        <f t="shared" si="4"/>
        <v>28</v>
      </c>
      <c r="AZ113" s="39">
        <v>15</v>
      </c>
      <c r="BA113" s="39">
        <v>1700</v>
      </c>
      <c r="BB113" s="15">
        <v>34</v>
      </c>
      <c r="BC113" s="15">
        <v>7.2</v>
      </c>
      <c r="BD113" s="15">
        <v>50</v>
      </c>
      <c r="BE113" s="38">
        <v>2.9999999999999997E-4</v>
      </c>
      <c r="BG113">
        <v>9.0475349583796875E-3</v>
      </c>
      <c r="BH113">
        <v>7.6771012137581696E-3</v>
      </c>
      <c r="BI113">
        <v>1.2884053766999998E-2</v>
      </c>
      <c r="BJ113">
        <v>18.553037424479996</v>
      </c>
      <c r="BK113">
        <v>1738.7386999999999</v>
      </c>
      <c r="BL113">
        <v>2.2855648177612889E-2</v>
      </c>
      <c r="BM113">
        <v>2.3376470588235294E-2</v>
      </c>
      <c r="BN113">
        <v>15.73129917173765</v>
      </c>
      <c r="BO113" t="s">
        <v>83</v>
      </c>
      <c r="BP113">
        <v>1.09245133137067E-2</v>
      </c>
      <c r="BQ113" t="s">
        <v>83</v>
      </c>
      <c r="BR113" t="s">
        <v>83</v>
      </c>
      <c r="BS113">
        <v>13.348472984178301</v>
      </c>
      <c r="BT113">
        <v>28.375359256381039</v>
      </c>
      <c r="BU113">
        <v>1.09245133137067E-2</v>
      </c>
      <c r="BV113">
        <v>13.348472984178301</v>
      </c>
    </row>
    <row r="114" spans="1:74" x14ac:dyDescent="0.25">
      <c r="A114" s="16" t="s">
        <v>98</v>
      </c>
      <c r="B114" t="s">
        <v>26</v>
      </c>
      <c r="C114">
        <v>12</v>
      </c>
      <c r="D114">
        <v>3</v>
      </c>
      <c r="F114" s="17">
        <v>45536.586863425902</v>
      </c>
      <c r="G114">
        <v>1505.08</v>
      </c>
      <c r="H114">
        <v>7.2</v>
      </c>
      <c r="I114">
        <v>0.5</v>
      </c>
      <c r="J114">
        <v>34</v>
      </c>
      <c r="L114" s="15">
        <v>1559.4</v>
      </c>
      <c r="M114" s="15">
        <v>27.6</v>
      </c>
      <c r="N114" s="15">
        <v>26.3</v>
      </c>
      <c r="O114" s="15">
        <v>95.5</v>
      </c>
      <c r="P114" s="15">
        <v>16</v>
      </c>
      <c r="Q114" s="15">
        <v>314</v>
      </c>
      <c r="R114" s="15">
        <v>1.7</v>
      </c>
      <c r="S114" s="15">
        <v>0.41</v>
      </c>
      <c r="T114" s="15">
        <v>0.4</v>
      </c>
      <c r="U114" s="15"/>
      <c r="V114" s="15">
        <v>0.16</v>
      </c>
      <c r="W114" s="15">
        <v>0.04</v>
      </c>
      <c r="X114" s="15">
        <v>2.72</v>
      </c>
      <c r="Y114" s="15">
        <v>7.2809999999999997</v>
      </c>
      <c r="Z114" s="15">
        <v>92.1</v>
      </c>
      <c r="AA114" s="15">
        <v>42.7</v>
      </c>
      <c r="AB114" s="15">
        <v>3.41</v>
      </c>
      <c r="AC114" s="15">
        <v>138.1</v>
      </c>
      <c r="AD114" s="15">
        <v>42.3</v>
      </c>
      <c r="AE114" s="15">
        <v>80.7</v>
      </c>
      <c r="AF114" s="15">
        <v>34.5</v>
      </c>
      <c r="AG114" s="18">
        <v>7.3230000000000004</v>
      </c>
      <c r="AH114" s="15">
        <v>299</v>
      </c>
      <c r="AI114" s="15">
        <v>50.1</v>
      </c>
      <c r="AJ114" s="15">
        <v>7.3</v>
      </c>
      <c r="AK114" s="15">
        <f t="shared" si="0"/>
        <v>0.501</v>
      </c>
      <c r="AL114" s="15">
        <v>34</v>
      </c>
      <c r="AM114" s="15">
        <v>20.34</v>
      </c>
      <c r="AN114" s="15">
        <v>0.77580000000000005</v>
      </c>
      <c r="AO114" s="15">
        <v>2.2200000000000002</v>
      </c>
      <c r="AP114" s="15">
        <f t="shared" si="1"/>
        <v>1.7280784666155399E-2</v>
      </c>
      <c r="AQ114" s="15">
        <v>30.62</v>
      </c>
      <c r="AR114" s="15">
        <v>32.630000000000003</v>
      </c>
      <c r="AS114" s="15">
        <v>646</v>
      </c>
      <c r="AT114" s="15">
        <v>1756</v>
      </c>
      <c r="AU114" s="15">
        <v>84.700000000000045</v>
      </c>
      <c r="AV114" s="15">
        <f t="shared" si="2"/>
        <v>1671.3</v>
      </c>
      <c r="AW114" s="15">
        <f t="shared" si="3"/>
        <v>15.620000000000001</v>
      </c>
      <c r="AX114" s="15">
        <f t="shared" si="3"/>
        <v>17.630000000000003</v>
      </c>
      <c r="AY114" s="15">
        <f t="shared" si="4"/>
        <v>18</v>
      </c>
      <c r="AZ114" s="39">
        <v>15</v>
      </c>
      <c r="BA114" s="39">
        <v>1700</v>
      </c>
      <c r="BB114" s="15">
        <v>34</v>
      </c>
      <c r="BC114" s="15">
        <v>7.2</v>
      </c>
      <c r="BD114" s="15">
        <v>50</v>
      </c>
      <c r="BE114" s="38">
        <v>2.9999999999999997E-4</v>
      </c>
      <c r="BG114">
        <v>1.4412449076821883E-2</v>
      </c>
      <c r="BH114">
        <v>7.1167129289496063E-3</v>
      </c>
      <c r="BI114">
        <v>1.3622761962000001E-2</v>
      </c>
      <c r="BJ114">
        <v>19.61677722528</v>
      </c>
      <c r="BK114">
        <v>1726.5858000000001</v>
      </c>
      <c r="BL114">
        <v>1.7734421307067393E-2</v>
      </c>
      <c r="BM114">
        <v>1.8011764705882352E-2</v>
      </c>
      <c r="BN114">
        <v>24.884329919263774</v>
      </c>
      <c r="BO114" t="s">
        <v>83</v>
      </c>
      <c r="BP114">
        <v>1.7280784666155399E-2</v>
      </c>
      <c r="BQ114" t="s">
        <v>83</v>
      </c>
      <c r="BR114" t="s">
        <v>83</v>
      </c>
      <c r="BS114">
        <v>12.287615485800799</v>
      </c>
      <c r="BT114">
        <v>44.885154977027014</v>
      </c>
      <c r="BU114">
        <v>1.7280784666155399E-2</v>
      </c>
      <c r="BV114">
        <v>12.287615485800799</v>
      </c>
    </row>
    <row r="115" spans="1:74" x14ac:dyDescent="0.25">
      <c r="A115" s="16" t="s">
        <v>99</v>
      </c>
      <c r="B115" t="s">
        <v>27</v>
      </c>
      <c r="C115">
        <v>12</v>
      </c>
      <c r="D115">
        <v>3</v>
      </c>
      <c r="F115" s="17">
        <v>45536.592604166697</v>
      </c>
      <c r="G115">
        <v>1505.08</v>
      </c>
      <c r="H115">
        <v>7.2</v>
      </c>
      <c r="I115">
        <v>0.5</v>
      </c>
      <c r="J115">
        <v>34</v>
      </c>
      <c r="L115" s="15">
        <v>1532.5</v>
      </c>
      <c r="M115" s="15">
        <v>22</v>
      </c>
      <c r="N115" s="15">
        <v>20.5</v>
      </c>
      <c r="O115" s="15">
        <v>93.3</v>
      </c>
      <c r="P115" s="15">
        <v>16.5</v>
      </c>
      <c r="Q115" s="15">
        <v>340</v>
      </c>
      <c r="R115" s="15">
        <v>2.78</v>
      </c>
      <c r="S115" s="15">
        <v>0.42</v>
      </c>
      <c r="T115" s="15">
        <v>0.05</v>
      </c>
      <c r="U115" s="15"/>
      <c r="V115" s="15">
        <v>0.12</v>
      </c>
      <c r="W115" s="15">
        <v>0.04</v>
      </c>
      <c r="X115" s="15">
        <v>4.18</v>
      </c>
      <c r="Y115" s="15">
        <v>7.2880000000000003</v>
      </c>
      <c r="Z115" s="15">
        <v>100.1</v>
      </c>
      <c r="AA115" s="15">
        <v>40</v>
      </c>
      <c r="AB115" s="15">
        <v>3.34</v>
      </c>
      <c r="AC115" s="15">
        <v>152.69999999999999</v>
      </c>
      <c r="AD115" s="15">
        <v>46.7</v>
      </c>
      <c r="AE115" s="15">
        <v>87.8</v>
      </c>
      <c r="AF115" s="15">
        <v>32.299999999999997</v>
      </c>
      <c r="AG115" s="18">
        <v>7.33</v>
      </c>
      <c r="AH115" s="15">
        <v>300</v>
      </c>
      <c r="AI115" s="15">
        <v>49</v>
      </c>
      <c r="AJ115" s="15">
        <v>7.29</v>
      </c>
      <c r="AK115" s="15">
        <f t="shared" si="0"/>
        <v>0.49</v>
      </c>
      <c r="AL115" s="15">
        <v>34</v>
      </c>
      <c r="AM115" s="15">
        <v>28.350999999999999</v>
      </c>
      <c r="AN115" s="15">
        <v>3.0745</v>
      </c>
      <c r="AO115" s="15">
        <v>2.2400000000000002</v>
      </c>
      <c r="AP115" s="15">
        <f t="shared" si="1"/>
        <v>9.5190912847222236E-3</v>
      </c>
      <c r="AQ115" s="15">
        <v>32.28</v>
      </c>
      <c r="AR115" s="15">
        <v>29.18</v>
      </c>
      <c r="AS115" s="15">
        <v>644</v>
      </c>
      <c r="AT115" s="15">
        <v>1750</v>
      </c>
      <c r="AU115" s="15">
        <v>47.420000000000073</v>
      </c>
      <c r="AV115" s="15">
        <f t="shared" si="2"/>
        <v>1702.58</v>
      </c>
      <c r="AW115" s="15">
        <f t="shared" si="3"/>
        <v>16.28</v>
      </c>
      <c r="AX115" s="15">
        <f t="shared" si="3"/>
        <v>12.18</v>
      </c>
      <c r="AY115" s="15">
        <f t="shared" si="4"/>
        <v>18</v>
      </c>
      <c r="AZ115" s="39">
        <v>15</v>
      </c>
      <c r="BA115" s="39">
        <v>1700</v>
      </c>
      <c r="BB115" s="15">
        <v>34</v>
      </c>
      <c r="BC115" s="15">
        <v>7.2</v>
      </c>
      <c r="BD115" s="15">
        <v>50</v>
      </c>
      <c r="BE115" s="38">
        <v>2.9999999999999997E-4</v>
      </c>
      <c r="BF115">
        <v>7.9000000000000008E-3</v>
      </c>
      <c r="BI115">
        <v>1.0671021824999998E-2</v>
      </c>
      <c r="BJ115">
        <v>15.366271427999996</v>
      </c>
      <c r="BK115">
        <v>1735.1255000000001</v>
      </c>
      <c r="BL115">
        <v>1.8603841624136121E-2</v>
      </c>
      <c r="BM115">
        <v>1.8988235294117646E-2</v>
      </c>
      <c r="BN115">
        <v>13.707491450000001</v>
      </c>
      <c r="BO115">
        <v>9.5190912847222236E-3</v>
      </c>
      <c r="BP115" t="s">
        <v>83</v>
      </c>
      <c r="BQ115" t="s">
        <v>83</v>
      </c>
      <c r="BR115">
        <v>12.796550562500002</v>
      </c>
      <c r="BS115" t="s">
        <v>83</v>
      </c>
      <c r="BT115">
        <v>24.724912427849933</v>
      </c>
      <c r="BU115">
        <v>9.5190912847222236E-3</v>
      </c>
      <c r="BV115">
        <v>12.796550562500002</v>
      </c>
    </row>
    <row r="116" spans="1:74" x14ac:dyDescent="0.25">
      <c r="A116" s="16" t="s">
        <v>100</v>
      </c>
      <c r="B116" t="s">
        <v>27</v>
      </c>
      <c r="C116">
        <v>12</v>
      </c>
      <c r="D116">
        <v>3</v>
      </c>
      <c r="F116" s="17">
        <v>45536.596238425896</v>
      </c>
      <c r="G116">
        <v>1505.08</v>
      </c>
      <c r="H116">
        <v>7.2</v>
      </c>
      <c r="I116">
        <v>0.5</v>
      </c>
      <c r="J116">
        <v>34</v>
      </c>
      <c r="L116" s="15">
        <v>1485.02</v>
      </c>
      <c r="M116" s="15">
        <v>22.9</v>
      </c>
      <c r="N116" s="15">
        <v>21.6</v>
      </c>
      <c r="O116" s="15">
        <v>94.6</v>
      </c>
      <c r="P116" s="15">
        <v>16.600000000000001</v>
      </c>
      <c r="Q116" s="15">
        <v>341</v>
      </c>
      <c r="R116" s="15">
        <v>2.96</v>
      </c>
      <c r="S116" s="15">
        <v>0.41</v>
      </c>
      <c r="T116" s="15">
        <v>0.05</v>
      </c>
      <c r="U116" s="15"/>
      <c r="V116" s="15">
        <v>0.13</v>
      </c>
      <c r="W116" s="15">
        <v>0.03</v>
      </c>
      <c r="X116" s="15">
        <v>3.81</v>
      </c>
      <c r="Y116" s="15">
        <v>7.2549999999999999</v>
      </c>
      <c r="Z116" s="15">
        <v>114.5</v>
      </c>
      <c r="AA116" s="15">
        <v>26.2</v>
      </c>
      <c r="AB116" s="15">
        <v>3.13</v>
      </c>
      <c r="AC116" s="15">
        <v>152.9</v>
      </c>
      <c r="AD116" s="15">
        <v>49.5</v>
      </c>
      <c r="AE116" s="15">
        <v>100.4</v>
      </c>
      <c r="AF116" s="15">
        <v>21.2</v>
      </c>
      <c r="AG116" s="18">
        <v>7.2969999999999997</v>
      </c>
      <c r="AH116" s="15">
        <v>302</v>
      </c>
      <c r="AI116" s="15">
        <v>49.5</v>
      </c>
      <c r="AJ116" s="15">
        <v>7.3</v>
      </c>
      <c r="AK116" s="15">
        <f t="shared" si="0"/>
        <v>0.495</v>
      </c>
      <c r="AL116" s="15">
        <v>34</v>
      </c>
      <c r="AM116" s="15">
        <v>27.696000000000002</v>
      </c>
      <c r="AN116" s="15">
        <v>1.8246</v>
      </c>
      <c r="AO116" s="15">
        <v>2.08</v>
      </c>
      <c r="AP116" s="15">
        <f t="shared" si="1"/>
        <v>1.2907771124999998E-2</v>
      </c>
      <c r="AQ116" s="15">
        <v>38.58</v>
      </c>
      <c r="AR116" s="15">
        <v>26.94</v>
      </c>
      <c r="AS116" s="15">
        <v>618</v>
      </c>
      <c r="AT116" s="15">
        <v>1773</v>
      </c>
      <c r="AU116" s="15">
        <v>133.55999999999995</v>
      </c>
      <c r="AV116" s="15">
        <f t="shared" si="2"/>
        <v>1639.44</v>
      </c>
      <c r="AW116" s="15">
        <f t="shared" si="3"/>
        <v>16.579999999999998</v>
      </c>
      <c r="AX116" s="15">
        <f t="shared" si="3"/>
        <v>11.940000000000001</v>
      </c>
      <c r="AY116" s="15">
        <f t="shared" si="4"/>
        <v>18</v>
      </c>
      <c r="AZ116" s="39">
        <v>15</v>
      </c>
      <c r="BA116" s="39">
        <v>1700</v>
      </c>
      <c r="BB116" s="15">
        <v>34</v>
      </c>
      <c r="BC116" s="15">
        <v>7.2</v>
      </c>
      <c r="BD116" s="15">
        <v>50</v>
      </c>
      <c r="BE116" s="38">
        <v>2.9999999999999997E-4</v>
      </c>
      <c r="BF116">
        <v>1.0699999999999999E-2</v>
      </c>
      <c r="BI116">
        <v>1.1256541488E-2</v>
      </c>
      <c r="BJ116">
        <v>16.209419742720002</v>
      </c>
      <c r="BK116">
        <v>1737.1206</v>
      </c>
      <c r="BL116">
        <v>2.2209166133888458E-2</v>
      </c>
      <c r="BM116">
        <v>2.2694117647058823E-2</v>
      </c>
      <c r="BN116">
        <v>18.587190419999999</v>
      </c>
      <c r="BO116">
        <v>1.2907771124999998E-2</v>
      </c>
      <c r="BP116" t="s">
        <v>83</v>
      </c>
      <c r="BQ116" t="s">
        <v>83</v>
      </c>
      <c r="BR116">
        <v>12.811264425000001</v>
      </c>
      <c r="BS116" t="s">
        <v>83</v>
      </c>
      <c r="BT116">
        <v>33.526678246753242</v>
      </c>
      <c r="BU116">
        <v>1.2907771124999998E-2</v>
      </c>
      <c r="BV116">
        <v>12.811264425000001</v>
      </c>
    </row>
    <row r="117" spans="1:74" ht="15.75" thickBot="1" x14ac:dyDescent="0.3">
      <c r="A117" s="19" t="s">
        <v>101</v>
      </c>
      <c r="B117" s="20" t="s">
        <v>27</v>
      </c>
      <c r="C117" s="20">
        <v>12</v>
      </c>
      <c r="D117" s="20">
        <v>3</v>
      </c>
      <c r="E117" s="20"/>
      <c r="F117" s="21">
        <v>45536.599247685197</v>
      </c>
      <c r="G117" s="20">
        <v>1505.08</v>
      </c>
      <c r="H117">
        <v>7.2</v>
      </c>
      <c r="I117">
        <v>0.5</v>
      </c>
      <c r="J117">
        <v>34</v>
      </c>
      <c r="L117" s="22">
        <v>1508.78</v>
      </c>
      <c r="M117" s="22">
        <v>24.8</v>
      </c>
      <c r="N117" s="22">
        <v>23.6</v>
      </c>
      <c r="O117" s="22">
        <v>94.9</v>
      </c>
      <c r="P117" s="22">
        <v>16.600000000000001</v>
      </c>
      <c r="Q117" s="22">
        <v>340</v>
      </c>
      <c r="R117" s="22">
        <v>2.36</v>
      </c>
      <c r="S117" s="22">
        <v>0.4</v>
      </c>
      <c r="T117" s="22">
        <v>0.09</v>
      </c>
      <c r="U117" s="22"/>
      <c r="V117" s="22">
        <v>0.18</v>
      </c>
      <c r="W117" s="22">
        <v>0.04</v>
      </c>
      <c r="X117" s="22">
        <v>4.01</v>
      </c>
      <c r="Y117" s="22">
        <v>7.2919999999999998</v>
      </c>
      <c r="Z117" s="22">
        <v>97.6</v>
      </c>
      <c r="AA117" s="22">
        <v>53.9</v>
      </c>
      <c r="AB117" s="22">
        <v>3.26</v>
      </c>
      <c r="AC117" s="22">
        <v>152.69999999999999</v>
      </c>
      <c r="AD117" s="22">
        <v>46</v>
      </c>
      <c r="AE117" s="22">
        <v>85.6</v>
      </c>
      <c r="AF117" s="22">
        <v>43.7</v>
      </c>
      <c r="AG117" s="23">
        <v>7.3339999999999996</v>
      </c>
      <c r="AH117" s="15">
        <v>300</v>
      </c>
      <c r="AI117" s="15">
        <v>53</v>
      </c>
      <c r="AJ117" s="15">
        <v>7.3</v>
      </c>
      <c r="AK117" s="15">
        <f t="shared" si="0"/>
        <v>0.53</v>
      </c>
      <c r="AL117" s="15">
        <v>34</v>
      </c>
      <c r="AM117" s="15">
        <v>28.271000000000001</v>
      </c>
      <c r="AN117" s="15">
        <v>3.0888</v>
      </c>
      <c r="AO117" s="15">
        <v>2.1</v>
      </c>
      <c r="AP117" s="15">
        <f t="shared" si="1"/>
        <v>1.1483651458333331E-2</v>
      </c>
      <c r="AQ117" s="15">
        <v>38.42</v>
      </c>
      <c r="AR117" s="15">
        <v>28.8</v>
      </c>
      <c r="AS117" s="15">
        <v>648</v>
      </c>
      <c r="AT117" s="15">
        <v>1759</v>
      </c>
      <c r="AU117" s="15">
        <v>51.660000000000082</v>
      </c>
      <c r="AV117" s="15">
        <f t="shared" si="2"/>
        <v>1707.34</v>
      </c>
      <c r="AW117" s="15">
        <f t="shared" si="3"/>
        <v>17.420000000000002</v>
      </c>
      <c r="AX117" s="15">
        <f t="shared" si="3"/>
        <v>12.8</v>
      </c>
      <c r="AY117" s="15">
        <f t="shared" si="4"/>
        <v>20</v>
      </c>
      <c r="AZ117" s="39">
        <v>15</v>
      </c>
      <c r="BA117" s="39">
        <v>1700</v>
      </c>
      <c r="BB117" s="15">
        <v>34</v>
      </c>
      <c r="BC117" s="15">
        <v>7.2</v>
      </c>
      <c r="BD117" s="15">
        <v>50</v>
      </c>
      <c r="BE117" s="38">
        <v>2.9999999999999997E-4</v>
      </c>
      <c r="BF117">
        <v>9.4999999999999998E-3</v>
      </c>
      <c r="BI117">
        <v>1.2324012983999998E-2</v>
      </c>
      <c r="BJ117">
        <v>17.746578696959997</v>
      </c>
      <c r="BK117">
        <v>1740.6797999999999</v>
      </c>
      <c r="BL117">
        <v>2.2071836531911269E-2</v>
      </c>
      <c r="BM117">
        <v>2.2600000000000002E-2</v>
      </c>
      <c r="BN117">
        <v>16.536458099999997</v>
      </c>
      <c r="BO117">
        <v>1.1483651458333331E-2</v>
      </c>
      <c r="BP117" t="s">
        <v>83</v>
      </c>
      <c r="BQ117" t="s">
        <v>83</v>
      </c>
      <c r="BR117">
        <v>12.663445545</v>
      </c>
      <c r="BS117" t="s">
        <v>83</v>
      </c>
      <c r="BT117">
        <v>29.827666125541121</v>
      </c>
      <c r="BU117">
        <v>1.1483651458333331E-2</v>
      </c>
      <c r="BV117">
        <v>12.663445545</v>
      </c>
    </row>
    <row r="118" spans="1:74" x14ac:dyDescent="0.25">
      <c r="A118" s="10" t="s">
        <v>96</v>
      </c>
      <c r="B118" s="11" t="s">
        <v>26</v>
      </c>
      <c r="C118" s="11">
        <v>12</v>
      </c>
      <c r="D118" s="11">
        <v>4</v>
      </c>
      <c r="E118" s="11"/>
      <c r="F118" s="12">
        <v>45537.435821759304</v>
      </c>
      <c r="G118" s="11">
        <v>2119.61</v>
      </c>
      <c r="H118">
        <v>7.2</v>
      </c>
      <c r="I118">
        <v>0.5</v>
      </c>
      <c r="J118">
        <v>34</v>
      </c>
      <c r="L118" s="13">
        <v>1925.0550000000001</v>
      </c>
      <c r="M118" s="13">
        <v>24.3</v>
      </c>
      <c r="N118" s="13">
        <v>23.1</v>
      </c>
      <c r="O118" s="13">
        <v>95.3</v>
      </c>
      <c r="P118" s="13">
        <v>16.5</v>
      </c>
      <c r="Q118" s="13">
        <v>335</v>
      </c>
      <c r="R118" s="13">
        <v>1.32</v>
      </c>
      <c r="S118" s="13">
        <v>0.36</v>
      </c>
      <c r="T118" s="13">
        <v>2.97</v>
      </c>
      <c r="U118" s="13"/>
      <c r="V118" s="13">
        <v>0.13</v>
      </c>
      <c r="W118" s="13">
        <v>0.05</v>
      </c>
      <c r="X118" s="13">
        <v>2.34</v>
      </c>
      <c r="Y118" s="13">
        <v>7.24</v>
      </c>
      <c r="Z118" s="13">
        <v>112</v>
      </c>
      <c r="AA118" s="13">
        <v>16.399999999999999</v>
      </c>
      <c r="AB118" s="13">
        <v>2.97</v>
      </c>
      <c r="AC118" s="13">
        <v>142.9</v>
      </c>
      <c r="AD118" s="13">
        <v>46.7</v>
      </c>
      <c r="AE118" s="13">
        <v>98.2</v>
      </c>
      <c r="AF118" s="13">
        <v>13.2</v>
      </c>
      <c r="AG118" s="14">
        <v>7.2809999999999997</v>
      </c>
      <c r="AH118" s="15">
        <v>301</v>
      </c>
      <c r="AI118" s="15">
        <v>50.3</v>
      </c>
      <c r="AJ118" s="15">
        <v>7.27</v>
      </c>
      <c r="AK118" s="15">
        <f t="shared" si="0"/>
        <v>0.503</v>
      </c>
      <c r="AL118" s="15">
        <v>34</v>
      </c>
      <c r="AM118" s="15">
        <v>22.065000000000001</v>
      </c>
      <c r="AN118" s="15">
        <v>4.6547999999999998</v>
      </c>
      <c r="AO118" s="15">
        <v>2.27</v>
      </c>
      <c r="AP118" s="38">
        <f t="shared" si="1"/>
        <v>2.03306636472439E-2</v>
      </c>
      <c r="AQ118" s="15">
        <v>51.88</v>
      </c>
      <c r="AR118" s="15">
        <v>46.32</v>
      </c>
      <c r="AS118" s="15">
        <v>629.08000000000004</v>
      </c>
      <c r="AT118" s="15">
        <v>1822</v>
      </c>
      <c r="AU118" s="15">
        <v>137.11999999999989</v>
      </c>
      <c r="AV118" s="15">
        <f t="shared" si="2"/>
        <v>1684.88</v>
      </c>
      <c r="AW118" s="15">
        <f t="shared" si="3"/>
        <v>12.54</v>
      </c>
      <c r="AX118" s="15">
        <f t="shared" si="3"/>
        <v>14.330000000000002</v>
      </c>
      <c r="AY118" s="15">
        <f t="shared" si="4"/>
        <v>12.919999999999959</v>
      </c>
      <c r="AZ118" s="39">
        <v>15</v>
      </c>
      <c r="BA118" s="39">
        <v>1700</v>
      </c>
      <c r="BB118" s="15">
        <v>34</v>
      </c>
      <c r="BC118" s="15">
        <v>7.2</v>
      </c>
      <c r="BD118" s="15">
        <v>50</v>
      </c>
      <c r="BE118" s="38">
        <v>2.9999999999999997E-4</v>
      </c>
      <c r="BG118">
        <v>1.6708324436103449E-2</v>
      </c>
      <c r="BH118">
        <v>3.1248605606522366E-3</v>
      </c>
      <c r="BI118">
        <v>1.2142675314E-2</v>
      </c>
      <c r="BJ118">
        <v>17.485452452160001</v>
      </c>
      <c r="BK118">
        <v>1752.1898000000001</v>
      </c>
      <c r="BL118">
        <v>2.9608664540793469E-2</v>
      </c>
      <c r="BM118">
        <v>3.0517647058823531E-2</v>
      </c>
      <c r="BN118">
        <v>29.276155652031218</v>
      </c>
      <c r="BO118" t="s">
        <v>83</v>
      </c>
      <c r="BP118">
        <v>2.03306636472439E-2</v>
      </c>
      <c r="BQ118" t="s">
        <v>83</v>
      </c>
      <c r="BR118" t="s">
        <v>83</v>
      </c>
      <c r="BS118">
        <v>5.4753488007971303</v>
      </c>
      <c r="BT118">
        <v>52.806918564269871</v>
      </c>
      <c r="BU118">
        <v>2.03306636472439E-2</v>
      </c>
      <c r="BV118">
        <v>5.4753488007971303</v>
      </c>
    </row>
    <row r="119" spans="1:74" x14ac:dyDescent="0.25">
      <c r="A119" s="16" t="s">
        <v>97</v>
      </c>
      <c r="B119" t="s">
        <v>26</v>
      </c>
      <c r="C119">
        <v>12</v>
      </c>
      <c r="D119">
        <v>4</v>
      </c>
      <c r="F119" s="17">
        <v>45537.4385763889</v>
      </c>
      <c r="G119">
        <v>2119.61</v>
      </c>
      <c r="H119">
        <v>7.2</v>
      </c>
      <c r="I119">
        <v>0.5</v>
      </c>
      <c r="J119">
        <v>34</v>
      </c>
      <c r="L119" s="15">
        <v>1966.86</v>
      </c>
      <c r="M119" s="15">
        <v>25.1</v>
      </c>
      <c r="N119" s="15">
        <v>24</v>
      </c>
      <c r="O119" s="15">
        <v>95.6</v>
      </c>
      <c r="P119" s="15">
        <v>16.7</v>
      </c>
      <c r="Q119" s="15">
        <v>338</v>
      </c>
      <c r="R119" s="15">
        <v>1.28</v>
      </c>
      <c r="S119" s="15">
        <v>0.34</v>
      </c>
      <c r="T119" s="15">
        <v>2.62</v>
      </c>
      <c r="U119" s="15"/>
      <c r="V119" s="15">
        <v>0.14000000000000001</v>
      </c>
      <c r="W119" s="15">
        <v>0.04</v>
      </c>
      <c r="X119" s="15">
        <v>2.15</v>
      </c>
      <c r="Y119" s="15">
        <v>7.2809999999999997</v>
      </c>
      <c r="Z119" s="15">
        <v>121.3</v>
      </c>
      <c r="AA119" s="15">
        <v>31.7</v>
      </c>
      <c r="AB119" s="15">
        <v>2.82</v>
      </c>
      <c r="AC119" s="15">
        <v>145.5</v>
      </c>
      <c r="AD119" s="15">
        <v>55.7</v>
      </c>
      <c r="AE119" s="15">
        <v>106.4</v>
      </c>
      <c r="AF119" s="15">
        <v>25.6</v>
      </c>
      <c r="AG119" s="18">
        <v>7.3230000000000004</v>
      </c>
      <c r="AH119" s="15">
        <v>301</v>
      </c>
      <c r="AI119" s="15">
        <v>52.8</v>
      </c>
      <c r="AJ119" s="15">
        <v>7.29</v>
      </c>
      <c r="AK119" s="15">
        <f t="shared" si="0"/>
        <v>0.52800000000000002</v>
      </c>
      <c r="AL119" s="15">
        <v>34</v>
      </c>
      <c r="AM119" s="15">
        <v>24.568000000000001</v>
      </c>
      <c r="AN119" s="15">
        <v>3.2469000000000001</v>
      </c>
      <c r="AO119" s="15">
        <v>1.38</v>
      </c>
      <c r="AP119" s="15">
        <f t="shared" si="1"/>
        <v>1.81470467977842E-2</v>
      </c>
      <c r="AQ119" s="15">
        <v>53.59</v>
      </c>
      <c r="AR119" s="15">
        <v>46.45</v>
      </c>
      <c r="AS119" s="15">
        <v>632.23</v>
      </c>
      <c r="AT119" s="15">
        <v>1763</v>
      </c>
      <c r="AU119" s="15">
        <v>45.769999999999982</v>
      </c>
      <c r="AV119" s="15">
        <f t="shared" si="2"/>
        <v>1717.23</v>
      </c>
      <c r="AW119" s="15">
        <f t="shared" si="3"/>
        <v>13.850000000000001</v>
      </c>
      <c r="AX119" s="15">
        <f t="shared" si="3"/>
        <v>13.990000000000002</v>
      </c>
      <c r="AY119" s="15">
        <f t="shared" si="4"/>
        <v>14.769999999999982</v>
      </c>
      <c r="AZ119" s="39">
        <v>15</v>
      </c>
      <c r="BA119" s="39">
        <v>1700</v>
      </c>
      <c r="BB119" s="15">
        <v>34</v>
      </c>
      <c r="BC119" s="15">
        <v>7.2</v>
      </c>
      <c r="BD119" s="15">
        <v>50</v>
      </c>
      <c r="BE119" s="38">
        <v>2.9999999999999997E-4</v>
      </c>
      <c r="BG119">
        <v>1.4896378694101485E-2</v>
      </c>
      <c r="BH119">
        <v>2.389137326932978E-3</v>
      </c>
      <c r="BI119">
        <v>1.263049128E-2</v>
      </c>
      <c r="BJ119">
        <v>18.187907443199997</v>
      </c>
      <c r="BK119">
        <v>1754.2348999999999</v>
      </c>
      <c r="BL119">
        <v>3.0548930476756567E-2</v>
      </c>
      <c r="BM119">
        <v>3.1523529411764707E-2</v>
      </c>
      <c r="BN119">
        <v>26.131747388809249</v>
      </c>
      <c r="BO119" t="s">
        <v>83</v>
      </c>
      <c r="BP119">
        <v>1.81470467977842E-2</v>
      </c>
      <c r="BQ119" t="s">
        <v>83</v>
      </c>
      <c r="BR119" t="s">
        <v>83</v>
      </c>
      <c r="BS119">
        <v>4.1911080797985401</v>
      </c>
      <c r="BT119">
        <v>47.13518648775117</v>
      </c>
      <c r="BU119">
        <v>1.81470467977842E-2</v>
      </c>
      <c r="BV119">
        <v>4.1911080797985401</v>
      </c>
    </row>
    <row r="120" spans="1:74" x14ac:dyDescent="0.25">
      <c r="A120" s="16" t="s">
        <v>98</v>
      </c>
      <c r="B120" t="s">
        <v>26</v>
      </c>
      <c r="C120">
        <v>12</v>
      </c>
      <c r="D120">
        <v>4</v>
      </c>
      <c r="E120" t="s">
        <v>104</v>
      </c>
      <c r="F120" s="17">
        <v>45537.441435185203</v>
      </c>
      <c r="G120">
        <v>2119.61</v>
      </c>
      <c r="H120">
        <v>7.2</v>
      </c>
      <c r="I120">
        <v>0.5</v>
      </c>
      <c r="J120">
        <v>34</v>
      </c>
      <c r="L120" s="15">
        <v>1661.28</v>
      </c>
      <c r="M120" s="15">
        <v>28.4</v>
      </c>
      <c r="N120" s="15">
        <v>26.2</v>
      </c>
      <c r="O120" s="15">
        <v>92.5</v>
      </c>
      <c r="P120" s="15">
        <v>15.6</v>
      </c>
      <c r="Q120" s="15">
        <v>373</v>
      </c>
      <c r="R120" s="15">
        <v>1.94</v>
      </c>
      <c r="S120" s="15">
        <v>0.37</v>
      </c>
      <c r="T120" s="15">
        <v>0.03</v>
      </c>
      <c r="U120" s="15"/>
      <c r="V120" s="15">
        <v>0.28000000000000003</v>
      </c>
      <c r="W120" s="15">
        <v>0.98</v>
      </c>
      <c r="X120" s="15">
        <v>6.46</v>
      </c>
      <c r="Y120" s="15">
        <v>7.1040000000000001</v>
      </c>
      <c r="Z120" s="15">
        <v>52.1</v>
      </c>
      <c r="AA120" s="15">
        <v>25.9</v>
      </c>
      <c r="AB120" s="15">
        <v>5.14</v>
      </c>
      <c r="AC120" s="15">
        <v>157.1</v>
      </c>
      <c r="AD120" s="15">
        <v>15.8</v>
      </c>
      <c r="AE120" s="15">
        <v>45.7</v>
      </c>
      <c r="AF120" s="15">
        <v>20.9</v>
      </c>
      <c r="AG120" s="18">
        <v>7.1420000000000003</v>
      </c>
      <c r="AH120" s="15">
        <v>298</v>
      </c>
      <c r="AI120" s="15">
        <v>64.3</v>
      </c>
      <c r="AJ120" s="15">
        <v>7.17</v>
      </c>
      <c r="AK120" s="15">
        <f t="shared" si="0"/>
        <v>0.64300000000000002</v>
      </c>
      <c r="AL120" s="15">
        <v>34</v>
      </c>
      <c r="AM120" s="15">
        <v>34.698999999999998</v>
      </c>
      <c r="AN120" s="15">
        <v>1.2355</v>
      </c>
      <c r="AO120" s="15">
        <v>2.92</v>
      </c>
      <c r="AP120" s="15">
        <f t="shared" si="1"/>
        <v>2.93434083333333E-2</v>
      </c>
      <c r="AQ120" s="15">
        <v>51.12</v>
      </c>
      <c r="AR120" s="15">
        <v>45.63</v>
      </c>
      <c r="AS120" s="15">
        <v>621.55999999999995</v>
      </c>
      <c r="AT120" s="15">
        <v>1791</v>
      </c>
      <c r="AU120" s="15">
        <v>84.700000000000045</v>
      </c>
      <c r="AV120" s="15">
        <f t="shared" si="2"/>
        <v>1706.3</v>
      </c>
      <c r="AW120" s="15">
        <f t="shared" si="3"/>
        <v>20.499999999999996</v>
      </c>
      <c r="AX120" s="15">
        <f t="shared" si="3"/>
        <v>13</v>
      </c>
      <c r="AY120" s="15">
        <f t="shared" si="4"/>
        <v>24.440000000000055</v>
      </c>
      <c r="AZ120" s="39">
        <v>15</v>
      </c>
      <c r="BA120" s="39">
        <v>1700</v>
      </c>
      <c r="BB120" s="15">
        <v>34</v>
      </c>
      <c r="BC120" s="15">
        <v>7.2</v>
      </c>
      <c r="BD120" s="15">
        <v>50</v>
      </c>
      <c r="BE120" s="38">
        <v>2.9999999999999997E-4</v>
      </c>
      <c r="BG120">
        <v>2.3999999999999976E-2</v>
      </c>
      <c r="BH120">
        <v>8.502714696423018E-3</v>
      </c>
      <c r="BI120">
        <v>1.3838351369999998E-2</v>
      </c>
      <c r="BJ120">
        <v>19.927225972799995</v>
      </c>
      <c r="BK120">
        <v>1760.6044999999999</v>
      </c>
      <c r="BL120">
        <v>2.9035481847285976E-2</v>
      </c>
      <c r="BM120">
        <v>3.0070588235294116E-2</v>
      </c>
      <c r="BN120">
        <v>42.254507999999959</v>
      </c>
      <c r="BO120" t="s">
        <v>83</v>
      </c>
      <c r="BP120">
        <v>2.93434083333333E-2</v>
      </c>
      <c r="BQ120" t="s">
        <v>83</v>
      </c>
      <c r="BR120" t="s">
        <v>83</v>
      </c>
      <c r="BS120">
        <v>14.9699177567385</v>
      </c>
      <c r="BT120">
        <v>76.216645021644936</v>
      </c>
      <c r="BU120">
        <v>2.93434083333333E-2</v>
      </c>
      <c r="BV120">
        <v>14.9699177567385</v>
      </c>
    </row>
    <row r="121" spans="1:74" x14ac:dyDescent="0.25">
      <c r="A121" s="16" t="s">
        <v>99</v>
      </c>
      <c r="B121" t="s">
        <v>27</v>
      </c>
      <c r="C121">
        <v>12</v>
      </c>
      <c r="D121">
        <v>4</v>
      </c>
      <c r="F121" s="17">
        <v>45537.446064814802</v>
      </c>
      <c r="G121">
        <v>2119.61</v>
      </c>
      <c r="H121">
        <v>7.2</v>
      </c>
      <c r="I121">
        <v>0.5</v>
      </c>
      <c r="J121">
        <v>34</v>
      </c>
      <c r="L121" s="15">
        <v>1852.2</v>
      </c>
      <c r="M121" s="15">
        <v>23.4</v>
      </c>
      <c r="N121" s="15">
        <v>21.7</v>
      </c>
      <c r="O121" s="15">
        <v>92.8</v>
      </c>
      <c r="P121" s="15">
        <v>17</v>
      </c>
      <c r="Q121" s="15">
        <v>338</v>
      </c>
      <c r="R121" s="15">
        <v>1.47</v>
      </c>
      <c r="S121" s="15">
        <v>0.37</v>
      </c>
      <c r="T121" s="15">
        <v>1.04</v>
      </c>
      <c r="U121" s="15"/>
      <c r="V121" s="15">
        <v>0.15</v>
      </c>
      <c r="W121" s="15">
        <v>0.04</v>
      </c>
      <c r="X121" s="15">
        <v>4.01</v>
      </c>
      <c r="Y121" s="15">
        <v>7.1879999999999997</v>
      </c>
      <c r="Z121" s="15">
        <v>104.1</v>
      </c>
      <c r="AA121" s="15">
        <v>0</v>
      </c>
      <c r="AB121" s="15">
        <v>3.22</v>
      </c>
      <c r="AC121" s="15">
        <v>149.1</v>
      </c>
      <c r="AD121" s="15">
        <v>38.4</v>
      </c>
      <c r="AE121" s="15">
        <v>91.3</v>
      </c>
      <c r="AF121" s="15">
        <v>0</v>
      </c>
      <c r="AG121" s="18">
        <v>7.2279999999999998</v>
      </c>
      <c r="AH121" s="15">
        <v>302</v>
      </c>
      <c r="AI121" s="15">
        <v>46.6</v>
      </c>
      <c r="AJ121" s="15">
        <v>7.22</v>
      </c>
      <c r="AK121" s="15">
        <f t="shared" si="0"/>
        <v>0.46600000000000003</v>
      </c>
      <c r="AL121" s="15">
        <v>34</v>
      </c>
      <c r="AM121" s="15">
        <v>28.350999999999999</v>
      </c>
      <c r="AN121" s="15">
        <v>6.8529</v>
      </c>
      <c r="AO121" s="15">
        <v>2.95</v>
      </c>
      <c r="AP121" s="15">
        <f t="shared" si="1"/>
        <v>8.9943603194444447E-3</v>
      </c>
      <c r="AQ121" s="15">
        <v>44.08</v>
      </c>
      <c r="AR121" s="15">
        <v>43.02</v>
      </c>
      <c r="AS121" s="15">
        <v>629.41999999999996</v>
      </c>
      <c r="AT121" s="15">
        <v>1763</v>
      </c>
      <c r="AU121" s="15">
        <v>47.420000000000073</v>
      </c>
      <c r="AV121" s="15">
        <f t="shared" si="2"/>
        <v>1715.58</v>
      </c>
      <c r="AW121" s="15">
        <f t="shared" si="3"/>
        <v>11.799999999999997</v>
      </c>
      <c r="AX121" s="15">
        <f t="shared" si="3"/>
        <v>13.840000000000003</v>
      </c>
      <c r="AY121" s="15">
        <f t="shared" si="4"/>
        <v>14.580000000000041</v>
      </c>
      <c r="AZ121" s="39">
        <v>15</v>
      </c>
      <c r="BA121" s="39">
        <v>1700</v>
      </c>
      <c r="BB121" s="15">
        <v>34</v>
      </c>
      <c r="BC121" s="15">
        <v>7.2</v>
      </c>
      <c r="BD121" s="15">
        <v>50</v>
      </c>
      <c r="BE121" s="38">
        <v>2.9999999999999997E-4</v>
      </c>
      <c r="BF121">
        <v>7.4000000000000003E-3</v>
      </c>
      <c r="BI121">
        <v>1.1394152889E-2</v>
      </c>
      <c r="BJ121">
        <v>16.407580160159998</v>
      </c>
      <c r="BK121">
        <v>1750.2538999999999</v>
      </c>
      <c r="BL121">
        <v>2.5184917456832979E-2</v>
      </c>
      <c r="BM121">
        <v>2.5929411764705881E-2</v>
      </c>
      <c r="BN121">
        <v>12.951878860000001</v>
      </c>
      <c r="BO121">
        <v>8.9943603194444447E-3</v>
      </c>
      <c r="BP121" t="s">
        <v>83</v>
      </c>
      <c r="BQ121" t="s">
        <v>83</v>
      </c>
      <c r="BR121">
        <v>8.5762441099999993</v>
      </c>
      <c r="BS121" t="s">
        <v>83</v>
      </c>
      <c r="BT121">
        <v>23.361974855699856</v>
      </c>
      <c r="BU121">
        <v>8.9943603194444447E-3</v>
      </c>
      <c r="BV121">
        <v>8.5762441099999993</v>
      </c>
    </row>
    <row r="122" spans="1:74" x14ac:dyDescent="0.25">
      <c r="A122" s="16" t="s">
        <v>100</v>
      </c>
      <c r="B122" t="s">
        <v>27</v>
      </c>
      <c r="C122">
        <v>12</v>
      </c>
      <c r="D122">
        <v>4</v>
      </c>
      <c r="E122" t="s">
        <v>105</v>
      </c>
      <c r="F122" s="17">
        <v>45537.449282407397</v>
      </c>
      <c r="G122">
        <v>2119.61</v>
      </c>
      <c r="H122">
        <v>7.2</v>
      </c>
      <c r="I122">
        <v>0.5</v>
      </c>
      <c r="J122">
        <v>34</v>
      </c>
      <c r="L122" s="15">
        <v>1875.4649999999999</v>
      </c>
      <c r="M122" s="15">
        <v>23</v>
      </c>
      <c r="N122" s="15">
        <v>21.6</v>
      </c>
      <c r="O122" s="15">
        <v>93.8</v>
      </c>
      <c r="P122" s="15">
        <v>17</v>
      </c>
      <c r="Q122" s="15">
        <v>351</v>
      </c>
      <c r="R122" s="15">
        <v>1.47</v>
      </c>
      <c r="S122" s="15">
        <v>0.36</v>
      </c>
      <c r="T122" s="15">
        <v>1.58</v>
      </c>
      <c r="U122" s="15"/>
      <c r="V122" s="15">
        <v>0.17</v>
      </c>
      <c r="W122" s="15">
        <v>0.03</v>
      </c>
      <c r="X122" s="15">
        <v>2.94</v>
      </c>
      <c r="Y122" s="15">
        <v>7.2830000000000004</v>
      </c>
      <c r="Z122" s="15">
        <v>116.1</v>
      </c>
      <c r="AA122" s="15">
        <v>17.7</v>
      </c>
      <c r="AB122" s="15">
        <v>2.74</v>
      </c>
      <c r="AC122" s="15">
        <v>154.6</v>
      </c>
      <c r="AD122" s="15">
        <v>53.6</v>
      </c>
      <c r="AE122" s="15">
        <v>101.8</v>
      </c>
      <c r="AF122" s="15">
        <v>14.3</v>
      </c>
      <c r="AG122" s="18">
        <v>7.3250000000000002</v>
      </c>
      <c r="AH122" s="15">
        <v>299</v>
      </c>
      <c r="AI122" s="15">
        <v>50.1</v>
      </c>
      <c r="AJ122" s="15">
        <v>7.3</v>
      </c>
      <c r="AK122" s="15">
        <f t="shared" si="0"/>
        <v>0.501</v>
      </c>
      <c r="AL122" s="15">
        <v>34</v>
      </c>
      <c r="AM122" s="15">
        <v>27.696000000000002</v>
      </c>
      <c r="AN122" s="15">
        <v>5.5312000000000001</v>
      </c>
      <c r="AO122" s="15">
        <v>2.77</v>
      </c>
      <c r="AP122" s="15">
        <f t="shared" si="1"/>
        <v>2.4387877777777778E-2</v>
      </c>
      <c r="AQ122" s="15">
        <v>54.19</v>
      </c>
      <c r="AR122" s="15">
        <v>40.74</v>
      </c>
      <c r="AS122" s="15">
        <v>597.16</v>
      </c>
      <c r="AT122" s="15">
        <v>1790</v>
      </c>
      <c r="AU122" s="15">
        <v>133.55999999999995</v>
      </c>
      <c r="AV122" s="15">
        <f t="shared" si="2"/>
        <v>1656.44</v>
      </c>
      <c r="AW122" s="15">
        <f t="shared" si="3"/>
        <v>15.61</v>
      </c>
      <c r="AX122" s="15">
        <f t="shared" si="3"/>
        <v>13.8</v>
      </c>
      <c r="AY122" s="15">
        <f t="shared" si="4"/>
        <v>20.840000000000032</v>
      </c>
      <c r="AZ122" s="39">
        <v>15</v>
      </c>
      <c r="BA122" s="39">
        <v>1700</v>
      </c>
      <c r="BB122" s="15">
        <v>34</v>
      </c>
      <c r="BC122" s="15">
        <v>7.2</v>
      </c>
      <c r="BD122" s="15">
        <v>50</v>
      </c>
      <c r="BE122" s="38">
        <v>2.9999999999999997E-4</v>
      </c>
      <c r="BF122">
        <v>0.02</v>
      </c>
      <c r="BI122">
        <v>1.1378408256E-2</v>
      </c>
      <c r="BJ122">
        <v>16.384907888640001</v>
      </c>
      <c r="BK122">
        <v>1755.9272000000001</v>
      </c>
      <c r="BL122">
        <v>3.0861188322613829E-2</v>
      </c>
      <c r="BM122">
        <v>3.1876470588235291E-2</v>
      </c>
      <c r="BN122">
        <v>35.118544</v>
      </c>
      <c r="BO122">
        <v>2.4387877777777778E-2</v>
      </c>
      <c r="BP122" t="s">
        <v>83</v>
      </c>
      <c r="BQ122" t="s">
        <v>83</v>
      </c>
      <c r="BR122">
        <v>0</v>
      </c>
      <c r="BS122" t="s">
        <v>83</v>
      </c>
      <c r="BT122">
        <v>63.34513708513709</v>
      </c>
      <c r="BU122">
        <v>2.4387877777777778E-2</v>
      </c>
      <c r="BV122">
        <v>0</v>
      </c>
    </row>
    <row r="123" spans="1:74" ht="15.75" thickBot="1" x14ac:dyDescent="0.3">
      <c r="A123" s="19" t="s">
        <v>101</v>
      </c>
      <c r="B123" s="20" t="s">
        <v>27</v>
      </c>
      <c r="C123" s="20">
        <v>12</v>
      </c>
      <c r="D123" s="20">
        <v>4</v>
      </c>
      <c r="E123" s="20"/>
      <c r="F123" s="21">
        <v>45537.452534722201</v>
      </c>
      <c r="G123" s="20">
        <v>2119.61</v>
      </c>
      <c r="H123">
        <v>7.2</v>
      </c>
      <c r="I123">
        <v>0.5</v>
      </c>
      <c r="J123">
        <v>34</v>
      </c>
      <c r="L123" s="22">
        <v>1929.885</v>
      </c>
      <c r="M123" s="22">
        <v>24.6</v>
      </c>
      <c r="N123" s="22">
        <v>23</v>
      </c>
      <c r="O123" s="22">
        <v>93.2</v>
      </c>
      <c r="P123" s="22">
        <v>16.600000000000001</v>
      </c>
      <c r="Q123" s="22">
        <v>345</v>
      </c>
      <c r="R123" s="22">
        <v>1.31</v>
      </c>
      <c r="S123" s="22">
        <v>0.35</v>
      </c>
      <c r="T123" s="22">
        <v>1.59</v>
      </c>
      <c r="U123" s="22"/>
      <c r="V123" s="22">
        <v>0.11</v>
      </c>
      <c r="W123" s="22">
        <v>0.01</v>
      </c>
      <c r="X123" s="22">
        <v>3.07</v>
      </c>
      <c r="Y123" s="22">
        <v>7.3159999999999998</v>
      </c>
      <c r="Z123" s="22">
        <v>98.5</v>
      </c>
      <c r="AA123" s="22">
        <v>51</v>
      </c>
      <c r="AB123" s="22">
        <v>2.91</v>
      </c>
      <c r="AC123" s="22">
        <v>149.6</v>
      </c>
      <c r="AD123" s="22">
        <v>49.1</v>
      </c>
      <c r="AE123" s="22">
        <v>86.4</v>
      </c>
      <c r="AF123" s="22">
        <v>41.4</v>
      </c>
      <c r="AG123" s="23">
        <v>7.359</v>
      </c>
      <c r="AH123" s="15">
        <v>301</v>
      </c>
      <c r="AI123" s="15">
        <v>49.1</v>
      </c>
      <c r="AJ123" s="15">
        <v>7.3</v>
      </c>
      <c r="AK123" s="15">
        <f t="shared" si="0"/>
        <v>0.49099999999999999</v>
      </c>
      <c r="AL123" s="15">
        <v>34</v>
      </c>
      <c r="AM123" s="15">
        <v>28.271000000000001</v>
      </c>
      <c r="AN123" s="15">
        <v>7.8441999999999998</v>
      </c>
      <c r="AO123" s="15">
        <v>2.8</v>
      </c>
      <c r="AP123" s="15">
        <f t="shared" si="1"/>
        <v>2.2596018194444442E-2</v>
      </c>
      <c r="AQ123" s="15">
        <v>52.46</v>
      </c>
      <c r="AR123" s="15">
        <v>42.45</v>
      </c>
      <c r="AS123" s="15">
        <v>633.13</v>
      </c>
      <c r="AT123" s="15">
        <v>1784</v>
      </c>
      <c r="AU123" s="15">
        <v>51.660000000000082</v>
      </c>
      <c r="AV123" s="15">
        <f t="shared" si="2"/>
        <v>1732.34</v>
      </c>
      <c r="AW123" s="15">
        <f t="shared" si="3"/>
        <v>14.04</v>
      </c>
      <c r="AX123" s="15">
        <f t="shared" si="3"/>
        <v>13.650000000000002</v>
      </c>
      <c r="AY123" s="15">
        <f t="shared" si="4"/>
        <v>14.870000000000005</v>
      </c>
      <c r="AZ123" s="39">
        <v>15</v>
      </c>
      <c r="BA123" s="39">
        <v>1700</v>
      </c>
      <c r="BB123" s="15">
        <v>34</v>
      </c>
      <c r="BC123" s="15">
        <v>7.2</v>
      </c>
      <c r="BD123" s="15">
        <v>50</v>
      </c>
      <c r="BE123" s="38">
        <v>2.9999999999999997E-4</v>
      </c>
      <c r="BF123">
        <v>1.8499999999999999E-2</v>
      </c>
      <c r="BI123">
        <v>1.2135893879999998E-2</v>
      </c>
      <c r="BJ123">
        <v>17.475687187199998</v>
      </c>
      <c r="BK123">
        <v>1758.8252</v>
      </c>
      <c r="BL123">
        <v>2.9826727522439412E-2</v>
      </c>
      <c r="BM123">
        <v>3.0858823529411765E-2</v>
      </c>
      <c r="BN123">
        <v>32.538266199999995</v>
      </c>
      <c r="BO123">
        <v>2.2596018194444442E-2</v>
      </c>
      <c r="BP123" t="s">
        <v>83</v>
      </c>
      <c r="BQ123" t="s">
        <v>83</v>
      </c>
      <c r="BR123">
        <v>0</v>
      </c>
      <c r="BS123" t="s">
        <v>83</v>
      </c>
      <c r="BT123">
        <v>58.690956349206346</v>
      </c>
      <c r="BU123">
        <v>2.2596018194444442E-2</v>
      </c>
      <c r="BV123">
        <v>0</v>
      </c>
    </row>
    <row r="124" spans="1:74" x14ac:dyDescent="0.25">
      <c r="A124" s="10" t="s">
        <v>96</v>
      </c>
      <c r="B124" s="11" t="s">
        <v>26</v>
      </c>
      <c r="C124" s="11">
        <v>12</v>
      </c>
      <c r="D124" s="11">
        <v>5</v>
      </c>
      <c r="E124" t="s">
        <v>104</v>
      </c>
      <c r="F124" s="12">
        <v>45538.412222222199</v>
      </c>
      <c r="G124" s="11">
        <v>2716.05</v>
      </c>
      <c r="H124">
        <v>7.2</v>
      </c>
      <c r="I124">
        <v>0.5</v>
      </c>
      <c r="J124">
        <v>34</v>
      </c>
      <c r="L124" s="13">
        <v>2667.585</v>
      </c>
      <c r="M124" s="13">
        <v>24</v>
      </c>
      <c r="N124" s="13">
        <v>22.9</v>
      </c>
      <c r="O124" s="13">
        <v>95.6</v>
      </c>
      <c r="P124" s="13">
        <v>16.8</v>
      </c>
      <c r="Q124" s="13">
        <v>340</v>
      </c>
      <c r="R124" s="13">
        <v>1.19</v>
      </c>
      <c r="S124" s="13">
        <v>0.3</v>
      </c>
      <c r="T124" s="13">
        <v>4.21</v>
      </c>
      <c r="U124" s="13"/>
      <c r="V124" s="13">
        <v>0.15</v>
      </c>
      <c r="W124" s="13">
        <v>0.06</v>
      </c>
      <c r="X124" s="13">
        <v>1.35</v>
      </c>
      <c r="Y124" s="13">
        <v>7.3150000000000004</v>
      </c>
      <c r="Z124" s="13">
        <v>116.6</v>
      </c>
      <c r="AA124" s="13">
        <v>11.2</v>
      </c>
      <c r="AB124" s="13">
        <v>2.67</v>
      </c>
      <c r="AC124" s="13">
        <v>142.4</v>
      </c>
      <c r="AD124" s="13">
        <v>57.9</v>
      </c>
      <c r="AE124" s="13">
        <v>102.2</v>
      </c>
      <c r="AF124" s="13">
        <v>9</v>
      </c>
      <c r="AG124" s="14">
        <v>7.3570000000000002</v>
      </c>
      <c r="AH124" s="15">
        <v>301</v>
      </c>
      <c r="AI124" s="15">
        <v>51.5</v>
      </c>
      <c r="AJ124" s="15">
        <v>7.3</v>
      </c>
      <c r="AK124" s="15">
        <f t="shared" si="0"/>
        <v>0.51500000000000001</v>
      </c>
      <c r="AL124" s="15">
        <v>34</v>
      </c>
      <c r="AM124" s="15">
        <v>22.07</v>
      </c>
      <c r="AN124" s="15">
        <v>7.36</v>
      </c>
      <c r="AO124" s="15">
        <v>3.02</v>
      </c>
      <c r="AP124" s="38">
        <f t="shared" si="1"/>
        <v>1.5867559989560302E-2</v>
      </c>
      <c r="AQ124" s="15">
        <v>77.8</v>
      </c>
      <c r="AR124" s="15">
        <v>52.48</v>
      </c>
      <c r="AS124" s="15">
        <v>598</v>
      </c>
      <c r="AT124" s="15">
        <v>1853</v>
      </c>
      <c r="AU124" s="15">
        <v>137.11999999999989</v>
      </c>
      <c r="AV124" s="15">
        <f t="shared" si="2"/>
        <v>1715.88</v>
      </c>
      <c r="AW124" s="15">
        <f t="shared" si="3"/>
        <v>25.919999999999995</v>
      </c>
      <c r="AX124" s="15">
        <f t="shared" si="3"/>
        <v>6.1599999999999966</v>
      </c>
      <c r="AY124" s="15">
        <f t="shared" si="4"/>
        <v>31.080000000000041</v>
      </c>
      <c r="AZ124" s="39">
        <v>15</v>
      </c>
      <c r="BA124" s="39">
        <v>1700</v>
      </c>
      <c r="BB124" s="15">
        <v>34</v>
      </c>
      <c r="BC124" s="15">
        <v>7.2</v>
      </c>
      <c r="BD124" s="15">
        <v>50</v>
      </c>
      <c r="BE124" s="38">
        <v>2.9999999999999997E-4</v>
      </c>
      <c r="BG124">
        <v>1.2889321207948664E-2</v>
      </c>
      <c r="BH124">
        <v>2.1914951019571392E-3</v>
      </c>
      <c r="BI124">
        <v>1.2178655099999998E-2</v>
      </c>
      <c r="BJ124">
        <v>17.537263343999996</v>
      </c>
      <c r="BK124">
        <v>1772.73</v>
      </c>
      <c r="BL124">
        <v>4.3887111968545688E-2</v>
      </c>
      <c r="BM124">
        <v>4.5764705882352937E-2</v>
      </c>
      <c r="BN124">
        <v>22.849286384966835</v>
      </c>
      <c r="BO124" t="s">
        <v>83</v>
      </c>
      <c r="BP124">
        <v>1.5867559989560302E-2</v>
      </c>
      <c r="BQ124" t="s">
        <v>83</v>
      </c>
      <c r="BR124" t="s">
        <v>83</v>
      </c>
      <c r="BS124">
        <v>3.8849291120924798</v>
      </c>
      <c r="BT124">
        <v>41.214441531325463</v>
      </c>
      <c r="BU124">
        <v>1.5867559989560302E-2</v>
      </c>
      <c r="BV124">
        <v>3.8849291120924798</v>
      </c>
    </row>
    <row r="125" spans="1:74" x14ac:dyDescent="0.25">
      <c r="A125" s="16" t="s">
        <v>97</v>
      </c>
      <c r="B125" t="s">
        <v>26</v>
      </c>
      <c r="C125">
        <v>12</v>
      </c>
      <c r="D125">
        <v>5</v>
      </c>
      <c r="F125" s="17">
        <v>45538.419768518499</v>
      </c>
      <c r="G125">
        <v>2716.05</v>
      </c>
      <c r="H125">
        <v>7.2</v>
      </c>
      <c r="I125">
        <v>0.5</v>
      </c>
      <c r="J125">
        <v>34</v>
      </c>
      <c r="L125" s="15">
        <v>2629.92</v>
      </c>
      <c r="M125" s="15">
        <v>26.2</v>
      </c>
      <c r="N125" s="15">
        <v>25</v>
      </c>
      <c r="O125" s="15">
        <v>95.3</v>
      </c>
      <c r="P125" s="15">
        <v>17</v>
      </c>
      <c r="Q125" s="15">
        <v>344</v>
      </c>
      <c r="R125" s="15">
        <v>1.19</v>
      </c>
      <c r="S125" s="15">
        <v>0.3</v>
      </c>
      <c r="T125" s="15">
        <v>3.43</v>
      </c>
      <c r="U125" s="15"/>
      <c r="V125" s="15">
        <v>0.16</v>
      </c>
      <c r="W125" s="15">
        <v>7.0000000000000007E-2</v>
      </c>
      <c r="X125" s="15">
        <v>1.42</v>
      </c>
      <c r="Y125" s="15">
        <v>7.298</v>
      </c>
      <c r="Z125" s="15">
        <v>126.9</v>
      </c>
      <c r="AA125" s="15">
        <v>36.799999999999997</v>
      </c>
      <c r="AB125" s="15">
        <v>2.5499999999999998</v>
      </c>
      <c r="AC125" s="15">
        <v>147.5</v>
      </c>
      <c r="AD125" s="15">
        <v>60.6</v>
      </c>
      <c r="AE125" s="15">
        <v>111.3</v>
      </c>
      <c r="AF125" s="15">
        <v>29.8</v>
      </c>
      <c r="AG125" s="18">
        <v>7.34</v>
      </c>
      <c r="AH125" s="15">
        <v>300</v>
      </c>
      <c r="AI125" s="15">
        <v>49.2</v>
      </c>
      <c r="AJ125" s="15">
        <v>7.3</v>
      </c>
      <c r="AK125" s="15">
        <f t="shared" si="0"/>
        <v>0.49200000000000005</v>
      </c>
      <c r="AL125" s="15">
        <v>34</v>
      </c>
      <c r="AM125" s="15">
        <v>24.57</v>
      </c>
      <c r="AN125" s="15">
        <v>9.2100000000000009</v>
      </c>
      <c r="AO125" s="15">
        <v>1.79</v>
      </c>
      <c r="AP125" s="15">
        <f t="shared" si="1"/>
        <v>1.8262915191301601E-2</v>
      </c>
      <c r="AQ125" s="15">
        <v>77.14</v>
      </c>
      <c r="AR125" s="15">
        <v>51.28</v>
      </c>
      <c r="AS125" s="15">
        <v>604</v>
      </c>
      <c r="AT125" s="15">
        <v>1776</v>
      </c>
      <c r="AU125" s="15">
        <v>45.769999999999982</v>
      </c>
      <c r="AV125" s="15">
        <f t="shared" si="2"/>
        <v>1730.23</v>
      </c>
      <c r="AW125" s="15">
        <f t="shared" si="3"/>
        <v>23.549999999999997</v>
      </c>
      <c r="AX125" s="15">
        <f t="shared" si="3"/>
        <v>4.8299999999999983</v>
      </c>
      <c r="AY125" s="15">
        <f t="shared" si="4"/>
        <v>28.230000000000018</v>
      </c>
      <c r="AZ125" s="39">
        <v>15</v>
      </c>
      <c r="BA125" s="39">
        <v>1700</v>
      </c>
      <c r="BB125" s="15">
        <v>34</v>
      </c>
      <c r="BC125" s="15">
        <v>7.2</v>
      </c>
      <c r="BD125" s="15">
        <v>50</v>
      </c>
      <c r="BE125" s="38">
        <v>2.9999999999999997E-4</v>
      </c>
      <c r="BG125">
        <v>1.4824546855097438E-2</v>
      </c>
      <c r="BH125">
        <v>3.4044862839259353E-3</v>
      </c>
      <c r="BI125">
        <v>1.3304924999999999E-2</v>
      </c>
      <c r="BJ125">
        <v>19.159092000000001</v>
      </c>
      <c r="BK125">
        <v>1773.99</v>
      </c>
      <c r="BL125">
        <v>4.3483897879920408E-2</v>
      </c>
      <c r="BM125">
        <v>4.5376470588235296E-2</v>
      </c>
      <c r="BN125">
        <v>26.298597875474304</v>
      </c>
      <c r="BO125" t="s">
        <v>83</v>
      </c>
      <c r="BP125">
        <v>1.8262915191301601E-2</v>
      </c>
      <c r="BQ125" t="s">
        <v>83</v>
      </c>
      <c r="BR125" t="s">
        <v>83</v>
      </c>
      <c r="BS125">
        <v>6.0395246228217703</v>
      </c>
      <c r="BT125">
        <v>47.436143354030136</v>
      </c>
      <c r="BU125">
        <v>1.8262915191301601E-2</v>
      </c>
      <c r="BV125">
        <v>6.0395246228217703</v>
      </c>
    </row>
    <row r="126" spans="1:74" x14ac:dyDescent="0.25">
      <c r="A126" s="16" t="s">
        <v>98</v>
      </c>
      <c r="B126" t="s">
        <v>26</v>
      </c>
      <c r="C126">
        <v>12</v>
      </c>
      <c r="D126">
        <v>5</v>
      </c>
      <c r="F126" s="17">
        <v>45538.424803240698</v>
      </c>
      <c r="G126">
        <v>2716.05</v>
      </c>
      <c r="H126">
        <v>7.2</v>
      </c>
      <c r="I126">
        <v>0.5</v>
      </c>
      <c r="J126">
        <v>34</v>
      </c>
      <c r="L126" s="15">
        <v>2112.0749999999998</v>
      </c>
      <c r="M126" s="15">
        <v>23.7</v>
      </c>
      <c r="N126" s="15">
        <v>19.2</v>
      </c>
      <c r="O126" s="15">
        <v>80.900000000000006</v>
      </c>
      <c r="P126" s="15">
        <v>16.899999999999999</v>
      </c>
      <c r="Q126" s="15"/>
      <c r="R126" s="15">
        <v>1.33</v>
      </c>
      <c r="S126" s="15">
        <v>0.34</v>
      </c>
      <c r="T126" s="15">
        <v>5.19</v>
      </c>
      <c r="U126" s="15"/>
      <c r="V126" s="15">
        <v>0.41</v>
      </c>
      <c r="W126" s="15">
        <v>0.77</v>
      </c>
      <c r="X126" s="15">
        <v>5.15</v>
      </c>
      <c r="Y126" s="15">
        <v>7.181</v>
      </c>
      <c r="Z126" s="15">
        <v>94</v>
      </c>
      <c r="AA126" s="15">
        <v>60.6</v>
      </c>
      <c r="AB126" s="15">
        <v>2.7</v>
      </c>
      <c r="AC126" s="15">
        <v>167.4</v>
      </c>
      <c r="AD126" s="15">
        <v>34.200000000000003</v>
      </c>
      <c r="AE126" s="15">
        <v>82.5</v>
      </c>
      <c r="AF126" s="15">
        <v>49.2</v>
      </c>
      <c r="AG126" s="18">
        <v>7.2210000000000001</v>
      </c>
      <c r="AH126" s="15">
        <v>299</v>
      </c>
      <c r="AI126" s="15">
        <v>49.5</v>
      </c>
      <c r="AJ126" s="15">
        <v>7.17</v>
      </c>
      <c r="AK126" s="15">
        <f t="shared" si="0"/>
        <v>0.495</v>
      </c>
      <c r="AL126" s="15">
        <v>34</v>
      </c>
      <c r="AM126" s="15">
        <v>38.049999999999997</v>
      </c>
      <c r="AN126" s="15">
        <v>1.26</v>
      </c>
      <c r="AO126" s="15">
        <v>3.86</v>
      </c>
      <c r="AP126" s="15">
        <f t="shared" si="1"/>
        <v>1.47762479948186E-2</v>
      </c>
      <c r="AQ126" s="15">
        <v>89.1</v>
      </c>
      <c r="AR126" s="15">
        <v>61.29</v>
      </c>
      <c r="AS126" s="15">
        <v>574</v>
      </c>
      <c r="AT126" s="15">
        <v>1840</v>
      </c>
      <c r="AU126" s="15">
        <v>84.700000000000045</v>
      </c>
      <c r="AV126" s="15">
        <f t="shared" si="2"/>
        <v>1755.3</v>
      </c>
      <c r="AW126" s="15">
        <f t="shared" si="3"/>
        <v>37.979999999999997</v>
      </c>
      <c r="AX126" s="15">
        <f t="shared" si="3"/>
        <v>15.659999999999997</v>
      </c>
      <c r="AY126" s="15">
        <f t="shared" si="4"/>
        <v>47.559999999999945</v>
      </c>
      <c r="AZ126" s="39">
        <v>15</v>
      </c>
      <c r="BA126" s="39">
        <v>1700</v>
      </c>
      <c r="BB126" s="15">
        <v>34</v>
      </c>
      <c r="BC126" s="15">
        <v>7.2</v>
      </c>
      <c r="BD126" s="15">
        <v>50</v>
      </c>
      <c r="BE126" s="38">
        <v>2.9999999999999997E-4</v>
      </c>
      <c r="BG126">
        <v>1.1797665235722008E-2</v>
      </c>
      <c r="BH126">
        <v>5.0807161037590871E-3</v>
      </c>
      <c r="BI126">
        <v>1.0388505599999999E-2</v>
      </c>
      <c r="BJ126">
        <v>14.959448063999996</v>
      </c>
      <c r="BK126">
        <v>1803.56</v>
      </c>
      <c r="BL126">
        <v>4.940229324225421E-2</v>
      </c>
      <c r="BM126">
        <v>5.2411764705882352E-2</v>
      </c>
      <c r="BN126">
        <v>21.277797112538785</v>
      </c>
      <c r="BO126" t="s">
        <v>83</v>
      </c>
      <c r="BP126">
        <v>1.47762479948186E-2</v>
      </c>
      <c r="BQ126" t="s">
        <v>83</v>
      </c>
      <c r="BR126" t="s">
        <v>83</v>
      </c>
      <c r="BS126">
        <v>9.1633763360957392</v>
      </c>
      <c r="BT126">
        <v>38.379864921606753</v>
      </c>
      <c r="BU126">
        <v>1.47762479948186E-2</v>
      </c>
      <c r="BV126">
        <v>9.1633763360957392</v>
      </c>
    </row>
    <row r="127" spans="1:74" x14ac:dyDescent="0.25">
      <c r="A127" s="16" t="s">
        <v>99</v>
      </c>
      <c r="B127" t="s">
        <v>27</v>
      </c>
      <c r="C127">
        <v>12</v>
      </c>
      <c r="D127">
        <v>5</v>
      </c>
      <c r="E127" t="s">
        <v>104</v>
      </c>
      <c r="F127" s="17">
        <v>45538.430219907401</v>
      </c>
      <c r="G127">
        <v>2716.05</v>
      </c>
      <c r="H127">
        <v>7.2</v>
      </c>
      <c r="I127">
        <v>0.5</v>
      </c>
      <c r="J127">
        <v>34</v>
      </c>
      <c r="L127" s="15">
        <v>2211.7800000000002</v>
      </c>
      <c r="M127" s="15">
        <v>23.6</v>
      </c>
      <c r="N127" s="15">
        <v>21.3</v>
      </c>
      <c r="O127" s="15">
        <v>90.2</v>
      </c>
      <c r="P127" s="15">
        <v>16.899999999999999</v>
      </c>
      <c r="Q127" s="15">
        <v>382</v>
      </c>
      <c r="R127" s="15">
        <v>1.48</v>
      </c>
      <c r="S127" s="15">
        <v>0.34</v>
      </c>
      <c r="T127" s="15">
        <v>0.04</v>
      </c>
      <c r="U127" s="15"/>
      <c r="V127" s="15">
        <v>0.24</v>
      </c>
      <c r="W127" s="15">
        <v>0.12</v>
      </c>
      <c r="X127" s="15">
        <v>7.2</v>
      </c>
      <c r="Y127" s="15">
        <v>7.2439999999999998</v>
      </c>
      <c r="Z127" s="15">
        <v>52.9</v>
      </c>
      <c r="AA127" s="15">
        <v>43.9</v>
      </c>
      <c r="AB127" s="15">
        <v>3.32</v>
      </c>
      <c r="AC127" s="15">
        <v>172.1</v>
      </c>
      <c r="AD127" s="15">
        <v>22.3</v>
      </c>
      <c r="AE127" s="15">
        <v>46.4</v>
      </c>
      <c r="AF127" s="15">
        <v>35.5</v>
      </c>
      <c r="AG127" s="18">
        <v>7.2850000000000001</v>
      </c>
      <c r="AH127" s="15">
        <v>299</v>
      </c>
      <c r="AI127" s="15">
        <v>54.9</v>
      </c>
      <c r="AJ127" s="15">
        <v>7.3</v>
      </c>
      <c r="AK127" s="15">
        <f t="shared" si="0"/>
        <v>0.54899999999999993</v>
      </c>
      <c r="AL127" s="15">
        <v>34</v>
      </c>
      <c r="AM127" s="15">
        <v>43.09</v>
      </c>
      <c r="AN127" s="15">
        <v>7.28</v>
      </c>
      <c r="AO127" s="15">
        <v>3.9</v>
      </c>
      <c r="AP127" s="15">
        <f t="shared" si="1"/>
        <v>2.469208333333333E-2</v>
      </c>
      <c r="AQ127" s="15">
        <v>56.53</v>
      </c>
      <c r="AR127" s="15">
        <v>57.03</v>
      </c>
      <c r="AS127" s="15">
        <v>615</v>
      </c>
      <c r="AT127" s="15">
        <v>1788</v>
      </c>
      <c r="AU127" s="15">
        <v>47.420000000000073</v>
      </c>
      <c r="AV127" s="15">
        <f t="shared" si="2"/>
        <v>1740.58</v>
      </c>
      <c r="AW127" s="15">
        <f t="shared" si="3"/>
        <v>12.450000000000003</v>
      </c>
      <c r="AX127" s="15">
        <f t="shared" si="3"/>
        <v>14.009999999999998</v>
      </c>
      <c r="AY127" s="15">
        <f t="shared" si="4"/>
        <v>14.419999999999959</v>
      </c>
      <c r="AZ127" s="39">
        <v>15</v>
      </c>
      <c r="BA127" s="39">
        <v>1700</v>
      </c>
      <c r="BB127" s="15">
        <v>34</v>
      </c>
      <c r="BC127" s="15">
        <v>7.2</v>
      </c>
      <c r="BD127" s="15">
        <v>50</v>
      </c>
      <c r="BE127" s="38">
        <v>2.9999999999999997E-4</v>
      </c>
      <c r="BF127">
        <v>0.02</v>
      </c>
      <c r="BI127">
        <v>1.1360333699999999E-2</v>
      </c>
      <c r="BJ127">
        <v>16.358880527999997</v>
      </c>
      <c r="BK127">
        <v>1777.83</v>
      </c>
      <c r="BL127">
        <v>3.1797190957515625E-2</v>
      </c>
      <c r="BM127">
        <v>3.3252941176470589E-2</v>
      </c>
      <c r="BN127">
        <v>35.556599999999989</v>
      </c>
      <c r="BO127">
        <v>2.469208333333333E-2</v>
      </c>
      <c r="BP127" t="s">
        <v>83</v>
      </c>
      <c r="BQ127" t="s">
        <v>83</v>
      </c>
      <c r="BR127">
        <v>13.155942</v>
      </c>
      <c r="BS127" t="s">
        <v>83</v>
      </c>
      <c r="BT127">
        <v>64.135281385281374</v>
      </c>
      <c r="BU127">
        <v>2.469208333333333E-2</v>
      </c>
      <c r="BV127">
        <v>13.155942</v>
      </c>
    </row>
    <row r="128" spans="1:74" x14ac:dyDescent="0.25">
      <c r="A128" s="16" t="s">
        <v>100</v>
      </c>
      <c r="B128" t="s">
        <v>27</v>
      </c>
      <c r="C128">
        <v>12</v>
      </c>
      <c r="D128">
        <v>5</v>
      </c>
      <c r="F128" s="17">
        <v>45538.436261574097</v>
      </c>
      <c r="G128">
        <v>2716.05</v>
      </c>
      <c r="H128">
        <v>7.2</v>
      </c>
      <c r="I128">
        <v>0.5</v>
      </c>
      <c r="J128">
        <v>34</v>
      </c>
      <c r="L128" s="15">
        <v>2474.67</v>
      </c>
      <c r="M128" s="15">
        <v>22.5</v>
      </c>
      <c r="N128" s="15">
        <v>21.4</v>
      </c>
      <c r="O128" s="15">
        <v>95.1</v>
      </c>
      <c r="P128" s="15">
        <v>18.100000000000001</v>
      </c>
      <c r="Q128" s="15">
        <v>371</v>
      </c>
      <c r="R128" s="15">
        <v>1.42</v>
      </c>
      <c r="S128" s="15">
        <v>0.32</v>
      </c>
      <c r="T128" s="15">
        <v>3.13</v>
      </c>
      <c r="U128" s="15"/>
      <c r="V128" s="15">
        <v>0.37</v>
      </c>
      <c r="W128" s="15">
        <v>0.08</v>
      </c>
      <c r="X128" s="15">
        <v>4.29</v>
      </c>
      <c r="Y128" s="15">
        <v>7.032</v>
      </c>
      <c r="Z128" s="15">
        <v>120.8</v>
      </c>
      <c r="AA128" s="15">
        <v>0</v>
      </c>
      <c r="AB128" s="15">
        <v>2.17</v>
      </c>
      <c r="AC128" s="15">
        <v>158.4</v>
      </c>
      <c r="AD128" s="15">
        <v>30.9</v>
      </c>
      <c r="AE128" s="15">
        <v>105.9</v>
      </c>
      <c r="AF128" s="15">
        <v>0</v>
      </c>
      <c r="AG128" s="18">
        <v>7.069</v>
      </c>
      <c r="AH128" s="15">
        <v>298</v>
      </c>
      <c r="AI128" s="15">
        <v>47.9</v>
      </c>
      <c r="AJ128" s="15">
        <v>7.1</v>
      </c>
      <c r="AK128" s="15">
        <f t="shared" si="0"/>
        <v>0.47899999999999998</v>
      </c>
      <c r="AL128" s="15">
        <v>34</v>
      </c>
      <c r="AM128" s="15">
        <v>30.4</v>
      </c>
      <c r="AN128" s="15">
        <v>7.31</v>
      </c>
      <c r="AO128" s="15">
        <v>3.7</v>
      </c>
      <c r="AP128" s="15">
        <f t="shared" si="1"/>
        <v>1.6795874999999998E-2</v>
      </c>
      <c r="AQ128" s="15">
        <v>85.27</v>
      </c>
      <c r="AR128" s="15">
        <v>54.88</v>
      </c>
      <c r="AS128" s="15">
        <v>560</v>
      </c>
      <c r="AT128" s="15">
        <v>1834</v>
      </c>
      <c r="AU128" s="15">
        <v>133.55999999999995</v>
      </c>
      <c r="AV128" s="15">
        <f t="shared" si="2"/>
        <v>1700.44</v>
      </c>
      <c r="AW128" s="15">
        <f t="shared" si="3"/>
        <v>31.08</v>
      </c>
      <c r="AX128" s="15">
        <f t="shared" si="3"/>
        <v>14.14</v>
      </c>
      <c r="AY128" s="15">
        <f t="shared" si="4"/>
        <v>37.159999999999968</v>
      </c>
      <c r="AZ128" s="39">
        <v>15</v>
      </c>
      <c r="BA128" s="39">
        <v>1700</v>
      </c>
      <c r="BB128" s="15">
        <v>34</v>
      </c>
      <c r="BC128" s="15">
        <v>7.2</v>
      </c>
      <c r="BD128" s="15">
        <v>50</v>
      </c>
      <c r="BE128" s="38">
        <v>2.9999999999999997E-4</v>
      </c>
      <c r="BF128">
        <v>1.35E-2</v>
      </c>
      <c r="BI128">
        <v>1.1501815199999998E-2</v>
      </c>
      <c r="BJ128">
        <v>16.562613887999994</v>
      </c>
      <c r="BK128">
        <v>1791.56</v>
      </c>
      <c r="BL128">
        <v>4.7595391725646918E-2</v>
      </c>
      <c r="BM128">
        <v>5.0158823529411763E-2</v>
      </c>
      <c r="BN128">
        <v>24.186059999999998</v>
      </c>
      <c r="BO128">
        <v>1.6795874999999998E-2</v>
      </c>
      <c r="BP128" t="s">
        <v>83</v>
      </c>
      <c r="BQ128" t="s">
        <v>83</v>
      </c>
      <c r="BR128">
        <v>0</v>
      </c>
      <c r="BS128" t="s">
        <v>83</v>
      </c>
      <c r="BT128">
        <v>43.625649350649347</v>
      </c>
      <c r="BU128">
        <v>1.6795874999999998E-2</v>
      </c>
      <c r="BV128">
        <v>0</v>
      </c>
    </row>
    <row r="129" spans="1:74" ht="15.75" thickBot="1" x14ac:dyDescent="0.3">
      <c r="A129" s="19" t="s">
        <v>101</v>
      </c>
      <c r="B129" s="20" t="s">
        <v>27</v>
      </c>
      <c r="C129" s="20">
        <v>12</v>
      </c>
      <c r="D129" s="20">
        <v>5</v>
      </c>
      <c r="E129" s="20"/>
      <c r="F129" s="21">
        <v>45538.440740740698</v>
      </c>
      <c r="G129" s="20">
        <v>2716.05</v>
      </c>
      <c r="H129">
        <v>7.2</v>
      </c>
      <c r="I129">
        <v>0.5</v>
      </c>
      <c r="J129">
        <v>34</v>
      </c>
      <c r="L129" s="22">
        <v>2568.7950000000001</v>
      </c>
      <c r="M129" s="22">
        <v>23.6</v>
      </c>
      <c r="N129" s="22">
        <v>22.1</v>
      </c>
      <c r="O129" s="22">
        <v>93.6</v>
      </c>
      <c r="P129" s="22">
        <v>17.100000000000001</v>
      </c>
      <c r="Q129" s="22">
        <v>362</v>
      </c>
      <c r="R129" s="22">
        <v>1.1299999999999999</v>
      </c>
      <c r="S129" s="22">
        <v>0.3</v>
      </c>
      <c r="T129" s="22">
        <v>4.75</v>
      </c>
      <c r="U129" s="22"/>
      <c r="V129" s="22">
        <v>0.16</v>
      </c>
      <c r="W129" s="22">
        <v>0.06</v>
      </c>
      <c r="X129" s="22">
        <v>2.42</v>
      </c>
      <c r="Y129" s="22">
        <v>7.2969999999999997</v>
      </c>
      <c r="Z129" s="22">
        <v>115.7</v>
      </c>
      <c r="AA129" s="22">
        <v>35.4</v>
      </c>
      <c r="AB129" s="22">
        <v>2.38</v>
      </c>
      <c r="AC129" s="22">
        <v>153</v>
      </c>
      <c r="AD129" s="22">
        <v>55.1</v>
      </c>
      <c r="AE129" s="22">
        <v>101.5</v>
      </c>
      <c r="AF129" s="22">
        <v>28.6</v>
      </c>
      <c r="AG129" s="23">
        <v>7.3390000000000004</v>
      </c>
      <c r="AH129" s="15">
        <v>298</v>
      </c>
      <c r="AI129" s="15">
        <v>47.6</v>
      </c>
      <c r="AJ129" s="15">
        <v>7.3</v>
      </c>
      <c r="AK129" s="15">
        <f t="shared" si="0"/>
        <v>0.47600000000000003</v>
      </c>
      <c r="AL129" s="15">
        <v>34</v>
      </c>
      <c r="AM129" s="15">
        <v>28.27</v>
      </c>
      <c r="AN129" s="15">
        <v>12.15</v>
      </c>
      <c r="AO129" s="15">
        <v>3.73</v>
      </c>
      <c r="AP129" s="15">
        <f t="shared" si="1"/>
        <v>2.48875E-2</v>
      </c>
      <c r="AQ129" s="15">
        <v>81.16</v>
      </c>
      <c r="AR129" s="15">
        <v>56.59</v>
      </c>
      <c r="AS129" s="15">
        <v>598</v>
      </c>
      <c r="AT129" s="15">
        <v>1805</v>
      </c>
      <c r="AU129" s="15">
        <v>51.660000000000082</v>
      </c>
      <c r="AV129" s="15">
        <f t="shared" si="2"/>
        <v>1753.34</v>
      </c>
      <c r="AW129" s="15">
        <f t="shared" si="3"/>
        <v>28.699999999999996</v>
      </c>
      <c r="AX129" s="15">
        <f t="shared" si="3"/>
        <v>14.14</v>
      </c>
      <c r="AY129" s="15">
        <f t="shared" si="4"/>
        <v>35.129999999999995</v>
      </c>
      <c r="AZ129" s="39">
        <v>15</v>
      </c>
      <c r="BA129" s="39">
        <v>1700</v>
      </c>
      <c r="BB129" s="15">
        <v>34</v>
      </c>
      <c r="BC129" s="15">
        <v>7.2</v>
      </c>
      <c r="BD129" s="15">
        <v>50</v>
      </c>
      <c r="BE129" s="38">
        <v>2.9999999999999997E-4</v>
      </c>
      <c r="BF129">
        <v>0.02</v>
      </c>
      <c r="BI129">
        <v>1.1880297E-2</v>
      </c>
      <c r="BJ129">
        <v>17.10762768</v>
      </c>
      <c r="BK129">
        <v>1791.9</v>
      </c>
      <c r="BL129">
        <v>4.5292706066186725E-2</v>
      </c>
      <c r="BM129">
        <v>4.7741176470588231E-2</v>
      </c>
      <c r="BN129">
        <v>35.837999999999994</v>
      </c>
      <c r="BO129">
        <v>2.48875E-2</v>
      </c>
      <c r="BP129" t="s">
        <v>83</v>
      </c>
      <c r="BQ129" t="s">
        <v>83</v>
      </c>
      <c r="BR129">
        <v>0</v>
      </c>
      <c r="BS129" t="s">
        <v>83</v>
      </c>
      <c r="BT129">
        <v>64.642857142857153</v>
      </c>
      <c r="BU129">
        <v>2.48875E-2</v>
      </c>
      <c r="BV129">
        <v>0</v>
      </c>
    </row>
    <row r="130" spans="1:74" x14ac:dyDescent="0.25">
      <c r="A130" s="10" t="s">
        <v>96</v>
      </c>
      <c r="B130" s="11" t="s">
        <v>26</v>
      </c>
      <c r="C130" s="11">
        <v>12</v>
      </c>
      <c r="D130" s="11">
        <v>6</v>
      </c>
      <c r="E130" s="11"/>
      <c r="F130" s="12">
        <v>45539.380868055603</v>
      </c>
      <c r="G130" s="11">
        <v>3307.9</v>
      </c>
      <c r="H130">
        <v>7.2</v>
      </c>
      <c r="I130">
        <v>0.5</v>
      </c>
      <c r="J130">
        <v>34</v>
      </c>
      <c r="L130" s="13">
        <v>3281.3249999999998</v>
      </c>
      <c r="M130" s="13">
        <v>24.8</v>
      </c>
      <c r="N130" s="13">
        <v>23.7</v>
      </c>
      <c r="O130" s="13">
        <v>95.4</v>
      </c>
      <c r="P130" s="13">
        <v>17.100000000000001</v>
      </c>
      <c r="Q130" s="13">
        <v>349</v>
      </c>
      <c r="R130" s="13">
        <v>1.21</v>
      </c>
      <c r="S130" s="13">
        <v>0.28999999999999998</v>
      </c>
      <c r="T130" s="13">
        <v>4.84</v>
      </c>
      <c r="U130" s="13"/>
      <c r="V130" s="13">
        <v>0.15</v>
      </c>
      <c r="W130" s="13">
        <v>0.09</v>
      </c>
      <c r="X130" s="13">
        <v>1.31</v>
      </c>
      <c r="Y130" s="13">
        <v>7.2489999999999997</v>
      </c>
      <c r="Z130" s="13">
        <v>120.8</v>
      </c>
      <c r="AA130" s="13">
        <v>24.1</v>
      </c>
      <c r="AB130" s="13">
        <v>2.33</v>
      </c>
      <c r="AC130" s="13">
        <v>143.80000000000001</v>
      </c>
      <c r="AD130" s="13">
        <v>51.4</v>
      </c>
      <c r="AE130" s="13">
        <v>105.9</v>
      </c>
      <c r="AF130" s="13">
        <v>19.5</v>
      </c>
      <c r="AG130" s="14">
        <v>7.29</v>
      </c>
      <c r="AH130" s="15">
        <v>299</v>
      </c>
      <c r="AI130" s="15">
        <v>50.9</v>
      </c>
      <c r="AJ130" s="15">
        <v>7.3</v>
      </c>
      <c r="AK130" s="15">
        <f t="shared" si="0"/>
        <v>0.50900000000000001</v>
      </c>
      <c r="AL130" s="15">
        <v>34</v>
      </c>
      <c r="AM130" s="15">
        <v>22.07</v>
      </c>
      <c r="AN130" s="15">
        <v>17.079999999999998</v>
      </c>
      <c r="AO130" s="15">
        <v>3.78</v>
      </c>
      <c r="AP130" s="38">
        <f t="shared" si="1"/>
        <v>7.8356545194428005E-3</v>
      </c>
      <c r="AQ130" s="15">
        <v>101.83</v>
      </c>
      <c r="AR130" s="15">
        <v>56.98</v>
      </c>
      <c r="AS130" s="15">
        <v>572</v>
      </c>
      <c r="AT130" s="15">
        <v>1873</v>
      </c>
      <c r="AU130" s="15">
        <v>137.11999999999989</v>
      </c>
      <c r="AV130" s="15">
        <f t="shared" si="2"/>
        <v>1735.88</v>
      </c>
      <c r="AW130" s="15">
        <f t="shared" si="3"/>
        <v>24.03</v>
      </c>
      <c r="AX130" s="15">
        <f t="shared" si="3"/>
        <v>4.5</v>
      </c>
      <c r="AY130" s="15">
        <f t="shared" si="4"/>
        <v>26</v>
      </c>
      <c r="AZ130" s="39">
        <v>15</v>
      </c>
      <c r="BA130" s="39">
        <v>1700</v>
      </c>
      <c r="BB130" s="15">
        <v>34</v>
      </c>
      <c r="BC130" s="15">
        <v>7.2</v>
      </c>
      <c r="BD130" s="15">
        <v>50</v>
      </c>
      <c r="BE130" s="38">
        <v>2.9999999999999997E-4</v>
      </c>
      <c r="BG130">
        <v>6.2798972071627691E-3</v>
      </c>
      <c r="BH130">
        <v>8.5936872387829075E-4</v>
      </c>
      <c r="BI130">
        <v>1.2774821399999999E-2</v>
      </c>
      <c r="BJ130">
        <v>18.395742815999998</v>
      </c>
      <c r="BK130">
        <v>1796.74</v>
      </c>
      <c r="BL130">
        <v>5.667486670302882E-2</v>
      </c>
      <c r="BM130">
        <v>5.9900000000000002E-2</v>
      </c>
      <c r="BN130">
        <v>11.283342507997634</v>
      </c>
      <c r="BO130" t="s">
        <v>83</v>
      </c>
      <c r="BP130">
        <v>7.8356545194428005E-3</v>
      </c>
      <c r="BQ130" t="s">
        <v>83</v>
      </c>
      <c r="BR130" t="s">
        <v>83</v>
      </c>
      <c r="BS130">
        <v>1.5440621609410801</v>
      </c>
      <c r="BT130">
        <v>20.352349401150132</v>
      </c>
      <c r="BU130">
        <v>7.8356545194428005E-3</v>
      </c>
      <c r="BV130">
        <v>1.5440621609410801</v>
      </c>
    </row>
    <row r="131" spans="1:74" x14ac:dyDescent="0.25">
      <c r="A131" s="16" t="s">
        <v>97</v>
      </c>
      <c r="B131" t="s">
        <v>26</v>
      </c>
      <c r="C131">
        <v>12</v>
      </c>
      <c r="D131">
        <v>6</v>
      </c>
      <c r="F131" s="17">
        <v>45539.3855555556</v>
      </c>
      <c r="G131">
        <v>3307.9</v>
      </c>
      <c r="H131">
        <v>7.2</v>
      </c>
      <c r="I131">
        <v>0.5</v>
      </c>
      <c r="J131">
        <v>34</v>
      </c>
      <c r="L131" s="15">
        <v>3228.69</v>
      </c>
      <c r="M131" s="15">
        <v>22.5</v>
      </c>
      <c r="N131" s="15">
        <v>21.3</v>
      </c>
      <c r="O131" s="15">
        <v>94.8</v>
      </c>
      <c r="P131" s="15">
        <v>17.3</v>
      </c>
      <c r="Q131" s="15">
        <v>352</v>
      </c>
      <c r="R131" s="15">
        <v>1.24</v>
      </c>
      <c r="S131" s="15">
        <v>0.27</v>
      </c>
      <c r="T131" s="15">
        <v>4.63</v>
      </c>
      <c r="U131" s="15"/>
      <c r="V131" s="15">
        <v>0.19</v>
      </c>
      <c r="W131" s="15">
        <v>7.0000000000000007E-2</v>
      </c>
      <c r="X131" s="15">
        <v>1.24</v>
      </c>
      <c r="Y131" s="15">
        <v>7.26</v>
      </c>
      <c r="Z131" s="15">
        <v>131.30000000000001</v>
      </c>
      <c r="AA131" s="15">
        <v>32.799999999999997</v>
      </c>
      <c r="AB131" s="15">
        <v>2.16</v>
      </c>
      <c r="AC131" s="15">
        <v>148.80000000000001</v>
      </c>
      <c r="AD131" s="15">
        <v>57.3</v>
      </c>
      <c r="AE131" s="15">
        <v>115.2</v>
      </c>
      <c r="AF131" s="15">
        <v>26.5</v>
      </c>
      <c r="AG131" s="18">
        <v>7.3010000000000002</v>
      </c>
      <c r="AH131" s="15">
        <v>300</v>
      </c>
      <c r="AI131" s="15">
        <v>49.1</v>
      </c>
      <c r="AJ131" s="15">
        <v>7.3</v>
      </c>
      <c r="AK131" s="15">
        <f t="shared" si="0"/>
        <v>0.49099999999999999</v>
      </c>
      <c r="AL131" s="15">
        <v>34</v>
      </c>
      <c r="AM131" s="15">
        <v>24.57</v>
      </c>
      <c r="AN131" s="15">
        <v>17.100000000000001</v>
      </c>
      <c r="AO131" s="15">
        <v>2.19</v>
      </c>
      <c r="AP131" s="15">
        <f t="shared" si="1"/>
        <v>1.24636201409791E-2</v>
      </c>
      <c r="AQ131" s="15">
        <v>103.58</v>
      </c>
      <c r="AR131" s="15">
        <v>57.93</v>
      </c>
      <c r="AS131" s="15">
        <v>576</v>
      </c>
      <c r="AT131" s="15">
        <v>1800</v>
      </c>
      <c r="AU131" s="15">
        <v>45.769999999999982</v>
      </c>
      <c r="AV131" s="15">
        <f t="shared" si="2"/>
        <v>1754.23</v>
      </c>
      <c r="AW131" s="15">
        <f t="shared" si="3"/>
        <v>26.439999999999998</v>
      </c>
      <c r="AX131" s="15">
        <f t="shared" si="3"/>
        <v>6.6499999999999986</v>
      </c>
      <c r="AY131" s="15">
        <f t="shared" si="4"/>
        <v>28</v>
      </c>
      <c r="AZ131" s="39">
        <v>15</v>
      </c>
      <c r="BA131" s="39">
        <v>1700</v>
      </c>
      <c r="BB131" s="15">
        <v>34</v>
      </c>
      <c r="BC131" s="15">
        <v>7.2</v>
      </c>
      <c r="BD131" s="15">
        <v>50</v>
      </c>
      <c r="BE131" s="38">
        <v>2.9999999999999997E-4</v>
      </c>
      <c r="BG131">
        <v>9.9688469609079833E-3</v>
      </c>
      <c r="BH131">
        <v>1.0000000000000001E-7</v>
      </c>
      <c r="BI131">
        <v>1.1504364299999998E-2</v>
      </c>
      <c r="BJ131">
        <v>16.566284591999995</v>
      </c>
      <c r="BK131">
        <v>1800.37</v>
      </c>
      <c r="BL131">
        <v>5.7532618295128228E-2</v>
      </c>
      <c r="BM131">
        <v>6.0929411764705885E-2</v>
      </c>
      <c r="BN131">
        <v>17.947613003009906</v>
      </c>
      <c r="BO131" t="s">
        <v>83</v>
      </c>
      <c r="BP131">
        <v>1.24636201409791E-2</v>
      </c>
      <c r="BQ131" t="s">
        <v>83</v>
      </c>
      <c r="BR131" t="s">
        <v>83</v>
      </c>
      <c r="BS131">
        <v>1.80037E-4</v>
      </c>
      <c r="BT131">
        <v>32.373039327218443</v>
      </c>
      <c r="BU131">
        <v>1.24636201409791E-2</v>
      </c>
      <c r="BV131">
        <v>1.80037E-4</v>
      </c>
    </row>
    <row r="132" spans="1:74" x14ac:dyDescent="0.25">
      <c r="A132" s="16" t="s">
        <v>98</v>
      </c>
      <c r="B132" t="s">
        <v>26</v>
      </c>
      <c r="C132">
        <v>12</v>
      </c>
      <c r="D132">
        <v>6</v>
      </c>
      <c r="F132" s="17">
        <v>45539.395648148202</v>
      </c>
      <c r="G132">
        <v>3307.9</v>
      </c>
      <c r="H132">
        <v>7.2</v>
      </c>
      <c r="I132">
        <v>0.5</v>
      </c>
      <c r="J132">
        <v>34</v>
      </c>
      <c r="L132" s="15">
        <v>2691.27</v>
      </c>
      <c r="M132" s="15">
        <v>23.5</v>
      </c>
      <c r="N132" s="15">
        <v>18.8</v>
      </c>
      <c r="O132" s="15">
        <v>80.099999999999994</v>
      </c>
      <c r="P132" s="15">
        <v>17.7</v>
      </c>
      <c r="Q132" s="15">
        <v>415</v>
      </c>
      <c r="R132" s="15">
        <v>1.75</v>
      </c>
      <c r="S132" s="15">
        <v>0.3</v>
      </c>
      <c r="T132" s="15">
        <v>5.42</v>
      </c>
      <c r="U132" s="15"/>
      <c r="V132" s="15">
        <v>0.22</v>
      </c>
      <c r="W132" s="15">
        <v>0.11</v>
      </c>
      <c r="X132" s="15">
        <v>4.7</v>
      </c>
      <c r="Y132" s="15">
        <v>7.1950000000000003</v>
      </c>
      <c r="Z132" s="15">
        <v>105.3</v>
      </c>
      <c r="AA132" s="15">
        <v>38.200000000000003</v>
      </c>
      <c r="AB132" s="15">
        <v>2.12</v>
      </c>
      <c r="AC132" s="15">
        <v>167</v>
      </c>
      <c r="AD132" s="15">
        <v>39.4</v>
      </c>
      <c r="AE132" s="15">
        <v>92.3</v>
      </c>
      <c r="AF132" s="15">
        <v>30.9</v>
      </c>
      <c r="AG132" s="18">
        <v>7.2350000000000003</v>
      </c>
      <c r="AH132" s="15">
        <v>298</v>
      </c>
      <c r="AI132" s="15">
        <v>49.2</v>
      </c>
      <c r="AJ132" s="15">
        <v>7.22</v>
      </c>
      <c r="AK132" s="15">
        <f t="shared" si="0"/>
        <v>0.49200000000000005</v>
      </c>
      <c r="AL132" s="15">
        <v>34</v>
      </c>
      <c r="AM132" s="15">
        <v>38.049999999999997</v>
      </c>
      <c r="AN132" s="15">
        <v>1.24</v>
      </c>
      <c r="AO132" s="15">
        <v>4.79</v>
      </c>
      <c r="AP132" s="15">
        <f t="shared" si="1"/>
        <v>2.7129539122498301E-2</v>
      </c>
      <c r="AQ132" s="15">
        <v>113.88</v>
      </c>
      <c r="AR132" s="15">
        <v>71.12</v>
      </c>
      <c r="AS132" s="15">
        <v>547</v>
      </c>
      <c r="AT132" s="15">
        <v>1857</v>
      </c>
      <c r="AU132" s="15">
        <v>84.700000000000045</v>
      </c>
      <c r="AV132" s="15">
        <f t="shared" si="2"/>
        <v>1772.3</v>
      </c>
      <c r="AW132" s="15">
        <f t="shared" ref="AW132:AX163" si="5">AQ132-AQ126</f>
        <v>24.78</v>
      </c>
      <c r="AX132" s="15">
        <f t="shared" si="5"/>
        <v>9.8300000000000054</v>
      </c>
      <c r="AY132" s="15">
        <f t="shared" si="4"/>
        <v>27</v>
      </c>
      <c r="AZ132" s="39">
        <v>15</v>
      </c>
      <c r="BA132" s="39">
        <v>1700</v>
      </c>
      <c r="BB132" s="15">
        <v>34</v>
      </c>
      <c r="BC132" s="15">
        <v>7.2</v>
      </c>
      <c r="BD132" s="15">
        <v>50</v>
      </c>
      <c r="BE132" s="38">
        <v>2.9999999999999997E-4</v>
      </c>
      <c r="BG132">
        <v>2.1417117854698017E-2</v>
      </c>
      <c r="BH132">
        <v>1.0000000000000001E-7</v>
      </c>
      <c r="BI132">
        <v>1.02878112E-2</v>
      </c>
      <c r="BJ132">
        <v>14.814448128</v>
      </c>
      <c r="BK132">
        <v>1824.08</v>
      </c>
      <c r="BL132">
        <v>6.2431472303846325E-2</v>
      </c>
      <c r="BM132">
        <v>6.698823529411764E-2</v>
      </c>
      <c r="BN132">
        <v>39.066536336397554</v>
      </c>
      <c r="BO132" t="s">
        <v>83</v>
      </c>
      <c r="BP132">
        <v>2.7129539122498301E-2</v>
      </c>
      <c r="BQ132" t="s">
        <v>83</v>
      </c>
      <c r="BR132" t="s">
        <v>83</v>
      </c>
      <c r="BS132">
        <v>1.8240800000000001E-4</v>
      </c>
      <c r="BT132">
        <v>70.466335383112479</v>
      </c>
      <c r="BU132">
        <v>2.7129539122498301E-2</v>
      </c>
      <c r="BV132">
        <v>1.8240800000000001E-4</v>
      </c>
    </row>
    <row r="133" spans="1:74" x14ac:dyDescent="0.25">
      <c r="A133" s="16" t="s">
        <v>99</v>
      </c>
      <c r="B133" t="s">
        <v>27</v>
      </c>
      <c r="C133">
        <v>12</v>
      </c>
      <c r="D133">
        <v>6</v>
      </c>
      <c r="F133" s="17">
        <v>45539.400208333303</v>
      </c>
      <c r="G133">
        <v>3307.9</v>
      </c>
      <c r="H133">
        <v>7.2</v>
      </c>
      <c r="I133">
        <v>0.5</v>
      </c>
      <c r="J133">
        <v>34</v>
      </c>
      <c r="L133" s="15">
        <v>2749.875</v>
      </c>
      <c r="M133" s="15">
        <v>21.1</v>
      </c>
      <c r="N133" s="15">
        <v>18.5</v>
      </c>
      <c r="O133" s="15">
        <v>87.6</v>
      </c>
      <c r="P133" s="15">
        <v>17.600000000000001</v>
      </c>
      <c r="Q133" s="15">
        <v>409</v>
      </c>
      <c r="R133" s="15">
        <v>1</v>
      </c>
      <c r="S133" s="15">
        <v>0.3</v>
      </c>
      <c r="T133" s="15">
        <v>4.26</v>
      </c>
      <c r="U133" s="15"/>
      <c r="V133" s="15">
        <v>0.2</v>
      </c>
      <c r="W133" s="15">
        <v>0.09</v>
      </c>
      <c r="X133" s="15">
        <v>5.07</v>
      </c>
      <c r="Y133" s="15">
        <v>7.2649999999999997</v>
      </c>
      <c r="Z133" s="15">
        <v>104.6</v>
      </c>
      <c r="AA133" s="15">
        <v>22.8</v>
      </c>
      <c r="AB133" s="15">
        <v>2.44</v>
      </c>
      <c r="AC133" s="15">
        <v>171.4</v>
      </c>
      <c r="AD133" s="15">
        <v>46.3</v>
      </c>
      <c r="AE133" s="15">
        <v>91.8</v>
      </c>
      <c r="AF133" s="15">
        <v>18.5</v>
      </c>
      <c r="AG133" s="18">
        <v>7.306</v>
      </c>
      <c r="AH133" s="15">
        <v>301</v>
      </c>
      <c r="AI133" s="15">
        <v>50.3</v>
      </c>
      <c r="AJ133" s="15">
        <v>7.29</v>
      </c>
      <c r="AK133" s="15">
        <f t="shared" si="0"/>
        <v>0.503</v>
      </c>
      <c r="AL133" s="15">
        <v>34</v>
      </c>
      <c r="AM133" s="15">
        <v>43.09</v>
      </c>
      <c r="AN133" s="15">
        <v>7.3</v>
      </c>
      <c r="AO133" s="15">
        <v>4.8600000000000003</v>
      </c>
      <c r="AP133" s="15">
        <f t="shared" si="1"/>
        <v>2.5274999999999999E-2</v>
      </c>
      <c r="AQ133" s="15">
        <v>88.68</v>
      </c>
      <c r="AR133" s="15">
        <v>80.87</v>
      </c>
      <c r="AS133" s="15">
        <v>580</v>
      </c>
      <c r="AT133" s="15">
        <v>1823</v>
      </c>
      <c r="AU133" s="15">
        <v>47.420000000000073</v>
      </c>
      <c r="AV133" s="15">
        <f t="shared" si="2"/>
        <v>1775.58</v>
      </c>
      <c r="AW133" s="15">
        <f t="shared" si="5"/>
        <v>32.150000000000006</v>
      </c>
      <c r="AX133" s="15">
        <f t="shared" si="5"/>
        <v>23.840000000000003</v>
      </c>
      <c r="AY133" s="15">
        <f t="shared" si="4"/>
        <v>35</v>
      </c>
      <c r="AZ133" s="39">
        <v>15</v>
      </c>
      <c r="BA133" s="39">
        <v>1700</v>
      </c>
      <c r="BB133" s="15">
        <v>34</v>
      </c>
      <c r="BC133" s="15">
        <v>7.2</v>
      </c>
      <c r="BD133" s="15">
        <v>50</v>
      </c>
      <c r="BE133" s="38">
        <v>2.9999999999999997E-4</v>
      </c>
      <c r="BF133">
        <v>0.02</v>
      </c>
      <c r="BI133">
        <v>1.0099889999999999E-2</v>
      </c>
      <c r="BJ133">
        <v>14.543841599999997</v>
      </c>
      <c r="BK133">
        <v>1819.8</v>
      </c>
      <c r="BL133">
        <v>4.8730629739531822E-2</v>
      </c>
      <c r="BM133">
        <v>5.2164705882352946E-2</v>
      </c>
      <c r="BN133">
        <v>36.396000000000001</v>
      </c>
      <c r="BO133">
        <v>2.5274999999999999E-2</v>
      </c>
      <c r="BP133" t="s">
        <v>83</v>
      </c>
      <c r="BQ133" t="s">
        <v>83</v>
      </c>
      <c r="BR133">
        <v>0</v>
      </c>
      <c r="BS133" t="s">
        <v>83</v>
      </c>
      <c r="BT133">
        <v>65.649350649350652</v>
      </c>
      <c r="BU133">
        <v>2.5274999999999999E-2</v>
      </c>
      <c r="BV133">
        <v>0</v>
      </c>
    </row>
    <row r="134" spans="1:74" x14ac:dyDescent="0.25">
      <c r="A134" s="16" t="s">
        <v>100</v>
      </c>
      <c r="B134" t="s">
        <v>27</v>
      </c>
      <c r="C134">
        <v>12</v>
      </c>
      <c r="D134">
        <v>6</v>
      </c>
      <c r="E134" t="s">
        <v>106</v>
      </c>
      <c r="F134" s="17">
        <v>45539.404884259297</v>
      </c>
      <c r="G134">
        <v>3307.9</v>
      </c>
      <c r="H134">
        <v>7.2</v>
      </c>
      <c r="I134">
        <v>0.5</v>
      </c>
      <c r="J134">
        <v>34</v>
      </c>
      <c r="L134" s="15">
        <v>2520.75</v>
      </c>
      <c r="M134" s="15">
        <v>22.5</v>
      </c>
      <c r="N134" s="15">
        <v>18.3</v>
      </c>
      <c r="O134" s="15">
        <v>81.099999999999994</v>
      </c>
      <c r="P134" s="15">
        <v>17.600000000000001</v>
      </c>
      <c r="Q134" s="15">
        <v>451</v>
      </c>
      <c r="R134" s="15">
        <v>2.66</v>
      </c>
      <c r="S134" s="15">
        <v>0.33</v>
      </c>
      <c r="T134" s="15">
        <v>0.04</v>
      </c>
      <c r="U134" s="15"/>
      <c r="V134" s="15">
        <v>0.68</v>
      </c>
      <c r="W134" s="15">
        <v>1.76</v>
      </c>
      <c r="X134" s="24">
        <v>8.9726219999999994</v>
      </c>
      <c r="Y134" s="15">
        <v>6.9939999999999998</v>
      </c>
      <c r="Z134" s="15">
        <v>57.5</v>
      </c>
      <c r="AA134" s="15">
        <v>0</v>
      </c>
      <c r="AB134" s="15">
        <v>3.83</v>
      </c>
      <c r="AC134" s="15">
        <v>193.9</v>
      </c>
      <c r="AD134" s="15">
        <v>13.5</v>
      </c>
      <c r="AE134" s="15">
        <v>50.4</v>
      </c>
      <c r="AF134" s="15">
        <v>0</v>
      </c>
      <c r="AG134" s="18">
        <v>7.03</v>
      </c>
      <c r="AH134" s="15">
        <v>299</v>
      </c>
      <c r="AI134" s="15">
        <v>49.1</v>
      </c>
      <c r="AJ134" s="15">
        <v>7.1</v>
      </c>
      <c r="AK134" s="15">
        <f t="shared" si="0"/>
        <v>0.49099999999999999</v>
      </c>
      <c r="AL134" s="15">
        <v>34</v>
      </c>
      <c r="AM134" s="15">
        <v>53.46</v>
      </c>
      <c r="AN134" s="15">
        <v>7.31</v>
      </c>
      <c r="AO134" s="15">
        <v>4.6100000000000003</v>
      </c>
      <c r="AP134" s="15">
        <f t="shared" si="1"/>
        <v>2.537013888888889E-2</v>
      </c>
      <c r="AQ134" s="15">
        <v>111.39</v>
      </c>
      <c r="AR134" s="15">
        <v>54.88</v>
      </c>
      <c r="AS134" s="15">
        <v>531</v>
      </c>
      <c r="AT134" s="15">
        <v>1854</v>
      </c>
      <c r="AU134" s="15">
        <v>133.55999999999995</v>
      </c>
      <c r="AV134" s="15">
        <f t="shared" si="2"/>
        <v>1720.44</v>
      </c>
      <c r="AW134" s="15">
        <f t="shared" si="5"/>
        <v>26.120000000000005</v>
      </c>
      <c r="AX134" s="15">
        <f t="shared" si="5"/>
        <v>0</v>
      </c>
      <c r="AY134" s="15">
        <f t="shared" si="4"/>
        <v>29</v>
      </c>
      <c r="AZ134" s="39">
        <v>15</v>
      </c>
      <c r="BA134" s="39">
        <v>1700</v>
      </c>
      <c r="BB134" s="15">
        <v>34</v>
      </c>
      <c r="BC134" s="15">
        <v>7.2</v>
      </c>
      <c r="BD134" s="15">
        <v>50</v>
      </c>
      <c r="BE134" s="38">
        <v>2.9999999999999997E-4</v>
      </c>
      <c r="BF134">
        <v>0.02</v>
      </c>
      <c r="BI134">
        <v>1.0028308500000001E-2</v>
      </c>
      <c r="BJ134">
        <v>14.440764240000002</v>
      </c>
      <c r="BK134">
        <v>1826.65</v>
      </c>
      <c r="BL134">
        <v>6.098048339857115E-2</v>
      </c>
      <c r="BM134">
        <v>6.5523529411764703E-2</v>
      </c>
      <c r="BN134">
        <v>36.533000000000001</v>
      </c>
      <c r="BO134">
        <v>2.537013888888889E-2</v>
      </c>
      <c r="BP134" t="s">
        <v>83</v>
      </c>
      <c r="BQ134" t="s">
        <v>83</v>
      </c>
      <c r="BR134">
        <v>13.51721</v>
      </c>
      <c r="BS134" t="s">
        <v>83</v>
      </c>
      <c r="BT134">
        <v>65.896464646464651</v>
      </c>
      <c r="BU134">
        <v>2.537013888888889E-2</v>
      </c>
      <c r="BV134">
        <v>13.51721</v>
      </c>
    </row>
    <row r="135" spans="1:74" ht="15.75" thickBot="1" x14ac:dyDescent="0.3">
      <c r="A135" s="19" t="s">
        <v>101</v>
      </c>
      <c r="B135" s="20" t="s">
        <v>27</v>
      </c>
      <c r="C135" s="20">
        <v>12</v>
      </c>
      <c r="D135" s="20">
        <v>6</v>
      </c>
      <c r="E135" s="20"/>
      <c r="F135" s="21">
        <v>45539.410046296303</v>
      </c>
      <c r="G135" s="20">
        <v>3307.9</v>
      </c>
      <c r="H135">
        <v>7.2</v>
      </c>
      <c r="I135">
        <v>0.5</v>
      </c>
      <c r="J135">
        <v>34</v>
      </c>
      <c r="L135" s="22">
        <v>3281.13</v>
      </c>
      <c r="M135" s="22">
        <v>21.3</v>
      </c>
      <c r="N135" s="22">
        <v>20</v>
      </c>
      <c r="O135" s="22">
        <v>94.2</v>
      </c>
      <c r="P135" s="22">
        <v>17.600000000000001</v>
      </c>
      <c r="Q135" s="22">
        <v>370</v>
      </c>
      <c r="R135" s="22">
        <v>1.1399999999999999</v>
      </c>
      <c r="S135" s="22">
        <v>0.27</v>
      </c>
      <c r="T135" s="22">
        <v>4.78</v>
      </c>
      <c r="U135" s="22"/>
      <c r="V135" s="22">
        <v>0.2</v>
      </c>
      <c r="W135" s="22">
        <v>7.0000000000000007E-2</v>
      </c>
      <c r="X135" s="22">
        <v>2.19</v>
      </c>
      <c r="Y135" s="22">
        <v>7.2569999999999997</v>
      </c>
      <c r="Z135" s="22">
        <v>117.5</v>
      </c>
      <c r="AA135" s="22">
        <v>23</v>
      </c>
      <c r="AB135" s="22">
        <v>1.92</v>
      </c>
      <c r="AC135" s="22">
        <v>154.9</v>
      </c>
      <c r="AD135" s="22">
        <v>51</v>
      </c>
      <c r="AE135" s="22">
        <v>103.1</v>
      </c>
      <c r="AF135" s="22">
        <v>18.600000000000001</v>
      </c>
      <c r="AG135" s="23">
        <v>7.2990000000000004</v>
      </c>
      <c r="AH135" s="15">
        <v>300</v>
      </c>
      <c r="AI135" s="15">
        <v>50.1</v>
      </c>
      <c r="AJ135" s="15">
        <v>7.3</v>
      </c>
      <c r="AK135" s="15">
        <f t="shared" si="0"/>
        <v>0.501</v>
      </c>
      <c r="AL135" s="15">
        <v>34</v>
      </c>
      <c r="AM135" s="15">
        <v>28.27</v>
      </c>
      <c r="AN135" s="15">
        <v>18.29</v>
      </c>
      <c r="AO135" s="15">
        <v>4.66</v>
      </c>
      <c r="AP135" s="15">
        <f t="shared" si="1"/>
        <v>1.8700519444444445E-2</v>
      </c>
      <c r="AQ135" s="15">
        <v>116.7</v>
      </c>
      <c r="AR135" s="15">
        <v>56.59</v>
      </c>
      <c r="AS135" s="15">
        <v>558</v>
      </c>
      <c r="AT135" s="15">
        <v>1843</v>
      </c>
      <c r="AU135" s="15">
        <v>51.660000000000082</v>
      </c>
      <c r="AV135" s="15">
        <f t="shared" si="2"/>
        <v>1791.34</v>
      </c>
      <c r="AW135" s="15">
        <f t="shared" si="5"/>
        <v>35.540000000000006</v>
      </c>
      <c r="AX135" s="15">
        <f t="shared" si="5"/>
        <v>0</v>
      </c>
      <c r="AY135" s="15">
        <f t="shared" si="4"/>
        <v>40</v>
      </c>
      <c r="AZ135" s="39">
        <v>15</v>
      </c>
      <c r="BA135" s="39">
        <v>1700</v>
      </c>
      <c r="BB135" s="15">
        <v>34</v>
      </c>
      <c r="BC135" s="15">
        <v>7.2</v>
      </c>
      <c r="BD135" s="15">
        <v>50</v>
      </c>
      <c r="BE135" s="38">
        <v>2.9999999999999997E-4</v>
      </c>
      <c r="BF135">
        <v>1.4800000000000001E-2</v>
      </c>
      <c r="BI135">
        <v>1.0917059999999999E-2</v>
      </c>
      <c r="BJ135">
        <v>15.720566399999999</v>
      </c>
      <c r="BK135">
        <v>1819.51</v>
      </c>
      <c r="BL135">
        <v>6.4138147083555461E-2</v>
      </c>
      <c r="BM135">
        <v>6.8647058823529408E-2</v>
      </c>
      <c r="BN135">
        <v>26.928748000000002</v>
      </c>
      <c r="BO135">
        <v>1.8700519444444445E-2</v>
      </c>
      <c r="BP135" t="s">
        <v>83</v>
      </c>
      <c r="BQ135" t="s">
        <v>83</v>
      </c>
      <c r="BR135">
        <v>0</v>
      </c>
      <c r="BS135" t="s">
        <v>83</v>
      </c>
      <c r="BT135">
        <v>48.57277777777778</v>
      </c>
      <c r="BU135">
        <v>1.8700519444444445E-2</v>
      </c>
      <c r="BV135">
        <v>0</v>
      </c>
    </row>
    <row r="136" spans="1:74" x14ac:dyDescent="0.25">
      <c r="A136" s="10" t="s">
        <v>96</v>
      </c>
      <c r="B136" s="11" t="s">
        <v>26</v>
      </c>
      <c r="C136" s="11">
        <v>12</v>
      </c>
      <c r="D136" s="11">
        <v>7</v>
      </c>
      <c r="E136" s="11"/>
      <c r="F136" s="12">
        <v>45540.387222222198</v>
      </c>
      <c r="G136" s="11">
        <v>3888.32</v>
      </c>
      <c r="H136">
        <v>7.2</v>
      </c>
      <c r="I136">
        <v>0.5</v>
      </c>
      <c r="J136">
        <v>34</v>
      </c>
      <c r="L136" s="13">
        <v>3899.9850000000001</v>
      </c>
      <c r="M136" s="13">
        <v>23.9</v>
      </c>
      <c r="N136" s="13">
        <v>22.6</v>
      </c>
      <c r="O136" s="13">
        <v>94.8</v>
      </c>
      <c r="P136" s="13">
        <v>17.2</v>
      </c>
      <c r="Q136" s="13">
        <v>343</v>
      </c>
      <c r="R136" s="13">
        <v>1.26</v>
      </c>
      <c r="S136" s="13">
        <v>0.26</v>
      </c>
      <c r="T136" s="13">
        <v>3.8</v>
      </c>
      <c r="U136" s="13"/>
      <c r="V136" s="13">
        <v>0.15</v>
      </c>
      <c r="W136" s="13">
        <v>0.11</v>
      </c>
      <c r="X136" s="13">
        <v>1.08</v>
      </c>
      <c r="Y136" s="13">
        <v>7.258</v>
      </c>
      <c r="Z136" s="13">
        <v>112</v>
      </c>
      <c r="AA136" s="13">
        <v>28.6</v>
      </c>
      <c r="AB136" s="13">
        <v>2.5299999999999998</v>
      </c>
      <c r="AC136" s="13">
        <v>144.1</v>
      </c>
      <c r="AD136" s="13">
        <v>48.7</v>
      </c>
      <c r="AE136" s="13">
        <v>98.2</v>
      </c>
      <c r="AF136" s="13">
        <v>23.1</v>
      </c>
      <c r="AG136" s="14">
        <v>7.2990000000000004</v>
      </c>
      <c r="AH136" s="15">
        <v>299</v>
      </c>
      <c r="AI136" s="15">
        <v>48.7</v>
      </c>
      <c r="AJ136" s="15">
        <v>7.3</v>
      </c>
      <c r="AK136" s="15">
        <f t="shared" si="0"/>
        <v>0.48700000000000004</v>
      </c>
      <c r="AL136" s="15">
        <v>34</v>
      </c>
      <c r="AM136" s="15">
        <v>22.07</v>
      </c>
      <c r="AN136" s="15">
        <v>26.19</v>
      </c>
      <c r="AO136" s="15">
        <v>4.54</v>
      </c>
      <c r="AP136" s="38">
        <f t="shared" si="1"/>
        <v>1.86276921804269E-2</v>
      </c>
      <c r="AQ136" s="15">
        <v>115.26</v>
      </c>
      <c r="AR136" s="15">
        <v>59.14</v>
      </c>
      <c r="AS136" s="15">
        <v>557</v>
      </c>
      <c r="AT136" s="15">
        <v>1882</v>
      </c>
      <c r="AU136" s="15">
        <v>137.11999999999989</v>
      </c>
      <c r="AV136" s="15">
        <f t="shared" si="2"/>
        <v>1744.88</v>
      </c>
      <c r="AW136" s="15">
        <f t="shared" si="5"/>
        <v>13.430000000000007</v>
      </c>
      <c r="AX136" s="15">
        <f t="shared" si="5"/>
        <v>2.1600000000000037</v>
      </c>
      <c r="AY136" s="15">
        <f t="shared" si="4"/>
        <v>15</v>
      </c>
      <c r="AZ136" s="39">
        <v>15</v>
      </c>
      <c r="BA136" s="39">
        <v>1700</v>
      </c>
      <c r="BB136" s="15">
        <v>34</v>
      </c>
      <c r="BC136" s="15">
        <v>7.2</v>
      </c>
      <c r="BD136" s="15">
        <v>50</v>
      </c>
      <c r="BE136" s="38">
        <v>2.9999999999999997E-4</v>
      </c>
      <c r="BG136">
        <v>1.4842782613885977E-2</v>
      </c>
      <c r="BH136">
        <v>3.0046126474092961E-3</v>
      </c>
      <c r="BI136">
        <v>1.2252816E-2</v>
      </c>
      <c r="BJ136">
        <v>17.644055039999998</v>
      </c>
      <c r="BK136">
        <v>1807.2</v>
      </c>
      <c r="BL136">
        <v>6.3778220451527229E-2</v>
      </c>
      <c r="BM136">
        <v>6.7799999999999999E-2</v>
      </c>
      <c r="BN136">
        <v>26.82387673981474</v>
      </c>
      <c r="BO136" t="s">
        <v>83</v>
      </c>
      <c r="BP136">
        <v>1.86276921804269E-2</v>
      </c>
      <c r="BQ136" t="s">
        <v>83</v>
      </c>
      <c r="BR136" t="s">
        <v>83</v>
      </c>
      <c r="BS136">
        <v>5.4299359763980801</v>
      </c>
      <c r="BT136">
        <v>48.383616053056883</v>
      </c>
      <c r="BU136">
        <v>1.86276921804269E-2</v>
      </c>
      <c r="BV136">
        <v>5.4299359763980801</v>
      </c>
    </row>
    <row r="137" spans="1:74" x14ac:dyDescent="0.25">
      <c r="A137" s="16" t="s">
        <v>97</v>
      </c>
      <c r="B137" t="s">
        <v>26</v>
      </c>
      <c r="C137">
        <v>12</v>
      </c>
      <c r="D137">
        <v>7</v>
      </c>
      <c r="F137" s="17">
        <v>45540.391423611101</v>
      </c>
      <c r="G137">
        <v>3888.32</v>
      </c>
      <c r="H137">
        <v>7.2</v>
      </c>
      <c r="I137">
        <v>0.5</v>
      </c>
      <c r="J137">
        <v>34</v>
      </c>
      <c r="L137" s="15">
        <v>3763.38</v>
      </c>
      <c r="M137" s="15">
        <v>22</v>
      </c>
      <c r="N137" s="15">
        <v>20.9</v>
      </c>
      <c r="O137" s="15">
        <v>94.9</v>
      </c>
      <c r="P137" s="15">
        <v>17.600000000000001</v>
      </c>
      <c r="Q137" s="15">
        <v>349</v>
      </c>
      <c r="R137" s="15">
        <v>1.37</v>
      </c>
      <c r="S137" s="15">
        <v>0.24</v>
      </c>
      <c r="T137" s="15">
        <v>3.36</v>
      </c>
      <c r="U137" s="15"/>
      <c r="V137" s="15">
        <v>0.19</v>
      </c>
      <c r="W137" s="15">
        <v>0.09</v>
      </c>
      <c r="X137" s="15">
        <v>0.74</v>
      </c>
      <c r="Y137" s="15">
        <v>7.2610000000000001</v>
      </c>
      <c r="Z137" s="15">
        <v>137.69999999999999</v>
      </c>
      <c r="AA137" s="15">
        <v>35.1</v>
      </c>
      <c r="AB137" s="15">
        <v>2.15</v>
      </c>
      <c r="AC137" s="15">
        <v>149.1</v>
      </c>
      <c r="AD137" s="15">
        <v>60.3</v>
      </c>
      <c r="AE137" s="15">
        <v>120.8</v>
      </c>
      <c r="AF137" s="15">
        <v>28.4</v>
      </c>
      <c r="AG137" s="18">
        <v>7.3019999999999996</v>
      </c>
      <c r="AH137" s="15">
        <v>301</v>
      </c>
      <c r="AI137" s="15">
        <v>49.2</v>
      </c>
      <c r="AJ137" s="15">
        <v>7.3</v>
      </c>
      <c r="AK137" s="15">
        <f t="shared" si="0"/>
        <v>0.49200000000000005</v>
      </c>
      <c r="AL137" s="15">
        <v>34</v>
      </c>
      <c r="AM137" s="15">
        <v>24.57</v>
      </c>
      <c r="AN137" s="15">
        <v>22.86</v>
      </c>
      <c r="AO137" s="15">
        <v>2.59</v>
      </c>
      <c r="AP137" s="15">
        <f t="shared" si="1"/>
        <v>1.7472165513773799E-2</v>
      </c>
      <c r="AQ137" s="15">
        <v>123.07</v>
      </c>
      <c r="AR137" s="15">
        <v>57.93</v>
      </c>
      <c r="AS137" s="15">
        <v>553</v>
      </c>
      <c r="AT137" s="15">
        <v>1813</v>
      </c>
      <c r="AU137" s="15">
        <v>45.769999999999982</v>
      </c>
      <c r="AV137" s="15">
        <f t="shared" si="2"/>
        <v>1767.23</v>
      </c>
      <c r="AW137" s="15">
        <f t="shared" si="5"/>
        <v>19.489999999999995</v>
      </c>
      <c r="AX137" s="15">
        <f t="shared" si="5"/>
        <v>0</v>
      </c>
      <c r="AY137" s="15">
        <f t="shared" si="4"/>
        <v>23</v>
      </c>
      <c r="AZ137" s="39">
        <v>15</v>
      </c>
      <c r="BA137" s="39">
        <v>1700</v>
      </c>
      <c r="BB137" s="15">
        <v>34</v>
      </c>
      <c r="BC137" s="15">
        <v>7.2</v>
      </c>
      <c r="BD137" s="15">
        <v>50</v>
      </c>
      <c r="BE137" s="38">
        <v>2.9999999999999997E-4</v>
      </c>
      <c r="BG137">
        <v>1.3892678346917356E-2</v>
      </c>
      <c r="BH137">
        <v>1.5806774796027598E-3</v>
      </c>
      <c r="BI137">
        <v>1.1355095399999997E-2</v>
      </c>
      <c r="BJ137">
        <v>16.351337375999996</v>
      </c>
      <c r="BK137">
        <v>1811.02</v>
      </c>
      <c r="BL137">
        <v>6.7956179390619653E-2</v>
      </c>
      <c r="BM137">
        <v>7.2394117647058817E-2</v>
      </c>
      <c r="BN137">
        <v>25.15991833983427</v>
      </c>
      <c r="BO137" t="s">
        <v>83</v>
      </c>
      <c r="BP137">
        <v>1.7472165513773799E-2</v>
      </c>
      <c r="BQ137" t="s">
        <v>83</v>
      </c>
      <c r="BR137" t="s">
        <v>83</v>
      </c>
      <c r="BS137">
        <v>2.8626385291101899</v>
      </c>
      <c r="BT137">
        <v>45.382248087724157</v>
      </c>
      <c r="BU137">
        <v>1.7472165513773799E-2</v>
      </c>
      <c r="BV137">
        <v>2.8626385291101899</v>
      </c>
    </row>
    <row r="138" spans="1:74" x14ac:dyDescent="0.25">
      <c r="A138" s="16" t="s">
        <v>98</v>
      </c>
      <c r="B138" t="s">
        <v>26</v>
      </c>
      <c r="C138">
        <v>12</v>
      </c>
      <c r="D138">
        <v>7</v>
      </c>
      <c r="F138" s="17">
        <v>45540.395925925899</v>
      </c>
      <c r="G138">
        <v>3888.32</v>
      </c>
      <c r="H138">
        <v>7.2</v>
      </c>
      <c r="I138">
        <v>0.5</v>
      </c>
      <c r="J138">
        <v>34</v>
      </c>
      <c r="L138" s="15">
        <v>3255.375</v>
      </c>
      <c r="M138" s="15">
        <v>21.8</v>
      </c>
      <c r="N138" s="15">
        <v>17.5</v>
      </c>
      <c r="O138" s="15">
        <v>80.400000000000006</v>
      </c>
      <c r="P138" s="15">
        <v>17.899999999999999</v>
      </c>
      <c r="Q138" s="15">
        <v>420</v>
      </c>
      <c r="R138" s="15">
        <v>1.52</v>
      </c>
      <c r="S138" s="15">
        <v>0.27</v>
      </c>
      <c r="T138" s="15">
        <v>5.35</v>
      </c>
      <c r="U138" s="15"/>
      <c r="V138" s="15">
        <v>0.52</v>
      </c>
      <c r="W138" s="15">
        <v>0.76</v>
      </c>
      <c r="X138" s="15">
        <v>3.26</v>
      </c>
      <c r="Y138" s="15">
        <v>7.2619999999999996</v>
      </c>
      <c r="Z138" s="15">
        <v>118.8</v>
      </c>
      <c r="AA138" s="15">
        <v>25.9</v>
      </c>
      <c r="AB138" s="15">
        <v>1.86</v>
      </c>
      <c r="AC138" s="15">
        <v>169.8</v>
      </c>
      <c r="AD138" s="15">
        <v>52.1</v>
      </c>
      <c r="AE138" s="15">
        <v>104.2</v>
      </c>
      <c r="AF138" s="15">
        <v>20.9</v>
      </c>
      <c r="AG138" s="18">
        <v>7.3029999999999999</v>
      </c>
      <c r="AH138" s="15">
        <v>300</v>
      </c>
      <c r="AI138" s="15">
        <v>50.2</v>
      </c>
      <c r="AJ138" s="15">
        <v>7.27</v>
      </c>
      <c r="AK138" s="15">
        <f t="shared" si="0"/>
        <v>0.502</v>
      </c>
      <c r="AL138" s="15">
        <v>34</v>
      </c>
      <c r="AM138" s="15">
        <v>38.049999999999997</v>
      </c>
      <c r="AN138" s="15">
        <v>1.24</v>
      </c>
      <c r="AO138" s="15">
        <v>5.72</v>
      </c>
      <c r="AP138" s="15">
        <f t="shared" si="1"/>
        <v>2.74293847933831E-2</v>
      </c>
      <c r="AQ138" s="15">
        <v>149.62</v>
      </c>
      <c r="AR138" s="15">
        <v>71.12</v>
      </c>
      <c r="AS138" s="15">
        <v>504</v>
      </c>
      <c r="AT138" s="15">
        <v>1879</v>
      </c>
      <c r="AU138" s="15">
        <v>84.700000000000045</v>
      </c>
      <c r="AV138" s="15">
        <f t="shared" si="2"/>
        <v>1794.3</v>
      </c>
      <c r="AW138" s="15">
        <f t="shared" si="5"/>
        <v>35.740000000000009</v>
      </c>
      <c r="AX138" s="15">
        <f t="shared" si="5"/>
        <v>0</v>
      </c>
      <c r="AY138" s="15">
        <f t="shared" si="4"/>
        <v>43</v>
      </c>
      <c r="AZ138" s="39">
        <v>15</v>
      </c>
      <c r="BA138" s="39">
        <v>1700</v>
      </c>
      <c r="BB138" s="15">
        <v>34</v>
      </c>
      <c r="BC138" s="15">
        <v>7.2</v>
      </c>
      <c r="BD138" s="15">
        <v>50</v>
      </c>
      <c r="BE138" s="38">
        <v>2.9999999999999997E-4</v>
      </c>
      <c r="BG138">
        <v>2.139960130162355E-2</v>
      </c>
      <c r="BH138">
        <v>1.8790139673301152E-4</v>
      </c>
      <c r="BI138">
        <v>9.6901874999999991E-3</v>
      </c>
      <c r="BJ138">
        <v>13.953869999999998</v>
      </c>
      <c r="BK138">
        <v>1845.75</v>
      </c>
      <c r="BL138">
        <v>8.1061898957063533E-2</v>
      </c>
      <c r="BM138">
        <v>8.8011764705882359E-2</v>
      </c>
      <c r="BN138">
        <v>39.498314102471667</v>
      </c>
      <c r="BO138" t="s">
        <v>83</v>
      </c>
      <c r="BP138">
        <v>2.74293847933831E-2</v>
      </c>
      <c r="BQ138" t="s">
        <v>83</v>
      </c>
      <c r="BR138" t="s">
        <v>83</v>
      </c>
      <c r="BS138">
        <v>0.346819003019956</v>
      </c>
      <c r="BT138">
        <v>71.245155307488574</v>
      </c>
      <c r="BU138">
        <v>2.74293847933831E-2</v>
      </c>
      <c r="BV138">
        <v>0.346819003019956</v>
      </c>
    </row>
    <row r="139" spans="1:74" x14ac:dyDescent="0.25">
      <c r="A139" s="16" t="s">
        <v>99</v>
      </c>
      <c r="B139" t="s">
        <v>27</v>
      </c>
      <c r="C139">
        <v>12</v>
      </c>
      <c r="D139">
        <v>7</v>
      </c>
      <c r="F139" s="17">
        <v>45540.400462963</v>
      </c>
      <c r="G139">
        <v>3888.32</v>
      </c>
      <c r="H139">
        <v>7.2</v>
      </c>
      <c r="I139">
        <v>0.5</v>
      </c>
      <c r="J139">
        <v>34</v>
      </c>
      <c r="L139" s="15">
        <v>3332.46</v>
      </c>
      <c r="M139" s="15">
        <v>20.5</v>
      </c>
      <c r="N139" s="15">
        <v>17.8</v>
      </c>
      <c r="O139" s="15">
        <v>86.7</v>
      </c>
      <c r="P139" s="15">
        <v>18.2</v>
      </c>
      <c r="Q139" s="15">
        <v>418</v>
      </c>
      <c r="R139" s="15">
        <v>1.1200000000000001</v>
      </c>
      <c r="S139" s="15">
        <v>0.27</v>
      </c>
      <c r="T139" s="15">
        <v>4.3099999999999996</v>
      </c>
      <c r="U139" s="15"/>
      <c r="V139" s="15">
        <v>0.27</v>
      </c>
      <c r="W139" s="15">
        <v>0.18</v>
      </c>
      <c r="X139" s="15">
        <v>4.25</v>
      </c>
      <c r="Y139" s="15">
        <v>7.2770000000000001</v>
      </c>
      <c r="Z139" s="15">
        <v>118.2</v>
      </c>
      <c r="AA139" s="15">
        <v>23.3</v>
      </c>
      <c r="AB139" s="15">
        <v>1.97</v>
      </c>
      <c r="AC139" s="15">
        <v>175.4</v>
      </c>
      <c r="AD139" s="15">
        <v>53.8</v>
      </c>
      <c r="AE139" s="15">
        <v>103.7</v>
      </c>
      <c r="AF139" s="15">
        <v>18.8</v>
      </c>
      <c r="AG139" s="18">
        <v>7.319</v>
      </c>
      <c r="AH139" s="15">
        <v>300</v>
      </c>
      <c r="AI139" s="15">
        <v>47.3</v>
      </c>
      <c r="AJ139" s="15">
        <v>7.3</v>
      </c>
      <c r="AK139" s="15">
        <f t="shared" si="0"/>
        <v>0.47299999999999998</v>
      </c>
      <c r="AL139" s="15">
        <v>34</v>
      </c>
      <c r="AM139" s="15">
        <v>43.09</v>
      </c>
      <c r="AN139" s="15">
        <v>9.1199999999999992</v>
      </c>
      <c r="AO139" s="15">
        <v>5.81</v>
      </c>
      <c r="AP139" s="15">
        <f t="shared" si="1"/>
        <v>2.5469722222222223E-2</v>
      </c>
      <c r="AQ139" s="15">
        <v>124.93</v>
      </c>
      <c r="AR139" s="15">
        <v>70.87</v>
      </c>
      <c r="AS139" s="15">
        <v>537</v>
      </c>
      <c r="AT139" s="15">
        <v>1843</v>
      </c>
      <c r="AU139" s="15">
        <v>47.420000000000073</v>
      </c>
      <c r="AV139" s="15">
        <f t="shared" si="2"/>
        <v>1795.58</v>
      </c>
      <c r="AW139" s="15">
        <f t="shared" si="5"/>
        <v>36.25</v>
      </c>
      <c r="AX139" s="15">
        <f t="shared" si="5"/>
        <v>-10</v>
      </c>
      <c r="AY139" s="15">
        <f t="shared" si="4"/>
        <v>43</v>
      </c>
      <c r="AZ139" s="39">
        <v>15</v>
      </c>
      <c r="BA139" s="39">
        <v>1700</v>
      </c>
      <c r="BB139" s="15">
        <v>34</v>
      </c>
      <c r="BC139" s="15">
        <v>7.2</v>
      </c>
      <c r="BD139" s="15">
        <v>50</v>
      </c>
      <c r="BE139" s="38">
        <v>2.9999999999999997E-4</v>
      </c>
      <c r="BF139">
        <v>0.02</v>
      </c>
      <c r="BI139">
        <v>9.7925987999999999E-3</v>
      </c>
      <c r="BJ139">
        <v>14.101342272</v>
      </c>
      <c r="BK139">
        <v>1833.82</v>
      </c>
      <c r="BL139">
        <v>6.8125552126162878E-2</v>
      </c>
      <c r="BM139">
        <v>7.3488235294117646E-2</v>
      </c>
      <c r="BN139">
        <v>36.676400000000001</v>
      </c>
      <c r="BO139">
        <v>2.5469722222222223E-2</v>
      </c>
      <c r="BP139" t="s">
        <v>83</v>
      </c>
      <c r="BQ139" t="s">
        <v>83</v>
      </c>
      <c r="BR139">
        <v>0</v>
      </c>
      <c r="BS139" t="s">
        <v>83</v>
      </c>
      <c r="BT139">
        <v>66.155122655122668</v>
      </c>
      <c r="BU139">
        <v>2.5469722222222223E-2</v>
      </c>
      <c r="BV139">
        <v>0</v>
      </c>
    </row>
    <row r="140" spans="1:74" x14ac:dyDescent="0.25">
      <c r="A140" s="16" t="s">
        <v>100</v>
      </c>
      <c r="B140" t="s">
        <v>27</v>
      </c>
      <c r="C140">
        <v>12</v>
      </c>
      <c r="D140">
        <v>7</v>
      </c>
      <c r="E140" t="s">
        <v>106</v>
      </c>
      <c r="F140" s="17">
        <v>45540.404571759304</v>
      </c>
      <c r="G140">
        <v>3888.32</v>
      </c>
      <c r="H140">
        <v>7.2</v>
      </c>
      <c r="I140">
        <v>0.5</v>
      </c>
      <c r="J140">
        <v>34</v>
      </c>
      <c r="L140" s="15">
        <v>2666.67</v>
      </c>
      <c r="M140" s="15">
        <v>21.5</v>
      </c>
      <c r="N140" s="15">
        <v>14.9</v>
      </c>
      <c r="O140" s="15">
        <v>69.5</v>
      </c>
      <c r="P140" s="15">
        <v>17.899999999999999</v>
      </c>
      <c r="Q140" s="15">
        <v>552</v>
      </c>
      <c r="R140" s="15">
        <v>3.84</v>
      </c>
      <c r="S140" s="15">
        <v>0.32</v>
      </c>
      <c r="T140" s="15">
        <v>1.27</v>
      </c>
      <c r="U140" s="15"/>
      <c r="V140" s="15">
        <v>0.54</v>
      </c>
      <c r="W140" s="15">
        <v>2.17</v>
      </c>
      <c r="X140" s="24">
        <v>11.56644</v>
      </c>
      <c r="Y140" s="15">
        <v>7.07</v>
      </c>
      <c r="Z140" s="15">
        <v>80.599999999999994</v>
      </c>
      <c r="AA140" s="15">
        <v>31.6</v>
      </c>
      <c r="AB140" s="15">
        <v>3.52</v>
      </c>
      <c r="AC140" s="15">
        <v>230.7</v>
      </c>
      <c r="AD140" s="15">
        <v>22.6</v>
      </c>
      <c r="AE140" s="15">
        <v>70.7</v>
      </c>
      <c r="AF140" s="15">
        <v>25.6</v>
      </c>
      <c r="AG140" s="18">
        <v>7.1079999999999997</v>
      </c>
      <c r="AH140" s="15">
        <v>298</v>
      </c>
      <c r="AI140" s="15">
        <v>56.7</v>
      </c>
      <c r="AJ140" s="15">
        <v>7.11</v>
      </c>
      <c r="AK140" s="15">
        <f t="shared" si="0"/>
        <v>0.56700000000000006</v>
      </c>
      <c r="AL140" s="15">
        <v>34</v>
      </c>
      <c r="AM140" s="15">
        <v>80.680000000000007</v>
      </c>
      <c r="AN140" s="15">
        <v>7.31</v>
      </c>
      <c r="AO140" s="15">
        <v>5.53</v>
      </c>
      <c r="AP140" s="15">
        <f t="shared" si="1"/>
        <v>2.6222638888888889E-2</v>
      </c>
      <c r="AQ140" s="15">
        <v>145.49</v>
      </c>
      <c r="AR140" s="15">
        <v>69.02</v>
      </c>
      <c r="AS140" s="15">
        <v>491</v>
      </c>
      <c r="AT140" s="15">
        <v>1902</v>
      </c>
      <c r="AU140" s="15">
        <v>133.55999999999995</v>
      </c>
      <c r="AV140" s="15">
        <f t="shared" si="2"/>
        <v>1768.44</v>
      </c>
      <c r="AW140" s="15">
        <f t="shared" si="5"/>
        <v>34.100000000000009</v>
      </c>
      <c r="AX140" s="15">
        <f t="shared" si="5"/>
        <v>14.139999999999993</v>
      </c>
      <c r="AY140" s="15">
        <f t="shared" si="4"/>
        <v>40</v>
      </c>
      <c r="AZ140" s="39">
        <v>15</v>
      </c>
      <c r="BA140" s="39">
        <v>1700</v>
      </c>
      <c r="BB140" s="15">
        <v>34</v>
      </c>
      <c r="BC140" s="15">
        <v>7.2</v>
      </c>
      <c r="BD140" s="15">
        <v>50</v>
      </c>
      <c r="BE140" s="38">
        <v>2.9999999999999997E-4</v>
      </c>
      <c r="BF140">
        <v>0.02</v>
      </c>
      <c r="BI140">
        <v>8.4394940999999984E-3</v>
      </c>
      <c r="BJ140">
        <v>12.152871503999997</v>
      </c>
      <c r="BK140">
        <v>1888.03</v>
      </c>
      <c r="BL140">
        <v>7.7059156898989956E-2</v>
      </c>
      <c r="BM140">
        <v>8.5582352941176471E-2</v>
      </c>
      <c r="BN140">
        <v>37.760600000000004</v>
      </c>
      <c r="BO140">
        <v>2.6222638888888889E-2</v>
      </c>
      <c r="BP140" t="s">
        <v>83</v>
      </c>
      <c r="BQ140" t="s">
        <v>83</v>
      </c>
      <c r="BR140">
        <v>8.1657297499999988</v>
      </c>
      <c r="BS140" t="s">
        <v>83</v>
      </c>
      <c r="BT140">
        <v>68.110750360750359</v>
      </c>
      <c r="BU140">
        <v>2.6222638888888889E-2</v>
      </c>
      <c r="BV140">
        <v>8.1657297499999988</v>
      </c>
    </row>
    <row r="141" spans="1:74" ht="15.75" thickBot="1" x14ac:dyDescent="0.3">
      <c r="A141" s="19" t="s">
        <v>101</v>
      </c>
      <c r="B141" s="20" t="s">
        <v>27</v>
      </c>
      <c r="C141" s="20">
        <v>12</v>
      </c>
      <c r="D141" s="20">
        <v>7</v>
      </c>
      <c r="E141" s="20"/>
      <c r="F141" s="21">
        <v>45540.408935185202</v>
      </c>
      <c r="G141" s="20">
        <v>3888.32</v>
      </c>
      <c r="H141">
        <v>7.2</v>
      </c>
      <c r="I141">
        <v>0.5</v>
      </c>
      <c r="J141">
        <v>34</v>
      </c>
      <c r="L141" s="22">
        <v>4031.4749999999999</v>
      </c>
      <c r="M141" s="22">
        <v>21.3</v>
      </c>
      <c r="N141" s="22">
        <v>20.2</v>
      </c>
      <c r="O141" s="22">
        <v>94.8</v>
      </c>
      <c r="P141" s="22">
        <v>17.899999999999999</v>
      </c>
      <c r="Q141" s="22"/>
      <c r="R141" s="22">
        <v>1.21</v>
      </c>
      <c r="S141" s="22">
        <v>0.24</v>
      </c>
      <c r="T141" s="22">
        <v>3.47</v>
      </c>
      <c r="U141" s="22"/>
      <c r="V141" s="22">
        <v>0.22</v>
      </c>
      <c r="W141" s="22">
        <v>7.0000000000000007E-2</v>
      </c>
      <c r="X141" s="22">
        <v>1.71</v>
      </c>
      <c r="Y141" s="22">
        <v>7.2640000000000002</v>
      </c>
      <c r="Z141" s="22">
        <v>122.7</v>
      </c>
      <c r="AA141" s="22">
        <v>36.4</v>
      </c>
      <c r="AB141" s="22">
        <v>1.76</v>
      </c>
      <c r="AC141" s="22">
        <v>156.4</v>
      </c>
      <c r="AD141" s="22">
        <v>54.1</v>
      </c>
      <c r="AE141" s="22">
        <v>107.6</v>
      </c>
      <c r="AF141" s="22">
        <v>29.4</v>
      </c>
      <c r="AG141" s="23">
        <v>7.3049999999999997</v>
      </c>
      <c r="AH141" s="15">
        <v>301</v>
      </c>
      <c r="AI141" s="15">
        <v>49.6</v>
      </c>
      <c r="AJ141" s="15">
        <v>7.3</v>
      </c>
      <c r="AK141" s="15">
        <f t="shared" si="0"/>
        <v>0.496</v>
      </c>
      <c r="AL141" s="15">
        <v>34</v>
      </c>
      <c r="AM141" s="15">
        <v>28.27</v>
      </c>
      <c r="AN141" s="15">
        <v>22.05</v>
      </c>
      <c r="AO141" s="15">
        <v>5.59</v>
      </c>
      <c r="AP141" s="15">
        <f t="shared" si="1"/>
        <v>1.4294622222222221E-2</v>
      </c>
      <c r="AQ141" s="15">
        <v>145.38</v>
      </c>
      <c r="AR141" s="15">
        <v>56.59</v>
      </c>
      <c r="AS141" s="15">
        <v>525</v>
      </c>
      <c r="AT141" s="15">
        <v>1846</v>
      </c>
      <c r="AU141" s="15">
        <v>51.660000000000082</v>
      </c>
      <c r="AV141" s="15">
        <f t="shared" si="2"/>
        <v>1794.34</v>
      </c>
      <c r="AW141" s="15">
        <f t="shared" si="5"/>
        <v>28.679999999999993</v>
      </c>
      <c r="AX141" s="15">
        <f t="shared" si="5"/>
        <v>0</v>
      </c>
      <c r="AY141" s="15">
        <f t="shared" si="4"/>
        <v>33</v>
      </c>
      <c r="AZ141" s="39">
        <v>15</v>
      </c>
      <c r="BA141" s="39">
        <v>1700</v>
      </c>
      <c r="BB141" s="15">
        <v>34</v>
      </c>
      <c r="BC141" s="15">
        <v>7.2</v>
      </c>
      <c r="BD141" s="15">
        <v>50</v>
      </c>
      <c r="BE141" s="38">
        <v>2.9999999999999997E-4</v>
      </c>
      <c r="BF141">
        <v>1.12E-2</v>
      </c>
      <c r="BI141">
        <v>1.11375528E-2</v>
      </c>
      <c r="BJ141">
        <v>16.038076032000003</v>
      </c>
      <c r="BK141">
        <v>1837.88</v>
      </c>
      <c r="BL141">
        <v>7.9102008836267862E-2</v>
      </c>
      <c r="BM141">
        <v>8.5517647058823532E-2</v>
      </c>
      <c r="BN141">
        <v>20.584256</v>
      </c>
      <c r="BO141">
        <v>1.4294622222222221E-2</v>
      </c>
      <c r="BP141" t="s">
        <v>83</v>
      </c>
      <c r="BQ141" t="s">
        <v>83</v>
      </c>
      <c r="BR141">
        <v>0</v>
      </c>
      <c r="BS141" t="s">
        <v>83</v>
      </c>
      <c r="BT141">
        <v>37.128888888888888</v>
      </c>
      <c r="BU141">
        <v>1.4294622222222221E-2</v>
      </c>
      <c r="BV141">
        <v>0</v>
      </c>
    </row>
    <row r="142" spans="1:74" x14ac:dyDescent="0.25">
      <c r="A142" s="10" t="s">
        <v>96</v>
      </c>
      <c r="B142" s="11" t="s">
        <v>26</v>
      </c>
      <c r="C142" s="11">
        <v>12</v>
      </c>
      <c r="D142" s="11">
        <v>8</v>
      </c>
      <c r="E142" s="11" t="s">
        <v>107</v>
      </c>
      <c r="F142" s="12">
        <v>45541.409976851901</v>
      </c>
      <c r="G142" s="11">
        <v>4309.7</v>
      </c>
      <c r="H142">
        <v>7.2</v>
      </c>
      <c r="I142">
        <v>0.5</v>
      </c>
      <c r="J142">
        <v>34</v>
      </c>
      <c r="L142" s="13">
        <v>4354.6350000000002</v>
      </c>
      <c r="M142" s="13">
        <v>23.4</v>
      </c>
      <c r="N142" s="13">
        <v>22.2</v>
      </c>
      <c r="O142" s="13">
        <v>94.8</v>
      </c>
      <c r="P142" s="13">
        <v>17.399999999999999</v>
      </c>
      <c r="Q142" s="13">
        <v>356</v>
      </c>
      <c r="R142" s="13">
        <v>1.39</v>
      </c>
      <c r="S142" s="13">
        <v>0.22</v>
      </c>
      <c r="T142" s="13">
        <v>4.9000000000000004</v>
      </c>
      <c r="U142" s="13"/>
      <c r="V142" s="13">
        <v>0.12</v>
      </c>
      <c r="W142" s="13">
        <v>0.08</v>
      </c>
      <c r="X142" s="13">
        <v>0.56000000000000005</v>
      </c>
      <c r="Y142" s="13">
        <v>7.26</v>
      </c>
      <c r="Z142" s="13">
        <v>121.2</v>
      </c>
      <c r="AA142" s="13">
        <v>29</v>
      </c>
      <c r="AB142" s="13">
        <v>2.21</v>
      </c>
      <c r="AC142" s="13">
        <v>144.5</v>
      </c>
      <c r="AD142" s="13">
        <v>53</v>
      </c>
      <c r="AE142" s="13">
        <v>106.3</v>
      </c>
      <c r="AF142" s="13">
        <v>23.4</v>
      </c>
      <c r="AG142" s="14">
        <v>7.3019999999999996</v>
      </c>
      <c r="AH142" s="15">
        <v>300</v>
      </c>
      <c r="AI142" s="15">
        <v>49.8</v>
      </c>
      <c r="AJ142" s="15">
        <v>7.3</v>
      </c>
      <c r="AK142" s="15">
        <f t="shared" si="0"/>
        <v>0.498</v>
      </c>
      <c r="AL142" s="15">
        <v>34</v>
      </c>
      <c r="AM142" s="15">
        <v>22.07</v>
      </c>
      <c r="AN142" s="15">
        <v>33.090000000000003</v>
      </c>
      <c r="AO142" s="15">
        <v>5.29</v>
      </c>
      <c r="AP142" s="38">
        <f t="shared" si="1"/>
        <v>5.0842500000000002E-3</v>
      </c>
      <c r="AQ142" s="15">
        <v>139.57</v>
      </c>
      <c r="AR142" s="15">
        <v>65.31</v>
      </c>
      <c r="AS142" s="15">
        <v>530</v>
      </c>
      <c r="AT142" s="15">
        <v>1904</v>
      </c>
      <c r="AU142" s="15">
        <v>137.11999999999989</v>
      </c>
      <c r="AV142" s="15">
        <f t="shared" si="2"/>
        <v>1766.88</v>
      </c>
      <c r="AW142" s="15">
        <f t="shared" si="5"/>
        <v>24.309999999999988</v>
      </c>
      <c r="AX142" s="15">
        <f t="shared" si="5"/>
        <v>6.1700000000000017</v>
      </c>
      <c r="AY142" s="15">
        <f t="shared" si="4"/>
        <v>27</v>
      </c>
      <c r="AZ142" s="39">
        <v>15</v>
      </c>
      <c r="BA142" s="39">
        <v>1700</v>
      </c>
      <c r="BB142" s="15">
        <v>34</v>
      </c>
      <c r="BC142" s="15">
        <v>7.2</v>
      </c>
      <c r="BD142" s="15">
        <v>50</v>
      </c>
      <c r="BE142" s="38">
        <v>2.9999999999999997E-4</v>
      </c>
      <c r="BG142">
        <v>4.0000000000000001E-3</v>
      </c>
      <c r="BH142">
        <v>1.0000000000000001E-7</v>
      </c>
      <c r="BI142">
        <v>1.2189997799999998E-2</v>
      </c>
      <c r="BJ142">
        <v>17.553596831999997</v>
      </c>
      <c r="BK142">
        <v>1830.33</v>
      </c>
      <c r="BL142">
        <v>7.6254008839935966E-2</v>
      </c>
      <c r="BM142">
        <v>8.2099999999999992E-2</v>
      </c>
      <c r="BN142">
        <v>7.3213200000000001</v>
      </c>
      <c r="BO142" t="s">
        <v>83</v>
      </c>
      <c r="BP142">
        <v>5.0842500000000002E-3</v>
      </c>
      <c r="BQ142" t="s">
        <v>83</v>
      </c>
      <c r="BR142" t="s">
        <v>83</v>
      </c>
      <c r="BS142">
        <v>1.8303300000000001E-4</v>
      </c>
      <c r="BT142">
        <v>13.205844155844158</v>
      </c>
      <c r="BU142">
        <v>5.0842500000000002E-3</v>
      </c>
      <c r="BV142">
        <v>1.8303300000000001E-4</v>
      </c>
    </row>
    <row r="143" spans="1:74" x14ac:dyDescent="0.25">
      <c r="A143" s="16" t="s">
        <v>97</v>
      </c>
      <c r="B143" t="s">
        <v>26</v>
      </c>
      <c r="C143">
        <v>12</v>
      </c>
      <c r="D143">
        <v>8</v>
      </c>
      <c r="E143" t="s">
        <v>107</v>
      </c>
      <c r="F143" s="17">
        <v>45541.414027777799</v>
      </c>
      <c r="G143">
        <v>4309.7</v>
      </c>
      <c r="H143">
        <v>7.2</v>
      </c>
      <c r="I143">
        <v>0.5</v>
      </c>
      <c r="J143">
        <v>34</v>
      </c>
      <c r="L143" s="15">
        <v>4501.3500000000004</v>
      </c>
      <c r="M143" s="15">
        <v>21.1</v>
      </c>
      <c r="N143" s="15">
        <v>20</v>
      </c>
      <c r="O143" s="15">
        <v>94.7</v>
      </c>
      <c r="P143" s="15">
        <v>17.600000000000001</v>
      </c>
      <c r="Q143" s="15">
        <v>359</v>
      </c>
      <c r="R143" s="15">
        <v>1.57</v>
      </c>
      <c r="S143" s="15">
        <v>0.22</v>
      </c>
      <c r="T143" s="15">
        <v>3.24</v>
      </c>
      <c r="U143" s="15"/>
      <c r="V143" s="15">
        <v>0.12</v>
      </c>
      <c r="W143" s="15">
        <v>7.0000000000000007E-2</v>
      </c>
      <c r="X143" s="15">
        <v>0.23</v>
      </c>
      <c r="Y143" s="15">
        <v>7.266</v>
      </c>
      <c r="Z143" s="15">
        <v>142.5</v>
      </c>
      <c r="AA143" s="15">
        <v>33.299999999999997</v>
      </c>
      <c r="AB143" s="15">
        <v>2.0099999999999998</v>
      </c>
      <c r="AC143" s="15">
        <v>150.6</v>
      </c>
      <c r="AD143" s="15">
        <v>63.1</v>
      </c>
      <c r="AE143" s="15">
        <v>125</v>
      </c>
      <c r="AF143" s="15">
        <v>26.9</v>
      </c>
      <c r="AG143" s="18">
        <v>7.3070000000000004</v>
      </c>
      <c r="AH143" s="15">
        <v>300</v>
      </c>
      <c r="AI143" s="15">
        <v>49.1</v>
      </c>
      <c r="AJ143" s="15">
        <v>7.3</v>
      </c>
      <c r="AK143" s="15">
        <f t="shared" si="0"/>
        <v>0.49099999999999999</v>
      </c>
      <c r="AL143" s="15">
        <v>34</v>
      </c>
      <c r="AM143" s="15">
        <v>24.57</v>
      </c>
      <c r="AN143" s="15">
        <v>26.68</v>
      </c>
      <c r="AO143" s="15">
        <v>3</v>
      </c>
      <c r="AP143" s="15">
        <f t="shared" si="1"/>
        <v>1.16538420964073E-2</v>
      </c>
      <c r="AQ143" s="15">
        <v>147.31</v>
      </c>
      <c r="AR143" s="15">
        <v>61.42</v>
      </c>
      <c r="AS143" s="15">
        <v>524</v>
      </c>
      <c r="AT143" s="15">
        <v>1832</v>
      </c>
      <c r="AU143" s="15">
        <v>45.769999999999982</v>
      </c>
      <c r="AV143" s="15">
        <f t="shared" si="2"/>
        <v>1786.23</v>
      </c>
      <c r="AW143" s="15">
        <f t="shared" si="5"/>
        <v>24.240000000000009</v>
      </c>
      <c r="AX143" s="15">
        <f t="shared" si="5"/>
        <v>3.490000000000002</v>
      </c>
      <c r="AY143" s="15">
        <f t="shared" si="4"/>
        <v>29</v>
      </c>
      <c r="AZ143" s="39">
        <v>15</v>
      </c>
      <c r="BA143" s="39">
        <v>1700</v>
      </c>
      <c r="BB143" s="15">
        <v>34</v>
      </c>
      <c r="BC143" s="15">
        <v>7.2</v>
      </c>
      <c r="BD143" s="15">
        <v>50</v>
      </c>
      <c r="BE143" s="38">
        <v>2.9999999999999997E-4</v>
      </c>
      <c r="BG143">
        <v>9.1803699268189556E-3</v>
      </c>
      <c r="BH143">
        <v>9.9999999999999995E-8</v>
      </c>
      <c r="BI143">
        <v>1.0967879999999999E-2</v>
      </c>
      <c r="BJ143">
        <v>15.793747199999999</v>
      </c>
      <c r="BK143">
        <v>1827.98</v>
      </c>
      <c r="BL143">
        <v>8.058622085580805E-2</v>
      </c>
      <c r="BM143">
        <v>8.6652941176470585E-2</v>
      </c>
      <c r="BN143">
        <v>16.781532618826514</v>
      </c>
      <c r="BO143" t="s">
        <v>83</v>
      </c>
      <c r="BP143">
        <v>1.16538420964073E-2</v>
      </c>
      <c r="BQ143" t="s">
        <v>83</v>
      </c>
      <c r="BR143" t="s">
        <v>83</v>
      </c>
      <c r="BS143">
        <v>1.8279799999999999E-4</v>
      </c>
      <c r="BT143">
        <v>30.269719730928053</v>
      </c>
      <c r="BU143">
        <v>1.16538420964073E-2</v>
      </c>
      <c r="BV143">
        <v>1.8279799999999999E-4</v>
      </c>
    </row>
    <row r="144" spans="1:74" x14ac:dyDescent="0.25">
      <c r="A144" s="16" t="s">
        <v>98</v>
      </c>
      <c r="B144" t="s">
        <v>26</v>
      </c>
      <c r="C144">
        <v>12</v>
      </c>
      <c r="D144">
        <v>8</v>
      </c>
      <c r="E144" t="s">
        <v>107</v>
      </c>
      <c r="F144" s="17">
        <v>45541.418136574102</v>
      </c>
      <c r="G144">
        <v>4309.7</v>
      </c>
      <c r="H144">
        <v>7.2</v>
      </c>
      <c r="I144">
        <v>0.5</v>
      </c>
      <c r="J144">
        <v>34</v>
      </c>
      <c r="L144" s="15">
        <v>4039.83</v>
      </c>
      <c r="M144" s="15">
        <v>21.7</v>
      </c>
      <c r="N144" s="15">
        <v>18.5</v>
      </c>
      <c r="O144" s="15">
        <v>85.3</v>
      </c>
      <c r="P144" s="15">
        <v>18.5</v>
      </c>
      <c r="Q144" s="15">
        <v>427</v>
      </c>
      <c r="R144" s="15">
        <v>1.7</v>
      </c>
      <c r="S144" s="15">
        <v>0.25</v>
      </c>
      <c r="T144" s="15">
        <v>4.8099999999999996</v>
      </c>
      <c r="U144" s="15"/>
      <c r="V144" s="15">
        <v>0.62</v>
      </c>
      <c r="W144" s="15">
        <v>1.62</v>
      </c>
      <c r="X144" s="15">
        <v>2.71</v>
      </c>
      <c r="Y144" s="15">
        <v>7.2610000000000001</v>
      </c>
      <c r="Z144" s="15">
        <v>119.6</v>
      </c>
      <c r="AA144" s="15">
        <v>0</v>
      </c>
      <c r="AB144" s="15">
        <v>1.65</v>
      </c>
      <c r="AC144" s="15">
        <v>173.4</v>
      </c>
      <c r="AD144" s="15">
        <v>52.4</v>
      </c>
      <c r="AE144" s="15">
        <v>104.9</v>
      </c>
      <c r="AF144" s="15">
        <v>0</v>
      </c>
      <c r="AG144" s="18">
        <v>7.3019999999999996</v>
      </c>
      <c r="AH144" s="15">
        <v>299</v>
      </c>
      <c r="AI144" s="15">
        <v>49.5</v>
      </c>
      <c r="AJ144" s="15">
        <v>7.27</v>
      </c>
      <c r="AK144" s="15">
        <f t="shared" si="0"/>
        <v>0.495</v>
      </c>
      <c r="AL144" s="15">
        <v>34</v>
      </c>
      <c r="AM144" s="15">
        <v>38.049999999999997</v>
      </c>
      <c r="AN144" s="15">
        <v>1.24</v>
      </c>
      <c r="AO144" s="15">
        <v>6.66</v>
      </c>
      <c r="AP144" s="15">
        <f t="shared" si="1"/>
        <v>1.08215463664599E-2</v>
      </c>
      <c r="AQ144" s="15">
        <v>189.85</v>
      </c>
      <c r="AR144" s="15">
        <v>72.11</v>
      </c>
      <c r="AS144" s="15">
        <v>456</v>
      </c>
      <c r="AT144" s="15">
        <v>1906</v>
      </c>
      <c r="AU144" s="15">
        <v>84.700000000000045</v>
      </c>
      <c r="AV144" s="15">
        <f t="shared" si="2"/>
        <v>1821.3</v>
      </c>
      <c r="AW144" s="15">
        <f t="shared" si="5"/>
        <v>40.22999999999999</v>
      </c>
      <c r="AX144" s="15">
        <f t="shared" si="5"/>
        <v>0.98999999999999488</v>
      </c>
      <c r="AY144" s="15">
        <f t="shared" si="4"/>
        <v>48</v>
      </c>
      <c r="AZ144" s="39">
        <v>15</v>
      </c>
      <c r="BA144" s="39">
        <v>1700</v>
      </c>
      <c r="BB144" s="15">
        <v>34</v>
      </c>
      <c r="BC144" s="15">
        <v>7.2</v>
      </c>
      <c r="BD144" s="15">
        <v>50</v>
      </c>
      <c r="BE144" s="38">
        <v>2.9999999999999997E-4</v>
      </c>
      <c r="BG144">
        <v>8.320221883433938E-3</v>
      </c>
      <c r="BH144">
        <v>1.8539189845432401E-3</v>
      </c>
      <c r="BI144">
        <v>1.03946505E-2</v>
      </c>
      <c r="BJ144">
        <v>14.968296720000001</v>
      </c>
      <c r="BK144">
        <v>1872.91</v>
      </c>
      <c r="BL144">
        <v>0.10136632299469808</v>
      </c>
      <c r="BM144">
        <v>0.11167647058823529</v>
      </c>
      <c r="BN144">
        <v>15.583026767702258</v>
      </c>
      <c r="BO144" t="s">
        <v>83</v>
      </c>
      <c r="BP144">
        <v>1.08215463664599E-2</v>
      </c>
      <c r="BQ144" t="s">
        <v>83</v>
      </c>
      <c r="BR144" t="s">
        <v>83</v>
      </c>
      <c r="BS144">
        <v>3.47222340534088</v>
      </c>
      <c r="BT144">
        <v>28.107912640155586</v>
      </c>
      <c r="BU144">
        <v>1.08215463664599E-2</v>
      </c>
      <c r="BV144">
        <v>3.47222340534088</v>
      </c>
    </row>
    <row r="145" spans="1:74" x14ac:dyDescent="0.25">
      <c r="A145" s="16" t="s">
        <v>99</v>
      </c>
      <c r="B145" t="s">
        <v>27</v>
      </c>
      <c r="C145">
        <v>12</v>
      </c>
      <c r="D145">
        <v>8</v>
      </c>
      <c r="E145" t="s">
        <v>107</v>
      </c>
      <c r="F145" s="17">
        <v>45541.4217361111</v>
      </c>
      <c r="G145">
        <v>4309.7</v>
      </c>
      <c r="H145">
        <v>7.2</v>
      </c>
      <c r="I145">
        <v>0.5</v>
      </c>
      <c r="J145">
        <v>34</v>
      </c>
      <c r="L145" s="15">
        <v>3944.52</v>
      </c>
      <c r="M145" s="15">
        <v>18.8</v>
      </c>
      <c r="N145" s="15">
        <v>16.8</v>
      </c>
      <c r="O145" s="15">
        <v>89.2</v>
      </c>
      <c r="P145" s="15">
        <v>18.8</v>
      </c>
      <c r="Q145" s="15"/>
      <c r="R145" s="15">
        <v>1.32</v>
      </c>
      <c r="S145" s="15">
        <v>0.25</v>
      </c>
      <c r="T145" s="15">
        <v>3.69</v>
      </c>
      <c r="U145" s="15"/>
      <c r="V145" s="15">
        <v>0.36</v>
      </c>
      <c r="W145" s="15">
        <v>0.66</v>
      </c>
      <c r="X145" s="15">
        <v>3.71</v>
      </c>
      <c r="Y145" s="15">
        <v>7.2759999999999998</v>
      </c>
      <c r="Z145" s="15">
        <v>122.2</v>
      </c>
      <c r="AA145" s="15">
        <v>26.4</v>
      </c>
      <c r="AB145" s="15">
        <v>1.73</v>
      </c>
      <c r="AC145" s="15">
        <v>180.5</v>
      </c>
      <c r="AD145" s="15">
        <v>55.4</v>
      </c>
      <c r="AE145" s="15">
        <v>107.2</v>
      </c>
      <c r="AF145" s="15">
        <v>21.3</v>
      </c>
      <c r="AG145" s="18">
        <v>7.3170000000000002</v>
      </c>
      <c r="AH145" s="15">
        <v>301</v>
      </c>
      <c r="AI145" s="15">
        <v>49.6</v>
      </c>
      <c r="AJ145" s="15">
        <v>7.29</v>
      </c>
      <c r="AK145" s="15">
        <f t="shared" si="0"/>
        <v>0.496</v>
      </c>
      <c r="AL145" s="15">
        <v>34</v>
      </c>
      <c r="AM145" s="15">
        <v>43.09</v>
      </c>
      <c r="AN145" s="15">
        <v>10.53</v>
      </c>
      <c r="AO145" s="15">
        <v>6.76</v>
      </c>
      <c r="AP145" s="15">
        <f t="shared" si="1"/>
        <v>2.5813472222222224E-2</v>
      </c>
      <c r="AQ145" s="15">
        <v>162.32</v>
      </c>
      <c r="AR145" s="15">
        <v>70.87</v>
      </c>
      <c r="AS145" s="15">
        <v>492</v>
      </c>
      <c r="AT145" s="15">
        <v>1872</v>
      </c>
      <c r="AU145" s="15">
        <v>47.420000000000073</v>
      </c>
      <c r="AV145" s="15">
        <f t="shared" si="2"/>
        <v>1824.58</v>
      </c>
      <c r="AW145" s="15">
        <f t="shared" si="5"/>
        <v>37.389999999999986</v>
      </c>
      <c r="AX145" s="15">
        <f t="shared" si="5"/>
        <v>0</v>
      </c>
      <c r="AY145" s="15">
        <f t="shared" si="4"/>
        <v>45</v>
      </c>
      <c r="AZ145" s="39">
        <v>15</v>
      </c>
      <c r="BA145" s="39">
        <v>1700</v>
      </c>
      <c r="BB145" s="15">
        <v>34</v>
      </c>
      <c r="BC145" s="15">
        <v>7.2</v>
      </c>
      <c r="BD145" s="15">
        <v>50</v>
      </c>
      <c r="BE145" s="38">
        <v>2.9999999999999997E-4</v>
      </c>
      <c r="BF145">
        <v>0.02</v>
      </c>
      <c r="BI145">
        <v>9.3671927999999984E-3</v>
      </c>
      <c r="BJ145">
        <v>13.488757631999997</v>
      </c>
      <c r="BK145">
        <v>1858.57</v>
      </c>
      <c r="BL145">
        <v>8.7335962594898231E-2</v>
      </c>
      <c r="BM145">
        <v>9.5482352941176463E-2</v>
      </c>
      <c r="BN145">
        <v>37.171400000000006</v>
      </c>
      <c r="BO145">
        <v>2.5813472222222224E-2</v>
      </c>
      <c r="BP145" t="s">
        <v>83</v>
      </c>
      <c r="BQ145" t="s">
        <v>83</v>
      </c>
      <c r="BR145">
        <v>0</v>
      </c>
      <c r="BS145" t="s">
        <v>83</v>
      </c>
      <c r="BT145">
        <v>67.047979797979806</v>
      </c>
      <c r="BU145">
        <v>2.5813472222222224E-2</v>
      </c>
      <c r="BV145">
        <v>0</v>
      </c>
    </row>
    <row r="146" spans="1:74" x14ac:dyDescent="0.25">
      <c r="A146" s="16" t="s">
        <v>100</v>
      </c>
      <c r="B146" t="s">
        <v>27</v>
      </c>
      <c r="C146">
        <v>12</v>
      </c>
      <c r="D146">
        <v>8</v>
      </c>
      <c r="E146" t="s">
        <v>108</v>
      </c>
      <c r="F146" s="17">
        <v>45541.425601851901</v>
      </c>
      <c r="G146">
        <v>4309.7</v>
      </c>
      <c r="H146">
        <v>7.2</v>
      </c>
      <c r="I146">
        <v>0.5</v>
      </c>
      <c r="J146">
        <v>34</v>
      </c>
      <c r="L146" s="15">
        <v>2821.47</v>
      </c>
      <c r="M146" s="15">
        <v>20.9</v>
      </c>
      <c r="N146" s="15">
        <v>14</v>
      </c>
      <c r="O146" s="15">
        <v>67.099999999999994</v>
      </c>
      <c r="P146" s="15">
        <v>18.2</v>
      </c>
      <c r="Q146" s="15">
        <v>600</v>
      </c>
      <c r="R146" s="15">
        <v>5.43</v>
      </c>
      <c r="S146" s="15">
        <v>0.31</v>
      </c>
      <c r="T146" s="15">
        <v>3.79</v>
      </c>
      <c r="U146" s="15"/>
      <c r="V146" s="15">
        <v>0.64</v>
      </c>
      <c r="W146" s="15">
        <v>2.4300000000000002</v>
      </c>
      <c r="X146" s="24">
        <v>12.068239999999999</v>
      </c>
      <c r="Y146" s="15">
        <v>7.0570000000000004</v>
      </c>
      <c r="Z146" s="15">
        <v>78.099999999999994</v>
      </c>
      <c r="AA146" s="15">
        <v>75.400000000000006</v>
      </c>
      <c r="AB146" s="15">
        <v>3.62</v>
      </c>
      <c r="AC146" s="15">
        <v>241.4</v>
      </c>
      <c r="AD146" s="15">
        <v>21.2</v>
      </c>
      <c r="AE146" s="15">
        <v>68.5</v>
      </c>
      <c r="AF146" s="15">
        <v>61.7</v>
      </c>
      <c r="AG146" s="18">
        <v>7.0940000000000003</v>
      </c>
      <c r="AH146" s="15">
        <v>298</v>
      </c>
      <c r="AI146" s="15">
        <v>48.9</v>
      </c>
      <c r="AJ146" s="15">
        <v>7.1</v>
      </c>
      <c r="AK146" s="15">
        <f t="shared" si="0"/>
        <v>0.48899999999999999</v>
      </c>
      <c r="AL146" s="15">
        <v>34</v>
      </c>
      <c r="AM146" s="15">
        <v>86.93</v>
      </c>
      <c r="AN146" s="15">
        <v>7.31</v>
      </c>
      <c r="AO146" s="15">
        <v>6.44</v>
      </c>
      <c r="AP146" s="15">
        <f t="shared" si="1"/>
        <v>2.6768055555555559E-2</v>
      </c>
      <c r="AQ146" s="15">
        <v>183.8</v>
      </c>
      <c r="AR146" s="15">
        <v>77.819999999999993</v>
      </c>
      <c r="AS146" s="15">
        <v>445</v>
      </c>
      <c r="AT146" s="15">
        <v>1964</v>
      </c>
      <c r="AU146" s="15">
        <v>133.55999999999995</v>
      </c>
      <c r="AV146" s="15">
        <f t="shared" si="2"/>
        <v>1830.44</v>
      </c>
      <c r="AW146" s="15">
        <f t="shared" si="5"/>
        <v>38.31</v>
      </c>
      <c r="AX146" s="15">
        <f t="shared" si="5"/>
        <v>8.7999999999999972</v>
      </c>
      <c r="AY146" s="15">
        <f t="shared" si="4"/>
        <v>46</v>
      </c>
      <c r="AZ146" s="39">
        <v>15</v>
      </c>
      <c r="BA146" s="39">
        <v>1700</v>
      </c>
      <c r="BB146" s="15">
        <v>34</v>
      </c>
      <c r="BC146" s="15">
        <v>7.2</v>
      </c>
      <c r="BD146" s="15">
        <v>50</v>
      </c>
      <c r="BE146" s="38">
        <v>2.9999999999999997E-4</v>
      </c>
      <c r="BF146">
        <v>0.02</v>
      </c>
      <c r="BI146">
        <v>8.0946600000000018E-3</v>
      </c>
      <c r="BJ146">
        <v>11.656310400000002</v>
      </c>
      <c r="BK146">
        <v>1927.3000000000002</v>
      </c>
      <c r="BL146">
        <v>9.5366575001297152E-2</v>
      </c>
      <c r="BM146">
        <v>0.10811764705882354</v>
      </c>
      <c r="BN146">
        <v>38.546000000000006</v>
      </c>
      <c r="BO146">
        <v>2.6768055555555559E-2</v>
      </c>
      <c r="BP146" t="s">
        <v>83</v>
      </c>
      <c r="BQ146" t="s">
        <v>83</v>
      </c>
      <c r="BR146">
        <v>0</v>
      </c>
      <c r="BS146" t="s">
        <v>83</v>
      </c>
      <c r="BT146">
        <v>69.527417027417044</v>
      </c>
      <c r="BU146">
        <v>2.6768055555555559E-2</v>
      </c>
      <c r="BV146">
        <v>0</v>
      </c>
    </row>
    <row r="147" spans="1:74" ht="15.75" thickBot="1" x14ac:dyDescent="0.3">
      <c r="A147" s="19" t="s">
        <v>101</v>
      </c>
      <c r="B147" s="20" t="s">
        <v>27</v>
      </c>
      <c r="C147" s="20">
        <v>12</v>
      </c>
      <c r="D147" s="20">
        <v>8</v>
      </c>
      <c r="E147" s="20" t="s">
        <v>107</v>
      </c>
      <c r="F147" s="21">
        <v>45541.429097222201</v>
      </c>
      <c r="G147" s="20">
        <v>4309.7</v>
      </c>
      <c r="H147">
        <v>7.2</v>
      </c>
      <c r="I147">
        <v>0.5</v>
      </c>
      <c r="J147">
        <v>34</v>
      </c>
      <c r="L147" s="22">
        <v>4621.9350000000004</v>
      </c>
      <c r="M147" s="22">
        <v>22.6</v>
      </c>
      <c r="N147" s="22">
        <v>21.2</v>
      </c>
      <c r="O147" s="22">
        <v>94</v>
      </c>
      <c r="P147" s="22">
        <v>17.899999999999999</v>
      </c>
      <c r="Q147" s="22">
        <v>362</v>
      </c>
      <c r="R147" s="22">
        <v>1.36</v>
      </c>
      <c r="S147" s="22">
        <v>0.22</v>
      </c>
      <c r="T147" s="22">
        <v>1.76</v>
      </c>
      <c r="U147" s="22"/>
      <c r="V147" s="22">
        <v>0.19</v>
      </c>
      <c r="W147" s="22">
        <v>7.0000000000000007E-2</v>
      </c>
      <c r="X147" s="22">
        <v>1.31</v>
      </c>
      <c r="Y147" s="22">
        <v>7.266</v>
      </c>
      <c r="Z147" s="22">
        <v>124</v>
      </c>
      <c r="AA147" s="22">
        <v>31.7</v>
      </c>
      <c r="AB147" s="22">
        <v>1.76</v>
      </c>
      <c r="AC147" s="22">
        <v>157.69999999999999</v>
      </c>
      <c r="AD147" s="22">
        <v>55</v>
      </c>
      <c r="AE147" s="22">
        <v>108.7</v>
      </c>
      <c r="AF147" s="22">
        <v>25.6</v>
      </c>
      <c r="AG147" s="23">
        <v>7.3079999999999998</v>
      </c>
      <c r="AH147" s="15">
        <v>301</v>
      </c>
      <c r="AI147" s="15">
        <v>50.2</v>
      </c>
      <c r="AJ147" s="15">
        <v>7.3</v>
      </c>
      <c r="AK147" s="15">
        <f t="shared" si="0"/>
        <v>0.502</v>
      </c>
      <c r="AL147" s="15">
        <v>34</v>
      </c>
      <c r="AM147" s="15">
        <v>28.27</v>
      </c>
      <c r="AN147" s="15">
        <v>28.23</v>
      </c>
      <c r="AO147" s="15">
        <v>6.52</v>
      </c>
      <c r="AP147" s="15">
        <f t="shared" si="1"/>
        <v>1.2219836805555554E-2</v>
      </c>
      <c r="AQ147" s="15">
        <v>167.66</v>
      </c>
      <c r="AR147" s="15">
        <v>56.59</v>
      </c>
      <c r="AS147" s="15">
        <v>500</v>
      </c>
      <c r="AT147" s="15">
        <v>1870</v>
      </c>
      <c r="AU147" s="15">
        <v>51.660000000000082</v>
      </c>
      <c r="AV147" s="15">
        <f t="shared" si="2"/>
        <v>1818.34</v>
      </c>
      <c r="AW147" s="15">
        <f t="shared" si="5"/>
        <v>22.28</v>
      </c>
      <c r="AX147" s="15">
        <f t="shared" si="5"/>
        <v>0</v>
      </c>
      <c r="AY147" s="15">
        <f t="shared" si="4"/>
        <v>25</v>
      </c>
      <c r="AZ147" s="39">
        <v>15</v>
      </c>
      <c r="BA147" s="39">
        <v>1700</v>
      </c>
      <c r="BB147" s="15">
        <v>34</v>
      </c>
      <c r="BC147" s="15">
        <v>7.2</v>
      </c>
      <c r="BD147" s="15">
        <v>50</v>
      </c>
      <c r="BE147" s="38">
        <v>2.9999999999999997E-4</v>
      </c>
      <c r="BF147">
        <v>9.4999999999999998E-3</v>
      </c>
      <c r="BI147">
        <v>1.1780437199999999E-2</v>
      </c>
      <c r="BJ147">
        <v>16.963829567999998</v>
      </c>
      <c r="BK147">
        <v>1852.27</v>
      </c>
      <c r="BL147">
        <v>9.051596149589422E-2</v>
      </c>
      <c r="BM147">
        <v>9.8623529411764707E-2</v>
      </c>
      <c r="BN147">
        <v>17.596564999999998</v>
      </c>
      <c r="BO147">
        <v>1.2219836805555554E-2</v>
      </c>
      <c r="BP147" t="s">
        <v>83</v>
      </c>
      <c r="BQ147" t="s">
        <v>83</v>
      </c>
      <c r="BR147">
        <v>0</v>
      </c>
      <c r="BS147" t="s">
        <v>83</v>
      </c>
      <c r="BT147">
        <v>31.739835858585856</v>
      </c>
      <c r="BU147">
        <v>1.2219836805555554E-2</v>
      </c>
      <c r="BV147">
        <v>0</v>
      </c>
    </row>
    <row r="148" spans="1:74" x14ac:dyDescent="0.25">
      <c r="A148" s="10" t="s">
        <v>96</v>
      </c>
      <c r="B148" s="11" t="s">
        <v>26</v>
      </c>
      <c r="C148" s="11">
        <v>12</v>
      </c>
      <c r="D148" s="11">
        <v>9</v>
      </c>
      <c r="E148" s="11"/>
      <c r="F148" s="12">
        <v>45542.536215277803</v>
      </c>
      <c r="G148" s="11">
        <v>4805.7299999999996</v>
      </c>
      <c r="H148">
        <v>7.2</v>
      </c>
      <c r="I148">
        <v>0.5</v>
      </c>
      <c r="J148">
        <v>34</v>
      </c>
      <c r="L148" s="13">
        <v>4962.95</v>
      </c>
      <c r="M148" s="13">
        <v>22.1</v>
      </c>
      <c r="N148" s="13">
        <v>20.6</v>
      </c>
      <c r="O148" s="13">
        <v>93.2</v>
      </c>
      <c r="P148" s="13">
        <v>17.3</v>
      </c>
      <c r="Q148" s="13">
        <v>344</v>
      </c>
      <c r="R148" s="13">
        <v>1.42</v>
      </c>
      <c r="S148" s="13">
        <v>0.21</v>
      </c>
      <c r="T148" s="13">
        <v>2.37</v>
      </c>
      <c r="U148" s="13"/>
      <c r="V148" s="13">
        <v>0.15</v>
      </c>
      <c r="W148" s="13">
        <v>0.13</v>
      </c>
      <c r="X148" s="13">
        <v>0.55000000000000004</v>
      </c>
      <c r="Y148" s="13">
        <v>7.2480000000000002</v>
      </c>
      <c r="Z148" s="13">
        <v>109.4</v>
      </c>
      <c r="AA148" s="13">
        <v>40.4</v>
      </c>
      <c r="AB148" s="13">
        <v>2.44</v>
      </c>
      <c r="AC148" s="13">
        <v>147.1</v>
      </c>
      <c r="AD148" s="13">
        <v>46.5</v>
      </c>
      <c r="AE148" s="13">
        <v>96</v>
      </c>
      <c r="AF148" s="13">
        <v>32.700000000000003</v>
      </c>
      <c r="AG148" s="14">
        <v>7.29</v>
      </c>
      <c r="AH148" s="15">
        <v>301</v>
      </c>
      <c r="AI148" s="15">
        <v>50.2</v>
      </c>
      <c r="AJ148" s="15">
        <v>7.3</v>
      </c>
      <c r="AK148" s="15">
        <f t="shared" si="0"/>
        <v>0.502</v>
      </c>
      <c r="AL148" s="15">
        <v>34</v>
      </c>
      <c r="AM148" s="15">
        <v>22.065000000000001</v>
      </c>
      <c r="AN148" s="15">
        <v>41.161000000000001</v>
      </c>
      <c r="AO148" s="15">
        <f>AO142+0.95</f>
        <v>6.24</v>
      </c>
      <c r="AP148" s="38">
        <f t="shared" si="1"/>
        <v>1.55878779022903E-2</v>
      </c>
      <c r="AQ148" s="15">
        <v>150.99</v>
      </c>
      <c r="AR148" s="15">
        <v>65.31</v>
      </c>
      <c r="AS148" s="15">
        <v>518</v>
      </c>
      <c r="AT148" s="15">
        <v>1886</v>
      </c>
      <c r="AU148" s="15">
        <v>137.11999999999989</v>
      </c>
      <c r="AV148" s="15">
        <f t="shared" si="2"/>
        <v>1748.88</v>
      </c>
      <c r="AW148" s="15">
        <f t="shared" si="5"/>
        <v>11.420000000000016</v>
      </c>
      <c r="AX148" s="15">
        <f t="shared" si="5"/>
        <v>0</v>
      </c>
      <c r="AY148" s="15">
        <f t="shared" si="4"/>
        <v>12</v>
      </c>
      <c r="AZ148" s="39">
        <v>15</v>
      </c>
      <c r="BA148" s="39">
        <v>1700</v>
      </c>
      <c r="BB148" s="15">
        <v>34</v>
      </c>
      <c r="BC148" s="15">
        <v>7.2</v>
      </c>
      <c r="BD148" s="15">
        <v>50</v>
      </c>
      <c r="BE148" s="38">
        <v>2.9999999999999997E-4</v>
      </c>
      <c r="BG148">
        <v>1.2227344977136538E-2</v>
      </c>
      <c r="BH148">
        <v>9.9999999999999995E-8</v>
      </c>
      <c r="BI148">
        <v>1.1345033880000001E-2</v>
      </c>
      <c r="BJ148">
        <v>16.336848787200001</v>
      </c>
      <c r="BK148">
        <v>1835.7660000000001</v>
      </c>
      <c r="BL148">
        <v>8.224904481290099E-2</v>
      </c>
      <c r="BM148">
        <v>8.8817647058823529E-2</v>
      </c>
      <c r="BN148">
        <v>22.446544179298034</v>
      </c>
      <c r="BO148" t="s">
        <v>83</v>
      </c>
      <c r="BP148">
        <v>1.55878779022903E-2</v>
      </c>
      <c r="BQ148" t="s">
        <v>83</v>
      </c>
      <c r="BR148" t="s">
        <v>83</v>
      </c>
      <c r="BS148">
        <v>1.8357660000000001E-4</v>
      </c>
      <c r="BT148">
        <v>40.487994551403375</v>
      </c>
      <c r="BU148">
        <v>1.55878779022903E-2</v>
      </c>
      <c r="BV148">
        <v>1.8357660000000001E-4</v>
      </c>
    </row>
    <row r="149" spans="1:74" x14ac:dyDescent="0.25">
      <c r="A149" s="16" t="s">
        <v>97</v>
      </c>
      <c r="B149" t="s">
        <v>26</v>
      </c>
      <c r="C149">
        <v>12</v>
      </c>
      <c r="D149">
        <v>9</v>
      </c>
      <c r="F149" s="17">
        <v>45542.542280092603</v>
      </c>
      <c r="G149">
        <v>4805.7299999999996</v>
      </c>
      <c r="H149">
        <v>7.2</v>
      </c>
      <c r="I149">
        <v>0.5</v>
      </c>
      <c r="J149">
        <v>34</v>
      </c>
      <c r="L149" s="15">
        <v>5081.96</v>
      </c>
      <c r="M149" s="15">
        <v>22.2</v>
      </c>
      <c r="N149" s="15">
        <v>20.9</v>
      </c>
      <c r="O149" s="15">
        <v>94.3</v>
      </c>
      <c r="P149" s="15">
        <v>18</v>
      </c>
      <c r="Q149" s="15">
        <v>340</v>
      </c>
      <c r="R149" s="15">
        <v>1.74</v>
      </c>
      <c r="S149" s="15">
        <v>0.21</v>
      </c>
      <c r="T149" s="15">
        <v>0.49</v>
      </c>
      <c r="U149" s="15"/>
      <c r="V149" s="15">
        <v>0.12</v>
      </c>
      <c r="W149" s="15">
        <v>0.11</v>
      </c>
      <c r="X149" s="15">
        <v>0.16</v>
      </c>
      <c r="Y149" s="15">
        <v>7.2590000000000003</v>
      </c>
      <c r="Z149" s="15">
        <v>134.1</v>
      </c>
      <c r="AA149" s="15">
        <v>35.700000000000003</v>
      </c>
      <c r="AB149" s="15">
        <v>1.99</v>
      </c>
      <c r="AC149" s="15">
        <v>153.1</v>
      </c>
      <c r="AD149" s="15">
        <v>58.4</v>
      </c>
      <c r="AE149" s="15">
        <v>117.6</v>
      </c>
      <c r="AF149" s="15">
        <v>28.9</v>
      </c>
      <c r="AG149" s="18">
        <v>7.3</v>
      </c>
      <c r="AH149" s="15">
        <v>299</v>
      </c>
      <c r="AI149" s="15">
        <v>50.7</v>
      </c>
      <c r="AJ149" s="15">
        <v>7.28</v>
      </c>
      <c r="AK149" s="15">
        <f t="shared" si="0"/>
        <v>0.50700000000000001</v>
      </c>
      <c r="AL149" s="15">
        <v>34</v>
      </c>
      <c r="AM149" s="15">
        <v>24.568000000000001</v>
      </c>
      <c r="AN149" s="15">
        <v>27.052</v>
      </c>
      <c r="AO149" s="15">
        <f>AO143+0.94</f>
        <v>3.94</v>
      </c>
      <c r="AP149" s="15">
        <f t="shared" si="1"/>
        <v>1.4239072354215201E-2</v>
      </c>
      <c r="AQ149" s="15">
        <v>167.56</v>
      </c>
      <c r="AR149" s="15">
        <v>61.42</v>
      </c>
      <c r="AS149" s="15">
        <v>501</v>
      </c>
      <c r="AT149" s="15">
        <v>1816</v>
      </c>
      <c r="AU149" s="15">
        <v>45.769999999999982</v>
      </c>
      <c r="AV149" s="15">
        <f t="shared" si="2"/>
        <v>1770.23</v>
      </c>
      <c r="AW149" s="15">
        <f t="shared" si="5"/>
        <v>20.25</v>
      </c>
      <c r="AX149" s="15">
        <f t="shared" si="5"/>
        <v>0</v>
      </c>
      <c r="AY149" s="15">
        <f t="shared" si="4"/>
        <v>23</v>
      </c>
      <c r="AZ149" s="39">
        <v>15</v>
      </c>
      <c r="BA149" s="39">
        <v>1700</v>
      </c>
      <c r="BB149" s="15">
        <v>34</v>
      </c>
      <c r="BC149" s="15">
        <v>7.2</v>
      </c>
      <c r="BD149" s="15">
        <v>50</v>
      </c>
      <c r="BE149" s="38">
        <v>2.9999999999999997E-4</v>
      </c>
      <c r="BG149">
        <v>1.1176787745194918E-2</v>
      </c>
      <c r="BH149">
        <v>3.3316909083529549E-3</v>
      </c>
      <c r="BI149">
        <v>1.1502565799999998E-2</v>
      </c>
      <c r="BJ149">
        <v>16.563694751999996</v>
      </c>
      <c r="BK149">
        <v>1834.54</v>
      </c>
      <c r="BL149">
        <v>9.1336247778734725E-2</v>
      </c>
      <c r="BM149">
        <v>9.8564705882352943E-2</v>
      </c>
      <c r="BN149">
        <v>20.504264190069886</v>
      </c>
      <c r="BO149" t="s">
        <v>83</v>
      </c>
      <c r="BP149">
        <v>1.4239072354215201E-2</v>
      </c>
      <c r="BQ149" t="s">
        <v>83</v>
      </c>
      <c r="BR149" t="s">
        <v>83</v>
      </c>
      <c r="BS149">
        <v>6.1121202390098297</v>
      </c>
      <c r="BT149">
        <v>36.984603517442082</v>
      </c>
      <c r="BU149">
        <v>1.4239072354215201E-2</v>
      </c>
      <c r="BV149">
        <v>6.1121202390098297</v>
      </c>
    </row>
    <row r="150" spans="1:74" x14ac:dyDescent="0.25">
      <c r="A150" s="16" t="s">
        <v>98</v>
      </c>
      <c r="B150" t="s">
        <v>26</v>
      </c>
      <c r="C150">
        <v>12</v>
      </c>
      <c r="D150">
        <v>9</v>
      </c>
      <c r="F150" s="17">
        <v>45542.544826388897</v>
      </c>
      <c r="G150">
        <v>4805.7299999999996</v>
      </c>
      <c r="H150">
        <v>7.2</v>
      </c>
      <c r="I150">
        <v>0.5</v>
      </c>
      <c r="J150">
        <v>34</v>
      </c>
      <c r="L150" s="15">
        <v>4467.1400000000003</v>
      </c>
      <c r="M150" s="15">
        <v>19.899999999999999</v>
      </c>
      <c r="N150" s="15">
        <v>17.5</v>
      </c>
      <c r="O150" s="15">
        <v>87.6</v>
      </c>
      <c r="P150" s="15">
        <v>18.8</v>
      </c>
      <c r="Q150" s="15">
        <v>412</v>
      </c>
      <c r="R150" s="15">
        <v>1.83</v>
      </c>
      <c r="S150" s="15">
        <v>0.22</v>
      </c>
      <c r="T150" s="15">
        <v>2.14</v>
      </c>
      <c r="U150" s="15"/>
      <c r="V150" s="15">
        <v>0.49</v>
      </c>
      <c r="W150" s="15">
        <v>0.82</v>
      </c>
      <c r="X150" s="15">
        <v>2.0699999999999998</v>
      </c>
      <c r="Y150" s="15">
        <v>7.3280000000000003</v>
      </c>
      <c r="Z150" s="15">
        <v>119.4</v>
      </c>
      <c r="AA150" s="15">
        <v>8.6</v>
      </c>
      <c r="AB150" s="15">
        <v>1.54</v>
      </c>
      <c r="AC150" s="15">
        <v>175.6</v>
      </c>
      <c r="AD150" s="15">
        <v>61.1</v>
      </c>
      <c r="AE150" s="15">
        <v>104.7</v>
      </c>
      <c r="AF150" s="15">
        <v>6.9</v>
      </c>
      <c r="AG150" s="18">
        <v>7.37</v>
      </c>
      <c r="AH150" s="15">
        <v>298</v>
      </c>
      <c r="AI150" s="15">
        <v>51.5</v>
      </c>
      <c r="AJ150" s="15">
        <v>7.3</v>
      </c>
      <c r="AK150" s="15">
        <f t="shared" si="0"/>
        <v>0.51500000000000001</v>
      </c>
      <c r="AL150" s="15">
        <v>34</v>
      </c>
      <c r="AM150" s="15">
        <v>38.045999999999999</v>
      </c>
      <c r="AN150" s="15">
        <v>2.4567000000000001</v>
      </c>
      <c r="AO150" s="15">
        <f>AO144+0.93</f>
        <v>7.59</v>
      </c>
      <c r="AP150" s="15">
        <f t="shared" si="1"/>
        <v>3.1427878333333298E-2</v>
      </c>
      <c r="AQ150" s="15">
        <v>211.31</v>
      </c>
      <c r="AR150" s="15">
        <v>76.27</v>
      </c>
      <c r="AS150" s="15">
        <v>430</v>
      </c>
      <c r="AT150" s="15">
        <v>1900</v>
      </c>
      <c r="AU150" s="15">
        <v>84.700000000000045</v>
      </c>
      <c r="AV150" s="15">
        <f t="shared" si="2"/>
        <v>1815.3</v>
      </c>
      <c r="AW150" s="15">
        <f t="shared" si="5"/>
        <v>21.460000000000008</v>
      </c>
      <c r="AX150" s="15">
        <f t="shared" si="5"/>
        <v>4.1599999999999966</v>
      </c>
      <c r="AY150" s="15">
        <f t="shared" si="4"/>
        <v>26</v>
      </c>
      <c r="AZ150" s="39">
        <v>15</v>
      </c>
      <c r="BA150" s="39">
        <v>1700</v>
      </c>
      <c r="BB150" s="15">
        <v>34</v>
      </c>
      <c r="BC150" s="15">
        <v>7.2</v>
      </c>
      <c r="BD150" s="15">
        <v>50</v>
      </c>
      <c r="BE150" s="38">
        <v>2.9999999999999997E-4</v>
      </c>
      <c r="BG150">
        <v>2.3999999999999973E-2</v>
      </c>
      <c r="BH150">
        <v>4.1250564909925723E-3</v>
      </c>
      <c r="BI150">
        <v>9.8997816750000002E-3</v>
      </c>
      <c r="BJ150">
        <v>14.255685612000001</v>
      </c>
      <c r="BK150">
        <v>1885.6727000000001</v>
      </c>
      <c r="BL150">
        <v>0.11206080461365325</v>
      </c>
      <c r="BM150">
        <v>0.12430000000000001</v>
      </c>
      <c r="BN150">
        <v>45.256144799999952</v>
      </c>
      <c r="BO150" t="s">
        <v>83</v>
      </c>
      <c r="BP150">
        <v>3.1427878333333298E-2</v>
      </c>
      <c r="BQ150" t="s">
        <v>83</v>
      </c>
      <c r="BR150" t="s">
        <v>83</v>
      </c>
      <c r="BS150">
        <v>7.77850641102249</v>
      </c>
      <c r="BT150">
        <v>81.630852813852727</v>
      </c>
      <c r="BU150">
        <v>3.1427878333333298E-2</v>
      </c>
      <c r="BV150">
        <v>7.77850641102249</v>
      </c>
    </row>
    <row r="151" spans="1:74" x14ac:dyDescent="0.25">
      <c r="A151" s="16" t="s">
        <v>99</v>
      </c>
      <c r="B151" t="s">
        <v>27</v>
      </c>
      <c r="C151">
        <v>12</v>
      </c>
      <c r="D151">
        <v>9</v>
      </c>
      <c r="F151" s="17">
        <v>45542.547604166699</v>
      </c>
      <c r="G151">
        <v>4805.7299999999996</v>
      </c>
      <c r="H151">
        <v>7.2</v>
      </c>
      <c r="I151">
        <v>0.5</v>
      </c>
      <c r="J151">
        <v>34</v>
      </c>
      <c r="L151" s="15">
        <v>4576.0950000000003</v>
      </c>
      <c r="M151" s="15">
        <v>19.2</v>
      </c>
      <c r="N151" s="15">
        <v>17.399999999999999</v>
      </c>
      <c r="O151" s="15">
        <v>90.3</v>
      </c>
      <c r="P151" s="15">
        <v>19.2</v>
      </c>
      <c r="Q151" s="15">
        <v>424</v>
      </c>
      <c r="R151" s="15">
        <v>1.5</v>
      </c>
      <c r="S151" s="15">
        <v>0.22</v>
      </c>
      <c r="T151" s="15">
        <v>2.46</v>
      </c>
      <c r="U151" s="15"/>
      <c r="V151" s="15">
        <v>0.49</v>
      </c>
      <c r="W151" s="15">
        <v>1.48</v>
      </c>
      <c r="X151" s="15">
        <v>2.97</v>
      </c>
      <c r="Y151" s="15">
        <v>7.27</v>
      </c>
      <c r="Z151" s="15">
        <v>131.4</v>
      </c>
      <c r="AA151" s="15">
        <v>5.3</v>
      </c>
      <c r="AB151" s="15">
        <v>1.55</v>
      </c>
      <c r="AC151" s="15">
        <v>181.8</v>
      </c>
      <c r="AD151" s="15">
        <v>58.8</v>
      </c>
      <c r="AE151" s="15">
        <v>115.2</v>
      </c>
      <c r="AF151" s="15">
        <v>4.3</v>
      </c>
      <c r="AG151" s="18">
        <v>7.3120000000000003</v>
      </c>
      <c r="AH151" s="15">
        <v>298</v>
      </c>
      <c r="AI151" s="15">
        <v>52</v>
      </c>
      <c r="AJ151" s="15">
        <v>7.29</v>
      </c>
      <c r="AK151" s="15">
        <f t="shared" si="0"/>
        <v>0.52</v>
      </c>
      <c r="AL151" s="15">
        <v>34</v>
      </c>
      <c r="AM151" s="15">
        <v>43.091000000000001</v>
      </c>
      <c r="AN151" s="15">
        <v>11.292</v>
      </c>
      <c r="AO151" s="15">
        <f>AO145+0.95</f>
        <v>7.71</v>
      </c>
      <c r="AP151" s="15">
        <f t="shared" si="1"/>
        <v>2.3587912499999995E-2</v>
      </c>
      <c r="AQ151" s="15">
        <v>204.07</v>
      </c>
      <c r="AR151" s="15">
        <v>70.87</v>
      </c>
      <c r="AS151" s="15">
        <v>443</v>
      </c>
      <c r="AT151" s="15">
        <v>1888</v>
      </c>
      <c r="AU151" s="15">
        <v>47.420000000000073</v>
      </c>
      <c r="AV151" s="15">
        <f t="shared" si="2"/>
        <v>1840.58</v>
      </c>
      <c r="AW151" s="15">
        <f t="shared" si="5"/>
        <v>41.75</v>
      </c>
      <c r="AX151" s="15">
        <f t="shared" si="5"/>
        <v>0</v>
      </c>
      <c r="AY151" s="15">
        <f t="shared" si="4"/>
        <v>49</v>
      </c>
      <c r="AZ151" s="39">
        <v>15</v>
      </c>
      <c r="BA151" s="39">
        <v>1700</v>
      </c>
      <c r="BB151" s="15">
        <v>34</v>
      </c>
      <c r="BC151" s="15">
        <v>7.2</v>
      </c>
      <c r="BD151" s="15">
        <v>50</v>
      </c>
      <c r="BE151" s="38">
        <v>2.9999999999999997E-4</v>
      </c>
      <c r="BF151">
        <v>1.7999999999999999E-2</v>
      </c>
      <c r="BI151">
        <v>9.8503122599999972E-3</v>
      </c>
      <c r="BJ151">
        <v>14.184449654399996</v>
      </c>
      <c r="BK151">
        <v>1887.0329999999999</v>
      </c>
      <c r="BL151">
        <v>0.10814331280904997</v>
      </c>
      <c r="BM151">
        <v>0.12004117647058823</v>
      </c>
      <c r="BN151">
        <v>33.966593999999986</v>
      </c>
      <c r="BO151">
        <v>2.3587912499999995E-2</v>
      </c>
      <c r="BP151" t="s">
        <v>83</v>
      </c>
      <c r="BQ151" t="s">
        <v>83</v>
      </c>
      <c r="BR151">
        <v>0</v>
      </c>
      <c r="BS151" t="s">
        <v>83</v>
      </c>
      <c r="BT151">
        <v>61.267305194805189</v>
      </c>
      <c r="BU151">
        <v>2.3587912499999995E-2</v>
      </c>
      <c r="BV151">
        <v>0</v>
      </c>
    </row>
    <row r="152" spans="1:74" x14ac:dyDescent="0.25">
      <c r="A152" s="16" t="s">
        <v>100</v>
      </c>
      <c r="B152" t="s">
        <v>27</v>
      </c>
      <c r="C152">
        <v>12</v>
      </c>
      <c r="D152">
        <v>9</v>
      </c>
      <c r="E152" t="s">
        <v>106</v>
      </c>
      <c r="F152" s="17">
        <v>45542.550289351901</v>
      </c>
      <c r="G152">
        <v>4805.7299999999996</v>
      </c>
      <c r="H152">
        <v>7.2</v>
      </c>
      <c r="I152">
        <v>0.5</v>
      </c>
      <c r="J152">
        <v>34</v>
      </c>
      <c r="L152" s="15">
        <v>2904.25</v>
      </c>
      <c r="M152" s="15">
        <v>20.7</v>
      </c>
      <c r="N152" s="15">
        <v>12.9</v>
      </c>
      <c r="O152" s="15">
        <v>62</v>
      </c>
      <c r="P152" s="15">
        <v>18</v>
      </c>
      <c r="Q152" s="15">
        <v>687</v>
      </c>
      <c r="R152" s="15">
        <v>8.5500000000000007</v>
      </c>
      <c r="S152" s="15">
        <v>0.3</v>
      </c>
      <c r="T152" s="15">
        <v>2.75</v>
      </c>
      <c r="U152" s="15"/>
      <c r="V152" s="15">
        <v>0.57999999999999996</v>
      </c>
      <c r="W152" s="15">
        <v>3.07</v>
      </c>
      <c r="X152" s="24">
        <v>15.0379</v>
      </c>
      <c r="Y152" s="15">
        <v>7.0490000000000004</v>
      </c>
      <c r="Z152" s="15">
        <v>78.2</v>
      </c>
      <c r="AA152" s="15">
        <v>86</v>
      </c>
      <c r="AB152" s="15">
        <v>5.17</v>
      </c>
      <c r="AC152" s="15">
        <v>275.89999999999998</v>
      </c>
      <c r="AD152" s="15">
        <v>20.8</v>
      </c>
      <c r="AE152" s="15">
        <v>68.599999999999994</v>
      </c>
      <c r="AF152" s="15">
        <v>70.900000000000006</v>
      </c>
      <c r="AG152" s="18">
        <v>7.0869999999999997</v>
      </c>
      <c r="AH152" s="15">
        <v>300</v>
      </c>
      <c r="AI152" s="15">
        <v>49.7</v>
      </c>
      <c r="AJ152" s="15">
        <v>7.09</v>
      </c>
      <c r="AK152" s="15">
        <f t="shared" si="0"/>
        <v>0.49700000000000005</v>
      </c>
      <c r="AL152" s="15">
        <v>34</v>
      </c>
      <c r="AM152" s="15">
        <v>112.39</v>
      </c>
      <c r="AN152" s="15">
        <v>7.3125999999999998</v>
      </c>
      <c r="AO152" s="15">
        <f>AO146+0.92</f>
        <v>7.36</v>
      </c>
      <c r="AP152" s="15">
        <f t="shared" si="1"/>
        <v>2.752684166666667E-2</v>
      </c>
      <c r="AQ152" s="15">
        <v>227.05</v>
      </c>
      <c r="AR152" s="15">
        <v>77.819999999999993</v>
      </c>
      <c r="AS152" s="15">
        <v>394</v>
      </c>
      <c r="AT152" s="15">
        <v>2019</v>
      </c>
      <c r="AU152" s="15">
        <v>133.55999999999995</v>
      </c>
      <c r="AV152" s="15">
        <f t="shared" si="2"/>
        <v>1885.44</v>
      </c>
      <c r="AW152" s="15">
        <f t="shared" si="5"/>
        <v>43.25</v>
      </c>
      <c r="AX152" s="15">
        <f t="shared" si="5"/>
        <v>0</v>
      </c>
      <c r="AY152" s="15">
        <f t="shared" si="4"/>
        <v>51</v>
      </c>
      <c r="AZ152" s="39">
        <v>15</v>
      </c>
      <c r="BA152" s="39">
        <v>1700</v>
      </c>
      <c r="BB152" s="15">
        <v>34</v>
      </c>
      <c r="BC152" s="15">
        <v>7.2</v>
      </c>
      <c r="BD152" s="15">
        <v>50</v>
      </c>
      <c r="BE152" s="38">
        <v>2.9999999999999997E-4</v>
      </c>
      <c r="BF152">
        <v>0.02</v>
      </c>
      <c r="BI152">
        <v>7.6700791619999991E-3</v>
      </c>
      <c r="BJ152">
        <v>11.044913993279998</v>
      </c>
      <c r="BK152">
        <v>1981.9326000000001</v>
      </c>
      <c r="BL152">
        <v>0.11455989976652083</v>
      </c>
      <c r="BM152">
        <v>0.13355882352941176</v>
      </c>
      <c r="BN152">
        <v>39.638652000000008</v>
      </c>
      <c r="BO152">
        <v>2.752684166666667E-2</v>
      </c>
      <c r="BP152" t="s">
        <v>83</v>
      </c>
      <c r="BQ152" t="s">
        <v>83</v>
      </c>
      <c r="BR152">
        <v>0</v>
      </c>
      <c r="BS152" t="s">
        <v>83</v>
      </c>
      <c r="BT152">
        <v>71.498290043290055</v>
      </c>
      <c r="BU152">
        <v>2.752684166666667E-2</v>
      </c>
      <c r="BV152">
        <v>0</v>
      </c>
    </row>
    <row r="153" spans="1:74" ht="15.75" thickBot="1" x14ac:dyDescent="0.3">
      <c r="A153" s="19" t="s">
        <v>101</v>
      </c>
      <c r="B153" s="20" t="s">
        <v>27</v>
      </c>
      <c r="C153" s="20">
        <v>12</v>
      </c>
      <c r="D153" s="20">
        <v>9</v>
      </c>
      <c r="E153" s="20"/>
      <c r="F153" s="21">
        <v>45542.552824074097</v>
      </c>
      <c r="G153" s="20">
        <v>4805.7299999999996</v>
      </c>
      <c r="H153">
        <v>7.2</v>
      </c>
      <c r="I153">
        <v>0.5</v>
      </c>
      <c r="J153">
        <v>34</v>
      </c>
      <c r="L153" s="22">
        <v>5225.28</v>
      </c>
      <c r="M153" s="22">
        <v>21.5</v>
      </c>
      <c r="N153" s="22">
        <v>20</v>
      </c>
      <c r="O153" s="22">
        <v>93.3</v>
      </c>
      <c r="P153" s="22">
        <v>18</v>
      </c>
      <c r="Q153" s="22">
        <v>352</v>
      </c>
      <c r="R153" s="22">
        <v>1.49</v>
      </c>
      <c r="S153" s="22">
        <v>0.2</v>
      </c>
      <c r="T153" s="22">
        <v>0.32</v>
      </c>
      <c r="U153" s="22"/>
      <c r="V153" s="22">
        <v>0.19</v>
      </c>
      <c r="W153" s="22">
        <v>0.08</v>
      </c>
      <c r="X153" s="22">
        <v>1</v>
      </c>
      <c r="Y153" s="22">
        <v>7.2679999999999998</v>
      </c>
      <c r="Z153" s="22">
        <v>124.2</v>
      </c>
      <c r="AA153" s="22">
        <v>34.299999999999997</v>
      </c>
      <c r="AB153" s="22">
        <v>1.79</v>
      </c>
      <c r="AC153" s="22">
        <v>158.6</v>
      </c>
      <c r="AD153" s="22">
        <v>55.3</v>
      </c>
      <c r="AE153" s="22">
        <v>108.9</v>
      </c>
      <c r="AF153" s="22">
        <v>27.7</v>
      </c>
      <c r="AG153" s="23">
        <v>7.3090000000000002</v>
      </c>
      <c r="AH153" s="15">
        <v>302</v>
      </c>
      <c r="AI153" s="15">
        <v>49.1</v>
      </c>
      <c r="AJ153" s="15">
        <v>7.3</v>
      </c>
      <c r="AK153" s="15">
        <f t="shared" si="0"/>
        <v>0.49099999999999999</v>
      </c>
      <c r="AL153" s="15">
        <v>34</v>
      </c>
      <c r="AM153" s="15">
        <v>28.271000000000001</v>
      </c>
      <c r="AN153" s="15">
        <v>38.732999999999997</v>
      </c>
      <c r="AO153" s="15">
        <f>AO147+0.93</f>
        <v>7.4499999999999993</v>
      </c>
      <c r="AP153" s="15">
        <f t="shared" si="1"/>
        <v>1.1032315277777779E-2</v>
      </c>
      <c r="AQ153" s="15">
        <v>187.96</v>
      </c>
      <c r="AR153" s="15">
        <v>56.59</v>
      </c>
      <c r="AS153" s="15">
        <v>476</v>
      </c>
      <c r="AT153" s="15">
        <v>1867</v>
      </c>
      <c r="AU153" s="15">
        <v>51.660000000000082</v>
      </c>
      <c r="AV153" s="15">
        <f t="shared" si="2"/>
        <v>1815.34</v>
      </c>
      <c r="AW153" s="15">
        <f t="shared" si="5"/>
        <v>20.300000000000011</v>
      </c>
      <c r="AX153" s="15">
        <f t="shared" si="5"/>
        <v>0</v>
      </c>
      <c r="AY153" s="15">
        <f t="shared" si="4"/>
        <v>24</v>
      </c>
      <c r="AZ153" s="39">
        <v>15</v>
      </c>
      <c r="BA153" s="39">
        <v>1700</v>
      </c>
      <c r="BB153" s="15">
        <v>34</v>
      </c>
      <c r="BC153" s="15">
        <v>7.2</v>
      </c>
      <c r="BD153" s="15">
        <v>50</v>
      </c>
      <c r="BE153" s="38">
        <v>2.9999999999999997E-4</v>
      </c>
      <c r="BF153">
        <v>8.5000000000000006E-3</v>
      </c>
      <c r="BI153">
        <v>1.1214023999999998E-2</v>
      </c>
      <c r="BJ153">
        <v>16.148194559999997</v>
      </c>
      <c r="BK153">
        <v>1869.0039999999999</v>
      </c>
      <c r="BL153">
        <v>0.10056693297606641</v>
      </c>
      <c r="BM153">
        <v>0.11056470588235294</v>
      </c>
      <c r="BN153">
        <v>15.886534000000001</v>
      </c>
      <c r="BO153">
        <v>1.1032315277777779E-2</v>
      </c>
      <c r="BP153" t="s">
        <v>83</v>
      </c>
      <c r="BQ153" t="s">
        <v>83</v>
      </c>
      <c r="BR153">
        <v>12.5223268</v>
      </c>
      <c r="BS153" t="s">
        <v>83</v>
      </c>
      <c r="BT153">
        <v>28.655364357864364</v>
      </c>
      <c r="BU153">
        <v>1.1032315277777779E-2</v>
      </c>
      <c r="BV153">
        <v>12.5223268</v>
      </c>
    </row>
    <row r="154" spans="1:74" x14ac:dyDescent="0.25">
      <c r="A154" s="10" t="s">
        <v>96</v>
      </c>
      <c r="B154" s="11" t="s">
        <v>26</v>
      </c>
      <c r="C154" s="11">
        <v>12</v>
      </c>
      <c r="D154" s="11">
        <v>10</v>
      </c>
      <c r="E154" s="11" t="s">
        <v>109</v>
      </c>
      <c r="F154" s="12">
        <v>45543.405208333301</v>
      </c>
      <c r="G154" s="25">
        <v>5302.42</v>
      </c>
      <c r="H154">
        <v>7.2</v>
      </c>
      <c r="I154">
        <v>0.5</v>
      </c>
      <c r="J154">
        <v>34</v>
      </c>
      <c r="L154" s="26">
        <v>5355.165</v>
      </c>
      <c r="M154" s="13">
        <v>20.399999999999999</v>
      </c>
      <c r="N154" s="13">
        <v>18.7</v>
      </c>
      <c r="O154" s="13">
        <v>91.5</v>
      </c>
      <c r="P154" s="13">
        <v>17.3</v>
      </c>
      <c r="Q154" s="13">
        <v>347</v>
      </c>
      <c r="R154" s="13">
        <v>1.72</v>
      </c>
      <c r="S154" s="13">
        <v>0.2</v>
      </c>
      <c r="T154" s="13">
        <v>1.64</v>
      </c>
      <c r="U154" s="13"/>
      <c r="V154" s="13">
        <v>0.11</v>
      </c>
      <c r="W154" s="13">
        <v>0.14000000000000001</v>
      </c>
      <c r="X154" s="13">
        <v>0.16</v>
      </c>
      <c r="Y154" s="13">
        <v>7.2460000000000004</v>
      </c>
      <c r="Z154" s="13">
        <v>95.9</v>
      </c>
      <c r="AA154" s="13">
        <v>11.5</v>
      </c>
      <c r="AB154" s="13">
        <v>2.23</v>
      </c>
      <c r="AC154" s="13">
        <v>146.4</v>
      </c>
      <c r="AD154" s="13">
        <v>40.6</v>
      </c>
      <c r="AE154" s="13">
        <v>84.1</v>
      </c>
      <c r="AF154" s="13">
        <v>9.3000000000000007</v>
      </c>
      <c r="AG154" s="14">
        <v>7.2869999999999999</v>
      </c>
      <c r="AH154" s="15">
        <v>300</v>
      </c>
      <c r="AI154" s="15">
        <v>47.8</v>
      </c>
      <c r="AJ154" s="15">
        <v>7.29</v>
      </c>
      <c r="AK154" s="15">
        <f t="shared" si="0"/>
        <v>0.47799999999999998</v>
      </c>
      <c r="AL154" s="15">
        <v>34</v>
      </c>
      <c r="AM154" s="15">
        <v>22.065000000000001</v>
      </c>
      <c r="AN154" s="15">
        <v>44.018999999999998</v>
      </c>
      <c r="AO154" s="15">
        <f>AO142+1.91</f>
        <v>7.2</v>
      </c>
      <c r="AP154" s="38">
        <f t="shared" si="1"/>
        <v>5.1207888888888803E-3</v>
      </c>
      <c r="AQ154" s="15">
        <v>169.89</v>
      </c>
      <c r="AR154" s="15">
        <v>65.31</v>
      </c>
      <c r="AS154" s="15">
        <v>497</v>
      </c>
      <c r="AT154" s="15">
        <v>1984</v>
      </c>
      <c r="AU154" s="15">
        <v>137.11999999999989</v>
      </c>
      <c r="AV154" s="15">
        <f t="shared" si="2"/>
        <v>1846.88</v>
      </c>
      <c r="AW154" s="15">
        <f t="shared" si="5"/>
        <v>18.899999999999977</v>
      </c>
      <c r="AX154" s="15">
        <f t="shared" si="5"/>
        <v>0</v>
      </c>
      <c r="AY154" s="15">
        <f t="shared" si="4"/>
        <v>21</v>
      </c>
      <c r="AZ154" s="39">
        <v>15</v>
      </c>
      <c r="BA154" s="39">
        <v>1700</v>
      </c>
      <c r="BB154" s="15">
        <v>34</v>
      </c>
      <c r="BC154" s="15">
        <v>7.2</v>
      </c>
      <c r="BD154" s="15">
        <v>50</v>
      </c>
      <c r="BE154" s="38">
        <v>2.9999999999999997E-4</v>
      </c>
      <c r="BG154">
        <v>3.999999999999994E-3</v>
      </c>
      <c r="BH154">
        <v>3.9797979551218672E-3</v>
      </c>
      <c r="BI154">
        <v>1.0341945239999999E-2</v>
      </c>
      <c r="BJ154">
        <v>14.892401145599999</v>
      </c>
      <c r="BK154">
        <v>1843.4839999999999</v>
      </c>
      <c r="BL154">
        <v>9.2157024416810771E-2</v>
      </c>
      <c r="BM154">
        <v>9.9935294117647053E-2</v>
      </c>
      <c r="BN154">
        <v>7.3739359999999881</v>
      </c>
      <c r="BO154" t="s">
        <v>83</v>
      </c>
      <c r="BP154">
        <v>5.1207888888888803E-3</v>
      </c>
      <c r="BQ154" t="s">
        <v>83</v>
      </c>
      <c r="BR154" t="s">
        <v>83</v>
      </c>
      <c r="BS154">
        <v>7.33669385349988</v>
      </c>
      <c r="BT154">
        <v>13.300750360750339</v>
      </c>
      <c r="BU154">
        <v>5.1207888888888803E-3</v>
      </c>
      <c r="BV154">
        <v>7.33669385349988</v>
      </c>
    </row>
    <row r="155" spans="1:74" x14ac:dyDescent="0.25">
      <c r="A155" s="16" t="s">
        <v>97</v>
      </c>
      <c r="B155" t="s">
        <v>26</v>
      </c>
      <c r="C155">
        <v>12</v>
      </c>
      <c r="D155">
        <v>10</v>
      </c>
      <c r="E155" t="s">
        <v>110</v>
      </c>
      <c r="F155" s="17">
        <v>45543.413275462997</v>
      </c>
      <c r="G155" s="27">
        <v>5302.42</v>
      </c>
      <c r="H155">
        <v>7.2</v>
      </c>
      <c r="I155">
        <v>0.5</v>
      </c>
      <c r="J155">
        <v>34</v>
      </c>
      <c r="L155" s="24">
        <v>5442.6</v>
      </c>
      <c r="M155" s="15">
        <v>20.6</v>
      </c>
      <c r="N155" s="15">
        <v>19.3</v>
      </c>
      <c r="O155" s="15">
        <v>93.9</v>
      </c>
      <c r="P155" s="15">
        <v>17.8</v>
      </c>
      <c r="Q155" s="15">
        <v>348</v>
      </c>
      <c r="R155" s="15">
        <v>2.0699999999999998</v>
      </c>
      <c r="S155" s="15">
        <v>0.21</v>
      </c>
      <c r="T155" s="15">
        <v>7.0000000000000007E-2</v>
      </c>
      <c r="U155" s="15"/>
      <c r="V155" s="15">
        <v>0.1</v>
      </c>
      <c r="W155" s="15">
        <v>0.15</v>
      </c>
      <c r="X155" s="15">
        <v>0.16</v>
      </c>
      <c r="Y155" s="15">
        <v>7.2619999999999996</v>
      </c>
      <c r="Z155" s="15">
        <v>105</v>
      </c>
      <c r="AA155" s="15">
        <v>55.7</v>
      </c>
      <c r="AB155" s="15">
        <v>2.15</v>
      </c>
      <c r="AC155" s="15">
        <v>154.19999999999999</v>
      </c>
      <c r="AD155" s="15">
        <v>46.1</v>
      </c>
      <c r="AE155" s="15">
        <v>92.1</v>
      </c>
      <c r="AF155" s="15">
        <v>45.2</v>
      </c>
      <c r="AG155" s="18">
        <v>7.3029999999999999</v>
      </c>
      <c r="AH155" s="15">
        <v>300</v>
      </c>
      <c r="AI155" s="15">
        <v>49.9</v>
      </c>
      <c r="AJ155" s="15">
        <v>7.3</v>
      </c>
      <c r="AK155" s="15">
        <f t="shared" si="0"/>
        <v>0.499</v>
      </c>
      <c r="AL155" s="15">
        <v>34</v>
      </c>
      <c r="AM155" s="15">
        <v>24.568000000000001</v>
      </c>
      <c r="AN155" s="15">
        <v>27.469000000000001</v>
      </c>
      <c r="AO155" s="15">
        <f>AO143+1.86</f>
        <v>4.8600000000000003</v>
      </c>
      <c r="AP155" s="15">
        <f t="shared" si="1"/>
        <v>1.1401776999282799E-2</v>
      </c>
      <c r="AQ155" s="15">
        <v>185.31</v>
      </c>
      <c r="AR155" s="15">
        <v>68.25</v>
      </c>
      <c r="AS155" s="15">
        <v>481</v>
      </c>
      <c r="AT155" s="15">
        <v>1988</v>
      </c>
      <c r="AU155" s="15">
        <v>45.769999999999982</v>
      </c>
      <c r="AV155" s="15">
        <f t="shared" si="2"/>
        <v>1942.23</v>
      </c>
      <c r="AW155" s="15">
        <f t="shared" si="5"/>
        <v>17.75</v>
      </c>
      <c r="AX155" s="15">
        <f t="shared" si="5"/>
        <v>6.8299999999999983</v>
      </c>
      <c r="AY155" s="15">
        <f t="shared" si="4"/>
        <v>20</v>
      </c>
      <c r="AZ155" s="39">
        <v>15</v>
      </c>
      <c r="BA155" s="39">
        <v>1700</v>
      </c>
      <c r="BB155" s="15">
        <v>34</v>
      </c>
      <c r="BC155" s="15">
        <v>7.2</v>
      </c>
      <c r="BD155" s="15">
        <v>50</v>
      </c>
      <c r="BE155" s="38">
        <v>2.9999999999999997E-4</v>
      </c>
      <c r="BG155">
        <v>8.8967442096820649E-3</v>
      </c>
      <c r="BH155">
        <v>5.5208033108114681E-3</v>
      </c>
      <c r="BI155">
        <v>1.068519603E-2</v>
      </c>
      <c r="BJ155">
        <v>15.386682283200003</v>
      </c>
      <c r="BK155">
        <v>1845.4569999999999</v>
      </c>
      <c r="BL155">
        <v>0.10041415215851685</v>
      </c>
      <c r="BM155">
        <v>0.10900588235294117</v>
      </c>
      <c r="BN155">
        <v>16.418558878967232</v>
      </c>
      <c r="BO155" t="s">
        <v>83</v>
      </c>
      <c r="BP155">
        <v>1.1401776999282799E-2</v>
      </c>
      <c r="BQ155" t="s">
        <v>83</v>
      </c>
      <c r="BR155" t="s">
        <v>83</v>
      </c>
      <c r="BS155">
        <v>10.188405115560199</v>
      </c>
      <c r="BT155">
        <v>29.615005192942338</v>
      </c>
      <c r="BU155">
        <v>1.1401776999282799E-2</v>
      </c>
      <c r="BV155">
        <v>10.188405115560199</v>
      </c>
    </row>
    <row r="156" spans="1:74" x14ac:dyDescent="0.25">
      <c r="A156" s="16" t="s">
        <v>98</v>
      </c>
      <c r="B156" t="s">
        <v>26</v>
      </c>
      <c r="C156">
        <v>12</v>
      </c>
      <c r="D156">
        <v>10</v>
      </c>
      <c r="E156" t="s">
        <v>111</v>
      </c>
      <c r="F156" s="17">
        <v>45543.423032407401</v>
      </c>
      <c r="G156" s="27">
        <v>5302.42</v>
      </c>
      <c r="H156">
        <v>7.2</v>
      </c>
      <c r="I156">
        <v>0.5</v>
      </c>
      <c r="J156">
        <v>34</v>
      </c>
      <c r="L156" s="24">
        <v>4749.375</v>
      </c>
      <c r="M156" s="15">
        <v>20.2</v>
      </c>
      <c r="N156" s="15">
        <v>18</v>
      </c>
      <c r="O156" s="15">
        <v>89.1</v>
      </c>
      <c r="P156" s="15">
        <v>19.2</v>
      </c>
      <c r="Q156" s="15">
        <v>438</v>
      </c>
      <c r="R156" s="15">
        <v>2.36</v>
      </c>
      <c r="S156" s="15">
        <v>0.22</v>
      </c>
      <c r="T156" s="15">
        <v>3.22</v>
      </c>
      <c r="U156" s="15"/>
      <c r="V156" s="15">
        <v>0.78</v>
      </c>
      <c r="W156" s="15">
        <v>2.21</v>
      </c>
      <c r="X156" s="15">
        <v>2.19</v>
      </c>
      <c r="Y156" s="15">
        <v>7.2469999999999999</v>
      </c>
      <c r="Z156" s="15">
        <v>118.5</v>
      </c>
      <c r="AA156" s="15">
        <v>46.8</v>
      </c>
      <c r="AB156" s="15">
        <v>1.5</v>
      </c>
      <c r="AC156" s="15">
        <v>176.3</v>
      </c>
      <c r="AD156" s="15">
        <v>50.2</v>
      </c>
      <c r="AE156" s="15">
        <v>104</v>
      </c>
      <c r="AF156" s="15">
        <v>37.9</v>
      </c>
      <c r="AG156" s="18">
        <v>7.2880000000000003</v>
      </c>
      <c r="AH156" s="15">
        <v>298</v>
      </c>
      <c r="AI156" s="15">
        <v>50.4</v>
      </c>
      <c r="AJ156" s="15">
        <v>7.3</v>
      </c>
      <c r="AK156" s="15">
        <f t="shared" si="0"/>
        <v>0.504</v>
      </c>
      <c r="AL156" s="15">
        <v>34</v>
      </c>
      <c r="AM156" s="15">
        <v>38.045999999999999</v>
      </c>
      <c r="AN156" s="15">
        <v>5.1144999999999996</v>
      </c>
      <c r="AO156" s="15">
        <f>AO144+1.87</f>
        <v>8.5300000000000011</v>
      </c>
      <c r="AP156" s="15">
        <f t="shared" si="1"/>
        <v>2.08588154275034E-2</v>
      </c>
      <c r="AQ156" s="15">
        <v>249.44</v>
      </c>
      <c r="AR156" s="15">
        <v>84.76</v>
      </c>
      <c r="AS156" s="15">
        <v>384</v>
      </c>
      <c r="AT156" s="15">
        <v>2061</v>
      </c>
      <c r="AU156" s="15">
        <v>84.700000000000045</v>
      </c>
      <c r="AV156" s="15">
        <f t="shared" si="2"/>
        <v>1976.3</v>
      </c>
      <c r="AW156" s="15">
        <f t="shared" si="5"/>
        <v>38.129999999999995</v>
      </c>
      <c r="AX156" s="15">
        <f t="shared" si="5"/>
        <v>8.4900000000000091</v>
      </c>
      <c r="AY156" s="15">
        <f t="shared" si="4"/>
        <v>46</v>
      </c>
      <c r="AZ156" s="39">
        <v>15</v>
      </c>
      <c r="BA156" s="39">
        <v>1700</v>
      </c>
      <c r="BB156" s="15">
        <v>34</v>
      </c>
      <c r="BC156" s="15">
        <v>7.2</v>
      </c>
      <c r="BD156" s="15">
        <v>50</v>
      </c>
      <c r="BE156" s="38">
        <v>2.9999999999999997E-4</v>
      </c>
      <c r="BG156">
        <v>1.5636859162771067E-2</v>
      </c>
      <c r="BH156">
        <v>1.6524849493275854E-3</v>
      </c>
      <c r="BI156">
        <v>1.0372808699999998E-2</v>
      </c>
      <c r="BJ156">
        <v>14.936844527999996</v>
      </c>
      <c r="BK156">
        <v>1920.8905</v>
      </c>
      <c r="BL156">
        <v>0.12985643897973362</v>
      </c>
      <c r="BM156">
        <v>0.14672941176470589</v>
      </c>
      <c r="BN156">
        <v>30.036694215604896</v>
      </c>
      <c r="BO156" t="s">
        <v>83</v>
      </c>
      <c r="BP156">
        <v>2.08588154275034E-2</v>
      </c>
      <c r="BQ156" t="s">
        <v>83</v>
      </c>
      <c r="BR156" t="s">
        <v>83</v>
      </c>
      <c r="BS156">
        <v>3.17424264055634</v>
      </c>
      <c r="BT156">
        <v>54.178741370138702</v>
      </c>
      <c r="BU156">
        <v>2.08588154275034E-2</v>
      </c>
      <c r="BV156">
        <v>3.17424264055634</v>
      </c>
    </row>
    <row r="157" spans="1:74" x14ac:dyDescent="0.25">
      <c r="A157" s="16" t="s">
        <v>99</v>
      </c>
      <c r="B157" t="s">
        <v>27</v>
      </c>
      <c r="C157">
        <v>12</v>
      </c>
      <c r="D157">
        <v>10</v>
      </c>
      <c r="E157" t="s">
        <v>112</v>
      </c>
      <c r="F157" s="17">
        <v>45543.425671296303</v>
      </c>
      <c r="G157" s="27">
        <v>5302.42</v>
      </c>
      <c r="H157">
        <v>7.2</v>
      </c>
      <c r="I157">
        <v>0.5</v>
      </c>
      <c r="J157">
        <v>34</v>
      </c>
      <c r="L157" s="24">
        <v>4983.66</v>
      </c>
      <c r="M157" s="15">
        <v>20.2</v>
      </c>
      <c r="N157" s="15">
        <v>18.100000000000001</v>
      </c>
      <c r="O157" s="15">
        <v>89.7</v>
      </c>
      <c r="P157" s="15">
        <v>19</v>
      </c>
      <c r="Q157" s="15">
        <v>430</v>
      </c>
      <c r="R157" s="15">
        <v>1.71</v>
      </c>
      <c r="S157" s="15">
        <v>0.21</v>
      </c>
      <c r="T157" s="15">
        <v>1.31</v>
      </c>
      <c r="U157" s="15"/>
      <c r="V157" s="15">
        <v>0.6</v>
      </c>
      <c r="W157" s="15">
        <v>2.08</v>
      </c>
      <c r="X157" s="15">
        <v>2.54</v>
      </c>
      <c r="Y157" s="15">
        <v>7.2779999999999996</v>
      </c>
      <c r="Z157" s="15">
        <v>128.30000000000001</v>
      </c>
      <c r="AA157" s="15">
        <v>30</v>
      </c>
      <c r="AB157" s="15">
        <v>1.48</v>
      </c>
      <c r="AC157" s="15">
        <v>183.1</v>
      </c>
      <c r="AD157" s="15">
        <v>58.4</v>
      </c>
      <c r="AE157" s="15">
        <v>112.5</v>
      </c>
      <c r="AF157" s="15">
        <v>24.3</v>
      </c>
      <c r="AG157" s="18">
        <v>7.319</v>
      </c>
      <c r="AH157" s="15">
        <v>301</v>
      </c>
      <c r="AI157" s="15">
        <v>51.1</v>
      </c>
      <c r="AJ157" s="15">
        <v>7.3</v>
      </c>
      <c r="AK157" s="15">
        <f t="shared" si="0"/>
        <v>0.51100000000000001</v>
      </c>
      <c r="AL157" s="15">
        <v>34</v>
      </c>
      <c r="AM157" s="15">
        <v>43.091000000000001</v>
      </c>
      <c r="AN157" s="15">
        <v>13.548</v>
      </c>
      <c r="AO157" s="15">
        <f>AO145+1.91</f>
        <v>8.67</v>
      </c>
      <c r="AP157" s="15">
        <f t="shared" si="1"/>
        <v>2.2755468611111111E-2</v>
      </c>
      <c r="AQ157" s="15">
        <v>233.93</v>
      </c>
      <c r="AR157" s="15">
        <v>70.87</v>
      </c>
      <c r="AS157" s="15">
        <v>406</v>
      </c>
      <c r="AT157" s="15">
        <v>2044</v>
      </c>
      <c r="AU157" s="15">
        <v>47.420000000000073</v>
      </c>
      <c r="AV157" s="15">
        <f t="shared" si="2"/>
        <v>1996.58</v>
      </c>
      <c r="AW157" s="15">
        <f t="shared" si="5"/>
        <v>29.860000000000014</v>
      </c>
      <c r="AX157" s="15">
        <f t="shared" si="5"/>
        <v>0</v>
      </c>
      <c r="AY157" s="15">
        <f t="shared" si="4"/>
        <v>37</v>
      </c>
      <c r="AZ157" s="39">
        <v>15</v>
      </c>
      <c r="BA157" s="39">
        <v>1700</v>
      </c>
      <c r="BB157" s="15">
        <v>34</v>
      </c>
      <c r="BC157" s="15">
        <v>7.2</v>
      </c>
      <c r="BD157" s="15">
        <v>50</v>
      </c>
      <c r="BE157" s="38">
        <v>2.9999999999999997E-4</v>
      </c>
      <c r="BF157">
        <v>1.72E-2</v>
      </c>
      <c r="BI157">
        <v>1.034474187E-2</v>
      </c>
      <c r="BJ157">
        <v>14.8964282928</v>
      </c>
      <c r="BK157">
        <v>1905.1089999999999</v>
      </c>
      <c r="BL157">
        <v>0.12279087443290647</v>
      </c>
      <c r="BM157">
        <v>0.13760588235294119</v>
      </c>
      <c r="BN157">
        <v>32.767874800000001</v>
      </c>
      <c r="BO157">
        <v>2.2755468611111111E-2</v>
      </c>
      <c r="BP157" t="s">
        <v>83</v>
      </c>
      <c r="BQ157" t="s">
        <v>83</v>
      </c>
      <c r="BR157">
        <v>8.0490855249999989</v>
      </c>
      <c r="BS157" t="s">
        <v>83</v>
      </c>
      <c r="BT157">
        <v>59.105113275613277</v>
      </c>
      <c r="BU157">
        <v>2.2755468611111111E-2</v>
      </c>
      <c r="BV157">
        <v>8.0490855249999989</v>
      </c>
    </row>
    <row r="158" spans="1:74" x14ac:dyDescent="0.25">
      <c r="A158" s="16" t="s">
        <v>100</v>
      </c>
      <c r="B158" t="s">
        <v>27</v>
      </c>
      <c r="C158">
        <v>12</v>
      </c>
      <c r="D158">
        <v>10</v>
      </c>
      <c r="E158" t="s">
        <v>113</v>
      </c>
      <c r="F158" s="17">
        <v>45543.428912037001</v>
      </c>
      <c r="G158" s="27">
        <v>5302.42</v>
      </c>
      <c r="H158">
        <v>7.2</v>
      </c>
      <c r="I158">
        <v>0.5</v>
      </c>
      <c r="J158">
        <v>34</v>
      </c>
      <c r="L158" s="24">
        <v>2729.7449999999999</v>
      </c>
      <c r="M158" s="15">
        <v>21.1</v>
      </c>
      <c r="N158" s="15">
        <v>8.32</v>
      </c>
      <c r="O158" s="15">
        <v>39.5</v>
      </c>
      <c r="P158" s="15">
        <v>15.6</v>
      </c>
      <c r="Q158" s="15">
        <v>818</v>
      </c>
      <c r="R158" s="15"/>
      <c r="S158" s="15">
        <v>0.28000000000000003</v>
      </c>
      <c r="T158" s="15">
        <v>7.0000000000000007E-2</v>
      </c>
      <c r="U158" s="15"/>
      <c r="V158" s="15">
        <v>0.75</v>
      </c>
      <c r="W158" s="15">
        <v>3.48</v>
      </c>
      <c r="Y158" s="15">
        <v>7.032</v>
      </c>
      <c r="Z158" s="15">
        <v>66.3</v>
      </c>
      <c r="AA158" s="15">
        <v>86</v>
      </c>
      <c r="AB158" s="15">
        <v>7.2</v>
      </c>
      <c r="AC158" s="15">
        <v>327.9</v>
      </c>
      <c r="AD158" s="15">
        <v>16.899999999999999</v>
      </c>
      <c r="AE158" s="15">
        <v>58.1</v>
      </c>
      <c r="AF158" s="15">
        <v>70.900000000000006</v>
      </c>
      <c r="AG158" s="18">
        <v>7.069</v>
      </c>
      <c r="AH158" s="15">
        <v>301</v>
      </c>
      <c r="AI158" s="15">
        <v>45.2</v>
      </c>
      <c r="AJ158" s="15">
        <v>7.09</v>
      </c>
      <c r="AK158" s="15">
        <f t="shared" ref="AK158:AK171" si="6">AI158/100</f>
        <v>0.45200000000000001</v>
      </c>
      <c r="AL158" s="15">
        <v>34</v>
      </c>
      <c r="AM158" s="15">
        <v>157.88999999999999</v>
      </c>
      <c r="AN158" s="15">
        <v>7.3125999999999998</v>
      </c>
      <c r="AO158" s="15">
        <f>AO146+1.84</f>
        <v>8.2800000000000011</v>
      </c>
      <c r="AP158" s="15">
        <f t="shared" ref="AP158:AP171" si="7">BU158</f>
        <v>2.8444202777777781E-2</v>
      </c>
      <c r="AQ158" s="15">
        <v>261.68</v>
      </c>
      <c r="AR158" s="15">
        <v>77.819999999999993</v>
      </c>
      <c r="AS158" s="15">
        <v>353</v>
      </c>
      <c r="AT158" s="15">
        <v>2185</v>
      </c>
      <c r="AU158" s="15">
        <v>133.55999999999995</v>
      </c>
      <c r="AV158" s="15">
        <f t="shared" ref="AV158:AV171" si="8">AT158-AU158</f>
        <v>2051.44</v>
      </c>
      <c r="AW158" s="15">
        <f t="shared" si="5"/>
        <v>34.629999999999995</v>
      </c>
      <c r="AX158" s="15">
        <f t="shared" si="5"/>
        <v>0</v>
      </c>
      <c r="AY158" s="15">
        <f t="shared" si="4"/>
        <v>41</v>
      </c>
      <c r="AZ158" s="39">
        <v>15</v>
      </c>
      <c r="BA158" s="39">
        <v>1700</v>
      </c>
      <c r="BB158" s="15">
        <v>34</v>
      </c>
      <c r="BC158" s="15">
        <v>7.2</v>
      </c>
      <c r="BD158" s="15">
        <v>50</v>
      </c>
      <c r="BE158" s="38">
        <v>2.9999999999999997E-4</v>
      </c>
      <c r="BF158">
        <v>0.02</v>
      </c>
      <c r="BI158">
        <v>5.1117645696000013E-3</v>
      </c>
      <c r="BJ158">
        <v>7.3609409802240027</v>
      </c>
      <c r="BK158">
        <v>2047.9826000000003</v>
      </c>
      <c r="BL158">
        <v>0.12777452308432696</v>
      </c>
      <c r="BM158">
        <v>0.1539294117647059</v>
      </c>
      <c r="BN158">
        <v>40.959652000000006</v>
      </c>
      <c r="BO158">
        <v>2.8444202777777781E-2</v>
      </c>
      <c r="BP158" t="s">
        <v>83</v>
      </c>
      <c r="BQ158" t="s">
        <v>83</v>
      </c>
      <c r="BR158">
        <v>15.001472545000004</v>
      </c>
      <c r="BS158" t="s">
        <v>83</v>
      </c>
      <c r="BT158">
        <v>73.881046176046183</v>
      </c>
      <c r="BU158">
        <v>2.8444202777777781E-2</v>
      </c>
      <c r="BV158">
        <v>15.001472545000004</v>
      </c>
    </row>
    <row r="159" spans="1:74" ht="15.75" thickBot="1" x14ac:dyDescent="0.3">
      <c r="A159" s="19" t="s">
        <v>101</v>
      </c>
      <c r="B159" s="20" t="s">
        <v>27</v>
      </c>
      <c r="C159" s="20">
        <v>12</v>
      </c>
      <c r="D159" s="20">
        <v>10</v>
      </c>
      <c r="E159" s="20" t="s">
        <v>114</v>
      </c>
      <c r="F159" s="21">
        <v>45543.4315740741</v>
      </c>
      <c r="G159" s="28">
        <v>5302.42</v>
      </c>
      <c r="H159">
        <v>7.2</v>
      </c>
      <c r="I159">
        <v>0.5</v>
      </c>
      <c r="J159">
        <v>34</v>
      </c>
      <c r="L159" s="29">
        <v>5515.9350000000004</v>
      </c>
      <c r="M159" s="22">
        <v>21.5</v>
      </c>
      <c r="N159" s="22">
        <v>19.7</v>
      </c>
      <c r="O159" s="22">
        <v>92</v>
      </c>
      <c r="P159" s="22">
        <v>17.899999999999999</v>
      </c>
      <c r="Q159" s="22">
        <v>367</v>
      </c>
      <c r="R159" s="22">
        <v>1.57</v>
      </c>
      <c r="S159" s="22">
        <v>0.19</v>
      </c>
      <c r="T159" s="22">
        <v>0.66</v>
      </c>
      <c r="U159" s="22"/>
      <c r="V159" s="22">
        <v>0.17</v>
      </c>
      <c r="W159" s="22">
        <v>0.1</v>
      </c>
      <c r="X159" s="22">
        <v>0.73</v>
      </c>
      <c r="Y159" s="22">
        <v>7.2640000000000002</v>
      </c>
      <c r="Z159" s="22">
        <v>120.2</v>
      </c>
      <c r="AA159" s="22">
        <v>31.7</v>
      </c>
      <c r="AB159" s="22">
        <v>1.79</v>
      </c>
      <c r="AC159" s="22">
        <v>160</v>
      </c>
      <c r="AD159" s="22">
        <v>53</v>
      </c>
      <c r="AE159" s="22">
        <v>105.4</v>
      </c>
      <c r="AF159" s="22">
        <v>25.6</v>
      </c>
      <c r="AG159" s="23">
        <v>7.3049999999999997</v>
      </c>
      <c r="AH159" s="15">
        <v>299</v>
      </c>
      <c r="AI159" s="15">
        <v>49.3</v>
      </c>
      <c r="AJ159" s="15">
        <v>7.3</v>
      </c>
      <c r="AK159" s="15">
        <f t="shared" si="6"/>
        <v>0.49299999999999999</v>
      </c>
      <c r="AL159" s="15">
        <v>34</v>
      </c>
      <c r="AM159" s="15">
        <v>28.271000000000001</v>
      </c>
      <c r="AN159" s="15">
        <v>45.024999999999999</v>
      </c>
      <c r="AO159" s="15">
        <f>AO147+1.86</f>
        <v>8.379999999999999</v>
      </c>
      <c r="AP159" s="15">
        <f t="shared" si="7"/>
        <v>1.0622002499999998E-2</v>
      </c>
      <c r="AQ159" s="15">
        <v>201.93</v>
      </c>
      <c r="AR159" s="15">
        <v>69.75</v>
      </c>
      <c r="AS159" s="15">
        <v>460</v>
      </c>
      <c r="AT159" s="15">
        <v>2025</v>
      </c>
      <c r="AU159" s="15">
        <v>51.660000000000082</v>
      </c>
      <c r="AV159" s="15">
        <f t="shared" si="8"/>
        <v>1973.34</v>
      </c>
      <c r="AW159" s="15">
        <f t="shared" si="5"/>
        <v>13.969999999999999</v>
      </c>
      <c r="AX159" s="15">
        <f t="shared" si="5"/>
        <v>13.159999999999997</v>
      </c>
      <c r="AY159" s="15">
        <f t="shared" si="4"/>
        <v>16</v>
      </c>
      <c r="AZ159" s="39">
        <v>15</v>
      </c>
      <c r="BA159" s="39">
        <v>1700</v>
      </c>
      <c r="BB159" s="15">
        <v>34</v>
      </c>
      <c r="BC159" s="15">
        <v>7.2</v>
      </c>
      <c r="BD159" s="15">
        <v>50</v>
      </c>
      <c r="BE159" s="38">
        <v>2.9999999999999997E-4</v>
      </c>
      <c r="BF159">
        <v>8.0999999999999996E-3</v>
      </c>
      <c r="BI159">
        <v>1.1160183959999999E-2</v>
      </c>
      <c r="BJ159">
        <v>16.070664902399997</v>
      </c>
      <c r="BK159">
        <v>1888.3559999999998</v>
      </c>
      <c r="BL159">
        <v>0.10693428569612935</v>
      </c>
      <c r="BM159">
        <v>0.11878235294117648</v>
      </c>
      <c r="BN159">
        <v>15.295683599999997</v>
      </c>
      <c r="BO159">
        <v>1.0622002499999998E-2</v>
      </c>
      <c r="BP159" t="s">
        <v>83</v>
      </c>
      <c r="BQ159" t="s">
        <v>83</v>
      </c>
      <c r="BR159">
        <v>11.046882599999998</v>
      </c>
      <c r="BS159" t="s">
        <v>83</v>
      </c>
      <c r="BT159">
        <v>27.589616883116879</v>
      </c>
      <c r="BU159">
        <v>1.0622002499999998E-2</v>
      </c>
      <c r="BV159">
        <v>11.046882599999998</v>
      </c>
    </row>
    <row r="160" spans="1:74" x14ac:dyDescent="0.25">
      <c r="A160" s="10" t="s">
        <v>96</v>
      </c>
      <c r="B160" s="11" t="s">
        <v>26</v>
      </c>
      <c r="C160" s="11">
        <v>12</v>
      </c>
      <c r="D160" s="11">
        <v>11</v>
      </c>
      <c r="E160" s="11" t="s">
        <v>115</v>
      </c>
      <c r="F160" s="12">
        <v>45544.577546296299</v>
      </c>
      <c r="G160" s="25">
        <v>5791.69</v>
      </c>
      <c r="H160">
        <v>7.2</v>
      </c>
      <c r="I160">
        <v>0.5</v>
      </c>
      <c r="J160">
        <v>34</v>
      </c>
      <c r="L160" s="13">
        <v>5674.0649999999996</v>
      </c>
      <c r="M160" s="13">
        <v>22.2</v>
      </c>
      <c r="N160" s="13">
        <v>19.899999999999999</v>
      </c>
      <c r="O160" s="13">
        <v>89.7</v>
      </c>
      <c r="P160" s="13">
        <v>17</v>
      </c>
      <c r="Q160" s="13">
        <v>355</v>
      </c>
      <c r="R160" s="13">
        <v>1.72</v>
      </c>
      <c r="S160" s="13">
        <v>0.21</v>
      </c>
      <c r="T160" s="13">
        <v>0</v>
      </c>
      <c r="U160" s="13"/>
      <c r="V160" s="13">
        <v>0.17</v>
      </c>
      <c r="W160" s="13">
        <v>0.28000000000000003</v>
      </c>
      <c r="X160" s="13">
        <v>2.37</v>
      </c>
      <c r="Y160" s="13">
        <v>7.2590000000000003</v>
      </c>
      <c r="Z160" s="13">
        <v>51.3</v>
      </c>
      <c r="AA160" s="13">
        <v>0</v>
      </c>
      <c r="AB160" s="13">
        <v>3.44</v>
      </c>
      <c r="AC160" s="13">
        <v>151.1</v>
      </c>
      <c r="AD160" s="13">
        <v>22.4</v>
      </c>
      <c r="AE160" s="13">
        <v>45</v>
      </c>
      <c r="AF160" s="13">
        <v>0</v>
      </c>
      <c r="AG160" s="14">
        <v>7.3</v>
      </c>
      <c r="AH160" s="15">
        <v>299</v>
      </c>
      <c r="AI160" s="15">
        <v>40.5</v>
      </c>
      <c r="AJ160" s="15">
        <v>7.3</v>
      </c>
      <c r="AK160" s="15">
        <f t="shared" si="6"/>
        <v>0.40500000000000003</v>
      </c>
      <c r="AL160" s="15">
        <v>34</v>
      </c>
      <c r="AM160" s="15">
        <v>27.91</v>
      </c>
      <c r="AN160" s="15">
        <v>47.91</v>
      </c>
      <c r="AO160" s="15">
        <f>AO142+3.09</f>
        <v>8.379999999999999</v>
      </c>
      <c r="AP160" s="38">
        <f t="shared" si="7"/>
        <v>2.7214024885993001E-2</v>
      </c>
      <c r="AQ160" s="15">
        <v>181.29</v>
      </c>
      <c r="AR160" s="15">
        <v>73.31</v>
      </c>
      <c r="AS160" s="15">
        <v>485</v>
      </c>
      <c r="AT160" s="15">
        <v>1912</v>
      </c>
      <c r="AU160" s="15">
        <v>137.11999999999989</v>
      </c>
      <c r="AV160" s="15">
        <f t="shared" si="8"/>
        <v>1774.88</v>
      </c>
      <c r="AW160" s="15">
        <f t="shared" si="5"/>
        <v>11.400000000000006</v>
      </c>
      <c r="AX160" s="15">
        <f t="shared" si="5"/>
        <v>8</v>
      </c>
      <c r="AY160" s="15">
        <f t="shared" si="4"/>
        <v>12</v>
      </c>
      <c r="AZ160" s="39">
        <v>15</v>
      </c>
      <c r="BA160" s="39">
        <v>1700</v>
      </c>
      <c r="BB160" s="15">
        <v>34</v>
      </c>
      <c r="BC160" s="15">
        <v>7.2</v>
      </c>
      <c r="BD160" s="15">
        <v>50</v>
      </c>
      <c r="BE160" s="38">
        <v>2.9999999999999997E-4</v>
      </c>
      <c r="BG160">
        <v>2.1082524120846741E-2</v>
      </c>
      <c r="BH160">
        <v>5.1774073553105659E-3</v>
      </c>
      <c r="BI160">
        <v>1.1097035999999998E-2</v>
      </c>
      <c r="BJ160">
        <v>15.979731839999996</v>
      </c>
      <c r="BK160">
        <v>1858.8</v>
      </c>
      <c r="BL160">
        <v>9.7530664945125883E-2</v>
      </c>
      <c r="BM160">
        <v>0.10664117647058823</v>
      </c>
      <c r="BN160">
        <v>39.188195835829923</v>
      </c>
      <c r="BO160" t="s">
        <v>83</v>
      </c>
      <c r="BP160">
        <v>2.7214024885993001E-2</v>
      </c>
      <c r="BQ160" t="s">
        <v>83</v>
      </c>
      <c r="BR160" t="s">
        <v>83</v>
      </c>
      <c r="BS160">
        <v>9.6237647920512792</v>
      </c>
      <c r="BT160">
        <v>70.685778924657143</v>
      </c>
      <c r="BU160">
        <v>2.7214024885993001E-2</v>
      </c>
      <c r="BV160">
        <v>9.6237647920512792</v>
      </c>
    </row>
    <row r="161" spans="1:74" x14ac:dyDescent="0.25">
      <c r="A161" s="16" t="s">
        <v>97</v>
      </c>
      <c r="B161" t="s">
        <v>26</v>
      </c>
      <c r="C161">
        <v>12</v>
      </c>
      <c r="D161">
        <v>11</v>
      </c>
      <c r="F161" s="17">
        <v>45544.6039467593</v>
      </c>
      <c r="G161" s="27">
        <v>5791.69</v>
      </c>
      <c r="H161">
        <v>7.2</v>
      </c>
      <c r="I161">
        <v>0.5</v>
      </c>
      <c r="J161">
        <v>34</v>
      </c>
      <c r="L161" s="15">
        <v>6019.3950000000004</v>
      </c>
      <c r="M161" s="15">
        <v>18.8</v>
      </c>
      <c r="N161" s="15">
        <v>17.100000000000001</v>
      </c>
      <c r="O161" s="15">
        <v>90.8</v>
      </c>
      <c r="P161" s="15">
        <v>17.899999999999999</v>
      </c>
      <c r="Q161" s="15">
        <v>351</v>
      </c>
      <c r="R161" s="15">
        <v>2.5</v>
      </c>
      <c r="S161" s="15">
        <v>0.21</v>
      </c>
      <c r="T161" s="15">
        <v>7.0000000000000007E-2</v>
      </c>
      <c r="U161" s="15"/>
      <c r="V161" s="15">
        <v>0</v>
      </c>
      <c r="W161" s="15">
        <v>0.16</v>
      </c>
      <c r="X161" s="15">
        <v>0</v>
      </c>
      <c r="Y161" s="15">
        <v>7.2969999999999997</v>
      </c>
      <c r="Z161" s="15">
        <v>113.3</v>
      </c>
      <c r="AA161" s="15">
        <v>68.3</v>
      </c>
      <c r="AB161" s="15">
        <v>2.4300000000000002</v>
      </c>
      <c r="AC161" s="15">
        <v>155.69999999999999</v>
      </c>
      <c r="AD161" s="15">
        <v>54</v>
      </c>
      <c r="AE161" s="15">
        <v>99.3</v>
      </c>
      <c r="AF161" s="15">
        <v>55.7</v>
      </c>
      <c r="AG161" s="18">
        <v>7.34</v>
      </c>
      <c r="AH161" s="15">
        <v>300</v>
      </c>
      <c r="AI161" s="15">
        <v>48.3</v>
      </c>
      <c r="AJ161" s="15">
        <v>7.27</v>
      </c>
      <c r="AK161" s="15">
        <f t="shared" si="6"/>
        <v>0.48299999999999998</v>
      </c>
      <c r="AL161" s="15">
        <v>34</v>
      </c>
      <c r="AM161" s="15">
        <v>24.57</v>
      </c>
      <c r="AN161" s="15">
        <v>27.96</v>
      </c>
      <c r="AO161" s="15">
        <f>AO143+3.01</f>
        <v>6.01</v>
      </c>
      <c r="AP161" s="15">
        <f t="shared" si="7"/>
        <v>1.7809574480595398E-2</v>
      </c>
      <c r="AQ161" s="15">
        <v>205.53</v>
      </c>
      <c r="AR161" s="15">
        <v>79.069999999999993</v>
      </c>
      <c r="AS161" s="15">
        <v>458</v>
      </c>
      <c r="AT161" s="15">
        <v>1845</v>
      </c>
      <c r="AU161" s="15">
        <v>45.769999999999982</v>
      </c>
      <c r="AV161" s="15">
        <f t="shared" si="8"/>
        <v>1799.23</v>
      </c>
      <c r="AW161" s="15">
        <f t="shared" si="5"/>
        <v>20.22</v>
      </c>
      <c r="AX161" s="15">
        <f t="shared" si="5"/>
        <v>10.819999999999993</v>
      </c>
      <c r="AY161" s="15">
        <f t="shared" si="4"/>
        <v>23</v>
      </c>
      <c r="AZ161" s="39">
        <v>15</v>
      </c>
      <c r="BA161" s="39">
        <v>1700</v>
      </c>
      <c r="BB161" s="15">
        <v>34</v>
      </c>
      <c r="BC161" s="15">
        <v>7.2</v>
      </c>
      <c r="BD161" s="15">
        <v>50</v>
      </c>
      <c r="BE161" s="38">
        <v>2.9999999999999997E-4</v>
      </c>
      <c r="BG161">
        <v>1.3764820277626683E-2</v>
      </c>
      <c r="BH161">
        <v>4.396909262276265E-3</v>
      </c>
      <c r="BI161">
        <v>9.5579081999999996E-3</v>
      </c>
      <c r="BJ161">
        <v>13.763387807999999</v>
      </c>
      <c r="BK161">
        <v>1863.1399999999999</v>
      </c>
      <c r="BL161">
        <v>0.1103137713752053</v>
      </c>
      <c r="BM161">
        <v>0.12090000000000001</v>
      </c>
      <c r="BN161">
        <v>25.645787252057374</v>
      </c>
      <c r="BO161" t="s">
        <v>83</v>
      </c>
      <c r="BP161">
        <v>1.7809574480595398E-2</v>
      </c>
      <c r="BQ161" t="s">
        <v>83</v>
      </c>
      <c r="BR161" t="s">
        <v>83</v>
      </c>
      <c r="BS161">
        <v>8.1920575229174002</v>
      </c>
      <c r="BT161">
        <v>46.258635014533503</v>
      </c>
      <c r="BU161">
        <v>1.7809574480595398E-2</v>
      </c>
      <c r="BV161">
        <v>8.1920575229174002</v>
      </c>
    </row>
    <row r="162" spans="1:74" x14ac:dyDescent="0.25">
      <c r="A162" s="16" t="s">
        <v>98</v>
      </c>
      <c r="B162" t="s">
        <v>26</v>
      </c>
      <c r="C162">
        <v>12</v>
      </c>
      <c r="D162">
        <v>11</v>
      </c>
      <c r="F162" s="17">
        <v>45544.5913657407</v>
      </c>
      <c r="G162" s="27">
        <v>5791.69</v>
      </c>
      <c r="H162">
        <v>7.2</v>
      </c>
      <c r="I162">
        <v>0.5</v>
      </c>
      <c r="J162">
        <v>34</v>
      </c>
      <c r="L162" s="15">
        <v>5282.2049999999999</v>
      </c>
      <c r="M162" s="15">
        <v>19.2</v>
      </c>
      <c r="N162" s="15">
        <v>16.5</v>
      </c>
      <c r="O162" s="15">
        <v>86</v>
      </c>
      <c r="P162" s="15">
        <v>19</v>
      </c>
      <c r="Q162" s="15">
        <v>446</v>
      </c>
      <c r="R162" s="15">
        <v>2.98</v>
      </c>
      <c r="S162" s="15">
        <v>0.2</v>
      </c>
      <c r="T162" s="15">
        <v>2.21</v>
      </c>
      <c r="U162" s="15"/>
      <c r="V162" s="15">
        <v>1</v>
      </c>
      <c r="W162" s="15">
        <v>3.23</v>
      </c>
      <c r="X162" s="15">
        <v>1.39</v>
      </c>
      <c r="Y162" s="15">
        <v>7.266</v>
      </c>
      <c r="Z162" s="15">
        <v>127.3</v>
      </c>
      <c r="AA162" s="15">
        <v>20.100000000000001</v>
      </c>
      <c r="AB162" s="15">
        <v>1.48</v>
      </c>
      <c r="AC162" s="15">
        <v>178.2</v>
      </c>
      <c r="AD162" s="15">
        <v>56.4</v>
      </c>
      <c r="AE162" s="15">
        <v>111.7</v>
      </c>
      <c r="AF162" s="15">
        <v>16.3</v>
      </c>
      <c r="AG162" s="18">
        <v>7.3070000000000004</v>
      </c>
      <c r="AH162" s="15">
        <v>298</v>
      </c>
      <c r="AI162" s="15">
        <v>50</v>
      </c>
      <c r="AJ162" s="15">
        <v>7.27</v>
      </c>
      <c r="AK162" s="15">
        <f t="shared" si="6"/>
        <v>0.5</v>
      </c>
      <c r="AL162" s="15">
        <v>34</v>
      </c>
      <c r="AM162" s="15">
        <v>38.049999999999997</v>
      </c>
      <c r="AN162" s="15">
        <v>5.17</v>
      </c>
      <c r="AO162" s="15">
        <f>AO144+3.04</f>
        <v>9.6999999999999993</v>
      </c>
      <c r="AP162" s="15">
        <f t="shared" si="7"/>
        <v>3.24883333333333E-2</v>
      </c>
      <c r="AQ162" s="15">
        <v>287.8</v>
      </c>
      <c r="AR162" s="15">
        <v>88.58</v>
      </c>
      <c r="AS162" s="15">
        <v>338</v>
      </c>
      <c r="AT162" s="15">
        <v>1970</v>
      </c>
      <c r="AU162" s="15">
        <v>84.700000000000045</v>
      </c>
      <c r="AV162" s="15">
        <f t="shared" si="8"/>
        <v>1885.3</v>
      </c>
      <c r="AW162" s="15">
        <f t="shared" si="5"/>
        <v>38.360000000000014</v>
      </c>
      <c r="AX162" s="15">
        <f t="shared" si="5"/>
        <v>3.8199999999999932</v>
      </c>
      <c r="AY162" s="15">
        <f t="shared" si="4"/>
        <v>46</v>
      </c>
      <c r="AZ162" s="39">
        <v>15</v>
      </c>
      <c r="BA162" s="39">
        <v>1700</v>
      </c>
      <c r="BB162" s="15">
        <v>34</v>
      </c>
      <c r="BC162" s="15">
        <v>7.2</v>
      </c>
      <c r="BD162" s="15">
        <v>50</v>
      </c>
      <c r="BE162" s="38">
        <v>2.9999999999999997E-4</v>
      </c>
      <c r="BG162">
        <v>2.3999999999999973E-2</v>
      </c>
      <c r="BH162">
        <v>5.1005554585699941E-3</v>
      </c>
      <c r="BI162">
        <v>9.6490350000000003E-3</v>
      </c>
      <c r="BJ162">
        <v>13.894610400000001</v>
      </c>
      <c r="BK162">
        <v>1949.3000000000002</v>
      </c>
      <c r="BL162">
        <v>0.14764274354896628</v>
      </c>
      <c r="BM162">
        <v>0.16929411764705882</v>
      </c>
      <c r="BN162">
        <v>46.783199999999951</v>
      </c>
      <c r="BO162" t="s">
        <v>83</v>
      </c>
      <c r="BP162">
        <v>3.24883333333333E-2</v>
      </c>
      <c r="BQ162" t="s">
        <v>83</v>
      </c>
      <c r="BR162" t="s">
        <v>83</v>
      </c>
      <c r="BS162">
        <v>9.9425127553904904</v>
      </c>
      <c r="BT162">
        <v>84.385281385281303</v>
      </c>
      <c r="BU162">
        <v>3.24883333333333E-2</v>
      </c>
      <c r="BV162">
        <v>9.9425127553904904</v>
      </c>
    </row>
    <row r="163" spans="1:74" x14ac:dyDescent="0.25">
      <c r="A163" s="16" t="s">
        <v>99</v>
      </c>
      <c r="B163" t="s">
        <v>27</v>
      </c>
      <c r="C163">
        <v>12</v>
      </c>
      <c r="D163">
        <v>11</v>
      </c>
      <c r="F163" s="17">
        <v>45544.610312500001</v>
      </c>
      <c r="G163" s="27">
        <v>5791.69</v>
      </c>
      <c r="H163">
        <v>7.2</v>
      </c>
      <c r="I163">
        <v>0.5</v>
      </c>
      <c r="J163">
        <v>34</v>
      </c>
      <c r="L163" s="15">
        <v>5403.24</v>
      </c>
      <c r="M163" s="15">
        <v>19.5</v>
      </c>
      <c r="N163" s="15">
        <v>17.2</v>
      </c>
      <c r="O163" s="15">
        <v>88</v>
      </c>
      <c r="P163" s="15">
        <v>18.899999999999999</v>
      </c>
      <c r="Q163" s="15">
        <v>437</v>
      </c>
      <c r="R163" s="15">
        <v>2.12</v>
      </c>
      <c r="S163" s="15">
        <v>0.2</v>
      </c>
      <c r="T163" s="15">
        <v>0.77</v>
      </c>
      <c r="U163" s="15"/>
      <c r="V163" s="15">
        <v>0.83</v>
      </c>
      <c r="W163" s="15">
        <v>2.97</v>
      </c>
      <c r="X163" s="15">
        <v>2.21</v>
      </c>
      <c r="Y163" s="15">
        <v>7.2830000000000004</v>
      </c>
      <c r="Z163" s="15">
        <v>125.9</v>
      </c>
      <c r="AA163" s="15">
        <v>102.1</v>
      </c>
      <c r="AB163" s="15">
        <v>1.45</v>
      </c>
      <c r="AC163" s="15">
        <v>182.7</v>
      </c>
      <c r="AD163" s="15">
        <v>58</v>
      </c>
      <c r="AE163" s="15">
        <v>110.4</v>
      </c>
      <c r="AF163" s="15">
        <v>85.6</v>
      </c>
      <c r="AG163" s="18">
        <v>7.3239999999999998</v>
      </c>
      <c r="AH163" s="15">
        <v>302</v>
      </c>
      <c r="AI163" s="15">
        <v>100</v>
      </c>
      <c r="AJ163" s="15">
        <v>7.3</v>
      </c>
      <c r="AK163" s="15">
        <f t="shared" si="6"/>
        <v>1</v>
      </c>
      <c r="AL163" s="15">
        <v>34</v>
      </c>
      <c r="AM163" s="15">
        <v>43.09</v>
      </c>
      <c r="AN163" s="15">
        <v>17.54</v>
      </c>
      <c r="AO163" s="15">
        <f>AO145+3.1</f>
        <v>9.86</v>
      </c>
      <c r="AP163" s="15">
        <f t="shared" si="7"/>
        <v>2.3211041666666668E-2</v>
      </c>
      <c r="AQ163" s="15">
        <v>273.05</v>
      </c>
      <c r="AR163" s="15">
        <v>79.709999999999994</v>
      </c>
      <c r="AS163" s="15">
        <v>362</v>
      </c>
      <c r="AT163" s="15">
        <v>1953</v>
      </c>
      <c r="AU163" s="15">
        <v>47.420000000000073</v>
      </c>
      <c r="AV163" s="15">
        <f t="shared" si="8"/>
        <v>1905.58</v>
      </c>
      <c r="AW163" s="15">
        <f t="shared" si="5"/>
        <v>39.120000000000005</v>
      </c>
      <c r="AX163" s="15">
        <f t="shared" si="5"/>
        <v>8.8399999999999892</v>
      </c>
      <c r="AY163" s="15">
        <f t="shared" si="4"/>
        <v>44</v>
      </c>
      <c r="AZ163" s="39">
        <v>15</v>
      </c>
      <c r="BA163" s="39">
        <v>1700</v>
      </c>
      <c r="BB163" s="15">
        <v>34</v>
      </c>
      <c r="BC163" s="15">
        <v>7.2</v>
      </c>
      <c r="BD163" s="15">
        <v>50</v>
      </c>
      <c r="BE163" s="38">
        <v>2.9999999999999997E-4</v>
      </c>
      <c r="BF163">
        <v>1.72E-2</v>
      </c>
      <c r="BI163">
        <v>1.002717E-2</v>
      </c>
      <c r="BJ163">
        <v>14.4391248</v>
      </c>
      <c r="BK163">
        <v>1943.25</v>
      </c>
      <c r="BL163">
        <v>0.14051202881770231</v>
      </c>
      <c r="BM163">
        <v>0.16061764705882353</v>
      </c>
      <c r="BN163">
        <v>33.423900000000003</v>
      </c>
      <c r="BO163">
        <v>2.3211041666666668E-2</v>
      </c>
      <c r="BP163" t="s">
        <v>83</v>
      </c>
      <c r="BQ163" t="s">
        <v>83</v>
      </c>
      <c r="BR163">
        <v>10.833618750000001</v>
      </c>
      <c r="BS163" t="s">
        <v>83</v>
      </c>
      <c r="BT163">
        <v>60.288419913419922</v>
      </c>
      <c r="BU163">
        <v>2.3211041666666668E-2</v>
      </c>
      <c r="BV163">
        <v>10.833618750000001</v>
      </c>
    </row>
    <row r="164" spans="1:74" x14ac:dyDescent="0.25">
      <c r="A164" s="16" t="s">
        <v>100</v>
      </c>
      <c r="B164" t="s">
        <v>27</v>
      </c>
      <c r="C164">
        <v>12</v>
      </c>
      <c r="D164">
        <v>11</v>
      </c>
      <c r="E164" t="s">
        <v>116</v>
      </c>
      <c r="F164" s="17">
        <v>45544.616192129601</v>
      </c>
      <c r="G164" s="27">
        <v>5791.69</v>
      </c>
      <c r="H164">
        <v>7.2</v>
      </c>
      <c r="I164">
        <v>0.5</v>
      </c>
      <c r="J164">
        <v>34</v>
      </c>
      <c r="L164" s="15">
        <v>2556.4050000000002</v>
      </c>
      <c r="M164" s="15">
        <v>20.2</v>
      </c>
      <c r="N164" s="15">
        <v>0.54700000000000004</v>
      </c>
      <c r="O164" s="15">
        <v>2.71</v>
      </c>
      <c r="P164" s="15">
        <v>13.7</v>
      </c>
      <c r="Q164" s="15">
        <v>869</v>
      </c>
      <c r="R164" s="15"/>
      <c r="S164" s="15">
        <v>0.23</v>
      </c>
      <c r="T164" s="15">
        <v>6.87</v>
      </c>
      <c r="U164" s="15"/>
      <c r="V164" s="15">
        <v>0.97</v>
      </c>
      <c r="W164" s="15">
        <v>4.58</v>
      </c>
      <c r="X164" s="24">
        <v>18.855989999999998</v>
      </c>
      <c r="Y164" s="15">
        <v>7.2770000000000001</v>
      </c>
      <c r="Z164" s="15">
        <v>5.8</v>
      </c>
      <c r="AA164" s="15">
        <v>95.2</v>
      </c>
      <c r="AB164" s="15">
        <v>7.36</v>
      </c>
      <c r="AC164" s="15">
        <v>318.8</v>
      </c>
      <c r="AD164" s="15">
        <v>2.6</v>
      </c>
      <c r="AE164" s="15">
        <v>5.0999999999999996</v>
      </c>
      <c r="AF164" s="15">
        <v>79.2</v>
      </c>
      <c r="AG164" s="18">
        <v>7.3179999999999996</v>
      </c>
      <c r="AH164" s="15">
        <v>299</v>
      </c>
      <c r="AI164" s="15">
        <v>52.4</v>
      </c>
      <c r="AJ164" s="15">
        <v>7.3</v>
      </c>
      <c r="AK164" s="15">
        <f t="shared" si="6"/>
        <v>0.52400000000000002</v>
      </c>
      <c r="AL164" s="15">
        <v>34</v>
      </c>
      <c r="AM164" s="15">
        <v>150</v>
      </c>
      <c r="AN164" s="15">
        <v>9.64</v>
      </c>
      <c r="AO164" s="15">
        <f>AO146+2.98</f>
        <v>9.42</v>
      </c>
      <c r="AP164" s="15">
        <f t="shared" si="7"/>
        <v>2.9077638888888889E-2</v>
      </c>
      <c r="AQ164" s="15">
        <v>310.07</v>
      </c>
      <c r="AR164" s="15">
        <v>94.46</v>
      </c>
      <c r="AS164" s="15">
        <v>295</v>
      </c>
      <c r="AT164" s="15">
        <v>2159</v>
      </c>
      <c r="AU164" s="15">
        <v>133.55999999999995</v>
      </c>
      <c r="AV164" s="15">
        <f t="shared" si="8"/>
        <v>2025.44</v>
      </c>
      <c r="AW164" s="15">
        <f t="shared" ref="AW164:AX171" si="9">AQ164-AQ158</f>
        <v>48.389999999999986</v>
      </c>
      <c r="AX164" s="15">
        <f t="shared" si="9"/>
        <v>16.64</v>
      </c>
      <c r="AY164" s="15">
        <f t="shared" ref="AY164:AY171" si="10">AS158-AS164</f>
        <v>58</v>
      </c>
      <c r="AZ164" s="39">
        <v>15</v>
      </c>
      <c r="BA164" s="39">
        <v>1700</v>
      </c>
      <c r="BB164" s="15">
        <v>34</v>
      </c>
      <c r="BC164" s="15">
        <v>7.2</v>
      </c>
      <c r="BD164" s="15">
        <v>50</v>
      </c>
      <c r="BE164" s="38">
        <v>2.9999999999999997E-4</v>
      </c>
      <c r="BF164">
        <v>0.02</v>
      </c>
      <c r="BI164">
        <v>3.4355811900000006E-4</v>
      </c>
      <c r="BJ164">
        <v>0.49472369136000011</v>
      </c>
      <c r="BK164">
        <v>2093.59</v>
      </c>
      <c r="BL164">
        <v>0.14810445216112036</v>
      </c>
      <c r="BM164">
        <v>0.18239411764705882</v>
      </c>
      <c r="BN164">
        <v>41.871799999999993</v>
      </c>
      <c r="BO164">
        <v>2.9077638888888889E-2</v>
      </c>
      <c r="BP164" t="s">
        <v>83</v>
      </c>
      <c r="BQ164" t="s">
        <v>83</v>
      </c>
      <c r="BR164">
        <v>0</v>
      </c>
      <c r="BS164" t="s">
        <v>83</v>
      </c>
      <c r="BT164">
        <v>75.526334776334778</v>
      </c>
      <c r="BU164">
        <v>2.9077638888888889E-2</v>
      </c>
      <c r="BV164">
        <v>0</v>
      </c>
    </row>
    <row r="165" spans="1:74" ht="15.75" thickBot="1" x14ac:dyDescent="0.3">
      <c r="A165" s="19" t="s">
        <v>101</v>
      </c>
      <c r="B165" s="20" t="s">
        <v>27</v>
      </c>
      <c r="C165" s="20">
        <v>12</v>
      </c>
      <c r="D165" s="20">
        <v>11</v>
      </c>
      <c r="E165" s="20"/>
      <c r="F165" s="21">
        <v>45544.621018518519</v>
      </c>
      <c r="G165" s="28">
        <v>5791.69</v>
      </c>
      <c r="H165">
        <v>7.2</v>
      </c>
      <c r="I165">
        <v>0.5</v>
      </c>
      <c r="J165">
        <v>34</v>
      </c>
      <c r="L165" s="22">
        <v>6130.83</v>
      </c>
      <c r="M165" s="22">
        <v>19.8</v>
      </c>
      <c r="N165" s="22">
        <v>17.899999999999999</v>
      </c>
      <c r="O165" s="22">
        <v>90.2</v>
      </c>
      <c r="P165" s="22">
        <v>17.8</v>
      </c>
      <c r="Q165" s="22">
        <v>359</v>
      </c>
      <c r="R165" s="22">
        <v>1.91</v>
      </c>
      <c r="S165" s="22">
        <v>0.18</v>
      </c>
      <c r="T165" s="22">
        <v>0.4</v>
      </c>
      <c r="U165" s="22"/>
      <c r="V165" s="22">
        <v>0.09</v>
      </c>
      <c r="W165" s="22">
        <v>0.13</v>
      </c>
      <c r="X165" s="22">
        <v>0.05</v>
      </c>
      <c r="Y165" s="22">
        <v>7.2969999999999997</v>
      </c>
      <c r="Z165" s="22">
        <v>117.9</v>
      </c>
      <c r="AA165" s="22">
        <v>40.700000000000003</v>
      </c>
      <c r="AB165" s="22">
        <v>1.92</v>
      </c>
      <c r="AC165" s="22">
        <v>159.1</v>
      </c>
      <c r="AD165" s="22">
        <v>56.2</v>
      </c>
      <c r="AE165" s="22">
        <v>103.4</v>
      </c>
      <c r="AF165" s="22">
        <v>32.9</v>
      </c>
      <c r="AG165" s="23">
        <v>7.3390000000000004</v>
      </c>
      <c r="AH165" s="15">
        <v>298</v>
      </c>
      <c r="AI165" s="15">
        <v>49.9</v>
      </c>
      <c r="AJ165" s="15">
        <v>7.29</v>
      </c>
      <c r="AK165" s="15">
        <f t="shared" si="6"/>
        <v>0.499</v>
      </c>
      <c r="AL165" s="15">
        <v>34</v>
      </c>
      <c r="AM165" s="15">
        <v>28.27</v>
      </c>
      <c r="AN165" s="15">
        <v>45.05</v>
      </c>
      <c r="AO165" s="15">
        <f>AO147+3.03</f>
        <v>9.5499999999999989</v>
      </c>
      <c r="AP165" s="15">
        <f t="shared" si="7"/>
        <v>1.07172E-2</v>
      </c>
      <c r="AQ165" s="15">
        <v>220.19</v>
      </c>
      <c r="AR165" s="15">
        <v>82.22</v>
      </c>
      <c r="AS165" s="15">
        <v>438</v>
      </c>
      <c r="AT165" s="15">
        <v>1899</v>
      </c>
      <c r="AU165" s="15">
        <v>51.660000000000082</v>
      </c>
      <c r="AV165" s="15">
        <f t="shared" si="8"/>
        <v>1847.34</v>
      </c>
      <c r="AW165" s="15">
        <f t="shared" si="9"/>
        <v>18.259999999999991</v>
      </c>
      <c r="AX165" s="15">
        <f t="shared" si="9"/>
        <v>12.469999999999999</v>
      </c>
      <c r="AY165" s="15">
        <f t="shared" si="10"/>
        <v>22</v>
      </c>
      <c r="AZ165" s="39">
        <v>15</v>
      </c>
      <c r="BA165" s="39">
        <v>1700</v>
      </c>
      <c r="BB165" s="15">
        <v>34</v>
      </c>
      <c r="BC165" s="15">
        <v>7.2</v>
      </c>
      <c r="BD165" s="15">
        <v>50</v>
      </c>
      <c r="BE165" s="38">
        <v>2.9999999999999997E-4</v>
      </c>
      <c r="BF165">
        <v>8.0999999999999996E-3</v>
      </c>
      <c r="BI165">
        <v>1.0231353599999996E-2</v>
      </c>
      <c r="BJ165">
        <v>14.733149183999995</v>
      </c>
      <c r="BK165">
        <v>1905.2799999999997</v>
      </c>
      <c r="BL165">
        <v>0.11556831541820627</v>
      </c>
      <c r="BM165">
        <v>0.1295235294117647</v>
      </c>
      <c r="BN165">
        <v>15.432768000000001</v>
      </c>
      <c r="BO165">
        <v>1.07172E-2</v>
      </c>
      <c r="BP165" t="s">
        <v>83</v>
      </c>
      <c r="BQ165" t="s">
        <v>83</v>
      </c>
      <c r="BR165">
        <v>12.384319999999997</v>
      </c>
      <c r="BS165" t="s">
        <v>83</v>
      </c>
      <c r="BT165">
        <v>27.836883116883119</v>
      </c>
      <c r="BU165">
        <v>1.07172E-2</v>
      </c>
      <c r="BV165">
        <v>12.384319999999997</v>
      </c>
    </row>
    <row r="166" spans="1:74" x14ac:dyDescent="0.25">
      <c r="A166" s="10" t="s">
        <v>96</v>
      </c>
      <c r="B166" s="11" t="s">
        <v>26</v>
      </c>
      <c r="C166" s="11">
        <v>12</v>
      </c>
      <c r="D166" s="11">
        <v>12</v>
      </c>
      <c r="E166" s="11"/>
      <c r="F166" s="12">
        <v>45545.392534722203</v>
      </c>
      <c r="G166" s="25">
        <v>6118.18</v>
      </c>
      <c r="H166">
        <v>7.2</v>
      </c>
      <c r="I166">
        <v>0.5</v>
      </c>
      <c r="J166">
        <v>34</v>
      </c>
      <c r="L166" s="13">
        <v>6054.6149999999998</v>
      </c>
      <c r="M166" s="13">
        <v>20.3</v>
      </c>
      <c r="N166" s="13">
        <v>16.600000000000001</v>
      </c>
      <c r="O166" s="13">
        <v>81.8</v>
      </c>
      <c r="P166" s="13">
        <v>17.600000000000001</v>
      </c>
      <c r="Q166" s="13">
        <v>376</v>
      </c>
      <c r="R166" s="13">
        <v>1.22</v>
      </c>
      <c r="S166" s="13">
        <v>0.24</v>
      </c>
      <c r="T166" s="13">
        <v>3.54</v>
      </c>
      <c r="U166" s="13"/>
      <c r="V166" s="13">
        <v>0.28000000000000003</v>
      </c>
      <c r="W166" s="13">
        <v>0.36</v>
      </c>
      <c r="X166" s="13">
        <v>0.96</v>
      </c>
      <c r="Y166" s="13">
        <v>7.1950000000000003</v>
      </c>
      <c r="Z166" s="13">
        <v>101.7</v>
      </c>
      <c r="AA166" s="13">
        <v>0</v>
      </c>
      <c r="AB166" s="13">
        <v>1.95</v>
      </c>
      <c r="AC166" s="13">
        <v>152.6</v>
      </c>
      <c r="AD166" s="13">
        <v>38.200000000000003</v>
      </c>
      <c r="AE166" s="13">
        <v>89.2</v>
      </c>
      <c r="AF166" s="13">
        <v>0</v>
      </c>
      <c r="AG166" s="14">
        <v>7.2350000000000003</v>
      </c>
      <c r="AH166" s="15">
        <v>299</v>
      </c>
      <c r="AI166" s="15">
        <v>52.3</v>
      </c>
      <c r="AJ166" s="15">
        <v>7.21</v>
      </c>
      <c r="AK166" s="15">
        <f t="shared" si="6"/>
        <v>0.52300000000000002</v>
      </c>
      <c r="AL166" s="15">
        <v>34</v>
      </c>
      <c r="AM166" s="15">
        <v>27.91</v>
      </c>
      <c r="AN166" s="15">
        <v>48.36</v>
      </c>
      <c r="AO166" s="15">
        <f>AO142+3.79</f>
        <v>9.08</v>
      </c>
      <c r="AP166" s="38">
        <f t="shared" si="7"/>
        <v>0</v>
      </c>
      <c r="AQ166" s="15">
        <v>210.09</v>
      </c>
      <c r="AR166" s="15">
        <v>83.64</v>
      </c>
      <c r="AS166" s="15">
        <v>452</v>
      </c>
      <c r="AT166" s="15">
        <v>1877</v>
      </c>
      <c r="AU166" s="15">
        <v>137.11999999999989</v>
      </c>
      <c r="AV166" s="15">
        <f t="shared" si="8"/>
        <v>1739.88</v>
      </c>
      <c r="AW166" s="15">
        <f t="shared" si="9"/>
        <v>28.800000000000011</v>
      </c>
      <c r="AX166" s="15">
        <f t="shared" si="9"/>
        <v>10.329999999999998</v>
      </c>
      <c r="AY166" s="15">
        <f t="shared" si="10"/>
        <v>33</v>
      </c>
      <c r="AZ166" s="39">
        <v>15</v>
      </c>
      <c r="BA166" s="39">
        <v>1700</v>
      </c>
      <c r="BB166" s="15">
        <v>34</v>
      </c>
      <c r="BC166" s="15">
        <v>7.2</v>
      </c>
      <c r="BD166" s="15">
        <v>50</v>
      </c>
      <c r="BE166" s="38">
        <v>2.9999999999999997E-4</v>
      </c>
      <c r="BI166">
        <v>9.3827184000000001E-3</v>
      </c>
      <c r="BJ166">
        <v>13.511114495999999</v>
      </c>
      <c r="BK166">
        <v>1884.08</v>
      </c>
      <c r="BL166">
        <v>0.11150800390641587</v>
      </c>
      <c r="BM166">
        <v>0.12358235294117648</v>
      </c>
      <c r="BN166">
        <v>0</v>
      </c>
      <c r="BO166" t="s">
        <v>83</v>
      </c>
      <c r="BP166">
        <v>0</v>
      </c>
      <c r="BQ166" t="s">
        <v>83</v>
      </c>
      <c r="BR166" t="s">
        <v>83</v>
      </c>
      <c r="BS166">
        <v>0</v>
      </c>
      <c r="BT166">
        <v>0</v>
      </c>
      <c r="BU166">
        <v>0</v>
      </c>
      <c r="BV166">
        <v>0</v>
      </c>
    </row>
    <row r="167" spans="1:74" x14ac:dyDescent="0.25">
      <c r="A167" s="16" t="s">
        <v>97</v>
      </c>
      <c r="B167" t="s">
        <v>26</v>
      </c>
      <c r="C167">
        <v>12</v>
      </c>
      <c r="D167">
        <v>12</v>
      </c>
      <c r="F167" s="17">
        <v>45545.396412037</v>
      </c>
      <c r="G167" s="27">
        <v>6118.18</v>
      </c>
      <c r="H167">
        <v>7.2</v>
      </c>
      <c r="I167">
        <v>0.5</v>
      </c>
      <c r="J167">
        <v>34</v>
      </c>
      <c r="L167" s="15">
        <v>6468.72</v>
      </c>
      <c r="M167" s="15">
        <v>19.5</v>
      </c>
      <c r="N167" s="15">
        <v>17.600000000000001</v>
      </c>
      <c r="O167" s="15">
        <v>90.4</v>
      </c>
      <c r="P167" s="15">
        <v>18</v>
      </c>
      <c r="Q167" s="15">
        <v>359</v>
      </c>
      <c r="R167" s="15">
        <v>2.39</v>
      </c>
      <c r="S167" s="15">
        <v>0.22</v>
      </c>
      <c r="T167" s="15">
        <v>0.83</v>
      </c>
      <c r="U167" s="15"/>
      <c r="V167" s="15">
        <v>0.11</v>
      </c>
      <c r="W167" s="15">
        <v>0.13</v>
      </c>
      <c r="X167" s="15">
        <v>0.16</v>
      </c>
      <c r="Y167" s="15">
        <v>7.1790000000000003</v>
      </c>
      <c r="Z167" s="15">
        <v>125.2</v>
      </c>
      <c r="AA167" s="15">
        <v>40.6</v>
      </c>
      <c r="AB167" s="15">
        <v>1.65</v>
      </c>
      <c r="AC167" s="15">
        <v>154.1</v>
      </c>
      <c r="AD167" s="15">
        <v>45.2</v>
      </c>
      <c r="AE167" s="15">
        <v>109.8</v>
      </c>
      <c r="AF167" s="15">
        <v>32.799999999999997</v>
      </c>
      <c r="AG167" s="18">
        <v>7.2190000000000003</v>
      </c>
      <c r="AH167" s="15">
        <v>301</v>
      </c>
      <c r="AI167" s="15">
        <v>50.2</v>
      </c>
      <c r="AJ167" s="15">
        <v>7.23</v>
      </c>
      <c r="AK167" s="15">
        <f t="shared" si="6"/>
        <v>0.502</v>
      </c>
      <c r="AL167" s="15">
        <v>34</v>
      </c>
      <c r="AM167" s="15">
        <v>24.57</v>
      </c>
      <c r="AN167" s="15">
        <v>28.85</v>
      </c>
      <c r="AO167" s="15">
        <f>AO143+3.7</f>
        <v>6.7</v>
      </c>
      <c r="AP167" s="15">
        <f t="shared" si="7"/>
        <v>0</v>
      </c>
      <c r="AQ167" s="15">
        <v>225.39</v>
      </c>
      <c r="AR167" s="15">
        <v>87.89</v>
      </c>
      <c r="AS167" s="15">
        <v>435</v>
      </c>
      <c r="AT167" s="15">
        <v>1785</v>
      </c>
      <c r="AU167" s="15">
        <v>45.769999999999982</v>
      </c>
      <c r="AV167" s="15">
        <f t="shared" si="8"/>
        <v>1739.23</v>
      </c>
      <c r="AW167" s="15">
        <f t="shared" si="9"/>
        <v>19.859999999999985</v>
      </c>
      <c r="AX167" s="15">
        <f t="shared" si="9"/>
        <v>8.8200000000000074</v>
      </c>
      <c r="AY167" s="15">
        <f t="shared" si="10"/>
        <v>23</v>
      </c>
      <c r="AZ167" s="39">
        <v>15</v>
      </c>
      <c r="BA167" s="39">
        <v>1700</v>
      </c>
      <c r="BB167" s="15">
        <v>34</v>
      </c>
      <c r="BC167" s="15">
        <v>7.2</v>
      </c>
      <c r="BD167" s="15">
        <v>50</v>
      </c>
      <c r="BE167" s="38">
        <v>2.9999999999999997E-4</v>
      </c>
      <c r="BI167">
        <v>9.917951999999999E-3</v>
      </c>
      <c r="BJ167">
        <v>14.281850879999997</v>
      </c>
      <c r="BK167">
        <v>1878.4</v>
      </c>
      <c r="BL167">
        <v>0.11999041737649062</v>
      </c>
      <c r="BM167">
        <v>0.13258235294117646</v>
      </c>
      <c r="BN167">
        <v>0</v>
      </c>
      <c r="BO167" t="s">
        <v>83</v>
      </c>
      <c r="BP167">
        <v>0</v>
      </c>
      <c r="BQ167" t="s">
        <v>83</v>
      </c>
      <c r="BR167" t="s">
        <v>83</v>
      </c>
      <c r="BS167">
        <v>0</v>
      </c>
      <c r="BT167">
        <v>0</v>
      </c>
      <c r="BU167">
        <v>0</v>
      </c>
      <c r="BV167">
        <v>0</v>
      </c>
    </row>
    <row r="168" spans="1:74" x14ac:dyDescent="0.25">
      <c r="A168" s="16" t="s">
        <v>98</v>
      </c>
      <c r="B168" t="s">
        <v>26</v>
      </c>
      <c r="C168">
        <v>12</v>
      </c>
      <c r="D168">
        <v>12</v>
      </c>
      <c r="F168" s="17">
        <v>45545.400358796302</v>
      </c>
      <c r="G168" s="27">
        <v>6118.18</v>
      </c>
      <c r="H168">
        <v>7.2</v>
      </c>
      <c r="I168">
        <v>0.5</v>
      </c>
      <c r="J168">
        <v>34</v>
      </c>
      <c r="L168" s="15">
        <v>5555.64</v>
      </c>
      <c r="M168" s="15">
        <v>18.5</v>
      </c>
      <c r="N168" s="15">
        <v>15.5</v>
      </c>
      <c r="O168" s="15">
        <v>83.8</v>
      </c>
      <c r="P168" s="15">
        <v>18.8</v>
      </c>
      <c r="Q168" s="15">
        <v>463</v>
      </c>
      <c r="R168" s="15">
        <v>3.89</v>
      </c>
      <c r="S168" s="15">
        <v>0.22</v>
      </c>
      <c r="T168" s="15">
        <v>3.86</v>
      </c>
      <c r="U168" s="15"/>
      <c r="V168" s="15">
        <v>1.3</v>
      </c>
      <c r="W168" s="15">
        <v>4.2</v>
      </c>
      <c r="X168" s="15">
        <v>1.34</v>
      </c>
      <c r="Y168" s="15">
        <v>7.2329999999999997</v>
      </c>
      <c r="Z168" s="15">
        <v>116.5</v>
      </c>
      <c r="AA168" s="15">
        <v>21.9</v>
      </c>
      <c r="AB168" s="15">
        <v>1.24</v>
      </c>
      <c r="AC168" s="15">
        <v>178.2</v>
      </c>
      <c r="AD168" s="15">
        <v>47.8</v>
      </c>
      <c r="AE168" s="15">
        <v>102.2</v>
      </c>
      <c r="AF168" s="15">
        <v>17.7</v>
      </c>
      <c r="AG168" s="18">
        <v>7.274</v>
      </c>
      <c r="AH168" s="15">
        <v>300</v>
      </c>
      <c r="AI168" s="15">
        <v>50.7</v>
      </c>
      <c r="AJ168" s="15">
        <v>7.25</v>
      </c>
      <c r="AK168" s="15">
        <f t="shared" si="6"/>
        <v>0.50700000000000001</v>
      </c>
      <c r="AL168" s="15">
        <v>34</v>
      </c>
      <c r="AM168" s="15">
        <v>38.049999999999997</v>
      </c>
      <c r="AN168" s="15">
        <v>5.17</v>
      </c>
      <c r="AO168" s="15">
        <f>AO144+3.75</f>
        <v>10.41</v>
      </c>
      <c r="AP168" s="15">
        <f t="shared" si="7"/>
        <v>0</v>
      </c>
      <c r="AQ168" s="15">
        <v>324.02</v>
      </c>
      <c r="AR168" s="15">
        <v>99.25</v>
      </c>
      <c r="AS168" s="15">
        <v>295</v>
      </c>
      <c r="AT168" s="15">
        <v>1948</v>
      </c>
      <c r="AU168" s="15">
        <v>84.700000000000045</v>
      </c>
      <c r="AV168" s="15">
        <f t="shared" si="8"/>
        <v>1863.3</v>
      </c>
      <c r="AW168" s="15">
        <f t="shared" si="9"/>
        <v>36.21999999999997</v>
      </c>
      <c r="AX168" s="15">
        <f t="shared" si="9"/>
        <v>10.670000000000002</v>
      </c>
      <c r="AY168" s="15">
        <f t="shared" si="10"/>
        <v>43</v>
      </c>
      <c r="AZ168" s="39">
        <v>15</v>
      </c>
      <c r="BA168" s="39">
        <v>1700</v>
      </c>
      <c r="BB168" s="15">
        <v>34</v>
      </c>
      <c r="BC168" s="15">
        <v>7.2</v>
      </c>
      <c r="BD168" s="15">
        <v>50</v>
      </c>
      <c r="BE168" s="38">
        <v>2.9999999999999997E-4</v>
      </c>
      <c r="BI168">
        <v>9.2158350000000003E-3</v>
      </c>
      <c r="BJ168">
        <v>13.270802400000001</v>
      </c>
      <c r="BK168">
        <v>1981.9</v>
      </c>
      <c r="BL168">
        <v>0.16348958070538372</v>
      </c>
      <c r="BM168">
        <v>0.19059999999999999</v>
      </c>
      <c r="BN168">
        <v>0</v>
      </c>
      <c r="BO168" t="s">
        <v>83</v>
      </c>
      <c r="BP168">
        <v>0</v>
      </c>
      <c r="BQ168" t="s">
        <v>83</v>
      </c>
      <c r="BR168" t="s">
        <v>83</v>
      </c>
      <c r="BS168">
        <v>0</v>
      </c>
      <c r="BT168">
        <v>0</v>
      </c>
      <c r="BU168">
        <v>0</v>
      </c>
      <c r="BV168">
        <v>0</v>
      </c>
    </row>
    <row r="169" spans="1:74" x14ac:dyDescent="0.25">
      <c r="A169" s="16" t="s">
        <v>99</v>
      </c>
      <c r="B169" t="s">
        <v>27</v>
      </c>
      <c r="C169">
        <v>12</v>
      </c>
      <c r="D169">
        <v>12</v>
      </c>
      <c r="F169" s="17">
        <v>45545.404328703698</v>
      </c>
      <c r="G169" s="27">
        <v>6118.18</v>
      </c>
      <c r="H169">
        <v>7.2</v>
      </c>
      <c r="I169">
        <v>0.5</v>
      </c>
      <c r="J169">
        <v>34</v>
      </c>
      <c r="L169" s="15">
        <v>5741.085</v>
      </c>
      <c r="M169" s="15">
        <v>18.899999999999999</v>
      </c>
      <c r="N169" s="15">
        <v>16.3</v>
      </c>
      <c r="O169" s="15">
        <v>86.2</v>
      </c>
      <c r="P169" s="15">
        <v>19</v>
      </c>
      <c r="Q169" s="15">
        <v>451</v>
      </c>
      <c r="R169" s="15">
        <v>2.31</v>
      </c>
      <c r="S169" s="15">
        <v>0.21</v>
      </c>
      <c r="T169" s="15">
        <v>2.1800000000000002</v>
      </c>
      <c r="U169" s="15"/>
      <c r="V169" s="15">
        <v>1.19</v>
      </c>
      <c r="W169" s="15">
        <v>3.68</v>
      </c>
      <c r="X169" s="15">
        <v>1.96</v>
      </c>
      <c r="Y169" s="15">
        <v>7.27</v>
      </c>
      <c r="Z169" s="15">
        <v>112.6</v>
      </c>
      <c r="AA169" s="15">
        <v>20.9</v>
      </c>
      <c r="AB169" s="15">
        <v>1.23</v>
      </c>
      <c r="AC169" s="15">
        <v>182.1</v>
      </c>
      <c r="AD169" s="15">
        <v>50.4</v>
      </c>
      <c r="AE169" s="15">
        <v>98.7</v>
      </c>
      <c r="AF169" s="15">
        <v>16.899999999999999</v>
      </c>
      <c r="AG169" s="18">
        <v>7.3120000000000003</v>
      </c>
      <c r="AH169" s="15">
        <v>299</v>
      </c>
      <c r="AI169" s="15">
        <v>49.3</v>
      </c>
      <c r="AJ169" s="15">
        <v>7.3</v>
      </c>
      <c r="AK169" s="15">
        <f t="shared" si="6"/>
        <v>0.49299999999999999</v>
      </c>
      <c r="AL169" s="15">
        <v>34</v>
      </c>
      <c r="AM169" s="15">
        <v>43.09</v>
      </c>
      <c r="AN169" s="15">
        <v>21.45</v>
      </c>
      <c r="AO169" s="15">
        <f>AO145+3.82</f>
        <v>10.58</v>
      </c>
      <c r="AP169" s="15">
        <f t="shared" si="7"/>
        <v>0</v>
      </c>
      <c r="AQ169" s="15">
        <v>299.92</v>
      </c>
      <c r="AR169" s="15">
        <v>91.22</v>
      </c>
      <c r="AS169" s="15">
        <v>332</v>
      </c>
      <c r="AT169" s="15">
        <v>1913</v>
      </c>
      <c r="AU169" s="15">
        <v>47.420000000000073</v>
      </c>
      <c r="AV169" s="15">
        <f t="shared" si="8"/>
        <v>1865.58</v>
      </c>
      <c r="AW169" s="15">
        <f t="shared" si="9"/>
        <v>26.870000000000005</v>
      </c>
      <c r="AX169" s="15">
        <f t="shared" si="9"/>
        <v>11.510000000000005</v>
      </c>
      <c r="AY169" s="15">
        <f t="shared" si="10"/>
        <v>30</v>
      </c>
      <c r="AZ169" s="39">
        <v>15</v>
      </c>
      <c r="BA169" s="39">
        <v>1700</v>
      </c>
      <c r="BB169" s="15">
        <v>34</v>
      </c>
      <c r="BC169" s="15">
        <v>7.2</v>
      </c>
      <c r="BD169" s="15">
        <v>50</v>
      </c>
      <c r="BE169" s="38">
        <v>2.9999999999999997E-4</v>
      </c>
      <c r="BI169">
        <v>9.6394614000000003E-3</v>
      </c>
      <c r="BJ169">
        <v>13.880824416000001</v>
      </c>
      <c r="BK169">
        <v>1971.2600000000002</v>
      </c>
      <c r="BL169">
        <v>0.15214634294816512</v>
      </c>
      <c r="BM169">
        <v>0.17642352941176473</v>
      </c>
      <c r="BN169">
        <v>0</v>
      </c>
      <c r="BO169">
        <v>0</v>
      </c>
      <c r="BP169" t="s">
        <v>83</v>
      </c>
      <c r="BQ169" t="s">
        <v>83</v>
      </c>
      <c r="BR169">
        <v>0</v>
      </c>
      <c r="BS169" t="s">
        <v>83</v>
      </c>
      <c r="BT169">
        <v>0</v>
      </c>
      <c r="BU169">
        <v>0</v>
      </c>
      <c r="BV169">
        <v>0</v>
      </c>
    </row>
    <row r="170" spans="1:74" x14ac:dyDescent="0.25">
      <c r="A170" s="16" t="s">
        <v>100</v>
      </c>
      <c r="B170" t="s">
        <v>27</v>
      </c>
      <c r="C170">
        <v>12</v>
      </c>
      <c r="D170">
        <v>12</v>
      </c>
      <c r="E170" t="s">
        <v>106</v>
      </c>
      <c r="F170" s="17">
        <v>45545.408437500002</v>
      </c>
      <c r="G170" s="27">
        <v>6118.18</v>
      </c>
      <c r="H170">
        <v>7.2</v>
      </c>
      <c r="I170">
        <v>0.5</v>
      </c>
      <c r="J170">
        <v>34</v>
      </c>
      <c r="L170" s="15">
        <v>2610.5250000000001</v>
      </c>
      <c r="M170" s="15">
        <v>19.3</v>
      </c>
      <c r="N170" s="15">
        <v>0.56399999999999995</v>
      </c>
      <c r="O170" s="15">
        <v>2.92</v>
      </c>
      <c r="P170" s="15">
        <v>13.5</v>
      </c>
      <c r="Q170" s="15">
        <v>882</v>
      </c>
      <c r="R170" s="15"/>
      <c r="S170" s="15">
        <v>0.24</v>
      </c>
      <c r="T170" s="15">
        <v>7.21</v>
      </c>
      <c r="U170" s="15"/>
      <c r="V170" s="15">
        <v>1.36</v>
      </c>
      <c r="W170" s="15">
        <v>4.67</v>
      </c>
      <c r="X170" s="24">
        <v>18.70524</v>
      </c>
      <c r="Y170" s="15">
        <v>7.2850000000000001</v>
      </c>
      <c r="Z170" s="15">
        <v>2.4</v>
      </c>
      <c r="AA170" s="15">
        <v>120</v>
      </c>
      <c r="AB170" s="15">
        <v>7.15</v>
      </c>
      <c r="AC170" s="15">
        <v>311.39999999999998</v>
      </c>
      <c r="AD170" s="15">
        <v>1.1000000000000001</v>
      </c>
      <c r="AE170" s="15">
        <v>2.1</v>
      </c>
      <c r="AF170" s="15">
        <v>102.7</v>
      </c>
      <c r="AG170" s="18">
        <v>7.327</v>
      </c>
      <c r="AH170" s="15">
        <v>300</v>
      </c>
      <c r="AI170" s="15">
        <v>70</v>
      </c>
      <c r="AJ170" s="15">
        <v>7.3</v>
      </c>
      <c r="AK170" s="15">
        <f t="shared" si="6"/>
        <v>0.7</v>
      </c>
      <c r="AL170" s="15">
        <v>34</v>
      </c>
      <c r="AM170" s="15">
        <v>150</v>
      </c>
      <c r="AN170" s="15">
        <v>11.11</v>
      </c>
      <c r="AO170" s="15">
        <f>AO146+3.67</f>
        <v>10.11</v>
      </c>
      <c r="AP170" s="15">
        <f t="shared" si="7"/>
        <v>0</v>
      </c>
      <c r="AQ170" s="15">
        <v>313.83999999999997</v>
      </c>
      <c r="AR170" s="15">
        <v>94.46</v>
      </c>
      <c r="AS170" s="15">
        <v>290</v>
      </c>
      <c r="AT170" s="15">
        <v>2143</v>
      </c>
      <c r="AU170" s="15">
        <v>133.55999999999995</v>
      </c>
      <c r="AV170" s="15">
        <f t="shared" si="8"/>
        <v>2009.44</v>
      </c>
      <c r="AW170" s="15">
        <f t="shared" si="9"/>
        <v>3.7699999999999818</v>
      </c>
      <c r="AX170" s="15">
        <f t="shared" si="9"/>
        <v>0</v>
      </c>
      <c r="AY170" s="15">
        <f t="shared" si="10"/>
        <v>5</v>
      </c>
      <c r="AZ170" s="39">
        <v>15</v>
      </c>
      <c r="BA170" s="39">
        <v>1700</v>
      </c>
      <c r="BB170" s="15">
        <v>34</v>
      </c>
      <c r="BC170" s="15">
        <v>7.2</v>
      </c>
      <c r="BD170" s="15">
        <v>50</v>
      </c>
      <c r="BE170" s="38">
        <v>2.9999999999999997E-4</v>
      </c>
      <c r="BI170">
        <v>3.5270078399999991E-4</v>
      </c>
      <c r="BJ170">
        <v>0.50788912895999982</v>
      </c>
      <c r="BK170">
        <v>2084.52</v>
      </c>
      <c r="BL170">
        <v>0.15055744248076294</v>
      </c>
      <c r="BM170">
        <v>0.18461176470588234</v>
      </c>
      <c r="BN170">
        <v>0</v>
      </c>
      <c r="BO170">
        <v>0</v>
      </c>
      <c r="BP170" t="s">
        <v>83</v>
      </c>
      <c r="BQ170" t="s">
        <v>83</v>
      </c>
      <c r="BR170">
        <v>0</v>
      </c>
      <c r="BS170" t="s">
        <v>83</v>
      </c>
      <c r="BT170">
        <v>0</v>
      </c>
      <c r="BU170">
        <v>0</v>
      </c>
      <c r="BV170">
        <v>0</v>
      </c>
    </row>
    <row r="171" spans="1:74" ht="15.75" thickBot="1" x14ac:dyDescent="0.3">
      <c r="A171" s="19" t="s">
        <v>101</v>
      </c>
      <c r="B171" s="20" t="s">
        <v>27</v>
      </c>
      <c r="C171" s="20">
        <v>12</v>
      </c>
      <c r="D171" s="20">
        <v>12</v>
      </c>
      <c r="E171" s="20"/>
      <c r="F171" s="21">
        <v>45545.448750000003</v>
      </c>
      <c r="G171" s="28">
        <v>6118.18</v>
      </c>
      <c r="H171">
        <v>7.2</v>
      </c>
      <c r="I171">
        <v>0.5</v>
      </c>
      <c r="J171">
        <v>34</v>
      </c>
      <c r="L171" s="22">
        <v>6376.7849999999999</v>
      </c>
      <c r="M171" s="22">
        <v>20.100000000000001</v>
      </c>
      <c r="N171" s="22">
        <v>17.8</v>
      </c>
      <c r="O171" s="22">
        <v>88.4</v>
      </c>
      <c r="P171" s="22">
        <v>17.7</v>
      </c>
      <c r="Q171" s="22">
        <v>368</v>
      </c>
      <c r="R171" s="22">
        <v>1.76</v>
      </c>
      <c r="S171" s="22">
        <v>0.19</v>
      </c>
      <c r="T171" s="22">
        <v>1.2</v>
      </c>
      <c r="U171" s="22"/>
      <c r="V171" s="22">
        <v>0.16</v>
      </c>
      <c r="W171" s="22">
        <v>0.14000000000000001</v>
      </c>
      <c r="X171" s="22">
        <v>0.36</v>
      </c>
      <c r="Y171" s="22">
        <v>7.25</v>
      </c>
      <c r="Z171" s="22">
        <v>111.1</v>
      </c>
      <c r="AA171" s="22">
        <v>30.8</v>
      </c>
      <c r="AB171" s="22">
        <v>1.76</v>
      </c>
      <c r="AC171" s="22">
        <v>161.4</v>
      </c>
      <c r="AD171" s="22">
        <v>47.4</v>
      </c>
      <c r="AE171" s="22">
        <v>97.4</v>
      </c>
      <c r="AF171" s="22">
        <v>24.9</v>
      </c>
      <c r="AG171" s="23">
        <v>7.2910000000000004</v>
      </c>
      <c r="AH171" s="15">
        <v>301</v>
      </c>
      <c r="AI171" s="15">
        <v>50.9</v>
      </c>
      <c r="AJ171" s="15">
        <v>7.3</v>
      </c>
      <c r="AK171" s="15">
        <f t="shared" si="6"/>
        <v>0.50900000000000001</v>
      </c>
      <c r="AL171" s="15">
        <v>34</v>
      </c>
      <c r="AM171" s="15">
        <v>28.271000000000001</v>
      </c>
      <c r="AN171" s="15">
        <v>48.545000000000002</v>
      </c>
      <c r="AO171" s="15">
        <f>AO147+3.73</f>
        <v>10.25</v>
      </c>
      <c r="AP171" s="15">
        <f t="shared" si="7"/>
        <v>0</v>
      </c>
      <c r="AQ171" s="15">
        <v>232.6</v>
      </c>
      <c r="AR171" s="15">
        <v>95.38</v>
      </c>
      <c r="AS171" s="15">
        <v>424</v>
      </c>
      <c r="AT171" s="15">
        <v>1824</v>
      </c>
      <c r="AU171" s="15">
        <v>51.660000000000082</v>
      </c>
      <c r="AV171" s="15">
        <f t="shared" si="8"/>
        <v>1772.34</v>
      </c>
      <c r="AW171" s="15">
        <f t="shared" si="9"/>
        <v>12.409999999999997</v>
      </c>
      <c r="AX171" s="15">
        <f t="shared" si="9"/>
        <v>13.159999999999997</v>
      </c>
      <c r="AY171" s="15">
        <f t="shared" si="10"/>
        <v>14</v>
      </c>
      <c r="AZ171" s="39">
        <v>15</v>
      </c>
      <c r="BA171" s="39">
        <v>1700</v>
      </c>
      <c r="BB171" s="15">
        <v>34</v>
      </c>
      <c r="BC171" s="15">
        <v>7.2</v>
      </c>
      <c r="BD171" s="15">
        <v>50</v>
      </c>
      <c r="BE171" s="38">
        <v>2.9999999999999997E-4</v>
      </c>
      <c r="BI171">
        <v>1.025304564E-2</v>
      </c>
      <c r="BJ171">
        <v>14.7643857216</v>
      </c>
      <c r="BK171">
        <v>1920.0459999999998</v>
      </c>
      <c r="BL171">
        <v>0.12114293095061265</v>
      </c>
      <c r="BM171">
        <v>0.1368235294117647</v>
      </c>
      <c r="BN171">
        <v>0</v>
      </c>
      <c r="BO171">
        <v>0</v>
      </c>
      <c r="BP171" t="s">
        <v>83</v>
      </c>
      <c r="BQ171" t="s">
        <v>83</v>
      </c>
      <c r="BR171">
        <v>8.6402069999999984</v>
      </c>
      <c r="BS171" t="s">
        <v>83</v>
      </c>
      <c r="BT171">
        <v>0</v>
      </c>
      <c r="BU171">
        <v>0</v>
      </c>
      <c r="BV171">
        <v>8.6402069999999984</v>
      </c>
    </row>
  </sheetData>
  <autoFilter ref="A2:BV171" xr:uid="{A841E7D6-1405-4AC8-A599-0CE4601ECD66}">
    <filterColumn colId="0">
      <filters>
        <filter val="MR24-030-801"/>
        <filter val="MR24-030-802"/>
        <filter val="MR24-030-803"/>
        <filter val="MR24-030-804"/>
        <filter val="MR24-030-805"/>
        <filter val="MR24-030-806"/>
        <filter val="MR24-045-801"/>
        <filter val="MR24-045-802"/>
        <filter val="MR24-045-803"/>
        <filter val="MR24-045-804"/>
        <filter val="MR24-045-805"/>
        <filter val="MR24-045-806"/>
      </filters>
    </filterColumn>
  </autoFilter>
  <mergeCells count="7">
    <mergeCell ref="BT1:BV1"/>
    <mergeCell ref="A1:F1"/>
    <mergeCell ref="G1:AG1"/>
    <mergeCell ref="AH1:AZ1"/>
    <mergeCell ref="BA1:BE1"/>
    <mergeCell ref="BF1:BH1"/>
    <mergeCell ref="BI1:BS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736866-79EE-4C47-B374-7C3565856A36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34d8c884-fe7e-4d4f-a833-b92a2823f74b"/>
    <ds:schemaRef ds:uri="http://purl.org/dc/terms/"/>
    <ds:schemaRef ds:uri="http://schemas.microsoft.com/office/infopath/2007/PartnerControls"/>
    <ds:schemaRef ds:uri="a198008e-c7f6-4ed0-9865-26ace3c97b5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Yu Luo</cp:lastModifiedBy>
  <cp:revision/>
  <dcterms:created xsi:type="dcterms:W3CDTF">2024-02-21T20:31:27Z</dcterms:created>
  <dcterms:modified xsi:type="dcterms:W3CDTF">2024-09-24T12:05:21Z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