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teams.gsk.com/sites/BiopharmModelPredictiveControl/Shared Documents/General/data/AR24-072-SAM-MPC-1kL/"/>
    </mc:Choice>
  </mc:AlternateContent>
  <xr:revisionPtr revIDLastSave="2799" documentId="14_{29998BAB-B97E-4D42-B36C-5857DA37A7C9}" xr6:coauthVersionLast="47" xr6:coauthVersionMax="47" xr10:uidLastSave="{5BC9C39A-EF58-429A-A5B1-4F41E22B258F}"/>
  <bookViews>
    <workbookView xWindow="-108" yWindow="-108" windowWidth="23256" windowHeight="12576" xr2:uid="{00000000-000D-0000-FFFF-FFFF00000000}"/>
  </bookViews>
  <sheets>
    <sheet name="MasterDataTable" sheetId="1" r:id="rId1"/>
  </sheets>
  <definedNames>
    <definedName name="_xlnm._FilterDatabase" localSheetId="0" hidden="1">MasterDataTable!$A$2:$BP$335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75" i="1" l="1"/>
  <c r="AT57" i="1" l="1"/>
  <c r="BM117" i="1" l="1"/>
  <c r="BM116" i="1"/>
  <c r="BM115" i="1"/>
  <c r="BM114" i="1"/>
  <c r="BM111" i="1"/>
  <c r="BM108" i="1"/>
  <c r="BM107" i="1"/>
  <c r="BM106" i="1"/>
  <c r="BM105" i="1"/>
  <c r="BM102" i="1"/>
  <c r="BM99" i="1"/>
  <c r="BM98" i="1"/>
  <c r="BM97" i="1"/>
  <c r="BM96" i="1"/>
  <c r="BM93" i="1"/>
  <c r="BM90" i="1"/>
  <c r="BM89" i="1"/>
  <c r="BM88" i="1"/>
  <c r="BM87" i="1"/>
  <c r="BM84" i="1"/>
  <c r="BM81" i="1"/>
  <c r="BM80" i="1"/>
  <c r="BM79" i="1"/>
  <c r="BM78" i="1"/>
  <c r="BM75" i="1"/>
  <c r="BM72" i="1"/>
  <c r="BM71" i="1"/>
  <c r="BM70" i="1"/>
  <c r="BM69" i="1"/>
  <c r="BM66" i="1"/>
  <c r="BM63" i="1"/>
  <c r="BM62" i="1"/>
  <c r="BM61" i="1"/>
  <c r="BM60" i="1"/>
  <c r="BM57" i="1"/>
  <c r="BM54" i="1"/>
  <c r="BM53" i="1"/>
  <c r="BM52" i="1"/>
  <c r="BM51" i="1"/>
  <c r="BM48" i="1"/>
  <c r="BM45" i="1"/>
  <c r="BM44" i="1"/>
  <c r="BM43" i="1"/>
  <c r="BM42" i="1"/>
  <c r="BM39" i="1"/>
  <c r="BM36" i="1"/>
  <c r="BM35" i="1"/>
  <c r="BM34" i="1"/>
  <c r="BM33" i="1"/>
  <c r="BM30" i="1"/>
  <c r="BM27" i="1"/>
  <c r="BM26" i="1"/>
  <c r="BM25" i="1"/>
  <c r="BM24" i="1"/>
  <c r="BM21" i="1"/>
  <c r="BM18" i="1"/>
  <c r="BM17" i="1"/>
  <c r="BM16" i="1"/>
  <c r="BM15" i="1"/>
  <c r="BM12" i="1"/>
  <c r="BM9" i="1"/>
  <c r="BM8" i="1"/>
  <c r="BM7" i="1"/>
  <c r="BM6" i="1"/>
  <c r="BM3" i="1"/>
  <c r="BL119" i="1"/>
  <c r="BL118" i="1"/>
  <c r="BL115" i="1"/>
  <c r="BL114" i="1"/>
  <c r="BL113" i="1"/>
  <c r="BL112" i="1"/>
  <c r="BL110" i="1"/>
  <c r="BL109" i="1"/>
  <c r="BL106" i="1"/>
  <c r="BL105" i="1"/>
  <c r="BL104" i="1"/>
  <c r="BL103" i="1"/>
  <c r="BL101" i="1"/>
  <c r="BL100" i="1"/>
  <c r="BL97" i="1"/>
  <c r="BL96" i="1"/>
  <c r="BL95" i="1"/>
  <c r="BL94" i="1"/>
  <c r="BL92" i="1"/>
  <c r="BL91" i="1"/>
  <c r="BL88" i="1"/>
  <c r="BL87" i="1"/>
  <c r="BL86" i="1"/>
  <c r="BL85" i="1"/>
  <c r="BL83" i="1"/>
  <c r="BL82" i="1"/>
  <c r="BL79" i="1"/>
  <c r="BL78" i="1"/>
  <c r="BL77" i="1"/>
  <c r="BL76" i="1"/>
  <c r="BL74" i="1"/>
  <c r="BL73" i="1"/>
  <c r="BL70" i="1"/>
  <c r="BL69" i="1"/>
  <c r="BL68" i="1"/>
  <c r="BL67" i="1"/>
  <c r="BL65" i="1"/>
  <c r="BL64" i="1"/>
  <c r="BL61" i="1"/>
  <c r="BL60" i="1"/>
  <c r="BL59" i="1"/>
  <c r="BL58" i="1"/>
  <c r="BL56" i="1"/>
  <c r="BL55" i="1"/>
  <c r="BL52" i="1"/>
  <c r="BL51" i="1"/>
  <c r="BL50" i="1"/>
  <c r="BL49" i="1"/>
  <c r="BL47" i="1"/>
  <c r="BL46" i="1"/>
  <c r="BL43" i="1"/>
  <c r="BL42" i="1"/>
  <c r="BL41" i="1"/>
  <c r="BL40" i="1"/>
  <c r="BL38" i="1"/>
  <c r="BL37" i="1"/>
  <c r="BL34" i="1"/>
  <c r="BL33" i="1"/>
  <c r="BL32" i="1"/>
  <c r="BL31" i="1"/>
  <c r="BL29" i="1"/>
  <c r="BL28" i="1"/>
  <c r="BL25" i="1"/>
  <c r="BL24" i="1"/>
  <c r="BL23" i="1"/>
  <c r="BL22" i="1"/>
  <c r="BL20" i="1"/>
  <c r="BL19" i="1"/>
  <c r="BL16" i="1"/>
  <c r="BL15" i="1"/>
  <c r="BL14" i="1"/>
  <c r="BL13" i="1"/>
  <c r="BL11" i="1"/>
  <c r="BL10" i="1"/>
  <c r="BL7" i="1"/>
  <c r="BL6" i="1"/>
  <c r="BL5" i="1"/>
  <c r="BL4" i="1"/>
  <c r="BK119" i="1"/>
  <c r="BK118" i="1"/>
  <c r="BK117" i="1"/>
  <c r="BK116" i="1"/>
  <c r="BK113" i="1"/>
  <c r="BK112" i="1"/>
  <c r="BK111" i="1"/>
  <c r="BK110" i="1"/>
  <c r="BK109" i="1"/>
  <c r="BK108" i="1"/>
  <c r="BK107" i="1"/>
  <c r="BK104" i="1"/>
  <c r="BK103" i="1"/>
  <c r="BK102" i="1"/>
  <c r="BK101" i="1"/>
  <c r="BK100" i="1"/>
  <c r="BK99" i="1"/>
  <c r="BK98" i="1"/>
  <c r="BK95" i="1"/>
  <c r="BK94" i="1"/>
  <c r="BK93" i="1"/>
  <c r="BK92" i="1"/>
  <c r="BK91" i="1"/>
  <c r="BK90" i="1"/>
  <c r="BK89" i="1"/>
  <c r="BK86" i="1"/>
  <c r="BK85" i="1"/>
  <c r="BK84" i="1"/>
  <c r="BK83" i="1"/>
  <c r="BK82" i="1"/>
  <c r="BK81" i="1"/>
  <c r="BK80" i="1"/>
  <c r="BK77" i="1"/>
  <c r="BK76" i="1"/>
  <c r="BK75" i="1"/>
  <c r="BK74" i="1"/>
  <c r="BK73" i="1"/>
  <c r="BK72" i="1"/>
  <c r="BK71" i="1"/>
  <c r="BK68" i="1"/>
  <c r="BK67" i="1"/>
  <c r="BK66" i="1"/>
  <c r="BK65" i="1"/>
  <c r="BK64" i="1"/>
  <c r="BK63" i="1"/>
  <c r="BK62" i="1"/>
  <c r="BK59" i="1"/>
  <c r="BK58" i="1"/>
  <c r="BK57" i="1"/>
  <c r="BK56" i="1"/>
  <c r="BK55" i="1"/>
  <c r="BK54" i="1"/>
  <c r="BK53" i="1"/>
  <c r="BK50" i="1"/>
  <c r="BK49" i="1"/>
  <c r="BK48" i="1"/>
  <c r="BK47" i="1"/>
  <c r="BK46" i="1"/>
  <c r="BK45" i="1"/>
  <c r="BK44" i="1"/>
  <c r="BK41" i="1"/>
  <c r="BK40" i="1"/>
  <c r="BK39" i="1"/>
  <c r="BK38" i="1"/>
  <c r="BK37" i="1"/>
  <c r="BK36" i="1"/>
  <c r="BK35" i="1"/>
  <c r="BK32" i="1"/>
  <c r="BK31" i="1"/>
  <c r="BK30" i="1"/>
  <c r="BK29" i="1"/>
  <c r="BK28" i="1"/>
  <c r="BK27" i="1"/>
  <c r="BK26" i="1"/>
  <c r="BK23" i="1"/>
  <c r="BK22" i="1"/>
  <c r="BK21" i="1"/>
  <c r="BK20" i="1"/>
  <c r="BK19" i="1"/>
  <c r="BK18" i="1"/>
  <c r="BK17" i="1"/>
  <c r="BK14" i="1"/>
  <c r="BK13" i="1"/>
  <c r="BK12" i="1"/>
  <c r="BK11" i="1"/>
  <c r="BK10" i="1"/>
  <c r="BK9" i="1"/>
  <c r="BK8" i="1"/>
  <c r="BD3" i="1"/>
  <c r="BG6" i="1"/>
  <c r="BI6" i="1"/>
  <c r="BH3" i="1"/>
  <c r="BG3" i="1"/>
  <c r="BG4" i="1"/>
  <c r="BG5" i="1"/>
  <c r="BM5" i="1" s="1"/>
  <c r="BG7" i="1"/>
  <c r="BK7" i="1" s="1"/>
  <c r="BG8" i="1"/>
  <c r="BG9" i="1"/>
  <c r="BG10" i="1"/>
  <c r="BM10" i="1" s="1"/>
  <c r="BG11" i="1"/>
  <c r="BM11" i="1" s="1"/>
  <c r="BG12" i="1"/>
  <c r="BG13" i="1"/>
  <c r="BM13" i="1" s="1"/>
  <c r="BG14" i="1"/>
  <c r="BM14" i="1" s="1"/>
  <c r="BG15" i="1"/>
  <c r="BK15" i="1" s="1"/>
  <c r="BG16" i="1"/>
  <c r="BK16" i="1" s="1"/>
  <c r="BG17" i="1"/>
  <c r="BG18" i="1"/>
  <c r="BH18" i="1" s="1"/>
  <c r="BG19" i="1"/>
  <c r="BN19" i="1" s="1"/>
  <c r="BR19" i="1" s="1"/>
  <c r="BG20" i="1"/>
  <c r="BM20" i="1" s="1"/>
  <c r="BG21" i="1"/>
  <c r="BG22" i="1"/>
  <c r="BN22" i="1" s="1"/>
  <c r="BR22" i="1" s="1"/>
  <c r="BG23" i="1"/>
  <c r="BN23" i="1" s="1"/>
  <c r="BG24" i="1"/>
  <c r="BK24" i="1" s="1"/>
  <c r="BG25" i="1"/>
  <c r="BN25" i="1" s="1"/>
  <c r="BG26" i="1"/>
  <c r="BG27" i="1"/>
  <c r="BG28" i="1"/>
  <c r="BE28" i="1" s="1"/>
  <c r="BF28" i="1" s="1"/>
  <c r="BG29" i="1"/>
  <c r="BM29" i="1" s="1"/>
  <c r="BG30" i="1"/>
  <c r="BG31" i="1"/>
  <c r="BM31" i="1" s="1"/>
  <c r="BG32" i="1"/>
  <c r="BM32" i="1" s="1"/>
  <c r="BG33" i="1"/>
  <c r="BK33" i="1" s="1"/>
  <c r="BG34" i="1"/>
  <c r="BK34" i="1" s="1"/>
  <c r="BG35" i="1"/>
  <c r="BG36" i="1"/>
  <c r="BG37" i="1"/>
  <c r="BE37" i="1" s="1"/>
  <c r="BF37" i="1" s="1"/>
  <c r="BG38" i="1"/>
  <c r="BM38" i="1" s="1"/>
  <c r="BG39" i="1"/>
  <c r="BG40" i="1"/>
  <c r="BN40" i="1" s="1"/>
  <c r="BR40" i="1" s="1"/>
  <c r="BG41" i="1"/>
  <c r="BM41" i="1" s="1"/>
  <c r="BG42" i="1"/>
  <c r="BK42" i="1" s="1"/>
  <c r="BG43" i="1"/>
  <c r="BE43" i="1" s="1"/>
  <c r="BF43" i="1" s="1"/>
  <c r="BG44" i="1"/>
  <c r="BG45" i="1"/>
  <c r="BG46" i="1"/>
  <c r="BE46" i="1" s="1"/>
  <c r="BF46" i="1" s="1"/>
  <c r="BG47" i="1"/>
  <c r="BN47" i="1" s="1"/>
  <c r="BR47" i="1" s="1"/>
  <c r="BG48" i="1"/>
  <c r="BG49" i="1"/>
  <c r="BM49" i="1" s="1"/>
  <c r="BG50" i="1"/>
  <c r="BN50" i="1" s="1"/>
  <c r="BR50" i="1" s="1"/>
  <c r="BG51" i="1"/>
  <c r="BN51" i="1" s="1"/>
  <c r="BR51" i="1" s="1"/>
  <c r="BG52" i="1"/>
  <c r="BN52" i="1" s="1"/>
  <c r="BR52" i="1" s="1"/>
  <c r="BG53" i="1"/>
  <c r="BG54" i="1"/>
  <c r="BE54" i="1" s="1"/>
  <c r="BF54" i="1" s="1"/>
  <c r="BG55" i="1"/>
  <c r="BE55" i="1" s="1"/>
  <c r="BF55" i="1" s="1"/>
  <c r="BG56" i="1"/>
  <c r="BM56" i="1" s="1"/>
  <c r="BG57" i="1"/>
  <c r="BG58" i="1"/>
  <c r="BM58" i="1" s="1"/>
  <c r="BG59" i="1"/>
  <c r="BE59" i="1" s="1"/>
  <c r="BF59" i="1" s="1"/>
  <c r="BG60" i="1"/>
  <c r="BK60" i="1" s="1"/>
  <c r="BG61" i="1"/>
  <c r="BH61" i="1" s="1"/>
  <c r="BG62" i="1"/>
  <c r="BG63" i="1"/>
  <c r="BG64" i="1"/>
  <c r="BM64" i="1" s="1"/>
  <c r="BG65" i="1"/>
  <c r="BM65" i="1" s="1"/>
  <c r="BG66" i="1"/>
  <c r="BG67" i="1"/>
  <c r="BH67" i="1" s="1"/>
  <c r="BG68" i="1"/>
  <c r="BH68" i="1" s="1"/>
  <c r="BG69" i="1"/>
  <c r="BK69" i="1" s="1"/>
  <c r="BG70" i="1"/>
  <c r="BK70" i="1" s="1"/>
  <c r="BG71" i="1"/>
  <c r="BG72" i="1"/>
  <c r="BG73" i="1"/>
  <c r="BM73" i="1" s="1"/>
  <c r="BG74" i="1"/>
  <c r="BG75" i="1"/>
  <c r="BE75" i="1" s="1"/>
  <c r="BF75" i="1" s="1"/>
  <c r="BG76" i="1"/>
  <c r="BM76" i="1" s="1"/>
  <c r="BG77" i="1"/>
  <c r="BH77" i="1" s="1"/>
  <c r="BG78" i="1"/>
  <c r="BK78" i="1" s="1"/>
  <c r="BP78" i="1" s="1"/>
  <c r="BG79" i="1"/>
  <c r="BH79" i="1" s="1"/>
  <c r="BG80" i="1"/>
  <c r="BG81" i="1"/>
  <c r="BH81" i="1" s="1"/>
  <c r="BG82" i="1"/>
  <c r="BM82" i="1" s="1"/>
  <c r="BG83" i="1"/>
  <c r="BN83" i="1" s="1"/>
  <c r="BR83" i="1" s="1"/>
  <c r="BG84" i="1"/>
  <c r="BL84" i="1" s="1"/>
  <c r="BG85" i="1"/>
  <c r="BM85" i="1" s="1"/>
  <c r="BG86" i="1"/>
  <c r="BH86" i="1" s="1"/>
  <c r="BG87" i="1"/>
  <c r="BH87" i="1" s="1"/>
  <c r="BG88" i="1"/>
  <c r="BH88" i="1" s="1"/>
  <c r="BG89" i="1"/>
  <c r="BG90" i="1"/>
  <c r="BG91" i="1"/>
  <c r="BM91" i="1" s="1"/>
  <c r="BG92" i="1"/>
  <c r="BM92" i="1" s="1"/>
  <c r="BG93" i="1"/>
  <c r="BG94" i="1"/>
  <c r="BM94" i="1" s="1"/>
  <c r="BG95" i="1"/>
  <c r="BM95" i="1" s="1"/>
  <c r="BG96" i="1"/>
  <c r="BK96" i="1" s="1"/>
  <c r="BG97" i="1"/>
  <c r="BK97" i="1" s="1"/>
  <c r="BG98" i="1"/>
  <c r="BL98" i="1" s="1"/>
  <c r="BG99" i="1"/>
  <c r="BG100" i="1"/>
  <c r="BG101" i="1"/>
  <c r="BM101" i="1" s="1"/>
  <c r="BG102" i="1"/>
  <c r="BG103" i="1"/>
  <c r="BG104" i="1"/>
  <c r="BM104" i="1" s="1"/>
  <c r="BG105" i="1"/>
  <c r="BK105" i="1" s="1"/>
  <c r="BG106" i="1"/>
  <c r="BG107" i="1"/>
  <c r="BG108" i="1"/>
  <c r="BG109" i="1"/>
  <c r="BM109" i="1" s="1"/>
  <c r="BG110" i="1"/>
  <c r="BM110" i="1" s="1"/>
  <c r="BG111" i="1"/>
  <c r="BL111" i="1" s="1"/>
  <c r="BG112" i="1"/>
  <c r="BG113" i="1"/>
  <c r="BM113" i="1" s="1"/>
  <c r="BG114" i="1"/>
  <c r="BK114" i="1" s="1"/>
  <c r="BG115" i="1"/>
  <c r="BK115" i="1" s="1"/>
  <c r="BG116" i="1"/>
  <c r="BG117" i="1"/>
  <c r="BG118" i="1"/>
  <c r="BM118" i="1" s="1"/>
  <c r="BG119" i="1"/>
  <c r="BN119" i="1" s="1"/>
  <c r="BR119" i="1" s="1"/>
  <c r="BN31" i="1"/>
  <c r="BR31" i="1" s="1"/>
  <c r="BO4" i="1"/>
  <c r="BO5" i="1"/>
  <c r="BO6" i="1"/>
  <c r="BR6" i="1" s="1"/>
  <c r="BO7" i="1"/>
  <c r="BR7" i="1" s="1"/>
  <c r="BO10" i="1"/>
  <c r="BO11" i="1"/>
  <c r="BO13" i="1"/>
  <c r="BO14" i="1"/>
  <c r="BO15" i="1"/>
  <c r="BO16" i="1"/>
  <c r="BO19" i="1"/>
  <c r="BO20" i="1"/>
  <c r="BO22" i="1"/>
  <c r="BO23" i="1"/>
  <c r="BO24" i="1"/>
  <c r="BO25" i="1"/>
  <c r="BO28" i="1"/>
  <c r="BO29" i="1"/>
  <c r="BO31" i="1"/>
  <c r="BO32" i="1"/>
  <c r="BO33" i="1"/>
  <c r="BO34" i="1"/>
  <c r="BO37" i="1"/>
  <c r="BO38" i="1"/>
  <c r="BO40" i="1"/>
  <c r="BO41" i="1"/>
  <c r="BO42" i="1"/>
  <c r="BO43" i="1"/>
  <c r="BO46" i="1"/>
  <c r="BO47" i="1"/>
  <c r="BO49" i="1"/>
  <c r="BO50" i="1"/>
  <c r="BO51" i="1"/>
  <c r="BO52" i="1"/>
  <c r="BO55" i="1"/>
  <c r="BO56" i="1"/>
  <c r="BO58" i="1"/>
  <c r="BO59" i="1"/>
  <c r="BO60" i="1"/>
  <c r="BO61" i="1"/>
  <c r="BO64" i="1"/>
  <c r="BO65" i="1"/>
  <c r="BO67" i="1"/>
  <c r="BO68" i="1"/>
  <c r="BO69" i="1"/>
  <c r="BO70" i="1"/>
  <c r="BO73" i="1"/>
  <c r="BO74" i="1"/>
  <c r="BO76" i="1"/>
  <c r="BO77" i="1"/>
  <c r="BO78" i="1"/>
  <c r="BO79" i="1"/>
  <c r="BO82" i="1"/>
  <c r="BO83" i="1"/>
  <c r="BO85" i="1"/>
  <c r="BO86" i="1"/>
  <c r="BO87" i="1"/>
  <c r="BO88" i="1"/>
  <c r="BO91" i="1"/>
  <c r="BO92" i="1"/>
  <c r="BO94" i="1"/>
  <c r="BO95" i="1"/>
  <c r="BO96" i="1"/>
  <c r="BO97" i="1"/>
  <c r="BO100" i="1"/>
  <c r="BO101" i="1"/>
  <c r="BO103" i="1"/>
  <c r="BO104" i="1"/>
  <c r="BO105" i="1"/>
  <c r="BO106" i="1"/>
  <c r="BO107" i="1"/>
  <c r="BO109" i="1"/>
  <c r="BO110" i="1"/>
  <c r="BO111" i="1"/>
  <c r="BO112" i="1"/>
  <c r="BO113" i="1"/>
  <c r="BO114" i="1"/>
  <c r="BO115" i="1"/>
  <c r="BO118" i="1"/>
  <c r="BO119" i="1"/>
  <c r="BN16" i="1"/>
  <c r="BK3" i="1"/>
  <c r="BN21" i="1"/>
  <c r="BN18" i="1"/>
  <c r="BN17" i="1"/>
  <c r="BN8" i="1"/>
  <c r="BN9" i="1"/>
  <c r="BN10" i="1"/>
  <c r="BN11" i="1"/>
  <c r="AU46" i="1"/>
  <c r="AU33" i="1"/>
  <c r="AT47" i="1"/>
  <c r="AT33" i="1"/>
  <c r="AS40" i="1"/>
  <c r="AS12" i="1"/>
  <c r="AQ3" i="1"/>
  <c r="AQ39" i="1"/>
  <c r="AS39" i="1"/>
  <c r="AT39" i="1"/>
  <c r="AU39" i="1"/>
  <c r="BI39" i="1"/>
  <c r="BN39" i="1"/>
  <c r="AQ40" i="1"/>
  <c r="AT40" i="1"/>
  <c r="AU40" i="1"/>
  <c r="BI40" i="1"/>
  <c r="AQ41" i="1"/>
  <c r="AS41" i="1"/>
  <c r="AT41" i="1"/>
  <c r="AU41" i="1"/>
  <c r="BI41" i="1"/>
  <c r="AQ42" i="1"/>
  <c r="AS42" i="1"/>
  <c r="AT42" i="1"/>
  <c r="AU42" i="1"/>
  <c r="BH42" i="1"/>
  <c r="BI42" i="1"/>
  <c r="AQ43" i="1"/>
  <c r="AS43" i="1"/>
  <c r="AT43" i="1"/>
  <c r="AU43" i="1"/>
  <c r="BI43" i="1"/>
  <c r="BN43" i="1"/>
  <c r="BR43" i="1" s="1"/>
  <c r="AQ44" i="1"/>
  <c r="AS44" i="1"/>
  <c r="AT44" i="1"/>
  <c r="AU44" i="1"/>
  <c r="BH44" i="1"/>
  <c r="BI44" i="1"/>
  <c r="BN44" i="1"/>
  <c r="AQ45" i="1"/>
  <c r="AS45" i="1"/>
  <c r="AT45" i="1"/>
  <c r="AU45" i="1"/>
  <c r="BH45" i="1"/>
  <c r="BI45" i="1"/>
  <c r="BN45" i="1"/>
  <c r="AQ46" i="1"/>
  <c r="AS46" i="1"/>
  <c r="AT46" i="1"/>
  <c r="BI46" i="1"/>
  <c r="BN46" i="1"/>
  <c r="BR46" i="1" s="1"/>
  <c r="AQ47" i="1"/>
  <c r="AS47" i="1"/>
  <c r="AU47" i="1"/>
  <c r="BI47" i="1"/>
  <c r="AQ48" i="1"/>
  <c r="AS48" i="1"/>
  <c r="AT48" i="1"/>
  <c r="AU48" i="1"/>
  <c r="BI48" i="1"/>
  <c r="BN48" i="1"/>
  <c r="AQ49" i="1"/>
  <c r="AS49" i="1"/>
  <c r="AT49" i="1"/>
  <c r="AU49" i="1"/>
  <c r="BH49" i="1"/>
  <c r="BI49" i="1"/>
  <c r="AQ50" i="1"/>
  <c r="AS50" i="1"/>
  <c r="AT50" i="1"/>
  <c r="AU50" i="1"/>
  <c r="BI50" i="1"/>
  <c r="AQ51" i="1"/>
  <c r="AS51" i="1"/>
  <c r="AT51" i="1"/>
  <c r="AU51" i="1"/>
  <c r="BI51" i="1"/>
  <c r="AQ52" i="1"/>
  <c r="AS52" i="1"/>
  <c r="AT52" i="1"/>
  <c r="AU52" i="1"/>
  <c r="BI52" i="1"/>
  <c r="AQ53" i="1"/>
  <c r="AS53" i="1"/>
  <c r="AT53" i="1"/>
  <c r="AU53" i="1"/>
  <c r="BI53" i="1"/>
  <c r="BN53" i="1"/>
  <c r="AQ54" i="1"/>
  <c r="AS54" i="1"/>
  <c r="AT54" i="1"/>
  <c r="AU54" i="1"/>
  <c r="BI54" i="1"/>
  <c r="BN54" i="1"/>
  <c r="AQ55" i="1"/>
  <c r="AS55" i="1"/>
  <c r="AT55" i="1"/>
  <c r="AU55" i="1"/>
  <c r="BI55" i="1"/>
  <c r="BN55" i="1"/>
  <c r="BR55" i="1" s="1"/>
  <c r="AQ56" i="1"/>
  <c r="AS56" i="1"/>
  <c r="AT56" i="1"/>
  <c r="AU56" i="1"/>
  <c r="BE56" i="1"/>
  <c r="BF56" i="1" s="1"/>
  <c r="BH56" i="1"/>
  <c r="BI56" i="1"/>
  <c r="BN56" i="1"/>
  <c r="BR56" i="1" s="1"/>
  <c r="AQ57" i="1"/>
  <c r="AS57" i="1"/>
  <c r="AU57" i="1"/>
  <c r="BI57" i="1"/>
  <c r="BN57" i="1"/>
  <c r="AQ58" i="1"/>
  <c r="AS58" i="1"/>
  <c r="AT58" i="1"/>
  <c r="AU58" i="1"/>
  <c r="BI58" i="1"/>
  <c r="AQ59" i="1"/>
  <c r="AS59" i="1"/>
  <c r="AT59" i="1"/>
  <c r="AU59" i="1"/>
  <c r="BI59" i="1"/>
  <c r="AQ60" i="1"/>
  <c r="AS60" i="1"/>
  <c r="AT60" i="1"/>
  <c r="AU60" i="1"/>
  <c r="BI60" i="1"/>
  <c r="AQ61" i="1"/>
  <c r="AS61" i="1"/>
  <c r="AT61" i="1"/>
  <c r="AU61" i="1"/>
  <c r="BI61" i="1"/>
  <c r="AQ62" i="1"/>
  <c r="AS62" i="1"/>
  <c r="AT62" i="1"/>
  <c r="AU62" i="1"/>
  <c r="BE62" i="1"/>
  <c r="BF62" i="1" s="1"/>
  <c r="BH62" i="1"/>
  <c r="BI62" i="1"/>
  <c r="BN62" i="1"/>
  <c r="AQ63" i="1"/>
  <c r="AS63" i="1"/>
  <c r="AT63" i="1"/>
  <c r="AU63" i="1"/>
  <c r="BE63" i="1"/>
  <c r="BF63" i="1"/>
  <c r="BH63" i="1"/>
  <c r="BI63" i="1"/>
  <c r="BN63" i="1"/>
  <c r="AQ64" i="1"/>
  <c r="AS64" i="1"/>
  <c r="AT64" i="1"/>
  <c r="AU64" i="1"/>
  <c r="BE64" i="1"/>
  <c r="BF64" i="1" s="1"/>
  <c r="BH64" i="1"/>
  <c r="BI64" i="1"/>
  <c r="BN64" i="1"/>
  <c r="BR64" i="1" s="1"/>
  <c r="AQ65" i="1"/>
  <c r="AS65" i="1"/>
  <c r="AT65" i="1"/>
  <c r="AU65" i="1"/>
  <c r="BI65" i="1"/>
  <c r="BP65" i="1"/>
  <c r="BN65" i="1"/>
  <c r="BR65" i="1" s="1"/>
  <c r="AQ66" i="1"/>
  <c r="AS66" i="1"/>
  <c r="AT66" i="1"/>
  <c r="AU66" i="1"/>
  <c r="BI66" i="1"/>
  <c r="BN66" i="1"/>
  <c r="AQ67" i="1"/>
  <c r="AS67" i="1"/>
  <c r="AT67" i="1"/>
  <c r="AU67" i="1"/>
  <c r="BI67" i="1"/>
  <c r="AQ68" i="1"/>
  <c r="AS68" i="1"/>
  <c r="AT68" i="1"/>
  <c r="AU68" i="1"/>
  <c r="BI68" i="1"/>
  <c r="AQ69" i="1"/>
  <c r="AS69" i="1"/>
  <c r="AT69" i="1"/>
  <c r="AU69" i="1"/>
  <c r="BH69" i="1"/>
  <c r="BI69" i="1"/>
  <c r="AQ70" i="1"/>
  <c r="AS70" i="1"/>
  <c r="AT70" i="1"/>
  <c r="AU70" i="1"/>
  <c r="BE70" i="1"/>
  <c r="BF70" i="1" s="1"/>
  <c r="BH70" i="1"/>
  <c r="BI70" i="1"/>
  <c r="BP70" i="1"/>
  <c r="BN70" i="1"/>
  <c r="BR70" i="1" s="1"/>
  <c r="AQ71" i="1"/>
  <c r="AS71" i="1"/>
  <c r="AT71" i="1"/>
  <c r="AU71" i="1"/>
  <c r="BE71" i="1"/>
  <c r="BF71" i="1" s="1"/>
  <c r="BH71" i="1"/>
  <c r="BI71" i="1"/>
  <c r="BN71" i="1"/>
  <c r="AQ72" i="1"/>
  <c r="AS72" i="1"/>
  <c r="AT72" i="1"/>
  <c r="AU72" i="1"/>
  <c r="BE72" i="1"/>
  <c r="BF72" i="1"/>
  <c r="BH72" i="1"/>
  <c r="BI72" i="1"/>
  <c r="BN72" i="1"/>
  <c r="AQ73" i="1"/>
  <c r="AS73" i="1"/>
  <c r="AT73" i="1"/>
  <c r="AU73" i="1"/>
  <c r="BH73" i="1"/>
  <c r="BI73" i="1"/>
  <c r="AQ74" i="1"/>
  <c r="AS74" i="1"/>
  <c r="AT74" i="1"/>
  <c r="AU74" i="1"/>
  <c r="BH74" i="1"/>
  <c r="BI74" i="1"/>
  <c r="AQ75" i="1"/>
  <c r="AS75" i="1"/>
  <c r="AT75" i="1"/>
  <c r="AU75" i="1"/>
  <c r="BI75" i="1"/>
  <c r="BN75" i="1"/>
  <c r="AQ76" i="1"/>
  <c r="AS76" i="1"/>
  <c r="AT76" i="1"/>
  <c r="AU76" i="1"/>
  <c r="BI76" i="1"/>
  <c r="BN76" i="1"/>
  <c r="BR76" i="1" s="1"/>
  <c r="AQ77" i="1"/>
  <c r="AS77" i="1"/>
  <c r="AT77" i="1"/>
  <c r="AU77" i="1"/>
  <c r="BI77" i="1"/>
  <c r="AQ78" i="1"/>
  <c r="AS78" i="1"/>
  <c r="AT78" i="1"/>
  <c r="AU78" i="1"/>
  <c r="BI78" i="1"/>
  <c r="AQ79" i="1"/>
  <c r="AS79" i="1"/>
  <c r="AT79" i="1"/>
  <c r="AU79" i="1"/>
  <c r="BI79" i="1"/>
  <c r="AQ80" i="1"/>
  <c r="AS80" i="1"/>
  <c r="AT80" i="1"/>
  <c r="AU80" i="1"/>
  <c r="BI80" i="1"/>
  <c r="BN80" i="1"/>
  <c r="AQ81" i="1"/>
  <c r="AS81" i="1"/>
  <c r="AT81" i="1"/>
  <c r="AU81" i="1"/>
  <c r="BI81" i="1"/>
  <c r="BN81" i="1"/>
  <c r="AQ82" i="1"/>
  <c r="AS82" i="1"/>
  <c r="AT82" i="1"/>
  <c r="AU82" i="1"/>
  <c r="BE82" i="1"/>
  <c r="BF82" i="1" s="1"/>
  <c r="BH82" i="1"/>
  <c r="BI82" i="1"/>
  <c r="BN82" i="1"/>
  <c r="BR82" i="1" s="1"/>
  <c r="AQ83" i="1"/>
  <c r="AS83" i="1"/>
  <c r="AT83" i="1"/>
  <c r="AU83" i="1"/>
  <c r="BH83" i="1"/>
  <c r="BI83" i="1"/>
  <c r="AQ84" i="1"/>
  <c r="AS84" i="1"/>
  <c r="AT84" i="1"/>
  <c r="AU84" i="1"/>
  <c r="BE84" i="1"/>
  <c r="BF84" i="1"/>
  <c r="BH84" i="1"/>
  <c r="BI84" i="1"/>
  <c r="BN84" i="1"/>
  <c r="AQ85" i="1"/>
  <c r="AS85" i="1"/>
  <c r="AT85" i="1"/>
  <c r="AU85" i="1"/>
  <c r="BE85" i="1"/>
  <c r="BF85" i="1" s="1"/>
  <c r="BH85" i="1"/>
  <c r="BI85" i="1"/>
  <c r="AQ86" i="1"/>
  <c r="AS86" i="1"/>
  <c r="AT86" i="1"/>
  <c r="AU86" i="1"/>
  <c r="BI86" i="1"/>
  <c r="AQ87" i="1"/>
  <c r="AS87" i="1"/>
  <c r="AT87" i="1"/>
  <c r="AU87" i="1"/>
  <c r="BI87" i="1"/>
  <c r="AQ88" i="1"/>
  <c r="AS88" i="1"/>
  <c r="AT88" i="1"/>
  <c r="AU88" i="1"/>
  <c r="BI88" i="1"/>
  <c r="AQ89" i="1"/>
  <c r="AS89" i="1"/>
  <c r="AT89" i="1"/>
  <c r="AU89" i="1"/>
  <c r="BH89" i="1"/>
  <c r="BI89" i="1"/>
  <c r="BN89" i="1"/>
  <c r="AQ90" i="1"/>
  <c r="AS90" i="1"/>
  <c r="AT90" i="1"/>
  <c r="AU90" i="1"/>
  <c r="BH90" i="1"/>
  <c r="BI90" i="1"/>
  <c r="BN90" i="1"/>
  <c r="AQ91" i="1"/>
  <c r="AS91" i="1"/>
  <c r="AT91" i="1"/>
  <c r="AU91" i="1"/>
  <c r="BE91" i="1"/>
  <c r="BF91" i="1" s="1"/>
  <c r="BH91" i="1"/>
  <c r="BI91" i="1"/>
  <c r="BN91" i="1"/>
  <c r="BR91" i="1" s="1"/>
  <c r="AQ92" i="1"/>
  <c r="AS92" i="1"/>
  <c r="AT92" i="1"/>
  <c r="AU92" i="1"/>
  <c r="BH92" i="1"/>
  <c r="BI92" i="1"/>
  <c r="BN92" i="1"/>
  <c r="BR92" i="1" s="1"/>
  <c r="AQ93" i="1"/>
  <c r="AS93" i="1"/>
  <c r="AT93" i="1"/>
  <c r="AU93" i="1"/>
  <c r="BH93" i="1"/>
  <c r="BI93" i="1"/>
  <c r="BN93" i="1"/>
  <c r="AQ94" i="1"/>
  <c r="AS94" i="1"/>
  <c r="AT94" i="1"/>
  <c r="AU94" i="1"/>
  <c r="BH94" i="1"/>
  <c r="BI94" i="1"/>
  <c r="BN94" i="1"/>
  <c r="BR94" i="1" s="1"/>
  <c r="AQ95" i="1"/>
  <c r="AS95" i="1"/>
  <c r="AT95" i="1"/>
  <c r="AU95" i="1"/>
  <c r="BE95" i="1"/>
  <c r="BF95" i="1" s="1"/>
  <c r="BH95" i="1"/>
  <c r="BI95" i="1"/>
  <c r="BN95" i="1"/>
  <c r="BR95" i="1" s="1"/>
  <c r="AQ96" i="1"/>
  <c r="AS96" i="1"/>
  <c r="AT96" i="1"/>
  <c r="AU96" i="1"/>
  <c r="BE96" i="1"/>
  <c r="BF96" i="1"/>
  <c r="BH96" i="1"/>
  <c r="BI96" i="1"/>
  <c r="BN96" i="1"/>
  <c r="BR96" i="1" s="1"/>
  <c r="AQ97" i="1"/>
  <c r="AS97" i="1"/>
  <c r="AT97" i="1"/>
  <c r="AU97" i="1"/>
  <c r="BH97" i="1"/>
  <c r="BI97" i="1"/>
  <c r="BP97" i="1"/>
  <c r="BN97" i="1"/>
  <c r="BR97" i="1" s="1"/>
  <c r="AQ98" i="1"/>
  <c r="AS98" i="1"/>
  <c r="AT98" i="1"/>
  <c r="AU98" i="1"/>
  <c r="BH98" i="1"/>
  <c r="BI98" i="1"/>
  <c r="BN98" i="1"/>
  <c r="AQ99" i="1"/>
  <c r="AS99" i="1"/>
  <c r="AT99" i="1"/>
  <c r="AU99" i="1"/>
  <c r="BH99" i="1"/>
  <c r="BI99" i="1"/>
  <c r="BN99" i="1"/>
  <c r="AQ100" i="1"/>
  <c r="AS100" i="1"/>
  <c r="AT100" i="1"/>
  <c r="AU100" i="1"/>
  <c r="BE100" i="1"/>
  <c r="BF100" i="1" s="1"/>
  <c r="BH100" i="1"/>
  <c r="BI100" i="1"/>
  <c r="AQ101" i="1"/>
  <c r="AS101" i="1"/>
  <c r="AT101" i="1"/>
  <c r="AU101" i="1"/>
  <c r="BH101" i="1"/>
  <c r="BI101" i="1"/>
  <c r="AQ102" i="1"/>
  <c r="AS102" i="1"/>
  <c r="AT102" i="1"/>
  <c r="AU102" i="1"/>
  <c r="BE102" i="1"/>
  <c r="BF102" i="1" s="1"/>
  <c r="BH102" i="1"/>
  <c r="BI102" i="1"/>
  <c r="BN102" i="1"/>
  <c r="AQ103" i="1"/>
  <c r="AS103" i="1"/>
  <c r="AT103" i="1"/>
  <c r="AU103" i="1"/>
  <c r="BH103" i="1"/>
  <c r="BI103" i="1"/>
  <c r="BN103" i="1"/>
  <c r="BR103" i="1" s="1"/>
  <c r="AQ104" i="1"/>
  <c r="AS104" i="1"/>
  <c r="AT104" i="1"/>
  <c r="AU104" i="1"/>
  <c r="BH104" i="1"/>
  <c r="BI104" i="1"/>
  <c r="BN104" i="1"/>
  <c r="BR104" i="1" s="1"/>
  <c r="AQ105" i="1"/>
  <c r="AS105" i="1"/>
  <c r="AT105" i="1"/>
  <c r="AU105" i="1"/>
  <c r="BH105" i="1"/>
  <c r="BI105" i="1"/>
  <c r="AQ106" i="1"/>
  <c r="AS106" i="1"/>
  <c r="AT106" i="1"/>
  <c r="AU106" i="1"/>
  <c r="BH106" i="1"/>
  <c r="BI106" i="1"/>
  <c r="AQ107" i="1"/>
  <c r="AS107" i="1"/>
  <c r="AT107" i="1"/>
  <c r="AU107" i="1"/>
  <c r="BH107" i="1"/>
  <c r="BI107" i="1"/>
  <c r="BN107" i="1"/>
  <c r="AQ108" i="1"/>
  <c r="AS108" i="1"/>
  <c r="AT108" i="1"/>
  <c r="AU108" i="1"/>
  <c r="BH108" i="1"/>
  <c r="BI108" i="1"/>
  <c r="BN108" i="1"/>
  <c r="AQ109" i="1"/>
  <c r="AS109" i="1"/>
  <c r="AT109" i="1"/>
  <c r="AU109" i="1"/>
  <c r="BH109" i="1"/>
  <c r="BI109" i="1"/>
  <c r="AQ110" i="1"/>
  <c r="AS110" i="1"/>
  <c r="AT110" i="1"/>
  <c r="AU110" i="1"/>
  <c r="BE110" i="1"/>
  <c r="BF110" i="1" s="1"/>
  <c r="BH110" i="1"/>
  <c r="BI110" i="1"/>
  <c r="BN110" i="1"/>
  <c r="BR110" i="1" s="1"/>
  <c r="AQ111" i="1"/>
  <c r="AS111" i="1"/>
  <c r="AT111" i="1"/>
  <c r="AU111" i="1"/>
  <c r="BE111" i="1"/>
  <c r="BF111" i="1" s="1"/>
  <c r="BH111" i="1"/>
  <c r="BI111" i="1"/>
  <c r="BN111" i="1"/>
  <c r="AQ112" i="1"/>
  <c r="AS112" i="1"/>
  <c r="AT112" i="1"/>
  <c r="AU112" i="1"/>
  <c r="BE112" i="1"/>
  <c r="BF112" i="1" s="1"/>
  <c r="BH112" i="1"/>
  <c r="BI112" i="1"/>
  <c r="AQ113" i="1"/>
  <c r="AS113" i="1"/>
  <c r="AT113" i="1"/>
  <c r="AU113" i="1"/>
  <c r="BE113" i="1"/>
  <c r="BF113" i="1" s="1"/>
  <c r="BH113" i="1"/>
  <c r="BI113" i="1"/>
  <c r="AQ114" i="1"/>
  <c r="AS114" i="1"/>
  <c r="AT114" i="1"/>
  <c r="AU114" i="1"/>
  <c r="BE114" i="1"/>
  <c r="BF114" i="1" s="1"/>
  <c r="BH114" i="1"/>
  <c r="BI114" i="1"/>
  <c r="BP114" i="1"/>
  <c r="BN114" i="1"/>
  <c r="BR114" i="1" s="1"/>
  <c r="AQ115" i="1"/>
  <c r="AS115" i="1"/>
  <c r="AT115" i="1"/>
  <c r="AU115" i="1"/>
  <c r="BE115" i="1"/>
  <c r="BF115" i="1"/>
  <c r="BH115" i="1"/>
  <c r="BI115" i="1"/>
  <c r="BP115" i="1"/>
  <c r="BN115" i="1"/>
  <c r="BR115" i="1" s="1"/>
  <c r="AQ116" i="1"/>
  <c r="AS116" i="1"/>
  <c r="AT116" i="1"/>
  <c r="AU116" i="1"/>
  <c r="BE116" i="1"/>
  <c r="BF116" i="1" s="1"/>
  <c r="BH116" i="1"/>
  <c r="BI116" i="1"/>
  <c r="BN116" i="1"/>
  <c r="AQ117" i="1"/>
  <c r="AS117" i="1"/>
  <c r="AT117" i="1"/>
  <c r="AU117" i="1"/>
  <c r="BE117" i="1"/>
  <c r="BF117" i="1" s="1"/>
  <c r="BH117" i="1"/>
  <c r="BI117" i="1"/>
  <c r="BN117" i="1"/>
  <c r="AQ118" i="1"/>
  <c r="AS118" i="1"/>
  <c r="AT118" i="1"/>
  <c r="AU118" i="1"/>
  <c r="BH118" i="1"/>
  <c r="BI118" i="1"/>
  <c r="BN118" i="1"/>
  <c r="BR118" i="1" s="1"/>
  <c r="AQ119" i="1"/>
  <c r="AS119" i="1"/>
  <c r="AT119" i="1"/>
  <c r="AU119" i="1"/>
  <c r="BH119" i="1"/>
  <c r="BI119" i="1"/>
  <c r="BI3" i="1"/>
  <c r="AU38" i="1"/>
  <c r="AU37" i="1"/>
  <c r="AU36" i="1"/>
  <c r="AU35" i="1"/>
  <c r="AU34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BE36" i="1"/>
  <c r="BF36" i="1" s="1"/>
  <c r="BH36" i="1"/>
  <c r="BI36" i="1"/>
  <c r="BN36" i="1"/>
  <c r="AQ36" i="1"/>
  <c r="AS36" i="1"/>
  <c r="AT36" i="1"/>
  <c r="BI37" i="1"/>
  <c r="AQ37" i="1"/>
  <c r="AS37" i="1"/>
  <c r="AT37" i="1"/>
  <c r="BI27" i="1"/>
  <c r="BN27" i="1"/>
  <c r="AQ27" i="1"/>
  <c r="AS27" i="1"/>
  <c r="AT27" i="1"/>
  <c r="BI28" i="1"/>
  <c r="AQ28" i="1"/>
  <c r="AS28" i="1"/>
  <c r="AT28" i="1"/>
  <c r="BI18" i="1"/>
  <c r="AQ18" i="1"/>
  <c r="AS18" i="1"/>
  <c r="AT18" i="1"/>
  <c r="BI19" i="1"/>
  <c r="AQ19" i="1"/>
  <c r="AS19" i="1"/>
  <c r="AT19" i="1"/>
  <c r="BH9" i="1"/>
  <c r="BI9" i="1"/>
  <c r="AQ9" i="1"/>
  <c r="BI10" i="1"/>
  <c r="AQ10" i="1"/>
  <c r="BI31" i="1"/>
  <c r="BH31" i="1"/>
  <c r="BE31" i="1"/>
  <c r="BF31" i="1" s="1"/>
  <c r="AT31" i="1"/>
  <c r="AS31" i="1"/>
  <c r="AQ31" i="1"/>
  <c r="BI22" i="1"/>
  <c r="AT22" i="1"/>
  <c r="AS22" i="1"/>
  <c r="AQ22" i="1"/>
  <c r="BI13" i="1"/>
  <c r="AT13" i="1"/>
  <c r="AS13" i="1"/>
  <c r="AQ13" i="1"/>
  <c r="BN4" i="1"/>
  <c r="BK4" i="1"/>
  <c r="BI4" i="1"/>
  <c r="AQ4" i="1"/>
  <c r="BP85" i="1" l="1"/>
  <c r="BO98" i="1"/>
  <c r="BE101" i="1"/>
  <c r="BF101" i="1" s="1"/>
  <c r="BC66" i="1"/>
  <c r="BL66" i="1" s="1"/>
  <c r="BD66" i="1"/>
  <c r="BO66" i="1" s="1"/>
  <c r="BR66" i="1" s="1"/>
  <c r="BE98" i="1"/>
  <c r="BF98" i="1" s="1"/>
  <c r="BH59" i="1"/>
  <c r="BN79" i="1"/>
  <c r="BR79" i="1" s="1"/>
  <c r="BN20" i="1"/>
  <c r="BQ84" i="1"/>
  <c r="AR84" i="1" s="1"/>
  <c r="BJ84" i="1" s="1"/>
  <c r="BH19" i="1"/>
  <c r="BR4" i="1"/>
  <c r="BE19" i="1"/>
  <c r="BF19" i="1" s="1"/>
  <c r="BR84" i="1"/>
  <c r="BO57" i="1"/>
  <c r="BC57" i="1"/>
  <c r="BD57" i="1"/>
  <c r="BE18" i="1"/>
  <c r="BF18" i="1" s="1"/>
  <c r="BE118" i="1"/>
  <c r="BF118" i="1" s="1"/>
  <c r="BN113" i="1"/>
  <c r="BR113" i="1" s="1"/>
  <c r="BE97" i="1"/>
  <c r="BF97" i="1" s="1"/>
  <c r="BE92" i="1"/>
  <c r="BF92" i="1" s="1"/>
  <c r="BE81" i="1"/>
  <c r="BF81" i="1" s="1"/>
  <c r="BO84" i="1"/>
  <c r="BH80" i="1"/>
  <c r="BD80" i="1"/>
  <c r="BO80" i="1" s="1"/>
  <c r="BR80" i="1" s="1"/>
  <c r="BC80" i="1"/>
  <c r="BL80" i="1" s="1"/>
  <c r="BP80" i="1" s="1"/>
  <c r="BH41" i="1"/>
  <c r="BN77" i="1"/>
  <c r="BR77" i="1" s="1"/>
  <c r="BH60" i="1"/>
  <c r="BE94" i="1"/>
  <c r="BF94" i="1" s="1"/>
  <c r="BN85" i="1"/>
  <c r="BR85" i="1" s="1"/>
  <c r="BH65" i="1"/>
  <c r="BE60" i="1"/>
  <c r="BF60" i="1" s="1"/>
  <c r="BQ111" i="1"/>
  <c r="AR111" i="1" s="1"/>
  <c r="BJ111" i="1" s="1"/>
  <c r="BD71" i="1"/>
  <c r="BO71" i="1" s="1"/>
  <c r="BC71" i="1"/>
  <c r="BL71" i="1" s="1"/>
  <c r="BP94" i="1"/>
  <c r="BC72" i="1"/>
  <c r="BD72" i="1"/>
  <c r="BE104" i="1"/>
  <c r="BF104" i="1" s="1"/>
  <c r="BN101" i="1"/>
  <c r="BR101" i="1" s="1"/>
  <c r="BE65" i="1"/>
  <c r="BF65" i="1" s="1"/>
  <c r="BH57" i="1"/>
  <c r="BH54" i="1"/>
  <c r="BD81" i="1"/>
  <c r="BC81" i="1"/>
  <c r="BH58" i="1"/>
  <c r="BE80" i="1"/>
  <c r="BF80" i="1" s="1"/>
  <c r="BP111" i="1"/>
  <c r="BH75" i="1"/>
  <c r="BL75" i="1"/>
  <c r="BP75" i="1" s="1"/>
  <c r="BD75" i="1"/>
  <c r="BO75" i="1" s="1"/>
  <c r="BR75" i="1" s="1"/>
  <c r="BN78" i="1"/>
  <c r="BR78" i="1" s="1"/>
  <c r="BH78" i="1"/>
  <c r="BE78" i="1"/>
  <c r="BF78" i="1" s="1"/>
  <c r="BH76" i="1"/>
  <c r="BE76" i="1"/>
  <c r="BF76" i="1" s="1"/>
  <c r="BR71" i="1"/>
  <c r="BH66" i="1"/>
  <c r="BE119" i="1"/>
  <c r="BF119" i="1" s="1"/>
  <c r="BM119" i="1"/>
  <c r="BO117" i="1"/>
  <c r="BL117" i="1"/>
  <c r="BO116" i="1"/>
  <c r="BL116" i="1"/>
  <c r="BP116" i="1" s="1"/>
  <c r="BN112" i="1"/>
  <c r="BR112" i="1" s="1"/>
  <c r="BM112" i="1"/>
  <c r="BP112" i="1" s="1"/>
  <c r="BE108" i="1"/>
  <c r="BF108" i="1" s="1"/>
  <c r="BL108" i="1"/>
  <c r="BE107" i="1"/>
  <c r="BF107" i="1" s="1"/>
  <c r="BL107" i="1"/>
  <c r="BE106" i="1"/>
  <c r="BF106" i="1" s="1"/>
  <c r="BK106" i="1"/>
  <c r="BE103" i="1"/>
  <c r="BF103" i="1" s="1"/>
  <c r="BM103" i="1"/>
  <c r="BP103" i="1" s="1"/>
  <c r="BO102" i="1"/>
  <c r="BR102" i="1" s="1"/>
  <c r="BL102" i="1"/>
  <c r="BP102" i="1" s="1"/>
  <c r="BN100" i="1"/>
  <c r="BR100" i="1" s="1"/>
  <c r="BM100" i="1"/>
  <c r="BE99" i="1"/>
  <c r="BF99" i="1" s="1"/>
  <c r="BL99" i="1"/>
  <c r="BQ99" i="1" s="1"/>
  <c r="AR99" i="1" s="1"/>
  <c r="BJ99" i="1" s="1"/>
  <c r="BO93" i="1"/>
  <c r="BL93" i="1"/>
  <c r="BO90" i="1"/>
  <c r="BR90" i="1" s="1"/>
  <c r="BL90" i="1"/>
  <c r="BP90" i="1" s="1"/>
  <c r="BO89" i="1"/>
  <c r="BR89" i="1" s="1"/>
  <c r="BL89" i="1"/>
  <c r="BE88" i="1"/>
  <c r="BF88" i="1" s="1"/>
  <c r="BK88" i="1"/>
  <c r="BE87" i="1"/>
  <c r="BF87" i="1" s="1"/>
  <c r="BK87" i="1"/>
  <c r="BN86" i="1"/>
  <c r="BR86" i="1" s="1"/>
  <c r="BM86" i="1"/>
  <c r="BP86" i="1" s="1"/>
  <c r="BE83" i="1"/>
  <c r="BF83" i="1" s="1"/>
  <c r="BM83" i="1"/>
  <c r="BO81" i="1"/>
  <c r="BR81" i="1" s="1"/>
  <c r="BL81" i="1"/>
  <c r="BP81" i="1" s="1"/>
  <c r="BE79" i="1"/>
  <c r="BF79" i="1" s="1"/>
  <c r="BK79" i="1"/>
  <c r="BP79" i="1" s="1"/>
  <c r="BE77" i="1"/>
  <c r="BF77" i="1" s="1"/>
  <c r="BM77" i="1"/>
  <c r="BP77" i="1" s="1"/>
  <c r="BE74" i="1"/>
  <c r="BF74" i="1" s="1"/>
  <c r="BM74" i="1"/>
  <c r="BO72" i="1"/>
  <c r="BL72" i="1"/>
  <c r="BE68" i="1"/>
  <c r="BF68" i="1" s="1"/>
  <c r="BM68" i="1"/>
  <c r="BN67" i="1"/>
  <c r="BR67" i="1" s="1"/>
  <c r="BM67" i="1"/>
  <c r="BQ67" i="1" s="1"/>
  <c r="AR67" i="1" s="1"/>
  <c r="BJ67" i="1" s="1"/>
  <c r="BD63" i="1"/>
  <c r="BO63" i="1" s="1"/>
  <c r="BR63" i="1" s="1"/>
  <c r="BC63" i="1"/>
  <c r="BL63" i="1" s="1"/>
  <c r="BQ63" i="1" s="1"/>
  <c r="AR63" i="1" s="1"/>
  <c r="BJ63" i="1" s="1"/>
  <c r="BD62" i="1"/>
  <c r="BO62" i="1" s="1"/>
  <c r="BR62" i="1" s="1"/>
  <c r="BC62" i="1"/>
  <c r="BD54" i="1"/>
  <c r="BO54" i="1" s="1"/>
  <c r="BR54" i="1" s="1"/>
  <c r="BC54" i="1"/>
  <c r="BL54" i="1" s="1"/>
  <c r="BQ54" i="1" s="1"/>
  <c r="AR54" i="1" s="1"/>
  <c r="BJ54" i="1" s="1"/>
  <c r="BE53" i="1"/>
  <c r="BF53" i="1" s="1"/>
  <c r="BD53" i="1"/>
  <c r="BC53" i="1"/>
  <c r="BL53" i="1" s="1"/>
  <c r="BC48" i="1"/>
  <c r="BL48" i="1" s="1"/>
  <c r="BD48" i="1"/>
  <c r="BO48" i="1" s="1"/>
  <c r="BD45" i="1"/>
  <c r="BO45" i="1" s="1"/>
  <c r="BC45" i="1"/>
  <c r="BL45" i="1" s="1"/>
  <c r="BQ45" i="1" s="1"/>
  <c r="AR45" i="1" s="1"/>
  <c r="BJ45" i="1" s="1"/>
  <c r="BD44" i="1"/>
  <c r="BO44" i="1" s="1"/>
  <c r="BC44" i="1"/>
  <c r="BL44" i="1" s="1"/>
  <c r="BP44" i="1" s="1"/>
  <c r="BC39" i="1"/>
  <c r="BL39" i="1" s="1"/>
  <c r="BP39" i="1" s="1"/>
  <c r="BD39" i="1"/>
  <c r="BO39" i="1" s="1"/>
  <c r="BR39" i="1" s="1"/>
  <c r="BD36" i="1"/>
  <c r="BO36" i="1" s="1"/>
  <c r="BR36" i="1" s="1"/>
  <c r="BC36" i="1"/>
  <c r="BL36" i="1" s="1"/>
  <c r="BP36" i="1" s="1"/>
  <c r="BD35" i="1"/>
  <c r="BO35" i="1" s="1"/>
  <c r="BC35" i="1"/>
  <c r="BL35" i="1" s="1"/>
  <c r="BD30" i="1"/>
  <c r="BO30" i="1" s="1"/>
  <c r="BC30" i="1"/>
  <c r="BL30" i="1" s="1"/>
  <c r="BH27" i="1"/>
  <c r="BD27" i="1"/>
  <c r="BC27" i="1"/>
  <c r="BH26" i="1"/>
  <c r="BD26" i="1"/>
  <c r="BC26" i="1"/>
  <c r="BC21" i="1"/>
  <c r="BD21" i="1"/>
  <c r="BO21" i="1" s="1"/>
  <c r="BD18" i="1"/>
  <c r="BO18" i="1" s="1"/>
  <c r="BR18" i="1" s="1"/>
  <c r="BC18" i="1"/>
  <c r="BL18" i="1" s="1"/>
  <c r="BQ18" i="1" s="1"/>
  <c r="AR18" i="1" s="1"/>
  <c r="BJ18" i="1" s="1"/>
  <c r="BD17" i="1"/>
  <c r="BO17" i="1" s="1"/>
  <c r="BC17" i="1"/>
  <c r="BL17" i="1" s="1"/>
  <c r="BC12" i="1"/>
  <c r="BD12" i="1"/>
  <c r="BO12" i="1" s="1"/>
  <c r="BC9" i="1"/>
  <c r="BL9" i="1" s="1"/>
  <c r="BQ9" i="1" s="1"/>
  <c r="AR9" i="1" s="1"/>
  <c r="BJ9" i="1" s="1"/>
  <c r="BD9" i="1"/>
  <c r="BO9" i="1" s="1"/>
  <c r="BR9" i="1" s="1"/>
  <c r="BD8" i="1"/>
  <c r="BO8" i="1" s="1"/>
  <c r="BC8" i="1"/>
  <c r="BL8" i="1" s="1"/>
  <c r="BH4" i="1"/>
  <c r="BM4" i="1"/>
  <c r="BP4" i="1" s="1"/>
  <c r="BO3" i="1"/>
  <c r="BC3" i="1"/>
  <c r="BL3" i="1" s="1"/>
  <c r="BQ3" i="1" s="1"/>
  <c r="BH6" i="1"/>
  <c r="BK6" i="1"/>
  <c r="BQ104" i="1"/>
  <c r="AR104" i="1" s="1"/>
  <c r="BJ104" i="1" s="1"/>
  <c r="BL62" i="1"/>
  <c r="BE61" i="1"/>
  <c r="BF61" i="1" s="1"/>
  <c r="BK61" i="1"/>
  <c r="BN59" i="1"/>
  <c r="BR59" i="1" s="1"/>
  <c r="BM59" i="1"/>
  <c r="BP59" i="1" s="1"/>
  <c r="BL57" i="1"/>
  <c r="BP57" i="1" s="1"/>
  <c r="BH52" i="1"/>
  <c r="BK51" i="1"/>
  <c r="BQ51" i="1" s="1"/>
  <c r="AR51" i="1" s="1"/>
  <c r="BJ51" i="1" s="1"/>
  <c r="BE52" i="1"/>
  <c r="BF52" i="1" s="1"/>
  <c r="BK52" i="1"/>
  <c r="BP52" i="1" s="1"/>
  <c r="BH51" i="1"/>
  <c r="BM50" i="1"/>
  <c r="BH53" i="1"/>
  <c r="BM55" i="1"/>
  <c r="BQ55" i="1" s="1"/>
  <c r="AR55" i="1" s="1"/>
  <c r="BJ55" i="1" s="1"/>
  <c r="BH50" i="1"/>
  <c r="BE50" i="1"/>
  <c r="BF50" i="1" s="1"/>
  <c r="BE51" i="1"/>
  <c r="BF51" i="1" s="1"/>
  <c r="BH55" i="1"/>
  <c r="BH48" i="1"/>
  <c r="BH43" i="1"/>
  <c r="BM46" i="1"/>
  <c r="BP46" i="1" s="1"/>
  <c r="BH47" i="1"/>
  <c r="BH40" i="1"/>
  <c r="BM47" i="1"/>
  <c r="BQ47" i="1" s="1"/>
  <c r="AR47" i="1" s="1"/>
  <c r="BJ47" i="1" s="1"/>
  <c r="BE44" i="1"/>
  <c r="BF44" i="1" s="1"/>
  <c r="BK43" i="1"/>
  <c r="BH46" i="1"/>
  <c r="BM40" i="1"/>
  <c r="BP40" i="1" s="1"/>
  <c r="BH39" i="1"/>
  <c r="BE39" i="1"/>
  <c r="BF39" i="1" s="1"/>
  <c r="BH37" i="1"/>
  <c r="BM37" i="1"/>
  <c r="BP37" i="1" s="1"/>
  <c r="BN37" i="1"/>
  <c r="BR37" i="1" s="1"/>
  <c r="BM28" i="1"/>
  <c r="BE22" i="1"/>
  <c r="BF22" i="1" s="1"/>
  <c r="BN24" i="1"/>
  <c r="BH22" i="1"/>
  <c r="BM22" i="1"/>
  <c r="BM23" i="1"/>
  <c r="BL26" i="1"/>
  <c r="BH28" i="1"/>
  <c r="BO27" i="1"/>
  <c r="BR27" i="1" s="1"/>
  <c r="BL27" i="1"/>
  <c r="BQ27" i="1" s="1"/>
  <c r="AR27" i="1" s="1"/>
  <c r="BJ27" i="1" s="1"/>
  <c r="BK25" i="1"/>
  <c r="BL21" i="1"/>
  <c r="BM19" i="1"/>
  <c r="BQ19" i="1" s="1"/>
  <c r="AR19" i="1" s="1"/>
  <c r="BJ19" i="1" s="1"/>
  <c r="BH13" i="1"/>
  <c r="BN15" i="1"/>
  <c r="BN14" i="1"/>
  <c r="BL12" i="1"/>
  <c r="BQ100" i="1"/>
  <c r="AR100" i="1" s="1"/>
  <c r="BJ100" i="1" s="1"/>
  <c r="BP76" i="1"/>
  <c r="BP42" i="1"/>
  <c r="BH10" i="1"/>
  <c r="BR10" i="1"/>
  <c r="BP93" i="1"/>
  <c r="BQ10" i="1"/>
  <c r="AR10" i="1" s="1"/>
  <c r="BJ10" i="1" s="1"/>
  <c r="BE45" i="1"/>
  <c r="BF45" i="1" s="1"/>
  <c r="BE93" i="1"/>
  <c r="BF93" i="1" s="1"/>
  <c r="BP83" i="1"/>
  <c r="BE10" i="1"/>
  <c r="BF10" i="1" s="1"/>
  <c r="BP18" i="1"/>
  <c r="BO99" i="1"/>
  <c r="BR99" i="1" s="1"/>
  <c r="BQ97" i="1"/>
  <c r="AR97" i="1" s="1"/>
  <c r="BJ97" i="1" s="1"/>
  <c r="BN61" i="1"/>
  <c r="BR61" i="1" s="1"/>
  <c r="BQ91" i="1"/>
  <c r="AR91" i="1" s="1"/>
  <c r="BJ91" i="1" s="1"/>
  <c r="BQ92" i="1"/>
  <c r="AR92" i="1" s="1"/>
  <c r="BJ92" i="1" s="1"/>
  <c r="BP84" i="1"/>
  <c r="BQ116" i="1"/>
  <c r="AR116" i="1" s="1"/>
  <c r="BJ116" i="1" s="1"/>
  <c r="BP95" i="1"/>
  <c r="BQ77" i="1"/>
  <c r="AR77" i="1" s="1"/>
  <c r="BJ77" i="1" s="1"/>
  <c r="BP104" i="1"/>
  <c r="BP110" i="1"/>
  <c r="BQ93" i="1"/>
  <c r="AR93" i="1" s="1"/>
  <c r="BJ93" i="1" s="1"/>
  <c r="BE13" i="1"/>
  <c r="BF13" i="1" s="1"/>
  <c r="BP19" i="1"/>
  <c r="BP98" i="1"/>
  <c r="BQ85" i="1"/>
  <c r="AR85" i="1" s="1"/>
  <c r="BJ85" i="1" s="1"/>
  <c r="BP105" i="1"/>
  <c r="BQ105" i="1"/>
  <c r="AR105" i="1" s="1"/>
  <c r="BJ105" i="1" s="1"/>
  <c r="BN106" i="1"/>
  <c r="BR106" i="1" s="1"/>
  <c r="BE105" i="1"/>
  <c r="BF105" i="1" s="1"/>
  <c r="BR98" i="1"/>
  <c r="BE73" i="1"/>
  <c r="BF73" i="1" s="1"/>
  <c r="BE42" i="1"/>
  <c r="BF42" i="1" s="1"/>
  <c r="BQ119" i="1"/>
  <c r="AR119" i="1" s="1"/>
  <c r="BJ119" i="1" s="1"/>
  <c r="BP100" i="1"/>
  <c r="BP92" i="1"/>
  <c r="BP74" i="1"/>
  <c r="BR44" i="1"/>
  <c r="BP106" i="1"/>
  <c r="BQ83" i="1"/>
  <c r="AR83" i="1" s="1"/>
  <c r="BJ83" i="1" s="1"/>
  <c r="BO26" i="1"/>
  <c r="BN74" i="1"/>
  <c r="BR74" i="1" s="1"/>
  <c r="BP62" i="1"/>
  <c r="BN58" i="1"/>
  <c r="BR58" i="1" s="1"/>
  <c r="BP58" i="1"/>
  <c r="BQ103" i="1"/>
  <c r="AR103" i="1" s="1"/>
  <c r="BJ103" i="1" s="1"/>
  <c r="BP118" i="1"/>
  <c r="BQ115" i="1"/>
  <c r="AR115" i="1" s="1"/>
  <c r="BJ115" i="1" s="1"/>
  <c r="BP56" i="1"/>
  <c r="BQ76" i="1"/>
  <c r="AR76" i="1" s="1"/>
  <c r="BJ76" i="1" s="1"/>
  <c r="BR117" i="1"/>
  <c r="BP99" i="1"/>
  <c r="BE58" i="1"/>
  <c r="BF58" i="1" s="1"/>
  <c r="BE41" i="1"/>
  <c r="BF41" i="1" s="1"/>
  <c r="BR111" i="1"/>
  <c r="BE90" i="1"/>
  <c r="BF90" i="1" s="1"/>
  <c r="BN105" i="1"/>
  <c r="BR105" i="1" s="1"/>
  <c r="BP91" i="1"/>
  <c r="BP82" i="1"/>
  <c r="BN73" i="1"/>
  <c r="BR73" i="1" s="1"/>
  <c r="BN42" i="1"/>
  <c r="BR42" i="1" s="1"/>
  <c r="BR107" i="1"/>
  <c r="BR48" i="1"/>
  <c r="BQ65" i="1"/>
  <c r="AR65" i="1" s="1"/>
  <c r="BJ65" i="1" s="1"/>
  <c r="BP64" i="1"/>
  <c r="BQ95" i="1"/>
  <c r="AR95" i="1" s="1"/>
  <c r="BJ95" i="1" s="1"/>
  <c r="BR45" i="1"/>
  <c r="BP10" i="1"/>
  <c r="BR8" i="1"/>
  <c r="BE3" i="1"/>
  <c r="BP109" i="1"/>
  <c r="BQ109" i="1"/>
  <c r="AR109" i="1" s="1"/>
  <c r="BJ109" i="1" s="1"/>
  <c r="BP49" i="1"/>
  <c r="BQ49" i="1"/>
  <c r="AR49" i="1" s="1"/>
  <c r="BJ49" i="1" s="1"/>
  <c r="BP96" i="1"/>
  <c r="BQ96" i="1"/>
  <c r="AR96" i="1" s="1"/>
  <c r="BJ96" i="1" s="1"/>
  <c r="BQ69" i="1"/>
  <c r="AR69" i="1" s="1"/>
  <c r="BJ69" i="1" s="1"/>
  <c r="BP69" i="1"/>
  <c r="BP41" i="1"/>
  <c r="BQ113" i="1"/>
  <c r="AR113" i="1" s="1"/>
  <c r="BJ113" i="1" s="1"/>
  <c r="BP113" i="1"/>
  <c r="BP73" i="1"/>
  <c r="BQ73" i="1"/>
  <c r="AR73" i="1" s="1"/>
  <c r="BJ73" i="1" s="1"/>
  <c r="BR93" i="1"/>
  <c r="BP28" i="1"/>
  <c r="BQ28" i="1"/>
  <c r="AR28" i="1" s="1"/>
  <c r="BJ28" i="1" s="1"/>
  <c r="BR116" i="1"/>
  <c r="BR57" i="1"/>
  <c r="BR72" i="1"/>
  <c r="BQ101" i="1"/>
  <c r="AR101" i="1" s="1"/>
  <c r="BJ101" i="1" s="1"/>
  <c r="BP101" i="1"/>
  <c r="BP60" i="1"/>
  <c r="BQ60" i="1"/>
  <c r="AR60" i="1" s="1"/>
  <c r="BJ60" i="1" s="1"/>
  <c r="BN69" i="1"/>
  <c r="BR69" i="1" s="1"/>
  <c r="BQ40" i="1"/>
  <c r="AR40" i="1" s="1"/>
  <c r="BJ40" i="1" s="1"/>
  <c r="BN87" i="1"/>
  <c r="BR87" i="1" s="1"/>
  <c r="BE47" i="1"/>
  <c r="BF47" i="1" s="1"/>
  <c r="BQ41" i="1"/>
  <c r="AR41" i="1" s="1"/>
  <c r="BJ41" i="1" s="1"/>
  <c r="BE86" i="1"/>
  <c r="BF86" i="1" s="1"/>
  <c r="BN28" i="1"/>
  <c r="BR28" i="1" s="1"/>
  <c r="BE27" i="1"/>
  <c r="BF27" i="1" s="1"/>
  <c r="BQ64" i="1"/>
  <c r="AR64" i="1" s="1"/>
  <c r="BJ64" i="1" s="1"/>
  <c r="BQ56" i="1"/>
  <c r="AR56" i="1" s="1"/>
  <c r="BJ56" i="1" s="1"/>
  <c r="BQ52" i="1"/>
  <c r="AR52" i="1" s="1"/>
  <c r="BJ52" i="1" s="1"/>
  <c r="BQ48" i="1"/>
  <c r="AR48" i="1" s="1"/>
  <c r="BJ48" i="1" s="1"/>
  <c r="BO53" i="1"/>
  <c r="BR53" i="1" s="1"/>
  <c r="BP119" i="1"/>
  <c r="BE66" i="1"/>
  <c r="BF66" i="1" s="1"/>
  <c r="BQ4" i="1"/>
  <c r="AR4" i="1" s="1"/>
  <c r="BJ4" i="1" s="1"/>
  <c r="BN41" i="1"/>
  <c r="BR41" i="1" s="1"/>
  <c r="BE9" i="1"/>
  <c r="BF9" i="1" s="1"/>
  <c r="BE89" i="1"/>
  <c r="BF89" i="1" s="1"/>
  <c r="BE69" i="1"/>
  <c r="BF69" i="1" s="1"/>
  <c r="BE40" i="1"/>
  <c r="BF40" i="1" s="1"/>
  <c r="BN68" i="1"/>
  <c r="BR68" i="1" s="1"/>
  <c r="BE67" i="1"/>
  <c r="BF67" i="1" s="1"/>
  <c r="BE48" i="1"/>
  <c r="BF48" i="1" s="1"/>
  <c r="BQ42" i="1"/>
  <c r="AR42" i="1" s="1"/>
  <c r="BJ42" i="1" s="1"/>
  <c r="BN13" i="1"/>
  <c r="BR13" i="1" s="1"/>
  <c r="BN60" i="1"/>
  <c r="BR60" i="1" s="1"/>
  <c r="BN88" i="1"/>
  <c r="BR88" i="1" s="1"/>
  <c r="BP31" i="1"/>
  <c r="BP3" i="1"/>
  <c r="BO108" i="1"/>
  <c r="BR108" i="1" s="1"/>
  <c r="BQ13" i="1"/>
  <c r="AR13" i="1" s="1"/>
  <c r="BJ13" i="1" s="1"/>
  <c r="BN109" i="1"/>
  <c r="BR109" i="1" s="1"/>
  <c r="BE49" i="1"/>
  <c r="BF49" i="1" s="1"/>
  <c r="BQ62" i="1"/>
  <c r="AR62" i="1" s="1"/>
  <c r="BJ62" i="1" s="1"/>
  <c r="BQ58" i="1"/>
  <c r="AR58" i="1" s="1"/>
  <c r="BJ58" i="1" s="1"/>
  <c r="BQ98" i="1"/>
  <c r="AR98" i="1" s="1"/>
  <c r="BJ98" i="1" s="1"/>
  <c r="BQ94" i="1"/>
  <c r="AR94" i="1" s="1"/>
  <c r="BJ94" i="1" s="1"/>
  <c r="BQ82" i="1"/>
  <c r="AR82" i="1" s="1"/>
  <c r="BJ82" i="1" s="1"/>
  <c r="BQ78" i="1"/>
  <c r="AR78" i="1" s="1"/>
  <c r="BJ78" i="1" s="1"/>
  <c r="BQ74" i="1"/>
  <c r="AR74" i="1" s="1"/>
  <c r="BJ74" i="1" s="1"/>
  <c r="BQ70" i="1"/>
  <c r="AR70" i="1" s="1"/>
  <c r="BJ70" i="1" s="1"/>
  <c r="BQ118" i="1"/>
  <c r="AR118" i="1" s="1"/>
  <c r="BJ118" i="1" s="1"/>
  <c r="BQ114" i="1"/>
  <c r="AR114" i="1" s="1"/>
  <c r="BJ114" i="1" s="1"/>
  <c r="BQ110" i="1"/>
  <c r="AR110" i="1" s="1"/>
  <c r="BJ110" i="1" s="1"/>
  <c r="BQ106" i="1"/>
  <c r="AR106" i="1" s="1"/>
  <c r="BJ106" i="1" s="1"/>
  <c r="BE57" i="1"/>
  <c r="BF57" i="1" s="1"/>
  <c r="BN49" i="1"/>
  <c r="BR49" i="1" s="1"/>
  <c r="BE109" i="1"/>
  <c r="BF109" i="1" s="1"/>
  <c r="BQ22" i="1"/>
  <c r="AR22" i="1" s="1"/>
  <c r="BJ22" i="1" s="1"/>
  <c r="BQ31" i="1"/>
  <c r="AR31" i="1" s="1"/>
  <c r="BJ31" i="1" s="1"/>
  <c r="BP22" i="1"/>
  <c r="BP13" i="1"/>
  <c r="BE4" i="1"/>
  <c r="BF4" i="1" s="1"/>
  <c r="BP71" i="1" l="1"/>
  <c r="BQ71" i="1"/>
  <c r="AR71" i="1" s="1"/>
  <c r="BJ71" i="1" s="1"/>
  <c r="BP66" i="1"/>
  <c r="BQ66" i="1"/>
  <c r="AR66" i="1" s="1"/>
  <c r="BJ66" i="1" s="1"/>
  <c r="BQ75" i="1"/>
  <c r="AR75" i="1" s="1"/>
  <c r="BJ75" i="1" s="1"/>
  <c r="BQ37" i="1"/>
  <c r="AR37" i="1" s="1"/>
  <c r="BJ37" i="1" s="1"/>
  <c r="BQ59" i="1"/>
  <c r="AR59" i="1" s="1"/>
  <c r="BJ59" i="1" s="1"/>
  <c r="BQ39" i="1"/>
  <c r="AR39" i="1" s="1"/>
  <c r="BJ39" i="1" s="1"/>
  <c r="BP51" i="1"/>
  <c r="BP45" i="1"/>
  <c r="BQ36" i="1"/>
  <c r="AR36" i="1" s="1"/>
  <c r="BJ36" i="1" s="1"/>
  <c r="BP55" i="1"/>
  <c r="BP54" i="1"/>
  <c r="BQ112" i="1"/>
  <c r="AR112" i="1" s="1"/>
  <c r="BJ112" i="1" s="1"/>
  <c r="BQ81" i="1"/>
  <c r="AR81" i="1" s="1"/>
  <c r="BJ81" i="1" s="1"/>
  <c r="BQ44" i="1"/>
  <c r="AR44" i="1" s="1"/>
  <c r="BJ44" i="1" s="1"/>
  <c r="BQ102" i="1"/>
  <c r="AR102" i="1" s="1"/>
  <c r="BJ102" i="1" s="1"/>
  <c r="BQ90" i="1"/>
  <c r="AR90" i="1" s="1"/>
  <c r="BJ90" i="1" s="1"/>
  <c r="BQ80" i="1"/>
  <c r="AR80" i="1" s="1"/>
  <c r="BJ80" i="1" s="1"/>
  <c r="BQ79" i="1"/>
  <c r="AR79" i="1" s="1"/>
  <c r="BJ79" i="1" s="1"/>
  <c r="BP67" i="1"/>
  <c r="BP27" i="1"/>
  <c r="BQ53" i="1"/>
  <c r="AR53" i="1" s="1"/>
  <c r="BJ53" i="1" s="1"/>
  <c r="BP53" i="1"/>
  <c r="BP50" i="1"/>
  <c r="BQ50" i="1"/>
  <c r="AR50" i="1" s="1"/>
  <c r="BJ50" i="1" s="1"/>
  <c r="BP43" i="1"/>
  <c r="BQ43" i="1"/>
  <c r="AR43" i="1" s="1"/>
  <c r="BJ43" i="1" s="1"/>
  <c r="BQ86" i="1"/>
  <c r="AR86" i="1" s="1"/>
  <c r="BJ86" i="1" s="1"/>
  <c r="BQ61" i="1"/>
  <c r="AR61" i="1" s="1"/>
  <c r="BJ61" i="1" s="1"/>
  <c r="BP61" i="1"/>
  <c r="BQ46" i="1"/>
  <c r="AR46" i="1" s="1"/>
  <c r="BJ46" i="1" s="1"/>
  <c r="BQ72" i="1"/>
  <c r="AR72" i="1" s="1"/>
  <c r="BJ72" i="1" s="1"/>
  <c r="BP72" i="1"/>
  <c r="BP47" i="1"/>
  <c r="BP63" i="1"/>
  <c r="BP108" i="1"/>
  <c r="BQ108" i="1"/>
  <c r="AR108" i="1" s="1"/>
  <c r="BJ108" i="1" s="1"/>
  <c r="BP88" i="1"/>
  <c r="BQ88" i="1"/>
  <c r="AR88" i="1" s="1"/>
  <c r="BJ88" i="1" s="1"/>
  <c r="BP9" i="1"/>
  <c r="BQ107" i="1"/>
  <c r="AR107" i="1" s="1"/>
  <c r="BJ107" i="1" s="1"/>
  <c r="BP107" i="1"/>
  <c r="BP48" i="1"/>
  <c r="BQ89" i="1"/>
  <c r="AR89" i="1" s="1"/>
  <c r="BJ89" i="1" s="1"/>
  <c r="BP89" i="1"/>
  <c r="BQ117" i="1"/>
  <c r="AR117" i="1" s="1"/>
  <c r="BJ117" i="1" s="1"/>
  <c r="BP117" i="1"/>
  <c r="BP87" i="1"/>
  <c r="BQ87" i="1"/>
  <c r="AR87" i="1" s="1"/>
  <c r="BJ87" i="1" s="1"/>
  <c r="BQ57" i="1"/>
  <c r="AR57" i="1" s="1"/>
  <c r="BJ57" i="1" s="1"/>
  <c r="BP68" i="1"/>
  <c r="BQ68" i="1"/>
  <c r="AR68" i="1" s="1"/>
  <c r="BJ68" i="1" s="1"/>
  <c r="BN33" i="1"/>
  <c r="BN32" i="1"/>
  <c r="BN30" i="1"/>
  <c r="BN12" i="1"/>
  <c r="BN5" i="1"/>
  <c r="BR5" i="1" s="1"/>
  <c r="BN3" i="1"/>
  <c r="BH7" i="1"/>
  <c r="BK5" i="1"/>
  <c r="BI38" i="1"/>
  <c r="BI35" i="1"/>
  <c r="BI34" i="1"/>
  <c r="BI33" i="1"/>
  <c r="BI32" i="1"/>
  <c r="BI30" i="1"/>
  <c r="BI29" i="1"/>
  <c r="BI26" i="1"/>
  <c r="BI25" i="1"/>
  <c r="BI24" i="1"/>
  <c r="BI23" i="1"/>
  <c r="BI21" i="1"/>
  <c r="BI20" i="1"/>
  <c r="BI17" i="1"/>
  <c r="BI16" i="1"/>
  <c r="BI15" i="1"/>
  <c r="BI14" i="1"/>
  <c r="BI12" i="1"/>
  <c r="BI11" i="1"/>
  <c r="BI8" i="1"/>
  <c r="BI7" i="1"/>
  <c r="BI5" i="1"/>
  <c r="BN29" i="1"/>
  <c r="BN26" i="1"/>
  <c r="BH24" i="1"/>
  <c r="BH23" i="1"/>
  <c r="BH21" i="1"/>
  <c r="AT38" i="1"/>
  <c r="AT35" i="1"/>
  <c r="AT34" i="1"/>
  <c r="AT32" i="1"/>
  <c r="AT30" i="1"/>
  <c r="AT29" i="1"/>
  <c r="AT26" i="1"/>
  <c r="AT25" i="1"/>
  <c r="AT24" i="1"/>
  <c r="AT23" i="1"/>
  <c r="AT21" i="1"/>
  <c r="AT20" i="1"/>
  <c r="AT17" i="1"/>
  <c r="AT16" i="1"/>
  <c r="AT15" i="1"/>
  <c r="AT14" i="1"/>
  <c r="AT12" i="1"/>
  <c r="AS16" i="1"/>
  <c r="AS38" i="1"/>
  <c r="AS35" i="1"/>
  <c r="AS34" i="1"/>
  <c r="AS33" i="1"/>
  <c r="AS32" i="1"/>
  <c r="AS30" i="1"/>
  <c r="AS29" i="1"/>
  <c r="AS26" i="1"/>
  <c r="AS25" i="1"/>
  <c r="AS24" i="1"/>
  <c r="AS23" i="1"/>
  <c r="AS21" i="1"/>
  <c r="AS20" i="1"/>
  <c r="AS17" i="1"/>
  <c r="AS15" i="1"/>
  <c r="AS14" i="1"/>
  <c r="BR23" i="1" l="1"/>
  <c r="BH17" i="1"/>
  <c r="BH38" i="1"/>
  <c r="BH35" i="1"/>
  <c r="BH34" i="1"/>
  <c r="BH33" i="1"/>
  <c r="BH32" i="1"/>
  <c r="BH30" i="1"/>
  <c r="BH25" i="1"/>
  <c r="BH29" i="1"/>
  <c r="BH12" i="1"/>
  <c r="BH20" i="1"/>
  <c r="BH16" i="1"/>
  <c r="BH15" i="1"/>
  <c r="BH14" i="1"/>
  <c r="BH8" i="1"/>
  <c r="BR16" i="1"/>
  <c r="BR17" i="1"/>
  <c r="BR20" i="1"/>
  <c r="BN34" i="1"/>
  <c r="BR34" i="1" s="1"/>
  <c r="BN38" i="1"/>
  <c r="BR38" i="1" s="1"/>
  <c r="BN35" i="1"/>
  <c r="BR35" i="1" s="1"/>
  <c r="BH11" i="1"/>
  <c r="BH5" i="1"/>
  <c r="AR3" i="1"/>
  <c r="BJ3" i="1" s="1"/>
  <c r="BR3" i="1"/>
  <c r="AQ38" i="1"/>
  <c r="AQ35" i="1"/>
  <c r="AQ34" i="1"/>
  <c r="BR33" i="1"/>
  <c r="AQ33" i="1"/>
  <c r="BR32" i="1"/>
  <c r="BE32" i="1"/>
  <c r="BF32" i="1" s="1"/>
  <c r="AQ32" i="1"/>
  <c r="BR30" i="1"/>
  <c r="BE30" i="1"/>
  <c r="BF30" i="1" s="1"/>
  <c r="AQ30" i="1"/>
  <c r="BR29" i="1"/>
  <c r="AQ29" i="1"/>
  <c r="BR26" i="1"/>
  <c r="AQ26" i="1"/>
  <c r="BR25" i="1"/>
  <c r="AQ25" i="1"/>
  <c r="BR24" i="1"/>
  <c r="BE24" i="1"/>
  <c r="BF24" i="1" s="1"/>
  <c r="AQ24" i="1"/>
  <c r="AQ23" i="1"/>
  <c r="BR21" i="1"/>
  <c r="AQ21" i="1"/>
  <c r="AQ20" i="1"/>
  <c r="AQ17" i="1"/>
  <c r="AQ16" i="1"/>
  <c r="BR15" i="1"/>
  <c r="BE15" i="1"/>
  <c r="BF15" i="1" s="1"/>
  <c r="AQ15" i="1"/>
  <c r="BR14" i="1"/>
  <c r="AQ14" i="1"/>
  <c r="BR12" i="1"/>
  <c r="AQ12" i="1"/>
  <c r="AQ7" i="1"/>
  <c r="AQ5" i="1"/>
  <c r="BE34" i="1" l="1"/>
  <c r="BF34" i="1" s="1"/>
  <c r="BE33" i="1"/>
  <c r="BF33" i="1" s="1"/>
  <c r="BE35" i="1"/>
  <c r="BF35" i="1" s="1"/>
  <c r="BP34" i="1"/>
  <c r="BQ34" i="1"/>
  <c r="BE26" i="1"/>
  <c r="BF26" i="1" s="1"/>
  <c r="BQ35" i="1"/>
  <c r="BP35" i="1"/>
  <c r="BQ38" i="1"/>
  <c r="BP38" i="1"/>
  <c r="BE38" i="1"/>
  <c r="BF38" i="1" s="1"/>
  <c r="BP16" i="1"/>
  <c r="BQ26" i="1"/>
  <c r="BE29" i="1"/>
  <c r="BF29" i="1" s="1"/>
  <c r="BE16" i="1"/>
  <c r="BF16" i="1" s="1"/>
  <c r="BQ29" i="1"/>
  <c r="BE17" i="1"/>
  <c r="BF17" i="1" s="1"/>
  <c r="BE21" i="1"/>
  <c r="BF21" i="1" s="1"/>
  <c r="BE25" i="1"/>
  <c r="BF25" i="1" s="1"/>
  <c r="BP25" i="1"/>
  <c r="BE7" i="1"/>
  <c r="BF7" i="1" s="1"/>
  <c r="BE23" i="1"/>
  <c r="BF23" i="1" s="1"/>
  <c r="BE20" i="1"/>
  <c r="BF20" i="1" s="1"/>
  <c r="BQ20" i="1"/>
  <c r="BP20" i="1"/>
  <c r="BQ17" i="1"/>
  <c r="AR17" i="1" s="1"/>
  <c r="BJ17" i="1" s="1"/>
  <c r="BP17" i="1"/>
  <c r="BE14" i="1"/>
  <c r="BF14" i="1" s="1"/>
  <c r="BE12" i="1"/>
  <c r="BF12" i="1" s="1"/>
  <c r="BQ7" i="1"/>
  <c r="BP7" i="1"/>
  <c r="BE5" i="1"/>
  <c r="BF5" i="1" s="1"/>
  <c r="BR11" i="1"/>
  <c r="AR7" i="1" l="1"/>
  <c r="BJ7" i="1" s="1"/>
  <c r="BP26" i="1"/>
  <c r="BQ16" i="1"/>
  <c r="AR16" i="1" s="1"/>
  <c r="BJ16" i="1" s="1"/>
  <c r="BQ25" i="1"/>
  <c r="AR25" i="1" s="1"/>
  <c r="BJ25" i="1" s="1"/>
  <c r="BP29" i="1"/>
  <c r="AQ11" i="1"/>
  <c r="AQ8" i="1"/>
  <c r="AQ6" i="1"/>
  <c r="BF3" i="1" l="1"/>
  <c r="BE6" i="1"/>
  <c r="BF6" i="1" s="1"/>
  <c r="BE8" i="1" l="1"/>
  <c r="BF8" i="1" s="1"/>
  <c r="BE11" i="1"/>
  <c r="BF11" i="1" s="1"/>
  <c r="BP11" i="1" l="1"/>
  <c r="BQ11" i="1"/>
  <c r="AR11" i="1" s="1"/>
  <c r="BJ11" i="1" s="1"/>
  <c r="BP8" i="1"/>
  <c r="BQ8" i="1"/>
  <c r="AR8" i="1" s="1"/>
  <c r="BJ8" i="1" s="1"/>
  <c r="BP6" i="1"/>
  <c r="BQ24" i="1"/>
  <c r="AR24" i="1" s="1"/>
  <c r="BJ24" i="1" s="1"/>
  <c r="BP24" i="1"/>
  <c r="BQ23" i="1"/>
  <c r="AR23" i="1" s="1"/>
  <c r="BJ23" i="1" s="1"/>
  <c r="BP23" i="1"/>
  <c r="BQ5" i="1"/>
  <c r="AR5" i="1" s="1"/>
  <c r="BJ5" i="1" s="1"/>
  <c r="BQ33" i="1"/>
  <c r="AR33" i="1" s="1"/>
  <c r="BJ33" i="1" s="1"/>
  <c r="BP32" i="1"/>
  <c r="BP30" i="1"/>
  <c r="BP21" i="1" l="1"/>
  <c r="AR29" i="1"/>
  <c r="BJ29" i="1" s="1"/>
  <c r="BQ21" i="1"/>
  <c r="AR21" i="1" s="1"/>
  <c r="BJ21" i="1" s="1"/>
  <c r="AR35" i="1"/>
  <c r="BJ35" i="1" s="1"/>
  <c r="AR38" i="1"/>
  <c r="BJ38" i="1" s="1"/>
  <c r="BP33" i="1"/>
  <c r="BQ32" i="1"/>
  <c r="AR32" i="1" s="1"/>
  <c r="BJ32" i="1" s="1"/>
  <c r="BQ30" i="1"/>
  <c r="AR30" i="1" s="1"/>
  <c r="BJ30" i="1" s="1"/>
  <c r="BP5" i="1"/>
  <c r="BQ6" i="1"/>
  <c r="BQ14" i="1"/>
  <c r="AR14" i="1" s="1"/>
  <c r="BJ14" i="1" s="1"/>
  <c r="BQ12" i="1"/>
  <c r="AR12" i="1" s="1"/>
  <c r="BJ12" i="1" s="1"/>
  <c r="BQ15" i="1"/>
  <c r="AR15" i="1" s="1"/>
  <c r="BJ15" i="1" s="1"/>
  <c r="AR6" i="1" l="1"/>
  <c r="BJ6" i="1" s="1"/>
  <c r="AR20" i="1"/>
  <c r="BJ20" i="1" s="1"/>
  <c r="AR34" i="1"/>
  <c r="BJ34" i="1" s="1"/>
  <c r="AR26" i="1"/>
  <c r="BJ26" i="1" s="1"/>
  <c r="BP15" i="1"/>
  <c r="BP12" i="1"/>
  <c r="BP14" i="1"/>
</calcChain>
</file>

<file path=xl/sharedStrings.xml><?xml version="1.0" encoding="utf-8"?>
<sst xmlns="http://schemas.openxmlformats.org/spreadsheetml/2006/main" count="341" uniqueCount="94">
  <si>
    <t>Batch Data</t>
  </si>
  <si>
    <t>Offline Data</t>
  </si>
  <si>
    <t>Online Data</t>
  </si>
  <si>
    <t>Process Setpoints</t>
  </si>
  <si>
    <t>MPC Data</t>
  </si>
  <si>
    <t>Calculations</t>
  </si>
  <si>
    <t>Final Values</t>
  </si>
  <si>
    <t>Batch</t>
  </si>
  <si>
    <t>Scale (L)</t>
  </si>
  <si>
    <t>Controller</t>
  </si>
  <si>
    <t>iVCC</t>
  </si>
  <si>
    <t>Day</t>
  </si>
  <si>
    <t>Comments</t>
  </si>
  <si>
    <t>Sample Time</t>
  </si>
  <si>
    <t>Reference Titer</t>
  </si>
  <si>
    <t>HPLC Titer</t>
  </si>
  <si>
    <t>IGG</t>
  </si>
  <si>
    <t xml:space="preserve">TCC  </t>
  </si>
  <si>
    <t>VCC</t>
  </si>
  <si>
    <t>Viability</t>
  </si>
  <si>
    <t xml:space="preserve">Diam </t>
  </si>
  <si>
    <t>Osmolality</t>
  </si>
  <si>
    <t>Ammonium</t>
  </si>
  <si>
    <t>Calcium</t>
  </si>
  <si>
    <t>Glucose</t>
  </si>
  <si>
    <t>Used in Feed?</t>
  </si>
  <si>
    <t>Glutamine</t>
  </si>
  <si>
    <t>Glutamate</t>
  </si>
  <si>
    <t>Lactate</t>
  </si>
  <si>
    <t>pH</t>
  </si>
  <si>
    <t>CO2</t>
  </si>
  <si>
    <t>pO2</t>
  </si>
  <si>
    <t>Potassium</t>
  </si>
  <si>
    <t>Sodium</t>
  </si>
  <si>
    <t>Bicarbonate</t>
  </si>
  <si>
    <t>pCO2 at Temp</t>
  </si>
  <si>
    <t>pO2 at Temp</t>
  </si>
  <si>
    <t>pH at Temp</t>
  </si>
  <si>
    <t>Agitation Rate (rpm)</t>
  </si>
  <si>
    <t>DO Raw</t>
  </si>
  <si>
    <t>Online pH</t>
  </si>
  <si>
    <t>Vessel Temp (*C)</t>
  </si>
  <si>
    <t>Base Pumped (mL)</t>
  </si>
  <si>
    <t>Acid Pumped (mL)</t>
  </si>
  <si>
    <t>Antifoam Amount (mL)</t>
  </si>
  <si>
    <t>Cumulative Feed Amount (mL)</t>
  </si>
  <si>
    <t>Cumulative Glucose Amount (mL)</t>
  </si>
  <si>
    <t>Volume from Reactor (mL)</t>
  </si>
  <si>
    <t>Feed Weight (g)</t>
  </si>
  <si>
    <t>DO</t>
  </si>
  <si>
    <t>Feed Flow Rate (mL/min)</t>
  </si>
  <si>
    <t>Daily Feed Amount (mL)</t>
  </si>
  <si>
    <t>Daily Glucose Amount (mL)</t>
  </si>
  <si>
    <t>Daily Feed Weight (g)</t>
  </si>
  <si>
    <t>Sample Volume (mL)</t>
  </si>
  <si>
    <t>Initial_Volume</t>
  </si>
  <si>
    <t>Temp_Setpoint</t>
  </si>
  <si>
    <t>pH_setpoint</t>
  </si>
  <si>
    <t>CD96 CSFR Setpoint</t>
  </si>
  <si>
    <t>Model Feed Input Python</t>
  </si>
  <si>
    <t>Model Feed Input Julia</t>
  </si>
  <si>
    <t>Model Glucose Input Julia</t>
  </si>
  <si>
    <t>Feed Flow Rate based on CSFR (mL/min)</t>
  </si>
  <si>
    <t>Feed Fed based on CSFR (mL)</t>
  </si>
  <si>
    <t>Volume (mL)</t>
  </si>
  <si>
    <t>Cumulative_Normalized_Feed_Current WV</t>
  </si>
  <si>
    <t>Cumulative_Normalized_Feed_Initial WV</t>
  </si>
  <si>
    <t>Amount of Future Feed</t>
  </si>
  <si>
    <t>Feed Rate (mL/hr) Python</t>
  </si>
  <si>
    <t>Feed Rate (mL/hr) Julia</t>
  </si>
  <si>
    <t>Feed Rate based on CSFR (mL/hr)</t>
  </si>
  <si>
    <t>Amount of Glucose to Feed (mL)</t>
  </si>
  <si>
    <t>Amount of Glucose (mL) Julia</t>
  </si>
  <si>
    <t>Pump RPM</t>
  </si>
  <si>
    <t>Flow Rates to Copy to System</t>
  </si>
  <si>
    <t>Glucose to Copy to System</t>
  </si>
  <si>
    <t>FER640</t>
  </si>
  <si>
    <t>Julia</t>
  </si>
  <si>
    <t>No Glucose feed</t>
  </si>
  <si>
    <t>AR24-072-011</t>
  </si>
  <si>
    <t>No MPC</t>
  </si>
  <si>
    <t>AR24-072-012</t>
  </si>
  <si>
    <t>AR24-072-013</t>
  </si>
  <si>
    <t>Python</t>
  </si>
  <si>
    <t>AR24-072-014</t>
  </si>
  <si>
    <t>AR24-072-015</t>
  </si>
  <si>
    <t>AR24-072-016</t>
  </si>
  <si>
    <t>AR24-072-017</t>
  </si>
  <si>
    <t>AR24-072-018</t>
  </si>
  <si>
    <t>Glucose Strategy: feed up to 5g/L</t>
  </si>
  <si>
    <t>Glucose Strategy: feed up to 3g/L if under 1.5 g/L, CSFR was used since model predicted low feed</t>
  </si>
  <si>
    <t xml:space="preserve"> MPC underfeeding 30%  compared to manual (titer information missing from input file from Tech). Cannot manually adjust pumps. </t>
  </si>
  <si>
    <t xml:space="preserve"> </t>
  </si>
  <si>
    <t>Contaminated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</si>
</sst>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"/>
    <numFmt numFmtId="167" formatCode="[$-409]m/d/yy\ h:mm\ AM/PM;@"/>
    <numFmt numFmtId="168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08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7">
    <xf numFmtId="0" fontId="0" fillId="0" borderId="0" xfId="0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2" fontId="0" fillId="0" borderId="11" xfId="0" applyNumberFormat="1" applyBorder="1"/>
    <xf numFmtId="2" fontId="0" fillId="0" borderId="16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37" borderId="11" xfId="0" applyNumberFormat="1" applyFill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37" borderId="16" xfId="0" applyNumberFormat="1" applyFill="1" applyBorder="1"/>
    <xf numFmtId="0" fontId="20" fillId="0" borderId="14" xfId="0" applyFont="1" applyBorder="1" applyAlignment="1">
      <alignment horizontal="center" vertical="center" wrapText="1"/>
    </xf>
    <xf numFmtId="2" fontId="0" fillId="0" borderId="12" xfId="0" applyNumberFormat="1" applyBorder="1"/>
    <xf numFmtId="2" fontId="0" fillId="0" borderId="14" xfId="0" applyNumberFormat="1" applyBorder="1"/>
    <xf numFmtId="2" fontId="0" fillId="0" borderId="17" xfId="0" applyNumberFormat="1" applyBorder="1"/>
    <xf numFmtId="0" fontId="20" fillId="0" borderId="0" xfId="0" applyFont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164" fontId="0" fillId="0" borderId="12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165" fontId="0" fillId="38" borderId="14" xfId="0" applyNumberFormat="1" applyFill="1" applyBorder="1"/>
    <xf numFmtId="165" fontId="0" fillId="38" borderId="17" xfId="0" applyNumberFormat="1" applyFill="1" applyBorder="1"/>
    <xf numFmtId="165" fontId="0" fillId="38" borderId="12" xfId="0" applyNumberFormat="1" applyFill="1" applyBorder="1"/>
    <xf numFmtId="0" fontId="22" fillId="0" borderId="14" xfId="0" applyFont="1" applyBorder="1" applyAlignment="1">
      <alignment horizontal="center" vertical="center" wrapText="1"/>
    </xf>
    <xf numFmtId="166" fontId="0" fillId="37" borderId="11" xfId="0" applyNumberFormat="1" applyFill="1" applyBorder="1"/>
    <xf numFmtId="166" fontId="0" fillId="37" borderId="16" xfId="0" applyNumberFormat="1" applyFill="1" applyBorder="1"/>
    <xf numFmtId="166" fontId="0" fillId="38" borderId="11" xfId="0" applyNumberFormat="1" applyFill="1" applyBorder="1"/>
    <xf numFmtId="166" fontId="0" fillId="38" borderId="16" xfId="0" applyNumberFormat="1" applyFill="1" applyBorder="1"/>
    <xf numFmtId="2" fontId="0" fillId="40" borderId="11" xfId="0" applyNumberFormat="1" applyFill="1" applyBorder="1"/>
    <xf numFmtId="2" fontId="0" fillId="40" borderId="16" xfId="0" applyNumberFormat="1" applyFill="1" applyBorder="1"/>
    <xf numFmtId="22" fontId="0" fillId="0" borderId="12" xfId="0" applyNumberFormat="1" applyBorder="1"/>
    <xf numFmtId="22" fontId="0" fillId="0" borderId="14" xfId="0" applyNumberFormat="1" applyBorder="1"/>
    <xf numFmtId="22" fontId="0" fillId="0" borderId="17" xfId="0" applyNumberFormat="1" applyBorder="1"/>
    <xf numFmtId="0" fontId="24" fillId="0" borderId="11" xfId="0" applyFont="1" applyBorder="1"/>
    <xf numFmtId="0" fontId="24" fillId="0" borderId="16" xfId="0" applyFont="1" applyBorder="1"/>
    <xf numFmtId="2" fontId="14" fillId="0" borderId="11" xfId="0" applyNumberFormat="1" applyFont="1" applyBorder="1"/>
    <xf numFmtId="2" fontId="0" fillId="0" borderId="0" xfId="0" applyNumberFormat="1"/>
    <xf numFmtId="2" fontId="0" fillId="40" borderId="0" xfId="0" applyNumberFormat="1" applyFill="1"/>
    <xf numFmtId="164" fontId="0" fillId="0" borderId="0" xfId="0" applyNumberFormat="1"/>
    <xf numFmtId="164" fontId="0" fillId="37" borderId="0" xfId="0" applyNumberFormat="1" applyFill="1"/>
    <xf numFmtId="166" fontId="0" fillId="37" borderId="0" xfId="0" applyNumberFormat="1" applyFill="1"/>
    <xf numFmtId="166" fontId="0" fillId="38" borderId="0" xfId="0" applyNumberFormat="1" applyFill="1"/>
    <xf numFmtId="2" fontId="14" fillId="0" borderId="0" xfId="0" applyNumberFormat="1" applyFont="1"/>
    <xf numFmtId="2" fontId="25" fillId="0" borderId="0" xfId="0" applyNumberFormat="1" applyFont="1"/>
    <xf numFmtId="0" fontId="24" fillId="0" borderId="0" xfId="0" applyFont="1"/>
    <xf numFmtId="164" fontId="26" fillId="0" borderId="0" xfId="0" applyNumberFormat="1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0" fillId="0" borderId="14" xfId="0" applyBorder="1"/>
    <xf numFmtId="165" fontId="0" fillId="37" borderId="14" xfId="0" applyNumberFormat="1" applyFill="1" applyBorder="1"/>
    <xf numFmtId="167" fontId="0" fillId="0" borderId="0" xfId="0" applyNumberFormat="1"/>
    <xf numFmtId="18" fontId="0" fillId="0" borderId="0" xfId="0" applyNumberFormat="1"/>
    <xf numFmtId="165" fontId="0" fillId="37" borderId="12" xfId="0" applyNumberFormat="1" applyFill="1" applyBorder="1"/>
    <xf numFmtId="165" fontId="0" fillId="37" borderId="17" xfId="0" applyNumberFormat="1" applyFill="1" applyBorder="1"/>
    <xf numFmtId="164" fontId="26" fillId="0" borderId="16" xfId="0" applyNumberFormat="1" applyFont="1" applyBorder="1"/>
    <xf numFmtId="0" fontId="0" fillId="0" borderId="12" xfId="0" applyBorder="1"/>
    <xf numFmtId="0" fontId="0" fillId="0" borderId="17" xfId="0" applyBorder="1"/>
    <xf numFmtId="0" fontId="0" fillId="33" borderId="0" xfId="0" applyFill="1"/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68" fontId="0" fillId="33" borderId="11" xfId="0" applyNumberFormat="1" applyFill="1" applyBorder="1"/>
    <xf numFmtId="168" fontId="0" fillId="33" borderId="0" xfId="0" applyNumberFormat="1" applyFill="1"/>
    <xf numFmtId="168" fontId="0" fillId="33" borderId="16" xfId="0" applyNumberFormat="1" applyFill="1" applyBorder="1"/>
    <xf numFmtId="22" fontId="0" fillId="0" borderId="11" xfId="0" applyNumberFormat="1" applyBorder="1"/>
    <xf numFmtId="22" fontId="0" fillId="0" borderId="0" xfId="0" applyNumberFormat="1"/>
    <xf numFmtId="0" fontId="14" fillId="0" borderId="0" xfId="0" applyFont="1"/>
    <xf numFmtId="2" fontId="26" fillId="0" borderId="0" xfId="0" applyNumberFormat="1" applyFont="1"/>
    <xf numFmtId="11" fontId="0" fillId="0" borderId="0" xfId="0" applyNumberFormat="1"/>
    <xf numFmtId="22" fontId="0" fillId="41" borderId="12" xfId="0" applyNumberFormat="1" applyFill="1" applyBorder="1"/>
    <xf numFmtId="2" fontId="0" fillId="41" borderId="11" xfId="0" applyNumberFormat="1" applyFill="1" applyBorder="1"/>
    <xf numFmtId="2" fontId="0" fillId="41" borderId="12" xfId="0" applyNumberFormat="1" applyFill="1" applyBorder="1"/>
    <xf numFmtId="2" fontId="26" fillId="0" borderId="11" xfId="0" applyNumberFormat="1" applyFont="1" applyBorder="1"/>
    <xf numFmtId="0" fontId="26" fillId="0" borderId="11" xfId="0" applyFont="1" applyBorder="1"/>
    <xf numFmtId="0" fontId="26" fillId="0" borderId="0" xfId="0" applyFont="1"/>
    <xf numFmtId="0" fontId="26" fillId="0" borderId="16" xfId="0" applyFont="1" applyBorder="1"/>
    <xf numFmtId="0" fontId="0" fillId="0" borderId="10" xfId="0" applyFill="1" applyBorder="1"/>
    <xf numFmtId="0" fontId="0" fillId="0" borderId="11" xfId="0" applyFill="1" applyBorder="1"/>
    <xf numFmtId="22" fontId="0" fillId="0" borderId="12" xfId="0" applyNumberFormat="1" applyFill="1" applyBorder="1"/>
    <xf numFmtId="2" fontId="0" fillId="0" borderId="11" xfId="0" applyNumberFormat="1" applyFill="1" applyBorder="1"/>
    <xf numFmtId="2" fontId="0" fillId="0" borderId="12" xfId="0" applyNumberFormat="1" applyFill="1" applyBorder="1"/>
    <xf numFmtId="168" fontId="0" fillId="0" borderId="11" xfId="0" applyNumberFormat="1" applyFill="1" applyBorder="1"/>
    <xf numFmtId="164" fontId="0" fillId="0" borderId="11" xfId="0" applyNumberFormat="1" applyFill="1" applyBorder="1"/>
    <xf numFmtId="164" fontId="0" fillId="0" borderId="10" xfId="0" applyNumberFormat="1" applyFill="1" applyBorder="1"/>
    <xf numFmtId="164" fontId="0" fillId="0" borderId="12" xfId="0" applyNumberFormat="1" applyFill="1" applyBorder="1"/>
    <xf numFmtId="166" fontId="0" fillId="0" borderId="11" xfId="0" applyNumberFormat="1" applyFill="1" applyBorder="1"/>
    <xf numFmtId="165" fontId="0" fillId="0" borderId="12" xfId="0" applyNumberFormat="1" applyFill="1" applyBorder="1"/>
    <xf numFmtId="0" fontId="0" fillId="0" borderId="0" xfId="0" applyFill="1"/>
    <xf numFmtId="0" fontId="19" fillId="38" borderId="18" xfId="0" applyFont="1" applyFill="1" applyBorder="1" applyAlignment="1">
      <alignment horizontal="center"/>
    </xf>
    <xf numFmtId="0" fontId="19" fillId="38" borderId="20" xfId="0" applyFont="1" applyFill="1" applyBorder="1" applyAlignment="1">
      <alignment horizontal="center"/>
    </xf>
    <xf numFmtId="0" fontId="19" fillId="36" borderId="18" xfId="0" applyFont="1" applyFill="1" applyBorder="1" applyAlignment="1">
      <alignment horizontal="center"/>
    </xf>
    <xf numFmtId="0" fontId="19" fillId="36" borderId="19" xfId="0" applyFont="1" applyFill="1" applyBorder="1" applyAlignment="1">
      <alignment horizontal="center"/>
    </xf>
    <xf numFmtId="0" fontId="19" fillId="39" borderId="18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0" fontId="19" fillId="35" borderId="18" xfId="0" applyFont="1" applyFill="1" applyBorder="1" applyAlignment="1">
      <alignment horizontal="center"/>
    </xf>
    <xf numFmtId="0" fontId="19" fillId="35" borderId="19" xfId="0" applyFont="1" applyFill="1" applyBorder="1" applyAlignment="1">
      <alignment horizontal="center"/>
    </xf>
    <xf numFmtId="0" fontId="19" fillId="35" borderId="20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9" fillId="34" borderId="18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center"/>
    </xf>
    <xf numFmtId="0" fontId="19" fillId="34" borderId="2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R119"/>
  <sheetViews>
    <sheetView tabSelected="1" zoomScaleNormal="100" workbookViewId="0">
      <pane xSplit="7" ySplit="2" topLeftCell="H74" activePane="bottomRight" state="frozen"/>
      <selection pane="topRight" activeCell="H1" sqref="H1"/>
      <selection pane="bottomLeft" activeCell="A3" sqref="A3"/>
      <selection pane="bottomRight" activeCell="L91" sqref="L91"/>
    </sheetView>
  </sheetViews>
  <sheetFormatPr defaultColWidth="14.6640625" defaultRowHeight="14.4" x14ac:dyDescent="0.3"/>
  <cols>
    <col min="1" max="1" width="24.6640625" customWidth="1"/>
    <col min="2" max="2" width="12.44140625" customWidth="1"/>
    <col min="3" max="5" width="10.6640625" customWidth="1"/>
    <col min="6" max="6" width="28.33203125" customWidth="1"/>
    <col min="7" max="7" width="17.6640625" bestFit="1" customWidth="1"/>
    <col min="8" max="19" width="12.6640625" customWidth="1"/>
    <col min="20" max="20" width="15.109375" customWidth="1"/>
    <col min="21" max="21" width="16.109375" customWidth="1"/>
    <col min="22" max="40" width="12.6640625" customWidth="1"/>
    <col min="41" max="41" width="12.5546875" customWidth="1"/>
    <col min="42" max="47" width="12.6640625" customWidth="1"/>
    <col min="48" max="48" width="14.6640625" bestFit="1" customWidth="1"/>
    <col min="49" max="50" width="14.88671875" customWidth="1"/>
    <col min="51" max="67" width="12.6640625" customWidth="1"/>
    <col min="68" max="68" width="16.33203125" bestFit="1" customWidth="1"/>
    <col min="69" max="70" width="16.33203125" customWidth="1"/>
  </cols>
  <sheetData>
    <row r="1" spans="1:70" ht="21.6" thickBot="1" x14ac:dyDescent="0.45">
      <c r="A1" s="97" t="s">
        <v>0</v>
      </c>
      <c r="B1" s="97"/>
      <c r="C1" s="97"/>
      <c r="D1" s="97"/>
      <c r="E1" s="97"/>
      <c r="F1" s="97"/>
      <c r="G1" s="97"/>
      <c r="H1" s="98" t="s">
        <v>1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104" t="s">
        <v>2</v>
      </c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6"/>
      <c r="AW1" s="99" t="s">
        <v>3</v>
      </c>
      <c r="AX1" s="100"/>
      <c r="AY1" s="100"/>
      <c r="AZ1" s="100"/>
      <c r="BA1" s="101"/>
      <c r="BB1" s="98" t="s">
        <v>4</v>
      </c>
      <c r="BC1" s="102"/>
      <c r="BD1" s="103"/>
      <c r="BE1" s="95" t="s">
        <v>5</v>
      </c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3" t="s">
        <v>6</v>
      </c>
      <c r="BR1" s="94"/>
    </row>
    <row r="2" spans="1:70" ht="60.6" thickBot="1" x14ac:dyDescent="0.35">
      <c r="A2" s="20" t="s">
        <v>7</v>
      </c>
      <c r="B2" s="19" t="s">
        <v>8</v>
      </c>
      <c r="C2" s="19" t="s">
        <v>9</v>
      </c>
      <c r="D2" s="19" t="s">
        <v>10</v>
      </c>
      <c r="E2" s="19" t="s">
        <v>11</v>
      </c>
      <c r="F2" s="50" t="s">
        <v>12</v>
      </c>
      <c r="G2" s="15" t="s">
        <v>13</v>
      </c>
      <c r="H2" s="51" t="s">
        <v>14</v>
      </c>
      <c r="I2" s="51" t="s">
        <v>15</v>
      </c>
      <c r="J2" s="51" t="s">
        <v>16</v>
      </c>
      <c r="K2" s="52" t="s">
        <v>17</v>
      </c>
      <c r="L2" s="52" t="s">
        <v>18</v>
      </c>
      <c r="M2" s="52" t="s">
        <v>19</v>
      </c>
      <c r="N2" s="52" t="s">
        <v>20</v>
      </c>
      <c r="O2" s="53" t="s">
        <v>21</v>
      </c>
      <c r="P2" s="53" t="s">
        <v>22</v>
      </c>
      <c r="Q2" s="53" t="s">
        <v>23</v>
      </c>
      <c r="R2" s="53" t="s">
        <v>24</v>
      </c>
      <c r="S2" s="53" t="s">
        <v>25</v>
      </c>
      <c r="T2" s="53" t="s">
        <v>26</v>
      </c>
      <c r="U2" s="53" t="s">
        <v>27</v>
      </c>
      <c r="V2" s="53" t="s">
        <v>28</v>
      </c>
      <c r="W2" s="53" t="s">
        <v>29</v>
      </c>
      <c r="X2" s="53" t="s">
        <v>30</v>
      </c>
      <c r="Y2" s="53" t="s">
        <v>31</v>
      </c>
      <c r="Z2" s="53" t="s">
        <v>32</v>
      </c>
      <c r="AA2" s="53" t="s">
        <v>33</v>
      </c>
      <c r="AB2" s="53" t="s">
        <v>34</v>
      </c>
      <c r="AC2" s="53" t="s">
        <v>35</v>
      </c>
      <c r="AD2" s="53" t="s">
        <v>36</v>
      </c>
      <c r="AE2" s="27" t="s">
        <v>37</v>
      </c>
      <c r="AF2" s="19" t="s">
        <v>38</v>
      </c>
      <c r="AG2" s="19" t="s">
        <v>39</v>
      </c>
      <c r="AH2" s="19" t="s">
        <v>40</v>
      </c>
      <c r="AI2" s="19" t="s">
        <v>41</v>
      </c>
      <c r="AJ2" s="19" t="s">
        <v>42</v>
      </c>
      <c r="AK2" s="19" t="s">
        <v>43</v>
      </c>
      <c r="AL2" s="19" t="s">
        <v>44</v>
      </c>
      <c r="AM2" s="19" t="s">
        <v>45</v>
      </c>
      <c r="AN2" s="19" t="s">
        <v>46</v>
      </c>
      <c r="AO2" s="19" t="s">
        <v>47</v>
      </c>
      <c r="AP2" s="19" t="s">
        <v>48</v>
      </c>
      <c r="AQ2" s="19" t="s">
        <v>49</v>
      </c>
      <c r="AR2" s="19" t="s">
        <v>50</v>
      </c>
      <c r="AS2" s="19" t="s">
        <v>51</v>
      </c>
      <c r="AT2" s="19" t="s">
        <v>52</v>
      </c>
      <c r="AU2" s="19" t="s">
        <v>53</v>
      </c>
      <c r="AV2" s="19" t="s">
        <v>54</v>
      </c>
      <c r="AW2" s="19" t="s">
        <v>55</v>
      </c>
      <c r="AX2" s="19" t="s">
        <v>56</v>
      </c>
      <c r="AY2" s="19" t="s">
        <v>57</v>
      </c>
      <c r="AZ2" s="19" t="s">
        <v>49</v>
      </c>
      <c r="BA2" s="15" t="s">
        <v>58</v>
      </c>
      <c r="BB2" s="20" t="s">
        <v>59</v>
      </c>
      <c r="BC2" s="19" t="s">
        <v>60</v>
      </c>
      <c r="BD2" s="15" t="s">
        <v>61</v>
      </c>
      <c r="BE2" s="19" t="s">
        <v>62</v>
      </c>
      <c r="BF2" s="19" t="s">
        <v>63</v>
      </c>
      <c r="BG2" s="19" t="s">
        <v>64</v>
      </c>
      <c r="BH2" s="19" t="s">
        <v>65</v>
      </c>
      <c r="BI2" s="19" t="s">
        <v>66</v>
      </c>
      <c r="BJ2" s="19" t="s">
        <v>67</v>
      </c>
      <c r="BK2" s="19" t="s">
        <v>68</v>
      </c>
      <c r="BL2" s="19" t="s">
        <v>69</v>
      </c>
      <c r="BM2" s="19" t="s">
        <v>70</v>
      </c>
      <c r="BN2" s="19" t="s">
        <v>71</v>
      </c>
      <c r="BO2" s="19" t="s">
        <v>72</v>
      </c>
      <c r="BP2" s="19" t="s">
        <v>73</v>
      </c>
      <c r="BQ2" s="64" t="s">
        <v>74</v>
      </c>
      <c r="BR2" s="65" t="s">
        <v>75</v>
      </c>
    </row>
    <row r="3" spans="1:70" x14ac:dyDescent="0.3">
      <c r="A3" s="2" t="s">
        <v>76</v>
      </c>
      <c r="B3" s="3">
        <v>1000</v>
      </c>
      <c r="C3" s="3" t="s">
        <v>77</v>
      </c>
      <c r="D3" s="3">
        <v>12</v>
      </c>
      <c r="E3" s="3">
        <v>0</v>
      </c>
      <c r="F3" s="3" t="s">
        <v>78</v>
      </c>
      <c r="G3" s="35">
        <v>45568.462500000001</v>
      </c>
      <c r="H3" s="3">
        <v>146.51</v>
      </c>
      <c r="I3" s="6"/>
      <c r="J3" s="6">
        <v>120.3126</v>
      </c>
      <c r="K3" s="6">
        <v>10.1</v>
      </c>
      <c r="L3" s="6">
        <v>9.99</v>
      </c>
      <c r="M3" s="6">
        <v>99.2</v>
      </c>
      <c r="N3" s="6"/>
      <c r="O3" s="6"/>
      <c r="P3" s="6"/>
      <c r="Q3" s="6"/>
      <c r="R3" s="6">
        <v>6.61</v>
      </c>
      <c r="S3" s="6"/>
      <c r="T3" s="6"/>
      <c r="U3" s="6"/>
      <c r="V3" s="6">
        <v>0.66</v>
      </c>
      <c r="W3" s="6"/>
      <c r="X3" s="6"/>
      <c r="Y3" s="6"/>
      <c r="Z3" s="6"/>
      <c r="AA3" s="6"/>
      <c r="AB3" s="6"/>
      <c r="AC3" s="6"/>
      <c r="AD3" s="6"/>
      <c r="AE3" s="16">
        <v>7.2229999999999999</v>
      </c>
      <c r="AF3" s="6"/>
      <c r="AG3" s="6">
        <v>51</v>
      </c>
      <c r="AH3" s="6"/>
      <c r="AI3" s="6">
        <v>33.799999999999997</v>
      </c>
      <c r="AJ3" s="6"/>
      <c r="AK3" s="6"/>
      <c r="AL3" s="6"/>
      <c r="AM3" s="6"/>
      <c r="AN3" s="6"/>
      <c r="AO3" s="6">
        <v>592000</v>
      </c>
      <c r="AP3" s="6"/>
      <c r="AQ3" s="32">
        <f t="shared" ref="AQ3:AQ34" si="0">AG3/100</f>
        <v>0.51</v>
      </c>
      <c r="AR3" s="32">
        <f>BQ3</f>
        <v>171.36523050000002</v>
      </c>
      <c r="AS3" s="32">
        <v>0</v>
      </c>
      <c r="AT3" s="32">
        <v>0</v>
      </c>
      <c r="AU3" s="32">
        <v>0</v>
      </c>
      <c r="AV3" s="66">
        <v>60</v>
      </c>
      <c r="AW3" s="3">
        <v>592000</v>
      </c>
      <c r="AX3" s="3">
        <v>34</v>
      </c>
      <c r="AY3" s="6">
        <v>7.2</v>
      </c>
      <c r="AZ3" s="6">
        <v>50</v>
      </c>
      <c r="BA3" s="9">
        <v>2.9999999999999997E-4</v>
      </c>
      <c r="BB3" s="8"/>
      <c r="BC3" s="9">
        <f>2.856087175*24*60/BG3</f>
        <v>6.9472390743243245E-3</v>
      </c>
      <c r="BD3" s="21">
        <f>233.3070779/AO3</f>
        <v>3.9409979375E-4</v>
      </c>
      <c r="BE3" s="9">
        <f t="shared" ref="BE3:BE34" si="1">BA3*L3*BG3/1000</f>
        <v>1.7742239999999998</v>
      </c>
      <c r="BF3" s="9">
        <f t="shared" ref="BF3:BF38" si="2">BE3*24*60</f>
        <v>2554.8825599999996</v>
      </c>
      <c r="BG3" s="9">
        <f t="shared" ref="BG3:BG34" si="3">IF(ISBLANK(AO3), AW3+SUM(AJ3:AL3,AM3:AN3)-(AV3*(E3+1)), AO3)</f>
        <v>592000</v>
      </c>
      <c r="BH3" s="10" t="str">
        <f t="shared" ref="BH3:BH34" si="4">IF(ISBLANK(AM3),"",IFERROR(AM3/BG3,0))</f>
        <v/>
      </c>
      <c r="BI3" s="10" t="str">
        <f t="shared" ref="BI3:BI34" si="5">IF(ISBLANK(AM3),"",AM3/AW3)</f>
        <v/>
      </c>
      <c r="BJ3" s="10">
        <f t="shared" ref="BJ3:BJ34" si="6">AR3*24*60</f>
        <v>246765.93192000003</v>
      </c>
      <c r="BK3" s="10" t="str">
        <f t="shared" ref="BK3:BK5" si="7">IF(C3="Python",BB3*BG3/24/60,"")</f>
        <v/>
      </c>
      <c r="BL3" s="10">
        <f>IF(C3="Julia",BC3*BG3/24,"")</f>
        <v>171.36523050000002</v>
      </c>
      <c r="BM3" s="28" t="str">
        <f>IF(C3="No MPC", 60*BA3*L3*BG3/1000,"")</f>
        <v/>
      </c>
      <c r="BN3" s="10" t="str">
        <f>IF(C3="Python",BB3*BG3,"")</f>
        <v/>
      </c>
      <c r="BO3" s="10">
        <f t="shared" ref="BO3:BO34" si="8">IF(C3="Julia",BD3*BG3,"")</f>
        <v>233.3070779</v>
      </c>
      <c r="BP3" s="58">
        <f>IF(BK3&lt;&gt;"",BK3/0.000385,IF(BL3&lt;&gt;"",BL3/0.000385,BM3/0.000385))</f>
        <v>445104.4948051949</v>
      </c>
      <c r="BQ3" s="45">
        <f>IF(BK3&lt;&gt;"",BK3,IF(BL3&lt;&gt;"",BL3,BM3))</f>
        <v>171.36523050000002</v>
      </c>
      <c r="BR3" s="24">
        <f t="shared" ref="BR3:BR10" si="9">IF(BN3&lt;&gt;"",BN3,BO3)</f>
        <v>233.3070779</v>
      </c>
    </row>
    <row r="4" spans="1:70" x14ac:dyDescent="0.3">
      <c r="A4" s="1" t="s">
        <v>79</v>
      </c>
      <c r="B4">
        <v>0.25</v>
      </c>
      <c r="C4" t="s">
        <v>80</v>
      </c>
      <c r="D4">
        <v>12</v>
      </c>
      <c r="E4">
        <v>0</v>
      </c>
      <c r="F4" t="s">
        <v>78</v>
      </c>
      <c r="G4" s="35">
        <v>45568.509317129632</v>
      </c>
      <c r="H4">
        <v>146.51</v>
      </c>
      <c r="I4" s="40"/>
      <c r="J4" s="40">
        <v>152.7628</v>
      </c>
      <c r="K4" s="40">
        <v>11.166</v>
      </c>
      <c r="L4" s="40">
        <v>11.029</v>
      </c>
      <c r="M4" s="40">
        <v>98.8</v>
      </c>
      <c r="N4" s="40">
        <v>16.190000000000001</v>
      </c>
      <c r="O4" s="40">
        <v>314</v>
      </c>
      <c r="P4" s="40">
        <v>0.96</v>
      </c>
      <c r="Q4" s="40">
        <v>0.65</v>
      </c>
      <c r="R4" s="40">
        <v>6.09</v>
      </c>
      <c r="S4" s="40"/>
      <c r="T4" s="40">
        <v>0.22</v>
      </c>
      <c r="U4" s="40">
        <v>2.44</v>
      </c>
      <c r="V4" s="40">
        <v>0.73</v>
      </c>
      <c r="W4" s="40">
        <v>7.1909999999999998</v>
      </c>
      <c r="X4" s="40">
        <v>64.599999999999994</v>
      </c>
      <c r="Y4" s="40">
        <v>90.2</v>
      </c>
      <c r="Z4" s="40">
        <v>6.36</v>
      </c>
      <c r="AA4" s="40">
        <v>104</v>
      </c>
      <c r="AB4" s="40">
        <v>22</v>
      </c>
      <c r="AC4" s="40">
        <v>56.9</v>
      </c>
      <c r="AD4" s="40">
        <v>75.099999999999994</v>
      </c>
      <c r="AE4" s="17">
        <v>7.1529999999999996</v>
      </c>
      <c r="AF4" s="40">
        <v>409</v>
      </c>
      <c r="AG4" s="40">
        <v>47</v>
      </c>
      <c r="AH4" s="40">
        <v>7.2409999999999997</v>
      </c>
      <c r="AI4" s="40">
        <v>34.1</v>
      </c>
      <c r="AJ4" s="40">
        <v>0.1</v>
      </c>
      <c r="AK4" s="40">
        <v>0</v>
      </c>
      <c r="AL4" s="40">
        <v>0</v>
      </c>
      <c r="AM4" s="40">
        <v>0</v>
      </c>
      <c r="AN4" s="40">
        <v>0</v>
      </c>
      <c r="AO4" s="40">
        <v>199.1</v>
      </c>
      <c r="AP4" s="40"/>
      <c r="AQ4" s="41">
        <f t="shared" si="0"/>
        <v>0.47</v>
      </c>
      <c r="AR4" s="41">
        <f t="shared" ref="AR4" si="10">BQ4</f>
        <v>3.9525730199999991E-2</v>
      </c>
      <c r="AS4" s="41">
        <v>0</v>
      </c>
      <c r="AT4" s="41">
        <v>0</v>
      </c>
      <c r="AU4" s="41">
        <v>0</v>
      </c>
      <c r="AV4" s="63">
        <v>2.4</v>
      </c>
      <c r="AW4">
        <v>200</v>
      </c>
      <c r="AX4">
        <v>34</v>
      </c>
      <c r="AY4" s="40">
        <v>7.2</v>
      </c>
      <c r="AZ4" s="40">
        <v>50</v>
      </c>
      <c r="BA4" s="42">
        <v>2.9999999999999997E-4</v>
      </c>
      <c r="BB4" s="11"/>
      <c r="BC4" s="42"/>
      <c r="BD4" s="22"/>
      <c r="BE4" s="42">
        <f t="shared" si="1"/>
        <v>6.5876216999999988E-4</v>
      </c>
      <c r="BF4" s="42">
        <f t="shared" ref="BF4" si="11">BE4*24*60</f>
        <v>0.94861752479999972</v>
      </c>
      <c r="BG4" s="42">
        <f t="shared" si="3"/>
        <v>199.1</v>
      </c>
      <c r="BH4" s="43">
        <f t="shared" si="4"/>
        <v>0</v>
      </c>
      <c r="BI4" s="43">
        <f t="shared" si="5"/>
        <v>0</v>
      </c>
      <c r="BJ4" s="43">
        <f t="shared" si="6"/>
        <v>56.917051487999984</v>
      </c>
      <c r="BK4" s="43" t="str">
        <f t="shared" si="7"/>
        <v/>
      </c>
      <c r="BL4" s="42" t="str">
        <f t="shared" ref="BL4:BL67" si="12">IF(C4="Julia",BC4*BG4/24,"")</f>
        <v/>
      </c>
      <c r="BM4" s="44">
        <f t="shared" ref="BM4:BM67" si="13">IF(C4="No MPC", 60*BA4*L4*BG4/1000,"")</f>
        <v>3.9525730199999991E-2</v>
      </c>
      <c r="BN4" s="43" t="str">
        <f>IF(C4="Python",BB4*BG4,"")</f>
        <v/>
      </c>
      <c r="BO4" s="43" t="str">
        <f t="shared" si="8"/>
        <v/>
      </c>
      <c r="BP4" s="55">
        <f>IF(BK4&lt;&gt;"",BK4/0.000385,IF(BL4&lt;&gt;"",BL4/0.000385,BM4/0.000385))</f>
        <v>102.66423428571427</v>
      </c>
      <c r="BQ4" s="45">
        <f>IF(BK4&lt;&gt;"",BK4,IF(BL4&lt;&gt;"",BL4,BM4))</f>
        <v>3.9525730199999991E-2</v>
      </c>
      <c r="BR4" s="24" t="str">
        <f t="shared" si="9"/>
        <v/>
      </c>
    </row>
    <row r="5" spans="1:70" x14ac:dyDescent="0.3">
      <c r="A5" s="1" t="s">
        <v>81</v>
      </c>
      <c r="B5">
        <v>0.25</v>
      </c>
      <c r="C5" t="s">
        <v>80</v>
      </c>
      <c r="D5">
        <v>12</v>
      </c>
      <c r="E5">
        <v>0</v>
      </c>
      <c r="F5" t="s">
        <v>78</v>
      </c>
      <c r="G5" s="35">
        <v>45568.520300925928</v>
      </c>
      <c r="H5">
        <v>146.51</v>
      </c>
      <c r="I5" s="40"/>
      <c r="J5" s="40">
        <v>155.99969999999999</v>
      </c>
      <c r="K5" s="40">
        <v>10.364000000000001</v>
      </c>
      <c r="L5" s="40">
        <v>10.254</v>
      </c>
      <c r="M5" s="40">
        <v>98.9</v>
      </c>
      <c r="N5" s="40">
        <v>16.12</v>
      </c>
      <c r="O5" s="40">
        <v>319</v>
      </c>
      <c r="P5" s="40">
        <v>0.98</v>
      </c>
      <c r="Q5" s="40">
        <v>0.68</v>
      </c>
      <c r="R5" s="40">
        <v>6.01</v>
      </c>
      <c r="S5" s="40"/>
      <c r="T5" s="40">
        <v>0.25</v>
      </c>
      <c r="U5" s="40">
        <v>2.4300000000000002</v>
      </c>
      <c r="V5" s="40">
        <v>0.82</v>
      </c>
      <c r="W5" s="40">
        <v>7.2350000000000003</v>
      </c>
      <c r="X5" s="40">
        <v>61.2</v>
      </c>
      <c r="Y5" s="40">
        <v>97.2</v>
      </c>
      <c r="Z5" s="40">
        <v>6.4</v>
      </c>
      <c r="AA5" s="40">
        <v>108.4</v>
      </c>
      <c r="AB5" s="40">
        <v>23</v>
      </c>
      <c r="AC5" s="40">
        <v>53.8</v>
      </c>
      <c r="AD5" s="40">
        <v>81.3</v>
      </c>
      <c r="AE5" s="17">
        <v>7.1959999999999997</v>
      </c>
      <c r="AF5" s="40">
        <v>406</v>
      </c>
      <c r="AG5" s="40">
        <v>52.8</v>
      </c>
      <c r="AH5" s="40">
        <v>7.2370000000000001</v>
      </c>
      <c r="AI5" s="40">
        <v>34</v>
      </c>
      <c r="AJ5" s="40">
        <v>0.1</v>
      </c>
      <c r="AK5" s="40">
        <v>0</v>
      </c>
      <c r="AL5" s="40">
        <v>0</v>
      </c>
      <c r="AM5" s="40">
        <v>0</v>
      </c>
      <c r="AN5" s="40">
        <v>0</v>
      </c>
      <c r="AO5" s="40">
        <v>199.1</v>
      </c>
      <c r="AP5" s="40"/>
      <c r="AQ5" s="41">
        <f t="shared" si="0"/>
        <v>0.52800000000000002</v>
      </c>
      <c r="AR5" s="41">
        <f t="shared" ref="AR5:AR38" si="14">BQ5</f>
        <v>3.6748285200000001E-2</v>
      </c>
      <c r="AS5" s="41">
        <v>0</v>
      </c>
      <c r="AT5" s="41">
        <v>0</v>
      </c>
      <c r="AU5" s="41">
        <v>0</v>
      </c>
      <c r="AV5" s="63">
        <v>2.4</v>
      </c>
      <c r="AW5">
        <v>200</v>
      </c>
      <c r="AX5">
        <v>34</v>
      </c>
      <c r="AY5" s="40">
        <v>7.2</v>
      </c>
      <c r="AZ5" s="40">
        <v>50</v>
      </c>
      <c r="BA5" s="42">
        <v>2.9999999999999997E-4</v>
      </c>
      <c r="BB5" s="11"/>
      <c r="BC5" s="42"/>
      <c r="BD5" s="22"/>
      <c r="BE5" s="42">
        <f t="shared" si="1"/>
        <v>6.1247141999999991E-4</v>
      </c>
      <c r="BF5" s="42">
        <f t="shared" si="2"/>
        <v>0.88195884479999986</v>
      </c>
      <c r="BG5" s="42">
        <f t="shared" si="3"/>
        <v>199.1</v>
      </c>
      <c r="BH5" s="43">
        <f t="shared" si="4"/>
        <v>0</v>
      </c>
      <c r="BI5" s="43">
        <f t="shared" si="5"/>
        <v>0</v>
      </c>
      <c r="BJ5" s="43">
        <f t="shared" si="6"/>
        <v>52.917530687999999</v>
      </c>
      <c r="BK5" s="43" t="str">
        <f t="shared" si="7"/>
        <v/>
      </c>
      <c r="BL5" s="43" t="str">
        <f t="shared" si="12"/>
        <v/>
      </c>
      <c r="BM5" s="44">
        <f t="shared" si="13"/>
        <v>3.6748285200000001E-2</v>
      </c>
      <c r="BN5" s="43" t="str">
        <f>IF(C5="Python",BB5*BG5,"")</f>
        <v/>
      </c>
      <c r="BO5" s="43" t="str">
        <f t="shared" si="8"/>
        <v/>
      </c>
      <c r="BP5" s="55">
        <f t="shared" ref="BP5" si="15">IF(BK5&lt;&gt;"",BK5/0.000385,IF(BL5&lt;&gt;"",BL5/0.000385,BM5/0.000385))</f>
        <v>95.45009142857144</v>
      </c>
      <c r="BQ5" s="45">
        <f t="shared" ref="BQ5" si="16">IF(BK5&lt;&gt;"",BK5,IF(BL5&lt;&gt;"",BL5,BM5))</f>
        <v>3.6748285200000001E-2</v>
      </c>
      <c r="BR5" s="24" t="str">
        <f t="shared" si="9"/>
        <v/>
      </c>
    </row>
    <row r="6" spans="1:70" x14ac:dyDescent="0.3">
      <c r="A6" s="1" t="s">
        <v>82</v>
      </c>
      <c r="B6">
        <v>0.25</v>
      </c>
      <c r="C6" t="s">
        <v>83</v>
      </c>
      <c r="D6">
        <v>12</v>
      </c>
      <c r="E6">
        <v>0</v>
      </c>
      <c r="F6" t="s">
        <v>78</v>
      </c>
      <c r="G6" s="35">
        <v>45568.525023148148</v>
      </c>
      <c r="H6">
        <v>146.51</v>
      </c>
      <c r="I6" s="40"/>
      <c r="J6" s="40">
        <v>156.47999999999999</v>
      </c>
      <c r="K6" s="40">
        <v>10.259</v>
      </c>
      <c r="L6" s="40">
        <v>10.096</v>
      </c>
      <c r="M6" s="40">
        <v>98.4</v>
      </c>
      <c r="N6" s="40">
        <v>16.11</v>
      </c>
      <c r="O6" s="40">
        <v>321</v>
      </c>
      <c r="P6" s="40">
        <v>0.99</v>
      </c>
      <c r="Q6" s="40">
        <v>0.68</v>
      </c>
      <c r="R6" s="40">
        <v>6.07</v>
      </c>
      <c r="S6" s="40"/>
      <c r="T6" s="40">
        <v>0.27</v>
      </c>
      <c r="U6" s="40">
        <v>2.39</v>
      </c>
      <c r="V6" s="40">
        <v>0.85</v>
      </c>
      <c r="W6" s="40">
        <v>7.2329999999999997</v>
      </c>
      <c r="X6" s="40">
        <v>62.7</v>
      </c>
      <c r="Y6" s="40">
        <v>96.8</v>
      </c>
      <c r="Z6" s="40">
        <v>6.48</v>
      </c>
      <c r="AA6" s="40">
        <v>111</v>
      </c>
      <c r="AB6" s="40">
        <v>23.4</v>
      </c>
      <c r="AC6" s="40">
        <v>55.1</v>
      </c>
      <c r="AD6" s="40">
        <v>81</v>
      </c>
      <c r="AE6" s="17">
        <v>7.194</v>
      </c>
      <c r="AF6" s="40">
        <v>408</v>
      </c>
      <c r="AG6" s="40">
        <v>46.8</v>
      </c>
      <c r="AH6" s="40">
        <v>7.2309999999999999</v>
      </c>
      <c r="AI6" s="40">
        <v>34</v>
      </c>
      <c r="AJ6" s="40">
        <v>0.2</v>
      </c>
      <c r="AK6" s="40">
        <v>0</v>
      </c>
      <c r="AL6" s="40">
        <v>0</v>
      </c>
      <c r="AM6" s="40">
        <v>0</v>
      </c>
      <c r="AN6" s="40">
        <v>0</v>
      </c>
      <c r="AO6" s="40">
        <v>199.2</v>
      </c>
      <c r="AP6" s="40"/>
      <c r="AQ6" s="41">
        <f t="shared" si="0"/>
        <v>0.46799999999999997</v>
      </c>
      <c r="AR6" s="41">
        <f t="shared" si="14"/>
        <v>0.16600000000000001</v>
      </c>
      <c r="AS6" s="41">
        <v>0</v>
      </c>
      <c r="AT6" s="41">
        <v>0</v>
      </c>
      <c r="AU6" s="41">
        <v>0</v>
      </c>
      <c r="AV6" s="63">
        <v>2.4</v>
      </c>
      <c r="AW6">
        <v>200</v>
      </c>
      <c r="AX6">
        <v>34</v>
      </c>
      <c r="AY6" s="40">
        <v>7.2</v>
      </c>
      <c r="AZ6" s="40">
        <v>50</v>
      </c>
      <c r="BA6" s="42">
        <v>2.9999999999999997E-4</v>
      </c>
      <c r="BB6" s="11">
        <v>0.02</v>
      </c>
      <c r="BC6" s="42"/>
      <c r="BD6" s="22"/>
      <c r="BE6" s="42">
        <f t="shared" si="1"/>
        <v>6.0333695999999996E-4</v>
      </c>
      <c r="BF6" s="42">
        <f t="shared" si="2"/>
        <v>0.86880522239999991</v>
      </c>
      <c r="BG6" s="42">
        <f>IF(ISBLANK(AO6), AW6+SUM(AJ6:AL6,AM6:AN6)-(AV6*(E6+1)), AO6)</f>
        <v>199.2</v>
      </c>
      <c r="BH6" s="43">
        <f t="shared" si="4"/>
        <v>0</v>
      </c>
      <c r="BI6" s="43">
        <f t="shared" si="5"/>
        <v>0</v>
      </c>
      <c r="BJ6" s="43">
        <f t="shared" si="6"/>
        <v>239.04</v>
      </c>
      <c r="BK6" s="43">
        <f>IF(C6="Python",BB6*BG6/24,"")</f>
        <v>0.16600000000000001</v>
      </c>
      <c r="BL6" s="43" t="str">
        <f t="shared" si="12"/>
        <v/>
      </c>
      <c r="BM6" s="44" t="str">
        <f t="shared" si="13"/>
        <v/>
      </c>
      <c r="BN6" s="43"/>
      <c r="BO6" s="43" t="str">
        <f t="shared" si="8"/>
        <v/>
      </c>
      <c r="BP6" s="55">
        <f t="shared" ref="BP6:BP11" si="17">IF(BK6&lt;&gt;"",BK6/0.000385,IF(BL6&lt;&gt;"",BL6/0.000385,BM6/0.000385))</f>
        <v>431.16883116883122</v>
      </c>
      <c r="BQ6" s="45">
        <f t="shared" ref="BQ6:BQ11" si="18">IF(BK6&lt;&gt;"",BK6,IF(BL6&lt;&gt;"",BL6,BM6))</f>
        <v>0.16600000000000001</v>
      </c>
      <c r="BR6" s="24" t="str">
        <f t="shared" si="9"/>
        <v/>
      </c>
    </row>
    <row r="7" spans="1:70" x14ac:dyDescent="0.3">
      <c r="A7" s="1" t="s">
        <v>84</v>
      </c>
      <c r="B7">
        <v>0.25</v>
      </c>
      <c r="C7" t="s">
        <v>83</v>
      </c>
      <c r="D7">
        <v>12</v>
      </c>
      <c r="E7">
        <v>0</v>
      </c>
      <c r="F7" t="s">
        <v>78</v>
      </c>
      <c r="G7" s="35">
        <v>45568.533854166664</v>
      </c>
      <c r="H7">
        <v>146.51</v>
      </c>
      <c r="I7" s="40"/>
      <c r="J7" s="40">
        <v>153.6404</v>
      </c>
      <c r="K7" s="40">
        <v>14.182</v>
      </c>
      <c r="L7" s="40">
        <v>14.023999999999999</v>
      </c>
      <c r="M7" s="40">
        <v>98.9</v>
      </c>
      <c r="N7" s="40">
        <v>16.28</v>
      </c>
      <c r="O7" s="40">
        <v>321</v>
      </c>
      <c r="P7" s="40">
        <v>1</v>
      </c>
      <c r="Q7" s="40">
        <v>0.68</v>
      </c>
      <c r="R7" s="40">
        <v>6.05</v>
      </c>
      <c r="S7" s="40"/>
      <c r="T7" s="40">
        <v>0.28000000000000003</v>
      </c>
      <c r="U7" s="40">
        <v>2.39</v>
      </c>
      <c r="V7" s="40">
        <v>0.87</v>
      </c>
      <c r="W7" s="40">
        <v>7.2190000000000003</v>
      </c>
      <c r="X7" s="40">
        <v>64.2</v>
      </c>
      <c r="Y7" s="40">
        <v>92.2</v>
      </c>
      <c r="Z7" s="40">
        <v>6.42</v>
      </c>
      <c r="AA7" s="40">
        <v>108.4</v>
      </c>
      <c r="AB7" s="40">
        <v>23.3</v>
      </c>
      <c r="AC7" s="40">
        <v>56.4</v>
      </c>
      <c r="AD7" s="40">
        <v>76.7</v>
      </c>
      <c r="AE7" s="17">
        <v>7.18</v>
      </c>
      <c r="AF7" s="40">
        <v>406</v>
      </c>
      <c r="AG7" s="40">
        <v>50.9</v>
      </c>
      <c r="AH7" s="40">
        <v>7.2110000000000003</v>
      </c>
      <c r="AI7" s="40">
        <v>34</v>
      </c>
      <c r="AJ7" s="40">
        <v>0.1</v>
      </c>
      <c r="AK7" s="40">
        <v>0</v>
      </c>
      <c r="AL7" s="40">
        <v>0</v>
      </c>
      <c r="AM7" s="40">
        <v>0</v>
      </c>
      <c r="AN7" s="40">
        <v>0</v>
      </c>
      <c r="AO7" s="40">
        <v>199.2</v>
      </c>
      <c r="AP7" s="40"/>
      <c r="AQ7" s="41">
        <f t="shared" si="0"/>
        <v>0.50900000000000001</v>
      </c>
      <c r="AR7" s="41">
        <f t="shared" si="14"/>
        <v>8.5489999999999997E-2</v>
      </c>
      <c r="AS7" s="41">
        <v>0</v>
      </c>
      <c r="AT7" s="41">
        <v>0</v>
      </c>
      <c r="AU7" s="41">
        <v>0</v>
      </c>
      <c r="AV7" s="63">
        <v>2.4</v>
      </c>
      <c r="AW7">
        <v>200</v>
      </c>
      <c r="AX7">
        <v>34</v>
      </c>
      <c r="AY7" s="40">
        <v>7.2</v>
      </c>
      <c r="AZ7" s="40">
        <v>50</v>
      </c>
      <c r="BA7" s="42">
        <v>2.9999999999999997E-4</v>
      </c>
      <c r="BB7" s="11">
        <v>1.03E-2</v>
      </c>
      <c r="BD7" s="22"/>
      <c r="BE7" s="42">
        <f t="shared" si="1"/>
        <v>8.3807423999999987E-4</v>
      </c>
      <c r="BF7" s="42">
        <f t="shared" si="2"/>
        <v>1.2068269055999998</v>
      </c>
      <c r="BG7" s="42">
        <f t="shared" si="3"/>
        <v>199.2</v>
      </c>
      <c r="BH7" s="43">
        <f t="shared" si="4"/>
        <v>0</v>
      </c>
      <c r="BI7" s="43">
        <f t="shared" si="5"/>
        <v>0</v>
      </c>
      <c r="BJ7" s="43">
        <f t="shared" si="6"/>
        <v>123.10559999999998</v>
      </c>
      <c r="BK7" s="43">
        <f t="shared" ref="BK7:BK70" si="19">IF(C7="Python",BB7*BG7/24,"")</f>
        <v>8.5489999999999997E-2</v>
      </c>
      <c r="BL7" s="44" t="str">
        <f t="shared" si="12"/>
        <v/>
      </c>
      <c r="BM7" s="44" t="str">
        <f t="shared" si="13"/>
        <v/>
      </c>
      <c r="BN7" s="43"/>
      <c r="BO7" s="43" t="str">
        <f t="shared" si="8"/>
        <v/>
      </c>
      <c r="BP7" s="55">
        <f t="shared" ref="BP7" si="20">IF(BK7&lt;&gt;"",BK7/0.000385,IF(BL7&lt;&gt;"",BL7/0.000385,BM7/0.000385))</f>
        <v>222.05194805194805</v>
      </c>
      <c r="BQ7" s="45">
        <f t="shared" ref="BQ7" si="21">IF(BK7&lt;&gt;"",BK7,IF(BL7&lt;&gt;"",BL7,BM7))</f>
        <v>8.5489999999999997E-2</v>
      </c>
      <c r="BR7" s="24" t="str">
        <f t="shared" si="9"/>
        <v/>
      </c>
    </row>
    <row r="8" spans="1:70" x14ac:dyDescent="0.3">
      <c r="A8" s="1" t="s">
        <v>85</v>
      </c>
      <c r="B8">
        <v>0.25</v>
      </c>
      <c r="C8" t="s">
        <v>77</v>
      </c>
      <c r="D8">
        <v>12</v>
      </c>
      <c r="E8">
        <v>0</v>
      </c>
      <c r="F8" t="s">
        <v>78</v>
      </c>
      <c r="G8" s="35">
        <v>45568.538599537038</v>
      </c>
      <c r="H8">
        <v>146.51</v>
      </c>
      <c r="I8" s="40"/>
      <c r="J8" s="40">
        <v>156.16419999999999</v>
      </c>
      <c r="K8" s="40">
        <v>12.22</v>
      </c>
      <c r="L8" s="40">
        <v>12.090999999999999</v>
      </c>
      <c r="M8" s="40">
        <v>98.9</v>
      </c>
      <c r="N8" s="40">
        <v>16.309999999999999</v>
      </c>
      <c r="O8" s="40">
        <v>324</v>
      </c>
      <c r="P8" s="40">
        <v>1</v>
      </c>
      <c r="Q8" s="40">
        <v>0.68</v>
      </c>
      <c r="R8" s="40">
        <v>6.05</v>
      </c>
      <c r="S8" s="40"/>
      <c r="T8" s="40">
        <v>0.28000000000000003</v>
      </c>
      <c r="U8" s="40">
        <v>2.37</v>
      </c>
      <c r="V8" s="40">
        <v>0.88</v>
      </c>
      <c r="W8" s="40">
        <v>7.22</v>
      </c>
      <c r="X8" s="40">
        <v>62.4</v>
      </c>
      <c r="Y8" s="40">
        <v>93.8</v>
      </c>
      <c r="Z8" s="40">
        <v>6.49</v>
      </c>
      <c r="AA8" s="40">
        <v>109.1</v>
      </c>
      <c r="AB8" s="40">
        <v>22.6</v>
      </c>
      <c r="AC8" s="40">
        <v>54.8</v>
      </c>
      <c r="AD8" s="40">
        <v>78</v>
      </c>
      <c r="AE8" s="17">
        <v>7.18</v>
      </c>
      <c r="AF8" s="40">
        <v>407</v>
      </c>
      <c r="AG8" s="40">
        <v>50.8</v>
      </c>
      <c r="AH8" s="40">
        <v>7.2089999999999996</v>
      </c>
      <c r="AI8" s="40">
        <v>34</v>
      </c>
      <c r="AJ8" s="40">
        <v>0.1</v>
      </c>
      <c r="AK8" s="40">
        <v>0</v>
      </c>
      <c r="AL8" s="40">
        <v>0</v>
      </c>
      <c r="AM8" s="40">
        <v>0</v>
      </c>
      <c r="AN8" s="40">
        <v>0</v>
      </c>
      <c r="AO8" s="40">
        <v>199.1</v>
      </c>
      <c r="AP8" s="40"/>
      <c r="AQ8" s="41">
        <f t="shared" si="0"/>
        <v>0.50800000000000001</v>
      </c>
      <c r="AR8" s="41">
        <f t="shared" si="14"/>
        <v>5.0487847517393637E-2</v>
      </c>
      <c r="AS8" s="41">
        <v>0</v>
      </c>
      <c r="AT8" s="41">
        <v>0</v>
      </c>
      <c r="AU8" s="41">
        <v>0</v>
      </c>
      <c r="AV8" s="63">
        <v>2.4</v>
      </c>
      <c r="AW8">
        <v>200</v>
      </c>
      <c r="AX8">
        <v>34</v>
      </c>
      <c r="AY8" s="40">
        <v>7.2</v>
      </c>
      <c r="AZ8" s="40">
        <v>50</v>
      </c>
      <c r="BA8" s="42">
        <v>2.9999999999999997E-4</v>
      </c>
      <c r="BB8" s="11"/>
      <c r="BC8" s="42">
        <f>0.000841464125289894*24*60/BG8</f>
        <v>6.0859283797963203E-3</v>
      </c>
      <c r="BD8" s="22">
        <f>0.483084083057179/BG8</f>
        <v>2.4263389405182272E-3</v>
      </c>
      <c r="BE8" s="42">
        <f t="shared" si="1"/>
        <v>7.2219542999999982E-4</v>
      </c>
      <c r="BF8" s="42">
        <f t="shared" si="2"/>
        <v>1.0399614191999997</v>
      </c>
      <c r="BG8" s="42">
        <f t="shared" si="3"/>
        <v>199.1</v>
      </c>
      <c r="BH8" s="43">
        <f t="shared" si="4"/>
        <v>0</v>
      </c>
      <c r="BI8" s="43">
        <f t="shared" si="5"/>
        <v>0</v>
      </c>
      <c r="BJ8" s="43">
        <f t="shared" si="6"/>
        <v>72.702500425046836</v>
      </c>
      <c r="BK8" s="43" t="str">
        <f t="shared" si="19"/>
        <v/>
      </c>
      <c r="BL8" s="44">
        <f t="shared" si="12"/>
        <v>5.0487847517393637E-2</v>
      </c>
      <c r="BM8" s="44" t="str">
        <f t="shared" si="13"/>
        <v/>
      </c>
      <c r="BN8" s="43" t="str">
        <f>IF(C8="Python",BB8*BG8,"")</f>
        <v/>
      </c>
      <c r="BO8" s="43">
        <f t="shared" si="8"/>
        <v>0.48308408305717904</v>
      </c>
      <c r="BP8" s="55">
        <f t="shared" si="17"/>
        <v>131.13726627894451</v>
      </c>
      <c r="BQ8" s="45">
        <f t="shared" si="18"/>
        <v>5.0487847517393637E-2</v>
      </c>
      <c r="BR8" s="24">
        <f t="shared" si="9"/>
        <v>0.48308408305717904</v>
      </c>
    </row>
    <row r="9" spans="1:70" x14ac:dyDescent="0.3">
      <c r="A9" s="1" t="s">
        <v>86</v>
      </c>
      <c r="B9">
        <v>0.25</v>
      </c>
      <c r="C9" t="s">
        <v>77</v>
      </c>
      <c r="D9">
        <v>12</v>
      </c>
      <c r="E9">
        <v>0</v>
      </c>
      <c r="F9" t="s">
        <v>78</v>
      </c>
      <c r="G9" s="35">
        <v>45568.543368055558</v>
      </c>
      <c r="H9">
        <v>146.51</v>
      </c>
      <c r="I9" s="40"/>
      <c r="J9" s="40">
        <v>156.797</v>
      </c>
      <c r="K9" s="40">
        <v>10.368</v>
      </c>
      <c r="L9" s="40">
        <v>10.246</v>
      </c>
      <c r="M9" s="40">
        <v>98.8</v>
      </c>
      <c r="N9" s="40">
        <v>16.170000000000002</v>
      </c>
      <c r="O9" s="40">
        <v>321</v>
      </c>
      <c r="P9" s="40">
        <v>1</v>
      </c>
      <c r="Q9" s="40">
        <v>0.67</v>
      </c>
      <c r="R9" s="40">
        <v>5.94</v>
      </c>
      <c r="S9" s="40"/>
      <c r="T9" s="40">
        <v>0.3</v>
      </c>
      <c r="U9" s="40">
        <v>2.35</v>
      </c>
      <c r="V9" s="40">
        <v>0.87</v>
      </c>
      <c r="W9" s="40">
        <v>7.2409999999999997</v>
      </c>
      <c r="X9" s="40">
        <v>60.3</v>
      </c>
      <c r="Y9" s="40">
        <v>97.1</v>
      </c>
      <c r="Z9" s="40">
        <v>6.35</v>
      </c>
      <c r="AA9" s="40">
        <v>109.2</v>
      </c>
      <c r="AB9" s="40">
        <v>23</v>
      </c>
      <c r="AC9" s="40">
        <v>53</v>
      </c>
      <c r="AD9" s="40">
        <v>81.099999999999994</v>
      </c>
      <c r="AE9" s="17">
        <v>7.202</v>
      </c>
      <c r="AF9" s="40">
        <v>411</v>
      </c>
      <c r="AG9" s="40">
        <v>49.8</v>
      </c>
      <c r="AH9" s="40">
        <v>7.218</v>
      </c>
      <c r="AI9" s="40">
        <v>34</v>
      </c>
      <c r="AJ9" s="40">
        <v>0.2</v>
      </c>
      <c r="AK9" s="40">
        <v>0</v>
      </c>
      <c r="AL9" s="40">
        <v>0</v>
      </c>
      <c r="AM9" s="40">
        <v>0</v>
      </c>
      <c r="AN9" s="40">
        <v>0</v>
      </c>
      <c r="AO9" s="40">
        <v>199.2</v>
      </c>
      <c r="AP9" s="40"/>
      <c r="AQ9" s="41">
        <f t="shared" si="0"/>
        <v>0.498</v>
      </c>
      <c r="AR9" s="41">
        <f>BQ9</f>
        <v>5.4767284056674165E-2</v>
      </c>
      <c r="AS9" s="41">
        <v>0</v>
      </c>
      <c r="AT9" s="41">
        <v>0</v>
      </c>
      <c r="AU9" s="41">
        <v>0</v>
      </c>
      <c r="AV9" s="63">
        <v>2.4</v>
      </c>
      <c r="AW9">
        <v>200</v>
      </c>
      <c r="AX9">
        <v>34</v>
      </c>
      <c r="AY9" s="40">
        <v>7.2</v>
      </c>
      <c r="AZ9" s="40">
        <v>50</v>
      </c>
      <c r="BA9" s="42">
        <v>2.9999999999999997E-4</v>
      </c>
      <c r="BB9" s="11"/>
      <c r="BC9" s="42">
        <f>0.000912788067611236*24*60/BG9</f>
        <v>6.5984679586354421E-3</v>
      </c>
      <c r="BD9" s="42">
        <f>0.189054797370332/BG9</f>
        <v>9.4907026792335353E-4</v>
      </c>
      <c r="BE9" s="42">
        <f t="shared" si="1"/>
        <v>6.1230095999999993E-4</v>
      </c>
      <c r="BF9" s="42">
        <f>BE9*24*60</f>
        <v>0.88171338239999986</v>
      </c>
      <c r="BG9" s="42">
        <f t="shared" si="3"/>
        <v>199.2</v>
      </c>
      <c r="BH9" s="43">
        <f t="shared" si="4"/>
        <v>0</v>
      </c>
      <c r="BI9" s="43">
        <f t="shared" si="5"/>
        <v>0</v>
      </c>
      <c r="BJ9" s="43">
        <f t="shared" si="6"/>
        <v>78.864889041610795</v>
      </c>
      <c r="BK9" s="43" t="str">
        <f t="shared" si="19"/>
        <v/>
      </c>
      <c r="BL9" s="44">
        <f t="shared" si="12"/>
        <v>5.4767284056674165E-2</v>
      </c>
      <c r="BM9" s="44" t="str">
        <f t="shared" si="13"/>
        <v/>
      </c>
      <c r="BN9" s="43" t="str">
        <f>IF(C9="Python",BB9*BG9,"")</f>
        <v/>
      </c>
      <c r="BO9" s="43">
        <f t="shared" si="8"/>
        <v>0.18905479737033201</v>
      </c>
      <c r="BP9" s="55">
        <f>IF(BK9&lt;&gt;"",BK9/0.000385,IF(BL9&lt;&gt;"",BL9/0.000385,BM9/0.000385))</f>
        <v>142.25268586149136</v>
      </c>
      <c r="BQ9" s="45">
        <f>IF(BK9&lt;&gt;"",BK9,IF(BL9&lt;&gt;"",BL9,BM9))</f>
        <v>5.4767284056674165E-2</v>
      </c>
      <c r="BR9" s="24">
        <f t="shared" si="9"/>
        <v>0.18905479737033201</v>
      </c>
    </row>
    <row r="10" spans="1:70" x14ac:dyDescent="0.3">
      <c r="A10" s="1" t="s">
        <v>87</v>
      </c>
      <c r="B10">
        <v>0.25</v>
      </c>
      <c r="C10" t="s">
        <v>80</v>
      </c>
      <c r="D10">
        <v>12</v>
      </c>
      <c r="E10">
        <v>0</v>
      </c>
      <c r="F10" t="s">
        <v>78</v>
      </c>
      <c r="G10" s="35">
        <v>45568.55232638889</v>
      </c>
      <c r="H10">
        <v>146.51</v>
      </c>
      <c r="I10" s="40"/>
      <c r="J10" s="40">
        <v>154.63040000000001</v>
      </c>
      <c r="K10" s="40">
        <v>9.8249999999999993</v>
      </c>
      <c r="L10" s="40">
        <v>9.7319999999999993</v>
      </c>
      <c r="M10" s="40">
        <v>99.1</v>
      </c>
      <c r="N10" s="40">
        <v>16.27</v>
      </c>
      <c r="O10" s="40">
        <v>318</v>
      </c>
      <c r="P10" s="40">
        <v>1.01</v>
      </c>
      <c r="Q10" s="40">
        <v>0.68</v>
      </c>
      <c r="R10" s="40">
        <v>5.93</v>
      </c>
      <c r="S10" s="40"/>
      <c r="T10" s="40">
        <v>0.28999999999999998</v>
      </c>
      <c r="U10" s="40">
        <v>2.36</v>
      </c>
      <c r="V10" s="40">
        <v>0.91</v>
      </c>
      <c r="W10" s="40">
        <v>7.23</v>
      </c>
      <c r="X10" s="40">
        <v>57.1</v>
      </c>
      <c r="Y10" s="40">
        <v>101.4</v>
      </c>
      <c r="Z10" s="40">
        <v>6.36</v>
      </c>
      <c r="AA10" s="40">
        <v>107.7</v>
      </c>
      <c r="AB10" s="40">
        <v>21.2</v>
      </c>
      <c r="AC10" s="40">
        <v>50.1</v>
      </c>
      <c r="AD10" s="40">
        <v>85</v>
      </c>
      <c r="AE10" s="17">
        <v>7.19</v>
      </c>
      <c r="AF10" s="40">
        <v>294</v>
      </c>
      <c r="AG10" s="40">
        <v>49.1</v>
      </c>
      <c r="AH10" s="40">
        <v>7.2069999999999999</v>
      </c>
      <c r="AI10" s="40">
        <v>34</v>
      </c>
      <c r="AJ10" s="40">
        <v>0.1</v>
      </c>
      <c r="AK10" s="40">
        <v>0</v>
      </c>
      <c r="AL10" s="40">
        <v>0</v>
      </c>
      <c r="AM10" s="40">
        <v>0</v>
      </c>
      <c r="AN10" s="40">
        <v>0</v>
      </c>
      <c r="AO10" s="40">
        <v>199.1</v>
      </c>
      <c r="AP10" s="40"/>
      <c r="AQ10" s="41">
        <f t="shared" si="0"/>
        <v>0.49099999999999999</v>
      </c>
      <c r="AR10" s="41">
        <f>BQ10</f>
        <v>3.4877541599999992E-2</v>
      </c>
      <c r="AS10" s="41">
        <v>0</v>
      </c>
      <c r="AT10" s="41">
        <v>0</v>
      </c>
      <c r="AU10" s="41">
        <v>0</v>
      </c>
      <c r="AV10" s="63">
        <v>2.4</v>
      </c>
      <c r="AW10">
        <v>200</v>
      </c>
      <c r="AX10">
        <v>34</v>
      </c>
      <c r="AY10" s="40">
        <v>7.2</v>
      </c>
      <c r="AZ10" s="40">
        <v>50</v>
      </c>
      <c r="BA10" s="42">
        <v>2.9999999999999997E-4</v>
      </c>
      <c r="BB10" s="11"/>
      <c r="BD10" s="22"/>
      <c r="BE10" s="42">
        <f t="shared" si="1"/>
        <v>5.8129235999999993E-4</v>
      </c>
      <c r="BF10" s="42">
        <f>BE10*24*60</f>
        <v>0.83706099839999981</v>
      </c>
      <c r="BG10" s="42">
        <f t="shared" si="3"/>
        <v>199.1</v>
      </c>
      <c r="BH10" s="43">
        <f t="shared" si="4"/>
        <v>0</v>
      </c>
      <c r="BI10" s="43">
        <f t="shared" si="5"/>
        <v>0</v>
      </c>
      <c r="BJ10" s="43">
        <f t="shared" si="6"/>
        <v>50.223659903999987</v>
      </c>
      <c r="BK10" s="43" t="str">
        <f t="shared" si="19"/>
        <v/>
      </c>
      <c r="BL10" s="44" t="str">
        <f t="shared" si="12"/>
        <v/>
      </c>
      <c r="BM10" s="44">
        <f t="shared" si="13"/>
        <v>3.4877541599999992E-2</v>
      </c>
      <c r="BN10" s="43" t="str">
        <f>IF(C10="Python",BB10*BG10,"")</f>
        <v/>
      </c>
      <c r="BO10" s="43" t="str">
        <f t="shared" si="8"/>
        <v/>
      </c>
      <c r="BP10" s="55">
        <f>IF(BK10&lt;&gt;"",BK10/0.000385,IF(BL10&lt;&gt;"",BL10/0.000385,BM10/0.000385))</f>
        <v>90.591017142857126</v>
      </c>
      <c r="BQ10" s="45">
        <f>IF(BK10&lt;&gt;"",BK10,IF(BL10&lt;&gt;"",BL10,BM10))</f>
        <v>3.4877541599999992E-2</v>
      </c>
      <c r="BR10" s="24" t="str">
        <f t="shared" si="9"/>
        <v/>
      </c>
    </row>
    <row r="11" spans="1:70" ht="15" thickBot="1" x14ac:dyDescent="0.35">
      <c r="A11" s="1" t="s">
        <v>88</v>
      </c>
      <c r="B11">
        <v>0.25</v>
      </c>
      <c r="C11" t="s">
        <v>80</v>
      </c>
      <c r="D11">
        <v>12</v>
      </c>
      <c r="E11">
        <v>0</v>
      </c>
      <c r="F11" t="s">
        <v>78</v>
      </c>
      <c r="G11" s="35">
        <v>45568.557060185187</v>
      </c>
      <c r="H11">
        <v>146.51</v>
      </c>
      <c r="I11" s="40"/>
      <c r="J11" s="40">
        <v>154.1216</v>
      </c>
      <c r="K11" s="40">
        <v>9.3059999999999992</v>
      </c>
      <c r="L11" s="40">
        <v>9.1969999999999992</v>
      </c>
      <c r="M11" s="40">
        <v>98.8</v>
      </c>
      <c r="N11" s="40">
        <v>16.260000000000002</v>
      </c>
      <c r="O11" s="40">
        <v>316</v>
      </c>
      <c r="P11" s="40">
        <v>1.01</v>
      </c>
      <c r="Q11" s="40">
        <v>0.67</v>
      </c>
      <c r="R11" s="40">
        <v>5.84</v>
      </c>
      <c r="S11" s="40"/>
      <c r="T11" s="40">
        <v>0.31</v>
      </c>
      <c r="U11" s="40">
        <v>2.34</v>
      </c>
      <c r="V11" s="40">
        <v>0.92</v>
      </c>
      <c r="W11" s="40">
        <v>7.2510000000000003</v>
      </c>
      <c r="X11" s="40">
        <v>53.4</v>
      </c>
      <c r="Y11" s="40">
        <v>91.5</v>
      </c>
      <c r="Z11" s="40">
        <v>6.36</v>
      </c>
      <c r="AA11" s="40">
        <v>108.9</v>
      </c>
      <c r="AB11" s="40">
        <v>20.8</v>
      </c>
      <c r="AC11" s="40">
        <v>46.9</v>
      </c>
      <c r="AD11" s="40">
        <v>75.900000000000006</v>
      </c>
      <c r="AE11" s="17">
        <v>7.2110000000000003</v>
      </c>
      <c r="AF11" s="40">
        <v>251</v>
      </c>
      <c r="AG11" s="40">
        <v>48.1</v>
      </c>
      <c r="AH11" s="40">
        <v>7.2309999999999999</v>
      </c>
      <c r="AI11" s="40">
        <v>34</v>
      </c>
      <c r="AJ11" s="40">
        <v>0.1</v>
      </c>
      <c r="AK11" s="40">
        <v>0</v>
      </c>
      <c r="AL11" s="40">
        <v>0</v>
      </c>
      <c r="AM11" s="40">
        <v>0</v>
      </c>
      <c r="AN11" s="40">
        <v>0</v>
      </c>
      <c r="AO11" s="40">
        <v>199.1</v>
      </c>
      <c r="AP11" s="40"/>
      <c r="AQ11" s="41">
        <f t="shared" si="0"/>
        <v>0.48100000000000004</v>
      </c>
      <c r="AR11" s="41">
        <f t="shared" si="14"/>
        <v>3.2960208599999992E-2</v>
      </c>
      <c r="AS11" s="41">
        <v>0</v>
      </c>
      <c r="AT11" s="41">
        <v>0</v>
      </c>
      <c r="AU11" s="41">
        <v>0</v>
      </c>
      <c r="AV11" s="63">
        <v>2.4</v>
      </c>
      <c r="AW11">
        <v>200</v>
      </c>
      <c r="AX11">
        <v>34</v>
      </c>
      <c r="AY11" s="40">
        <v>7.2</v>
      </c>
      <c r="AZ11" s="40">
        <v>50</v>
      </c>
      <c r="BA11" s="42">
        <v>2.9999999999999997E-4</v>
      </c>
      <c r="BB11" s="11"/>
      <c r="BD11" s="22"/>
      <c r="BE11" s="42">
        <f t="shared" si="1"/>
        <v>5.4933680999999989E-4</v>
      </c>
      <c r="BF11" s="42">
        <f t="shared" si="2"/>
        <v>0.79104500639999986</v>
      </c>
      <c r="BG11" s="42">
        <f t="shared" si="3"/>
        <v>199.1</v>
      </c>
      <c r="BH11" s="43">
        <f t="shared" si="4"/>
        <v>0</v>
      </c>
      <c r="BI11" s="43">
        <f t="shared" si="5"/>
        <v>0</v>
      </c>
      <c r="BJ11" s="43">
        <f t="shared" si="6"/>
        <v>47.462700383999994</v>
      </c>
      <c r="BK11" s="43" t="str">
        <f t="shared" si="19"/>
        <v/>
      </c>
      <c r="BL11" s="44" t="str">
        <f t="shared" si="12"/>
        <v/>
      </c>
      <c r="BM11" s="44">
        <f t="shared" si="13"/>
        <v>3.2960208599999992E-2</v>
      </c>
      <c r="BN11" s="43" t="str">
        <f>IF(C11="Python",BB11*BG11,"")</f>
        <v/>
      </c>
      <c r="BO11" s="43" t="str">
        <f t="shared" si="8"/>
        <v/>
      </c>
      <c r="BP11" s="55">
        <f t="shared" si="17"/>
        <v>85.610931428571419</v>
      </c>
      <c r="BQ11" s="45">
        <f t="shared" si="18"/>
        <v>3.2960208599999992E-2</v>
      </c>
      <c r="BR11" s="24" t="str">
        <f t="shared" ref="BR11:BR38" si="22">IF(BN11&lt;&gt;"",BN11,BO11)</f>
        <v/>
      </c>
    </row>
    <row r="12" spans="1:70" x14ac:dyDescent="0.3">
      <c r="A12" s="2" t="s">
        <v>76</v>
      </c>
      <c r="B12" s="3">
        <v>1000</v>
      </c>
      <c r="C12" s="3" t="s">
        <v>77</v>
      </c>
      <c r="D12" s="3">
        <v>12</v>
      </c>
      <c r="E12" s="3">
        <v>1</v>
      </c>
      <c r="F12" s="3" t="s">
        <v>89</v>
      </c>
      <c r="G12" s="69">
        <v>45569.354861111111</v>
      </c>
      <c r="H12" s="2">
        <v>509.83</v>
      </c>
      <c r="I12" s="6"/>
      <c r="J12" s="6">
        <v>425.71940000000001</v>
      </c>
      <c r="K12" s="6">
        <v>15.9</v>
      </c>
      <c r="L12" s="6">
        <v>15.7</v>
      </c>
      <c r="M12" s="6">
        <v>99.1</v>
      </c>
      <c r="N12" s="6"/>
      <c r="O12" s="6"/>
      <c r="P12" s="6"/>
      <c r="Q12" s="6"/>
      <c r="R12" s="6">
        <v>1.23</v>
      </c>
      <c r="S12" s="6"/>
      <c r="T12" s="6"/>
      <c r="U12" s="6"/>
      <c r="V12" s="6">
        <v>2.85</v>
      </c>
      <c r="W12" s="3"/>
      <c r="X12" s="6"/>
      <c r="Y12" s="6"/>
      <c r="Z12" s="6"/>
      <c r="AA12" s="6"/>
      <c r="AB12" s="6"/>
      <c r="AC12" s="6"/>
      <c r="AD12" s="6"/>
      <c r="AE12" s="16">
        <v>7.0839999999999996</v>
      </c>
      <c r="AF12" s="6"/>
      <c r="AG12" s="6">
        <v>49.995625951241898</v>
      </c>
      <c r="AH12" s="6"/>
      <c r="AI12" s="6">
        <v>33.994191248346503</v>
      </c>
      <c r="AJ12" s="6"/>
      <c r="AK12" s="6"/>
      <c r="AL12" s="6"/>
      <c r="AM12" s="6">
        <v>3464.54809570313</v>
      </c>
      <c r="AN12" s="6">
        <v>233.49066162109401</v>
      </c>
      <c r="AO12" s="6">
        <v>593000</v>
      </c>
      <c r="AP12" s="6"/>
      <c r="AQ12" s="32">
        <f t="shared" si="0"/>
        <v>0.49995625951241895</v>
      </c>
      <c r="AR12" s="32">
        <f t="shared" si="14"/>
        <v>161.52000000000001</v>
      </c>
      <c r="AS12" s="32">
        <f t="shared" ref="AS12:AS43" si="23">AM12-AM3</f>
        <v>3464.54809570313</v>
      </c>
      <c r="AT12" s="32">
        <f t="shared" ref="AT12:AT43" si="24">AN12-AN3</f>
        <v>233.49066162109401</v>
      </c>
      <c r="AU12" s="32">
        <f t="shared" ref="AU12:AU43" si="25">AP3-AP12</f>
        <v>0</v>
      </c>
      <c r="AV12" s="66">
        <v>60</v>
      </c>
      <c r="AW12" s="3">
        <v>592000</v>
      </c>
      <c r="AX12" s="3">
        <v>34</v>
      </c>
      <c r="AY12" s="6">
        <v>7.2</v>
      </c>
      <c r="AZ12" s="6">
        <v>50</v>
      </c>
      <c r="BA12" s="9">
        <v>2.9999999999999997E-4</v>
      </c>
      <c r="BB12" s="8"/>
      <c r="BC12" s="9">
        <f>2.692*24*60/BG12</f>
        <v>6.5370657672849924E-3</v>
      </c>
      <c r="BD12" s="21">
        <f>5358.643086/BG12</f>
        <v>9.0364976155143332E-3</v>
      </c>
      <c r="BE12" s="9">
        <f t="shared" si="1"/>
        <v>2.7930299999999999</v>
      </c>
      <c r="BF12" s="9">
        <f t="shared" si="2"/>
        <v>4021.9631999999997</v>
      </c>
      <c r="BG12" s="9">
        <f t="shared" si="3"/>
        <v>593000</v>
      </c>
      <c r="BH12" s="10">
        <f t="shared" si="4"/>
        <v>5.8424082558231538E-3</v>
      </c>
      <c r="BI12" s="10">
        <f t="shared" si="5"/>
        <v>5.8522771886877194E-3</v>
      </c>
      <c r="BJ12" s="10">
        <f t="shared" si="6"/>
        <v>232588.80000000002</v>
      </c>
      <c r="BK12" s="10" t="str">
        <f t="shared" si="19"/>
        <v/>
      </c>
      <c r="BL12" s="10">
        <f t="shared" si="12"/>
        <v>161.52000000000001</v>
      </c>
      <c r="BM12" s="28" t="str">
        <f t="shared" si="13"/>
        <v/>
      </c>
      <c r="BN12" s="10" t="str">
        <f t="shared" ref="BN12:BN20" si="26">IF(IF(C12&lt;&gt;"Julia",((5-R12)*BG12)/400, "")&lt;0,0,IF(C12&lt;&gt;"Julia",((5-R12)*BG12)/400, ""))</f>
        <v/>
      </c>
      <c r="BO12" s="10">
        <f t="shared" si="8"/>
        <v>5358.6430859999991</v>
      </c>
      <c r="BP12" s="58">
        <f>IF(BK12&lt;&gt;"",BK12/0.000385,IF(BL12&lt;&gt;"",BL12/0.000385,BM12/0.000385))</f>
        <v>419532.46753246756</v>
      </c>
      <c r="BQ12" s="30">
        <f>IF(BK12&lt;&gt;"",BK12,IF(BL12&lt;&gt;"",BL12,BM12))</f>
        <v>161.52000000000001</v>
      </c>
      <c r="BR12" s="26">
        <f t="shared" si="22"/>
        <v>5358.6430859999991</v>
      </c>
    </row>
    <row r="13" spans="1:70" x14ac:dyDescent="0.3">
      <c r="A13" s="1" t="s">
        <v>79</v>
      </c>
      <c r="B13">
        <v>0.25</v>
      </c>
      <c r="C13" t="s">
        <v>80</v>
      </c>
      <c r="D13">
        <v>12</v>
      </c>
      <c r="E13">
        <v>1</v>
      </c>
      <c r="F13" t="s">
        <v>89</v>
      </c>
      <c r="G13" s="70">
        <v>45569.398680555554</v>
      </c>
      <c r="H13" s="1">
        <v>509.83</v>
      </c>
      <c r="I13" s="40"/>
      <c r="J13" s="40">
        <v>435.59379999999999</v>
      </c>
      <c r="K13" s="40">
        <v>17.8</v>
      </c>
      <c r="L13" s="40">
        <v>17.399999999999999</v>
      </c>
      <c r="M13" s="40">
        <v>98.3</v>
      </c>
      <c r="N13" s="40">
        <v>17.399999999999999</v>
      </c>
      <c r="O13" s="40">
        <v>310</v>
      </c>
      <c r="P13" s="40">
        <v>1.76</v>
      </c>
      <c r="Q13" s="40">
        <v>0.65</v>
      </c>
      <c r="R13" s="40">
        <v>1.64</v>
      </c>
      <c r="S13" s="40"/>
      <c r="T13" s="40">
        <v>0.39</v>
      </c>
      <c r="U13" s="40">
        <v>2.5</v>
      </c>
      <c r="V13" s="40">
        <v>2.56</v>
      </c>
      <c r="W13" s="40">
        <v>7.0369999999999999</v>
      </c>
      <c r="X13" s="40">
        <v>41.7</v>
      </c>
      <c r="Y13" s="40">
        <v>84.2</v>
      </c>
      <c r="Z13" s="40">
        <v>4.58</v>
      </c>
      <c r="AA13" s="40">
        <v>119.9</v>
      </c>
      <c r="AB13" s="40">
        <v>9.9</v>
      </c>
      <c r="AC13" s="40">
        <v>36.5</v>
      </c>
      <c r="AD13" s="40">
        <v>69.2</v>
      </c>
      <c r="AE13" s="17">
        <v>7</v>
      </c>
      <c r="AF13" s="40">
        <v>408</v>
      </c>
      <c r="AG13" s="40">
        <v>50.8</v>
      </c>
      <c r="AH13" s="40">
        <v>7.0579999999999998</v>
      </c>
      <c r="AI13" s="40">
        <v>34</v>
      </c>
      <c r="AJ13" s="40">
        <v>0.9</v>
      </c>
      <c r="AK13" s="40">
        <v>0</v>
      </c>
      <c r="AL13" s="40">
        <v>0</v>
      </c>
      <c r="AM13" s="40">
        <v>0.8</v>
      </c>
      <c r="AN13" s="40">
        <v>0</v>
      </c>
      <c r="AO13" s="40">
        <v>196.5</v>
      </c>
      <c r="AP13" s="40"/>
      <c r="AQ13" s="41">
        <f t="shared" si="0"/>
        <v>0.50800000000000001</v>
      </c>
      <c r="AR13" s="41">
        <f t="shared" ref="AR13" si="27">BQ13</f>
        <v>6.1543799999999996E-2</v>
      </c>
      <c r="AS13" s="41">
        <f t="shared" si="23"/>
        <v>0.8</v>
      </c>
      <c r="AT13" s="41">
        <f t="shared" si="24"/>
        <v>0</v>
      </c>
      <c r="AU13" s="41">
        <f t="shared" si="25"/>
        <v>0</v>
      </c>
      <c r="AV13" s="67">
        <v>2.4</v>
      </c>
      <c r="AW13">
        <v>200</v>
      </c>
      <c r="AX13">
        <v>34</v>
      </c>
      <c r="AY13" s="40">
        <v>7.2</v>
      </c>
      <c r="AZ13" s="40">
        <v>50</v>
      </c>
      <c r="BA13" s="42">
        <v>2.9999999999999997E-4</v>
      </c>
      <c r="BB13" s="11"/>
      <c r="BC13" s="42"/>
      <c r="BD13" s="22"/>
      <c r="BE13" s="42">
        <f t="shared" si="1"/>
        <v>1.0257299999999999E-3</v>
      </c>
      <c r="BF13" s="42">
        <f t="shared" ref="BF13" si="28">BE13*24*60</f>
        <v>1.4770511999999998</v>
      </c>
      <c r="BG13" s="42">
        <f t="shared" si="3"/>
        <v>196.5</v>
      </c>
      <c r="BH13" s="43">
        <f t="shared" si="4"/>
        <v>4.0712468193384223E-3</v>
      </c>
      <c r="BI13" s="43">
        <f t="shared" si="5"/>
        <v>4.0000000000000001E-3</v>
      </c>
      <c r="BJ13" s="43">
        <f t="shared" si="6"/>
        <v>88.623072000000008</v>
      </c>
      <c r="BK13" s="43" t="str">
        <f t="shared" si="19"/>
        <v/>
      </c>
      <c r="BL13" s="43" t="str">
        <f t="shared" si="12"/>
        <v/>
      </c>
      <c r="BM13" s="44">
        <f t="shared" si="13"/>
        <v>6.1543799999999996E-2</v>
      </c>
      <c r="BN13" s="43">
        <f t="shared" si="26"/>
        <v>1.6506000000000001</v>
      </c>
      <c r="BO13" s="43" t="str">
        <f t="shared" si="8"/>
        <v/>
      </c>
      <c r="BP13" s="55">
        <f>IF(BK13&lt;&gt;"",BK13/0.000385,IF(BL13&lt;&gt;"",BL13/0.000385,BM13/0.000385))</f>
        <v>159.85402597402597</v>
      </c>
      <c r="BQ13" s="45">
        <f>IF(BK13&lt;&gt;"",BK13,IF(BL13&lt;&gt;"",BL13,BM13))</f>
        <v>6.1543799999999996E-2</v>
      </c>
      <c r="BR13" s="24">
        <f t="shared" ref="BR13" si="29">IF(BN13&lt;&gt;"",BN13,BO13)</f>
        <v>1.6506000000000001</v>
      </c>
    </row>
    <row r="14" spans="1:70" x14ac:dyDescent="0.3">
      <c r="A14" s="1" t="s">
        <v>81</v>
      </c>
      <c r="B14">
        <v>0.25</v>
      </c>
      <c r="C14" t="s">
        <v>80</v>
      </c>
      <c r="D14">
        <v>12</v>
      </c>
      <c r="E14">
        <v>1</v>
      </c>
      <c r="F14" t="s">
        <v>89</v>
      </c>
      <c r="G14" s="70">
        <v>45569.399525462963</v>
      </c>
      <c r="H14" s="1">
        <v>509.83</v>
      </c>
      <c r="I14" s="40"/>
      <c r="J14" s="40">
        <v>433.58920000000001</v>
      </c>
      <c r="K14" s="40">
        <v>15.8</v>
      </c>
      <c r="L14" s="40">
        <v>15.5</v>
      </c>
      <c r="M14" s="40">
        <v>98</v>
      </c>
      <c r="N14" s="40">
        <v>17.399999999999999</v>
      </c>
      <c r="O14" s="40">
        <v>312</v>
      </c>
      <c r="P14" s="40">
        <v>1.76</v>
      </c>
      <c r="Q14" s="40">
        <v>0.68</v>
      </c>
      <c r="R14" s="40">
        <v>1.54</v>
      </c>
      <c r="S14" s="40"/>
      <c r="T14" s="40">
        <v>0.34</v>
      </c>
      <c r="U14" s="40">
        <v>2.66</v>
      </c>
      <c r="V14" s="40">
        <v>2.74</v>
      </c>
      <c r="W14" s="40">
        <v>7.0439999999999996</v>
      </c>
      <c r="X14" s="40">
        <v>43.9</v>
      </c>
      <c r="Y14" s="40">
        <v>86.6</v>
      </c>
      <c r="Z14" s="40">
        <v>4.63</v>
      </c>
      <c r="AA14" s="40">
        <v>122.7</v>
      </c>
      <c r="AB14" s="40">
        <v>10.6</v>
      </c>
      <c r="AC14" s="40">
        <v>38.5</v>
      </c>
      <c r="AD14" s="40">
        <v>71.5</v>
      </c>
      <c r="AE14" s="17">
        <v>7.008</v>
      </c>
      <c r="AF14" s="40">
        <v>408</v>
      </c>
      <c r="AG14" s="40">
        <v>52.1</v>
      </c>
      <c r="AH14" s="40">
        <v>7.0940000000000003</v>
      </c>
      <c r="AI14" s="40">
        <v>34</v>
      </c>
      <c r="AJ14" s="40">
        <v>1.2</v>
      </c>
      <c r="AK14" s="40">
        <v>0</v>
      </c>
      <c r="AL14" s="40">
        <v>0</v>
      </c>
      <c r="AM14" s="40">
        <v>0.7</v>
      </c>
      <c r="AN14" s="40">
        <v>0</v>
      </c>
      <c r="AO14" s="40">
        <v>196.7</v>
      </c>
      <c r="AP14" s="40"/>
      <c r="AQ14" s="41">
        <f t="shared" si="0"/>
        <v>0.52100000000000002</v>
      </c>
      <c r="AR14" s="41">
        <f t="shared" si="14"/>
        <v>5.4879299999999992E-2</v>
      </c>
      <c r="AS14" s="41">
        <f t="shared" si="23"/>
        <v>0.7</v>
      </c>
      <c r="AT14" s="41">
        <f t="shared" si="24"/>
        <v>0</v>
      </c>
      <c r="AU14" s="41">
        <f t="shared" si="25"/>
        <v>0</v>
      </c>
      <c r="AV14" s="67">
        <v>2.4</v>
      </c>
      <c r="AW14">
        <v>200</v>
      </c>
      <c r="AX14">
        <v>34</v>
      </c>
      <c r="AY14" s="40">
        <v>7.2</v>
      </c>
      <c r="AZ14" s="40">
        <v>50</v>
      </c>
      <c r="BA14" s="42">
        <v>2.9999999999999997E-4</v>
      </c>
      <c r="BB14" s="11"/>
      <c r="BC14" s="42"/>
      <c r="BD14" s="22"/>
      <c r="BE14" s="42">
        <f t="shared" si="1"/>
        <v>9.146549999999999E-4</v>
      </c>
      <c r="BF14" s="42">
        <f t="shared" si="2"/>
        <v>1.3171031999999998</v>
      </c>
      <c r="BG14" s="42">
        <f t="shared" si="3"/>
        <v>196.7</v>
      </c>
      <c r="BH14" s="43">
        <f t="shared" si="4"/>
        <v>3.5587188612099642E-3</v>
      </c>
      <c r="BI14" s="43">
        <f t="shared" si="5"/>
        <v>3.4999999999999996E-3</v>
      </c>
      <c r="BJ14" s="43">
        <f t="shared" si="6"/>
        <v>79.026191999999995</v>
      </c>
      <c r="BK14" s="43" t="str">
        <f t="shared" si="19"/>
        <v/>
      </c>
      <c r="BL14" s="43" t="str">
        <f t="shared" si="12"/>
        <v/>
      </c>
      <c r="BM14" s="44">
        <f t="shared" si="13"/>
        <v>5.4879299999999992E-2</v>
      </c>
      <c r="BN14" s="43">
        <f t="shared" si="26"/>
        <v>1.7014549999999999</v>
      </c>
      <c r="BO14" s="43" t="str">
        <f t="shared" si="8"/>
        <v/>
      </c>
      <c r="BP14" s="55">
        <f t="shared" ref="BP14:BP20" si="30">IF(BK14&lt;&gt;"",BK14/0.000385,IF(BL14&lt;&gt;"",BL14/0.000385,BM14/0.000385))</f>
        <v>142.54363636363635</v>
      </c>
      <c r="BQ14" s="45">
        <f t="shared" ref="BQ14:BQ20" si="31">IF(BK14&lt;&gt;"",BK14,IF(BL14&lt;&gt;"",BL14,BM14))</f>
        <v>5.4879299999999992E-2</v>
      </c>
      <c r="BR14" s="24">
        <f t="shared" si="22"/>
        <v>1.7014549999999999</v>
      </c>
    </row>
    <row r="15" spans="1:70" x14ac:dyDescent="0.3">
      <c r="A15" s="1" t="s">
        <v>82</v>
      </c>
      <c r="B15">
        <v>0.25</v>
      </c>
      <c r="C15" t="s">
        <v>83</v>
      </c>
      <c r="D15">
        <v>12</v>
      </c>
      <c r="E15">
        <v>1</v>
      </c>
      <c r="F15" t="s">
        <v>89</v>
      </c>
      <c r="G15" s="70">
        <v>45569.400370370371</v>
      </c>
      <c r="H15" s="1">
        <v>509.83</v>
      </c>
      <c r="I15" s="40"/>
      <c r="J15" s="40">
        <v>424.5985</v>
      </c>
      <c r="K15" s="40">
        <v>15.4</v>
      </c>
      <c r="L15" s="40">
        <v>15</v>
      </c>
      <c r="M15" s="40">
        <v>97.4</v>
      </c>
      <c r="N15" s="40">
        <v>17.5</v>
      </c>
      <c r="O15" s="40">
        <v>346</v>
      </c>
      <c r="P15" s="40">
        <v>2.33</v>
      </c>
      <c r="Q15" s="40">
        <v>0.68</v>
      </c>
      <c r="R15" s="40">
        <v>3.78</v>
      </c>
      <c r="S15" s="40"/>
      <c r="T15" s="40">
        <v>0.43</v>
      </c>
      <c r="U15" s="40">
        <v>3.16</v>
      </c>
      <c r="V15" s="40">
        <v>2.96</v>
      </c>
      <c r="W15" s="40">
        <v>7.0679999999999996</v>
      </c>
      <c r="X15" s="40">
        <v>50.1</v>
      </c>
      <c r="Y15" s="40">
        <v>85.7</v>
      </c>
      <c r="Z15" s="40">
        <v>4.59</v>
      </c>
      <c r="AA15" s="40">
        <v>128.9</v>
      </c>
      <c r="AB15" s="40">
        <v>12.8</v>
      </c>
      <c r="AC15" s="40">
        <v>43.9</v>
      </c>
      <c r="AD15" s="40">
        <v>70.7</v>
      </c>
      <c r="AE15" s="17">
        <v>7.0309999999999997</v>
      </c>
      <c r="AF15" s="40">
        <v>407</v>
      </c>
      <c r="AG15" s="40">
        <v>50</v>
      </c>
      <c r="AH15" s="40">
        <v>7.0940000000000003</v>
      </c>
      <c r="AI15" s="40">
        <v>34</v>
      </c>
      <c r="AJ15" s="40">
        <v>1.5</v>
      </c>
      <c r="AK15" s="40">
        <v>0</v>
      </c>
      <c r="AL15" s="40">
        <v>0</v>
      </c>
      <c r="AM15" s="40">
        <v>3.1</v>
      </c>
      <c r="AN15" s="40">
        <v>0</v>
      </c>
      <c r="AO15" s="40">
        <v>199.4</v>
      </c>
      <c r="AP15" s="40"/>
      <c r="AQ15" s="41">
        <f t="shared" si="0"/>
        <v>0.5</v>
      </c>
      <c r="AR15" s="41">
        <f t="shared" si="14"/>
        <v>6.6466666666666674E-2</v>
      </c>
      <c r="AS15" s="41">
        <f t="shared" si="23"/>
        <v>3.1</v>
      </c>
      <c r="AT15" s="41">
        <f t="shared" si="24"/>
        <v>0</v>
      </c>
      <c r="AU15" s="41">
        <f t="shared" si="25"/>
        <v>0</v>
      </c>
      <c r="AV15" s="67">
        <v>2.4</v>
      </c>
      <c r="AW15">
        <v>200</v>
      </c>
      <c r="AX15">
        <v>34</v>
      </c>
      <c r="AY15" s="40">
        <v>7.2</v>
      </c>
      <c r="AZ15" s="40">
        <v>50</v>
      </c>
      <c r="BA15" s="42">
        <v>2.9999999999999997E-4</v>
      </c>
      <c r="BB15" s="11">
        <v>8.0000000000000002E-3</v>
      </c>
      <c r="BC15" s="42"/>
      <c r="BD15" s="22"/>
      <c r="BE15" s="42">
        <f t="shared" si="1"/>
        <v>8.9729999999999996E-4</v>
      </c>
      <c r="BF15" s="42">
        <f t="shared" si="2"/>
        <v>1.2921119999999999</v>
      </c>
      <c r="BG15" s="42">
        <f t="shared" si="3"/>
        <v>199.4</v>
      </c>
      <c r="BH15" s="43">
        <f t="shared" si="4"/>
        <v>1.5546639919759278E-2</v>
      </c>
      <c r="BI15" s="43">
        <f t="shared" si="5"/>
        <v>1.55E-2</v>
      </c>
      <c r="BJ15" s="43">
        <f t="shared" si="6"/>
        <v>95.712000000000018</v>
      </c>
      <c r="BK15" s="43">
        <f t="shared" si="19"/>
        <v>6.6466666666666674E-2</v>
      </c>
      <c r="BL15" s="43" t="str">
        <f t="shared" si="12"/>
        <v/>
      </c>
      <c r="BM15" s="44" t="str">
        <f t="shared" si="13"/>
        <v/>
      </c>
      <c r="BN15" s="43">
        <f t="shared" si="26"/>
        <v>0.6081700000000001</v>
      </c>
      <c r="BO15" s="43" t="str">
        <f t="shared" si="8"/>
        <v/>
      </c>
      <c r="BP15" s="55">
        <f t="shared" si="30"/>
        <v>172.64069264069266</v>
      </c>
      <c r="BQ15" s="45">
        <f t="shared" si="31"/>
        <v>6.6466666666666674E-2</v>
      </c>
      <c r="BR15" s="24">
        <f t="shared" si="22"/>
        <v>0.6081700000000001</v>
      </c>
    </row>
    <row r="16" spans="1:70" x14ac:dyDescent="0.3">
      <c r="A16" s="1" t="s">
        <v>84</v>
      </c>
      <c r="B16">
        <v>0.25</v>
      </c>
      <c r="C16" t="s">
        <v>83</v>
      </c>
      <c r="D16">
        <v>12</v>
      </c>
      <c r="E16">
        <v>1</v>
      </c>
      <c r="F16" t="s">
        <v>89</v>
      </c>
      <c r="G16" s="70">
        <v>45569.40121527778</v>
      </c>
      <c r="H16" s="1">
        <v>509.83</v>
      </c>
      <c r="I16" s="40"/>
      <c r="J16" s="40">
        <v>428.98070000000001</v>
      </c>
      <c r="K16" s="40">
        <v>15.9</v>
      </c>
      <c r="L16" s="40">
        <v>15.5</v>
      </c>
      <c r="M16" s="40">
        <v>97.7</v>
      </c>
      <c r="N16" s="40">
        <v>17.3</v>
      </c>
      <c r="O16" s="40">
        <v>325</v>
      </c>
      <c r="P16" s="40">
        <v>1.96</v>
      </c>
      <c r="Q16" s="40">
        <v>0.68</v>
      </c>
      <c r="R16" s="40">
        <v>2.4</v>
      </c>
      <c r="S16" s="40"/>
      <c r="T16" s="40">
        <v>0.4</v>
      </c>
      <c r="U16" s="40">
        <v>2.72</v>
      </c>
      <c r="V16" s="40">
        <v>2.73</v>
      </c>
      <c r="W16" s="40">
        <v>7.0590000000000002</v>
      </c>
      <c r="X16" s="40">
        <v>46.7</v>
      </c>
      <c r="Y16" s="40">
        <v>84.2</v>
      </c>
      <c r="Z16" s="40">
        <v>4.54</v>
      </c>
      <c r="AA16" s="40">
        <v>123</v>
      </c>
      <c r="AB16" s="40">
        <v>11.7</v>
      </c>
      <c r="AC16" s="40">
        <v>40.9</v>
      </c>
      <c r="AD16" s="40">
        <v>69.400000000000006</v>
      </c>
      <c r="AE16" s="17">
        <v>7.0229999999999997</v>
      </c>
      <c r="AF16" s="40">
        <v>408</v>
      </c>
      <c r="AG16" s="40">
        <v>50.6</v>
      </c>
      <c r="AH16" s="40">
        <v>7.0949999999999998</v>
      </c>
      <c r="AI16" s="40">
        <v>34</v>
      </c>
      <c r="AJ16" s="40">
        <v>1.3</v>
      </c>
      <c r="AK16" s="40">
        <v>0</v>
      </c>
      <c r="AL16" s="40">
        <v>0</v>
      </c>
      <c r="AM16" s="40">
        <v>1.6</v>
      </c>
      <c r="AN16" s="40">
        <v>0</v>
      </c>
      <c r="AO16" s="40">
        <v>197.6</v>
      </c>
      <c r="AP16" s="40"/>
      <c r="AQ16" s="41">
        <f t="shared" si="0"/>
        <v>0.50600000000000001</v>
      </c>
      <c r="AR16" s="41">
        <f t="shared" si="14"/>
        <v>5.4339999999999999E-2</v>
      </c>
      <c r="AS16" s="41">
        <f t="shared" si="23"/>
        <v>1.6</v>
      </c>
      <c r="AT16" s="41">
        <f t="shared" si="24"/>
        <v>0</v>
      </c>
      <c r="AU16" s="41">
        <f t="shared" si="25"/>
        <v>0</v>
      </c>
      <c r="AV16" s="67">
        <v>2.4</v>
      </c>
      <c r="AW16">
        <v>200</v>
      </c>
      <c r="AX16">
        <v>34</v>
      </c>
      <c r="AY16" s="40">
        <v>7.2</v>
      </c>
      <c r="AZ16" s="40">
        <v>50</v>
      </c>
      <c r="BA16" s="42">
        <v>2.9999999999999997E-4</v>
      </c>
      <c r="BB16" s="11">
        <v>6.6E-3</v>
      </c>
      <c r="BD16" s="22"/>
      <c r="BE16" s="42">
        <f t="shared" si="1"/>
        <v>9.1883999999999987E-4</v>
      </c>
      <c r="BF16" s="42">
        <f t="shared" si="2"/>
        <v>1.3231295999999999</v>
      </c>
      <c r="BG16" s="42">
        <f t="shared" si="3"/>
        <v>197.6</v>
      </c>
      <c r="BH16" s="43">
        <f t="shared" si="4"/>
        <v>8.0971659919028341E-3</v>
      </c>
      <c r="BI16" s="43">
        <f t="shared" si="5"/>
        <v>8.0000000000000002E-3</v>
      </c>
      <c r="BJ16" s="43">
        <f t="shared" si="6"/>
        <v>78.249600000000001</v>
      </c>
      <c r="BK16" s="43">
        <f t="shared" si="19"/>
        <v>5.4339999999999999E-2</v>
      </c>
      <c r="BL16" s="44" t="str">
        <f t="shared" si="12"/>
        <v/>
      </c>
      <c r="BM16" s="44" t="str">
        <f t="shared" si="13"/>
        <v/>
      </c>
      <c r="BN16" s="43">
        <f t="shared" si="26"/>
        <v>1.2844</v>
      </c>
      <c r="BO16" s="43" t="str">
        <f t="shared" si="8"/>
        <v/>
      </c>
      <c r="BP16" s="55">
        <f t="shared" si="30"/>
        <v>141.14285714285714</v>
      </c>
      <c r="BQ16" s="45">
        <f t="shared" si="31"/>
        <v>5.4339999999999999E-2</v>
      </c>
      <c r="BR16" s="24">
        <f>IF(BN16&lt;&gt;"",BN16,BO16)</f>
        <v>1.2844</v>
      </c>
    </row>
    <row r="17" spans="1:70" x14ac:dyDescent="0.3">
      <c r="A17" s="1" t="s">
        <v>85</v>
      </c>
      <c r="B17">
        <v>0.25</v>
      </c>
      <c r="C17" t="s">
        <v>77</v>
      </c>
      <c r="D17">
        <v>12</v>
      </c>
      <c r="E17">
        <v>1</v>
      </c>
      <c r="F17" t="s">
        <v>89</v>
      </c>
      <c r="G17" s="70">
        <v>45569.402071759258</v>
      </c>
      <c r="H17" s="1">
        <v>509.83</v>
      </c>
      <c r="I17" s="40"/>
      <c r="J17" s="40">
        <v>423.42430000000002</v>
      </c>
      <c r="K17" s="40">
        <v>14.6</v>
      </c>
      <c r="L17" s="40">
        <v>14.1</v>
      </c>
      <c r="M17" s="40">
        <v>96.8</v>
      </c>
      <c r="N17" s="40">
        <v>17.3</v>
      </c>
      <c r="O17" s="40">
        <v>323</v>
      </c>
      <c r="P17" s="40">
        <v>1.86</v>
      </c>
      <c r="Q17" s="40">
        <v>0.68</v>
      </c>
      <c r="R17" s="40">
        <v>2.67</v>
      </c>
      <c r="S17" s="40"/>
      <c r="T17" s="40">
        <v>0.37</v>
      </c>
      <c r="U17" s="40">
        <v>2.67</v>
      </c>
      <c r="V17" s="40">
        <v>2.81</v>
      </c>
      <c r="W17" s="40">
        <v>7.0519999999999996</v>
      </c>
      <c r="X17" s="40">
        <v>48.6</v>
      </c>
      <c r="Y17" s="40">
        <v>83.9</v>
      </c>
      <c r="Z17" s="40">
        <v>4.68</v>
      </c>
      <c r="AA17" s="40">
        <v>124.7</v>
      </c>
      <c r="AB17" s="40">
        <v>12</v>
      </c>
      <c r="AC17" s="40">
        <v>42.6</v>
      </c>
      <c r="AD17" s="40">
        <v>69.099999999999994</v>
      </c>
      <c r="AE17" s="17">
        <v>7.0149999999999997</v>
      </c>
      <c r="AF17" s="40">
        <v>410</v>
      </c>
      <c r="AG17" s="40">
        <v>51.1</v>
      </c>
      <c r="AH17" s="40">
        <v>7.0940000000000003</v>
      </c>
      <c r="AI17" s="40">
        <v>34</v>
      </c>
      <c r="AJ17" s="40">
        <v>1.3</v>
      </c>
      <c r="AK17" s="40">
        <v>0</v>
      </c>
      <c r="AL17" s="40">
        <v>0</v>
      </c>
      <c r="AM17" s="40">
        <v>0.9</v>
      </c>
      <c r="AN17" s="40">
        <v>0.5</v>
      </c>
      <c r="AO17" s="40">
        <v>197.5</v>
      </c>
      <c r="AP17" s="40"/>
      <c r="AQ17" s="41">
        <f t="shared" si="0"/>
        <v>0.51100000000000001</v>
      </c>
      <c r="AR17" s="41">
        <f t="shared" si="14"/>
        <v>5.7860673965021342E-2</v>
      </c>
      <c r="AS17" s="41">
        <f t="shared" si="23"/>
        <v>0.9</v>
      </c>
      <c r="AT17" s="41">
        <f t="shared" si="24"/>
        <v>0.5</v>
      </c>
      <c r="AU17" s="41">
        <f t="shared" si="25"/>
        <v>0</v>
      </c>
      <c r="AV17" s="67">
        <v>2.4</v>
      </c>
      <c r="AW17">
        <v>200</v>
      </c>
      <c r="AX17">
        <v>34</v>
      </c>
      <c r="AY17" s="40">
        <v>7.2</v>
      </c>
      <c r="AZ17" s="40">
        <v>50</v>
      </c>
      <c r="BA17" s="42">
        <v>2.9999999999999997E-4</v>
      </c>
      <c r="BB17" s="11"/>
      <c r="BC17" s="42">
        <f>0.000964344566083689*24*60/BG17</f>
        <v>7.0311705071418344E-3</v>
      </c>
      <c r="BD17" s="42">
        <f>1.264374301857/BG17</f>
        <v>6.4018951992759494E-3</v>
      </c>
      <c r="BE17" s="42">
        <f t="shared" si="1"/>
        <v>8.3542499999999988E-4</v>
      </c>
      <c r="BF17" s="42">
        <f t="shared" si="2"/>
        <v>1.2030119999999997</v>
      </c>
      <c r="BG17" s="42">
        <f t="shared" si="3"/>
        <v>197.5</v>
      </c>
      <c r="BH17" s="43">
        <f t="shared" si="4"/>
        <v>4.5569620253164559E-3</v>
      </c>
      <c r="BI17" s="43">
        <f t="shared" si="5"/>
        <v>4.5000000000000005E-3</v>
      </c>
      <c r="BJ17" s="43">
        <f t="shared" si="6"/>
        <v>83.31937050963073</v>
      </c>
      <c r="BK17" s="43" t="str">
        <f t="shared" si="19"/>
        <v/>
      </c>
      <c r="BL17" s="44">
        <f t="shared" si="12"/>
        <v>5.7860673965021342E-2</v>
      </c>
      <c r="BM17" s="44" t="str">
        <f t="shared" si="13"/>
        <v/>
      </c>
      <c r="BN17" s="43" t="str">
        <f t="shared" si="26"/>
        <v/>
      </c>
      <c r="BO17" s="43">
        <f t="shared" si="8"/>
        <v>1.2643743018569999</v>
      </c>
      <c r="BP17" s="55">
        <f t="shared" si="30"/>
        <v>150.28746484421129</v>
      </c>
      <c r="BQ17" s="45">
        <f t="shared" si="31"/>
        <v>5.7860673965021342E-2</v>
      </c>
      <c r="BR17" s="24">
        <f t="shared" si="22"/>
        <v>1.2643743018569999</v>
      </c>
    </row>
    <row r="18" spans="1:70" x14ac:dyDescent="0.3">
      <c r="A18" s="1" t="s">
        <v>86</v>
      </c>
      <c r="B18">
        <v>0.25</v>
      </c>
      <c r="C18" t="s">
        <v>77</v>
      </c>
      <c r="D18">
        <v>12</v>
      </c>
      <c r="E18">
        <v>1</v>
      </c>
      <c r="F18" t="s">
        <v>89</v>
      </c>
      <c r="G18" s="70">
        <v>45569.402916666666</v>
      </c>
      <c r="H18" s="1">
        <v>509.83</v>
      </c>
      <c r="I18" s="40"/>
      <c r="J18" s="40">
        <v>433.48590000000002</v>
      </c>
      <c r="K18" s="40">
        <v>15.1</v>
      </c>
      <c r="L18" s="40">
        <v>14.7</v>
      </c>
      <c r="M18" s="40">
        <v>97.6</v>
      </c>
      <c r="N18" s="40">
        <v>17.399999999999999</v>
      </c>
      <c r="O18" s="40">
        <v>319</v>
      </c>
      <c r="P18" s="40">
        <v>1.78</v>
      </c>
      <c r="Q18" s="40">
        <v>0.67</v>
      </c>
      <c r="R18" s="40">
        <v>2.06</v>
      </c>
      <c r="S18" s="40"/>
      <c r="T18" s="40">
        <v>0.37</v>
      </c>
      <c r="U18" s="40">
        <v>2.64</v>
      </c>
      <c r="V18" s="40">
        <v>2.89</v>
      </c>
      <c r="W18" s="40">
        <v>7.05</v>
      </c>
      <c r="X18" s="40">
        <v>45.2</v>
      </c>
      <c r="Y18" s="40">
        <v>83.1</v>
      </c>
      <c r="Z18" s="40">
        <v>4.5599999999999996</v>
      </c>
      <c r="AA18" s="40">
        <v>123.8</v>
      </c>
      <c r="AB18" s="40">
        <v>11.1</v>
      </c>
      <c r="AC18" s="40">
        <v>39.6</v>
      </c>
      <c r="AD18" s="40">
        <v>68.400000000000006</v>
      </c>
      <c r="AE18" s="17">
        <v>7.0140000000000002</v>
      </c>
      <c r="AF18" s="40">
        <v>410</v>
      </c>
      <c r="AG18" s="40">
        <v>49.6</v>
      </c>
      <c r="AH18" s="40">
        <v>7.0910000000000002</v>
      </c>
      <c r="AI18" s="40">
        <v>34</v>
      </c>
      <c r="AJ18" s="40">
        <v>1.3</v>
      </c>
      <c r="AK18" s="40">
        <v>0</v>
      </c>
      <c r="AL18" s="40">
        <v>0</v>
      </c>
      <c r="AM18" s="40">
        <v>1</v>
      </c>
      <c r="AN18" s="40">
        <v>0.3</v>
      </c>
      <c r="AO18" s="40">
        <v>197.4</v>
      </c>
      <c r="AP18" s="40"/>
      <c r="AQ18" s="41">
        <f t="shared" si="0"/>
        <v>0.496</v>
      </c>
      <c r="AR18" s="41">
        <f>BQ18</f>
        <v>5.8498973276538489E-2</v>
      </c>
      <c r="AS18" s="41">
        <f t="shared" si="23"/>
        <v>1</v>
      </c>
      <c r="AT18" s="41">
        <f t="shared" si="24"/>
        <v>0.3</v>
      </c>
      <c r="AU18" s="41">
        <f t="shared" si="25"/>
        <v>0</v>
      </c>
      <c r="AV18" s="67">
        <v>2.4</v>
      </c>
      <c r="AW18">
        <v>200</v>
      </c>
      <c r="AX18">
        <v>34</v>
      </c>
      <c r="AY18" s="40">
        <v>7.2</v>
      </c>
      <c r="AZ18" s="40">
        <v>50</v>
      </c>
      <c r="BA18" s="42">
        <v>2.9999999999999997E-4</v>
      </c>
      <c r="BB18" s="11"/>
      <c r="BC18" s="42">
        <f>0.000974982887942308*24*60/BG18</f>
        <v>7.1123371764788435E-3</v>
      </c>
      <c r="BD18" s="42">
        <f>1.28270248082042/BG18</f>
        <v>6.4979862250274566E-3</v>
      </c>
      <c r="BE18" s="42">
        <f t="shared" si="1"/>
        <v>8.7053399999999985E-4</v>
      </c>
      <c r="BF18" s="42">
        <f>BE18*24*60</f>
        <v>1.2535689599999997</v>
      </c>
      <c r="BG18" s="42">
        <f t="shared" si="3"/>
        <v>197.4</v>
      </c>
      <c r="BH18" s="43">
        <f t="shared" si="4"/>
        <v>5.065856129685917E-3</v>
      </c>
      <c r="BI18" s="43">
        <f t="shared" si="5"/>
        <v>5.0000000000000001E-3</v>
      </c>
      <c r="BJ18" s="43">
        <f t="shared" si="6"/>
        <v>84.238521518215421</v>
      </c>
      <c r="BK18" s="43" t="str">
        <f t="shared" si="19"/>
        <v/>
      </c>
      <c r="BL18" s="44">
        <f t="shared" si="12"/>
        <v>5.8498973276538489E-2</v>
      </c>
      <c r="BM18" s="44" t="str">
        <f t="shared" si="13"/>
        <v/>
      </c>
      <c r="BN18" s="43" t="str">
        <f t="shared" si="26"/>
        <v/>
      </c>
      <c r="BO18" s="43">
        <f t="shared" si="8"/>
        <v>1.2827024808204199</v>
      </c>
      <c r="BP18" s="55">
        <f>IF(BK18&lt;&gt;"",BK18/0.000385,IF(BL18&lt;&gt;"",BL18/0.000385,BM18/0.000385))</f>
        <v>151.94538513386621</v>
      </c>
      <c r="BQ18" s="45">
        <f>IF(BK18&lt;&gt;"",BK18,IF(BL18&lt;&gt;"",BL18,BM18))</f>
        <v>5.8498973276538489E-2</v>
      </c>
      <c r="BR18" s="24">
        <f>IF(BN18&lt;&gt;"",BN18,BO18)</f>
        <v>1.2827024808204199</v>
      </c>
    </row>
    <row r="19" spans="1:70" x14ac:dyDescent="0.3">
      <c r="A19" s="1" t="s">
        <v>87</v>
      </c>
      <c r="B19">
        <v>0.25</v>
      </c>
      <c r="C19" t="s">
        <v>80</v>
      </c>
      <c r="D19">
        <v>12</v>
      </c>
      <c r="E19">
        <v>1</v>
      </c>
      <c r="F19" t="s">
        <v>89</v>
      </c>
      <c r="G19" s="70">
        <v>45569.403784722221</v>
      </c>
      <c r="H19" s="1">
        <v>509.83</v>
      </c>
      <c r="I19" s="40"/>
      <c r="J19" s="40">
        <v>431.77789999999999</v>
      </c>
      <c r="K19" s="40">
        <v>14.8</v>
      </c>
      <c r="L19" s="40">
        <v>14.4</v>
      </c>
      <c r="M19" s="40">
        <v>97.3</v>
      </c>
      <c r="N19" s="40">
        <v>17.3</v>
      </c>
      <c r="O19" s="40">
        <v>319</v>
      </c>
      <c r="P19" s="40">
        <v>1.75</v>
      </c>
      <c r="Q19" s="40">
        <v>0.68</v>
      </c>
      <c r="R19" s="40">
        <v>1.36</v>
      </c>
      <c r="S19" s="40"/>
      <c r="T19" s="40">
        <v>0.35</v>
      </c>
      <c r="U19" s="40">
        <v>2.5499999999999998</v>
      </c>
      <c r="V19" s="40">
        <v>2.81</v>
      </c>
      <c r="W19" s="40">
        <v>7.085</v>
      </c>
      <c r="X19" s="40">
        <v>55</v>
      </c>
      <c r="Y19" s="40">
        <v>83.5</v>
      </c>
      <c r="Z19" s="40">
        <v>4.5599999999999996</v>
      </c>
      <c r="AA19" s="40">
        <v>126.5</v>
      </c>
      <c r="AB19" s="40">
        <v>14.6</v>
      </c>
      <c r="AC19" s="40">
        <v>48.2</v>
      </c>
      <c r="AD19" s="40">
        <v>68.7</v>
      </c>
      <c r="AE19" s="17">
        <v>7.0469999999999997</v>
      </c>
      <c r="AF19" s="40">
        <v>999</v>
      </c>
      <c r="AG19" s="40">
        <v>42.9</v>
      </c>
      <c r="AH19" s="40">
        <v>7.0960000000000001</v>
      </c>
      <c r="AI19" s="40">
        <v>34</v>
      </c>
      <c r="AJ19" s="40">
        <v>1.4</v>
      </c>
      <c r="AK19" s="40">
        <v>0</v>
      </c>
      <c r="AL19" s="40">
        <v>0</v>
      </c>
      <c r="AM19" s="40">
        <v>0.7</v>
      </c>
      <c r="AN19" s="40">
        <v>0</v>
      </c>
      <c r="AO19" s="40">
        <v>196.9</v>
      </c>
      <c r="AP19" s="40"/>
      <c r="AQ19" s="41">
        <f t="shared" si="0"/>
        <v>0.42899999999999999</v>
      </c>
      <c r="AR19" s="41">
        <f>BQ19</f>
        <v>5.1036479999999995E-2</v>
      </c>
      <c r="AS19" s="41">
        <f t="shared" si="23"/>
        <v>0.7</v>
      </c>
      <c r="AT19" s="41">
        <f t="shared" si="24"/>
        <v>0</v>
      </c>
      <c r="AU19" s="41">
        <f t="shared" si="25"/>
        <v>0</v>
      </c>
      <c r="AV19" s="67">
        <v>2.4</v>
      </c>
      <c r="AW19">
        <v>200</v>
      </c>
      <c r="AX19">
        <v>34</v>
      </c>
      <c r="AY19" s="40">
        <v>7.2</v>
      </c>
      <c r="AZ19" s="40">
        <v>50</v>
      </c>
      <c r="BA19" s="42">
        <v>2.9999999999999997E-4</v>
      </c>
      <c r="BB19" s="11"/>
      <c r="BD19" s="22"/>
      <c r="BE19" s="42">
        <f t="shared" si="1"/>
        <v>8.5060799999999998E-4</v>
      </c>
      <c r="BF19" s="42">
        <f>BE19*24*60</f>
        <v>1.2248755199999999</v>
      </c>
      <c r="BG19" s="42">
        <f t="shared" si="3"/>
        <v>196.9</v>
      </c>
      <c r="BH19" s="43">
        <f t="shared" si="4"/>
        <v>3.5551041137633311E-3</v>
      </c>
      <c r="BI19" s="43">
        <f t="shared" si="5"/>
        <v>3.4999999999999996E-3</v>
      </c>
      <c r="BJ19" s="43">
        <f t="shared" si="6"/>
        <v>73.492531199999988</v>
      </c>
      <c r="BK19" s="43" t="str">
        <f t="shared" si="19"/>
        <v/>
      </c>
      <c r="BL19" s="44" t="str">
        <f t="shared" si="12"/>
        <v/>
      </c>
      <c r="BM19" s="44">
        <f t="shared" si="13"/>
        <v>5.1036479999999995E-2</v>
      </c>
      <c r="BN19" s="43">
        <f t="shared" si="26"/>
        <v>1.79179</v>
      </c>
      <c r="BO19" s="43" t="str">
        <f t="shared" si="8"/>
        <v/>
      </c>
      <c r="BP19" s="55">
        <f>IF(BK19&lt;&gt;"",BK19/0.000385,IF(BL19&lt;&gt;"",BL19/0.000385,BM19/0.000385))</f>
        <v>132.56228571428571</v>
      </c>
      <c r="BQ19" s="45">
        <f>IF(BK19&lt;&gt;"",BK19,IF(BL19&lt;&gt;"",BL19,BM19))</f>
        <v>5.1036479999999995E-2</v>
      </c>
      <c r="BR19" s="24">
        <f>IF(BN19&lt;&gt;"",BN19,BO19)</f>
        <v>1.79179</v>
      </c>
    </row>
    <row r="20" spans="1:70" ht="15" thickBot="1" x14ac:dyDescent="0.35">
      <c r="A20" s="1" t="s">
        <v>88</v>
      </c>
      <c r="B20">
        <v>0.25</v>
      </c>
      <c r="C20" t="s">
        <v>80</v>
      </c>
      <c r="D20">
        <v>12</v>
      </c>
      <c r="E20">
        <v>1</v>
      </c>
      <c r="F20" t="s">
        <v>89</v>
      </c>
      <c r="G20" s="70">
        <v>45569.406643518516</v>
      </c>
      <c r="H20" s="4">
        <v>509.83</v>
      </c>
      <c r="I20" s="7"/>
      <c r="J20" s="7">
        <v>432.43990000000002</v>
      </c>
      <c r="K20" s="7">
        <v>15</v>
      </c>
      <c r="L20" s="7">
        <v>14.7</v>
      </c>
      <c r="M20" s="7">
        <v>97.7</v>
      </c>
      <c r="N20" s="7">
        <v>17.2</v>
      </c>
      <c r="O20" s="7">
        <v>313</v>
      </c>
      <c r="P20" s="7">
        <v>1.64</v>
      </c>
      <c r="Q20" s="7">
        <v>0.67</v>
      </c>
      <c r="R20" s="7">
        <v>1.08</v>
      </c>
      <c r="S20" s="7"/>
      <c r="T20" s="7">
        <v>0.36</v>
      </c>
      <c r="U20" s="7">
        <v>2.58</v>
      </c>
      <c r="V20" s="7">
        <v>2.91</v>
      </c>
      <c r="W20" s="7">
        <v>7.0750000000000002</v>
      </c>
      <c r="X20" s="7">
        <v>44.2</v>
      </c>
      <c r="Y20" s="7">
        <v>74.5</v>
      </c>
      <c r="Z20" s="7">
        <v>4.45</v>
      </c>
      <c r="AA20" s="7">
        <v>124.5</v>
      </c>
      <c r="AB20" s="7">
        <v>11.5</v>
      </c>
      <c r="AC20" s="7">
        <v>38.799999999999997</v>
      </c>
      <c r="AD20" s="7">
        <v>60.9</v>
      </c>
      <c r="AE20" s="18">
        <v>7.0380000000000003</v>
      </c>
      <c r="AF20" s="40">
        <v>560</v>
      </c>
      <c r="AG20" s="40">
        <v>62.6</v>
      </c>
      <c r="AH20" s="40">
        <v>7.093</v>
      </c>
      <c r="AI20" s="40">
        <v>34</v>
      </c>
      <c r="AJ20" s="40">
        <v>1.3</v>
      </c>
      <c r="AK20" s="40">
        <v>0</v>
      </c>
      <c r="AL20" s="40">
        <v>0</v>
      </c>
      <c r="AM20" s="40">
        <v>0.7</v>
      </c>
      <c r="AN20" s="40">
        <v>0</v>
      </c>
      <c r="AO20" s="40">
        <v>196.8</v>
      </c>
      <c r="AP20" s="7"/>
      <c r="AQ20" s="41">
        <f t="shared" si="0"/>
        <v>0.626</v>
      </c>
      <c r="AR20" s="41">
        <f t="shared" si="14"/>
        <v>5.2073279999999993E-2</v>
      </c>
      <c r="AS20" s="41">
        <f t="shared" si="23"/>
        <v>0.7</v>
      </c>
      <c r="AT20" s="41">
        <f t="shared" si="24"/>
        <v>0</v>
      </c>
      <c r="AU20" s="41">
        <f t="shared" si="25"/>
        <v>0</v>
      </c>
      <c r="AV20" s="67">
        <v>2.4</v>
      </c>
      <c r="AW20">
        <v>200</v>
      </c>
      <c r="AX20">
        <v>34</v>
      </c>
      <c r="AY20" s="40">
        <v>7.2</v>
      </c>
      <c r="AZ20" s="40">
        <v>50</v>
      </c>
      <c r="BA20" s="42">
        <v>2.9999999999999997E-4</v>
      </c>
      <c r="BB20" s="11"/>
      <c r="BD20" s="22"/>
      <c r="BE20" s="42">
        <f t="shared" si="1"/>
        <v>8.6788799999999993E-4</v>
      </c>
      <c r="BF20" s="42">
        <f t="shared" si="2"/>
        <v>1.24975872</v>
      </c>
      <c r="BG20" s="42">
        <f t="shared" si="3"/>
        <v>196.8</v>
      </c>
      <c r="BH20" s="43">
        <f t="shared" si="4"/>
        <v>3.5569105691056905E-3</v>
      </c>
      <c r="BI20" s="43">
        <f t="shared" si="5"/>
        <v>3.4999999999999996E-3</v>
      </c>
      <c r="BJ20" s="43">
        <f t="shared" si="6"/>
        <v>74.985523199999989</v>
      </c>
      <c r="BK20" s="43" t="str">
        <f t="shared" si="19"/>
        <v/>
      </c>
      <c r="BL20" s="44" t="str">
        <f t="shared" si="12"/>
        <v/>
      </c>
      <c r="BM20" s="44">
        <f t="shared" si="13"/>
        <v>5.2073279999999993E-2</v>
      </c>
      <c r="BN20" s="43">
        <f t="shared" si="26"/>
        <v>1.9286400000000001</v>
      </c>
      <c r="BO20" s="43" t="str">
        <f t="shared" si="8"/>
        <v/>
      </c>
      <c r="BP20" s="55">
        <f t="shared" si="30"/>
        <v>135.25527272727271</v>
      </c>
      <c r="BQ20" s="45">
        <f t="shared" si="31"/>
        <v>5.2073279999999993E-2</v>
      </c>
      <c r="BR20" s="24">
        <f t="shared" si="22"/>
        <v>1.9286400000000001</v>
      </c>
    </row>
    <row r="21" spans="1:70" x14ac:dyDescent="0.3">
      <c r="A21" s="2" t="s">
        <v>76</v>
      </c>
      <c r="B21" s="3">
        <v>1000</v>
      </c>
      <c r="C21" s="3" t="s">
        <v>77</v>
      </c>
      <c r="D21" s="3">
        <v>12</v>
      </c>
      <c r="E21" s="3">
        <v>2</v>
      </c>
      <c r="F21" s="3" t="s">
        <v>90</v>
      </c>
      <c r="G21" s="34">
        <v>45570.34097222222</v>
      </c>
      <c r="H21">
        <v>997.91</v>
      </c>
      <c r="I21" s="40"/>
      <c r="J21" s="40">
        <v>796.89</v>
      </c>
      <c r="K21" s="40">
        <v>20.2</v>
      </c>
      <c r="L21" s="40">
        <v>20</v>
      </c>
      <c r="M21" s="40">
        <v>99</v>
      </c>
      <c r="N21" s="40"/>
      <c r="O21" s="40"/>
      <c r="P21" s="40"/>
      <c r="Q21" s="40"/>
      <c r="R21" s="40">
        <v>0.61</v>
      </c>
      <c r="S21" s="40"/>
      <c r="T21" s="40"/>
      <c r="U21" s="40"/>
      <c r="V21" s="40">
        <v>3.1</v>
      </c>
      <c r="W21" s="40"/>
      <c r="X21" s="40"/>
      <c r="Y21" s="40"/>
      <c r="Z21" s="40"/>
      <c r="AA21" s="40"/>
      <c r="AB21" s="40"/>
      <c r="AC21" s="40"/>
      <c r="AD21" s="40"/>
      <c r="AE21" s="17">
        <v>7.3029999999999999</v>
      </c>
      <c r="AF21" s="6"/>
      <c r="AG21" s="6">
        <v>49.988969028373603</v>
      </c>
      <c r="AH21" s="6"/>
      <c r="AI21" s="6">
        <v>34.000000010738098</v>
      </c>
      <c r="AJ21" s="6"/>
      <c r="AK21" s="6"/>
      <c r="AL21" s="6"/>
      <c r="AM21" s="6">
        <v>7253.89111328125</v>
      </c>
      <c r="AN21" s="6">
        <v>5600.802734375</v>
      </c>
      <c r="AO21" s="6">
        <v>600300</v>
      </c>
      <c r="AP21" s="6"/>
      <c r="AQ21" s="32">
        <f t="shared" si="0"/>
        <v>0.49988969028373603</v>
      </c>
      <c r="AR21" s="32">
        <f t="shared" si="14"/>
        <v>304.89548408301539</v>
      </c>
      <c r="AS21" s="32">
        <f t="shared" si="23"/>
        <v>3789.34301757812</v>
      </c>
      <c r="AT21" s="32">
        <f t="shared" si="24"/>
        <v>5367.3120727539063</v>
      </c>
      <c r="AU21" s="32">
        <f t="shared" si="25"/>
        <v>0</v>
      </c>
      <c r="AV21" s="66">
        <v>60</v>
      </c>
      <c r="AW21" s="3">
        <v>592000</v>
      </c>
      <c r="AX21" s="3">
        <v>34</v>
      </c>
      <c r="AY21" s="6">
        <v>7.2</v>
      </c>
      <c r="AZ21" s="6">
        <v>50</v>
      </c>
      <c r="BA21" s="9">
        <v>2.9999999999999997E-4</v>
      </c>
      <c r="BB21" s="8"/>
      <c r="BC21" s="9">
        <f>5.08159140138359*24*60/BG21</f>
        <v>1.218972450107008E-2</v>
      </c>
      <c r="BD21" s="21">
        <f>4609.196836/BG21</f>
        <v>7.6781556488422454E-3</v>
      </c>
      <c r="BE21" s="9">
        <f t="shared" si="1"/>
        <v>3.6017999999999999</v>
      </c>
      <c r="BF21" s="9">
        <f t="shared" si="2"/>
        <v>5186.5919999999996</v>
      </c>
      <c r="BG21" s="9">
        <f t="shared" si="3"/>
        <v>600300</v>
      </c>
      <c r="BH21" s="10">
        <f t="shared" si="4"/>
        <v>1.2083776633818507E-2</v>
      </c>
      <c r="BI21" s="10">
        <f t="shared" si="5"/>
        <v>1.2253194448110219E-2</v>
      </c>
      <c r="BJ21" s="10">
        <f t="shared" si="6"/>
        <v>439049.49707954214</v>
      </c>
      <c r="BK21" s="10" t="str">
        <f t="shared" si="19"/>
        <v/>
      </c>
      <c r="BL21" s="10">
        <f t="shared" si="12"/>
        <v>304.89548408301539</v>
      </c>
      <c r="BM21" s="28" t="str">
        <f t="shared" si="13"/>
        <v/>
      </c>
      <c r="BN21" s="10" t="str">
        <f t="shared" ref="BN21:BN52" si="32">IF(IF(C21&lt;&gt;"Julia",((1.5-R21)*BG21)/400, "")&lt;0,0,IF(C21&lt;&gt;"Julia",((3-R21)*BG21)/400, ""))</f>
        <v/>
      </c>
      <c r="BO21" s="10">
        <f t="shared" si="8"/>
        <v>4609.1968360000001</v>
      </c>
      <c r="BP21" s="58">
        <f>IF(BK21&lt;&gt;"",BK21/0.000385,IF(BL21&lt;&gt;"",BL21/0.000385,BM21/0.000385))</f>
        <v>791936.32229354652</v>
      </c>
      <c r="BQ21" s="30">
        <f>IF(BK21&lt;&gt;"",BK21,IF(BL21&lt;&gt;"",BL21,BM21))</f>
        <v>304.89548408301539</v>
      </c>
      <c r="BR21" s="26">
        <f t="shared" si="22"/>
        <v>4609.1968360000001</v>
      </c>
    </row>
    <row r="22" spans="1:70" x14ac:dyDescent="0.3">
      <c r="A22" s="1" t="s">
        <v>79</v>
      </c>
      <c r="B22">
        <v>0.25</v>
      </c>
      <c r="C22" t="s">
        <v>80</v>
      </c>
      <c r="D22">
        <v>12</v>
      </c>
      <c r="E22">
        <v>2</v>
      </c>
      <c r="F22" t="s">
        <v>90</v>
      </c>
      <c r="G22" s="35">
        <v>45570.404166666704</v>
      </c>
      <c r="H22">
        <v>997.91</v>
      </c>
      <c r="I22" s="40"/>
      <c r="J22" s="40">
        <v>839.99</v>
      </c>
      <c r="K22" s="40">
        <v>22.7</v>
      </c>
      <c r="L22" s="40">
        <v>22.2</v>
      </c>
      <c r="M22" s="40">
        <v>97.7</v>
      </c>
      <c r="N22" s="40">
        <v>17.100000000000001</v>
      </c>
      <c r="O22" s="40">
        <v>315</v>
      </c>
      <c r="P22" s="40">
        <v>1.01</v>
      </c>
      <c r="Q22" s="40">
        <v>0.56000000000000005</v>
      </c>
      <c r="R22" s="40">
        <v>0.68</v>
      </c>
      <c r="S22" s="40"/>
      <c r="T22" s="40">
        <v>0.28000000000000003</v>
      </c>
      <c r="U22" s="40">
        <v>1.25</v>
      </c>
      <c r="V22" s="40">
        <v>3.83</v>
      </c>
      <c r="W22" s="40">
        <v>7.2060000000000004</v>
      </c>
      <c r="X22" s="40">
        <v>36.799999999999997</v>
      </c>
      <c r="Y22" s="40">
        <v>65.8</v>
      </c>
      <c r="Z22" s="40">
        <v>2.94</v>
      </c>
      <c r="AA22" s="40">
        <v>135.69999999999999</v>
      </c>
      <c r="AB22" s="40">
        <v>12.9</v>
      </c>
      <c r="AC22" s="40">
        <v>32.200000000000003</v>
      </c>
      <c r="AD22" s="40">
        <v>53.3</v>
      </c>
      <c r="AE22" s="17">
        <v>7.1660000000000004</v>
      </c>
      <c r="AF22" s="40">
        <v>409</v>
      </c>
      <c r="AG22" s="40">
        <v>51.1</v>
      </c>
      <c r="AH22" s="40">
        <v>7.2160000000000002</v>
      </c>
      <c r="AI22" s="40">
        <v>34</v>
      </c>
      <c r="AJ22" s="40">
        <v>2</v>
      </c>
      <c r="AK22" s="40">
        <v>0</v>
      </c>
      <c r="AL22" s="40">
        <v>0.1</v>
      </c>
      <c r="AM22" s="40">
        <v>2.2000000000000002</v>
      </c>
      <c r="AN22" s="40">
        <v>1.7</v>
      </c>
      <c r="AO22" s="40">
        <v>197</v>
      </c>
      <c r="AP22" s="40"/>
      <c r="AQ22" s="41">
        <f t="shared" si="0"/>
        <v>0.51100000000000001</v>
      </c>
      <c r="AR22" s="41">
        <f t="shared" ref="AR22" si="33">BQ22</f>
        <v>7.8721199999999991E-2</v>
      </c>
      <c r="AS22" s="41">
        <f t="shared" si="23"/>
        <v>1.4000000000000001</v>
      </c>
      <c r="AT22" s="41">
        <f t="shared" si="24"/>
        <v>1.7</v>
      </c>
      <c r="AU22" s="41">
        <f t="shared" si="25"/>
        <v>0</v>
      </c>
      <c r="AV22" s="67">
        <v>2.4</v>
      </c>
      <c r="AW22">
        <v>200</v>
      </c>
      <c r="AX22">
        <v>34</v>
      </c>
      <c r="AY22" s="40">
        <v>7.2</v>
      </c>
      <c r="AZ22" s="40">
        <v>50</v>
      </c>
      <c r="BA22" s="42">
        <v>2.9999999999999997E-4</v>
      </c>
      <c r="BB22" s="11"/>
      <c r="BC22" s="42"/>
      <c r="BD22" s="22"/>
      <c r="BE22" s="42">
        <f t="shared" si="1"/>
        <v>1.3120199999999999E-3</v>
      </c>
      <c r="BF22" s="42">
        <f t="shared" ref="BF22" si="34">BE22*24*60</f>
        <v>1.8893088</v>
      </c>
      <c r="BG22" s="42">
        <f t="shared" si="3"/>
        <v>197</v>
      </c>
      <c r="BH22" s="43">
        <f t="shared" si="4"/>
        <v>1.1167512690355331E-2</v>
      </c>
      <c r="BI22" s="43">
        <f t="shared" si="5"/>
        <v>1.1000000000000001E-2</v>
      </c>
      <c r="BJ22" s="43">
        <f t="shared" si="6"/>
        <v>113.35852799999999</v>
      </c>
      <c r="BK22" s="43" t="str">
        <f t="shared" si="19"/>
        <v/>
      </c>
      <c r="BL22" s="43" t="str">
        <f t="shared" si="12"/>
        <v/>
      </c>
      <c r="BM22" s="44">
        <f t="shared" si="13"/>
        <v>7.8721199999999991E-2</v>
      </c>
      <c r="BN22" s="43">
        <f t="shared" si="32"/>
        <v>1.1425999999999998</v>
      </c>
      <c r="BO22" s="43" t="str">
        <f t="shared" si="8"/>
        <v/>
      </c>
      <c r="BP22" s="55">
        <f>IF(BK22&lt;&gt;"",BK22/0.000385,IF(BL22&lt;&gt;"",BL22/0.000385,BM22/0.000385))</f>
        <v>204.47064935064932</v>
      </c>
      <c r="BQ22" s="45">
        <f>IF(BK22&lt;&gt;"",BK22,IF(BL22&lt;&gt;"",BL22,BM22))</f>
        <v>7.8721199999999991E-2</v>
      </c>
      <c r="BR22" s="24">
        <f t="shared" ref="BR22" si="35">IF(BN22&lt;&gt;"",BN22,BO22)</f>
        <v>1.1425999999999998</v>
      </c>
    </row>
    <row r="23" spans="1:70" x14ac:dyDescent="0.3">
      <c r="A23" s="1" t="s">
        <v>81</v>
      </c>
      <c r="B23">
        <v>0.25</v>
      </c>
      <c r="C23" t="s">
        <v>80</v>
      </c>
      <c r="D23">
        <v>12</v>
      </c>
      <c r="E23">
        <v>2</v>
      </c>
      <c r="F23" t="s">
        <v>90</v>
      </c>
      <c r="G23" s="35">
        <v>45570.404861111099</v>
      </c>
      <c r="H23">
        <v>997.91</v>
      </c>
      <c r="I23" s="40"/>
      <c r="J23" s="40">
        <v>858.17</v>
      </c>
      <c r="K23" s="40">
        <v>22.7</v>
      </c>
      <c r="L23" s="40">
        <v>22.2</v>
      </c>
      <c r="M23" s="40">
        <v>97.6</v>
      </c>
      <c r="N23" s="40">
        <v>16.899999999999999</v>
      </c>
      <c r="O23" s="40">
        <v>311</v>
      </c>
      <c r="P23" s="40">
        <v>0.98</v>
      </c>
      <c r="Q23" s="40">
        <v>0.55000000000000004</v>
      </c>
      <c r="R23" s="40">
        <v>0.42</v>
      </c>
      <c r="S23" s="40"/>
      <c r="T23" s="40">
        <v>0.26</v>
      </c>
      <c r="U23" s="40">
        <v>1.25</v>
      </c>
      <c r="V23" s="40">
        <v>4</v>
      </c>
      <c r="W23" s="40">
        <v>7.226</v>
      </c>
      <c r="X23" s="40">
        <v>32.200000000000003</v>
      </c>
      <c r="Y23" s="40">
        <v>64</v>
      </c>
      <c r="Z23" s="40">
        <v>3.03</v>
      </c>
      <c r="AA23" s="40">
        <v>136.30000000000001</v>
      </c>
      <c r="AB23" s="40">
        <v>11.8</v>
      </c>
      <c r="AC23" s="40">
        <v>28.2</v>
      </c>
      <c r="AD23" s="40">
        <v>52.1</v>
      </c>
      <c r="AE23" s="17">
        <v>7.1859999999999999</v>
      </c>
      <c r="AF23" s="40">
        <v>408</v>
      </c>
      <c r="AG23" s="40">
        <v>50.9</v>
      </c>
      <c r="AH23" s="40">
        <v>7.258</v>
      </c>
      <c r="AI23" s="40">
        <v>34</v>
      </c>
      <c r="AJ23" s="40">
        <v>2.1</v>
      </c>
      <c r="AK23" s="40">
        <v>0</v>
      </c>
      <c r="AL23" s="40">
        <v>0.1</v>
      </c>
      <c r="AM23" s="40">
        <v>2.1</v>
      </c>
      <c r="AN23" s="40">
        <v>1.7</v>
      </c>
      <c r="AO23" s="40">
        <v>196.9</v>
      </c>
      <c r="AP23" s="40"/>
      <c r="AQ23" s="41">
        <f t="shared" si="0"/>
        <v>0.50900000000000001</v>
      </c>
      <c r="AR23" s="41">
        <f t="shared" si="14"/>
        <v>7.8681239999999986E-2</v>
      </c>
      <c r="AS23" s="41">
        <f t="shared" si="23"/>
        <v>1.4000000000000001</v>
      </c>
      <c r="AT23" s="41">
        <f t="shared" si="24"/>
        <v>1.7</v>
      </c>
      <c r="AU23" s="41">
        <f t="shared" si="25"/>
        <v>0</v>
      </c>
      <c r="AV23" s="67">
        <v>2.4</v>
      </c>
      <c r="AW23">
        <v>200</v>
      </c>
      <c r="AX23">
        <v>34</v>
      </c>
      <c r="AY23" s="40">
        <v>7.2</v>
      </c>
      <c r="AZ23" s="40">
        <v>50</v>
      </c>
      <c r="BA23" s="42">
        <v>2.9999999999999997E-4</v>
      </c>
      <c r="BB23" s="11"/>
      <c r="BC23" s="42"/>
      <c r="BD23" s="22"/>
      <c r="BE23" s="42">
        <f t="shared" si="1"/>
        <v>1.3113539999999998E-3</v>
      </c>
      <c r="BF23" s="42">
        <f t="shared" si="2"/>
        <v>1.8883497599999997</v>
      </c>
      <c r="BG23" s="42">
        <f t="shared" si="3"/>
        <v>196.9</v>
      </c>
      <c r="BH23" s="43">
        <f t="shared" si="4"/>
        <v>1.0665312341289994E-2</v>
      </c>
      <c r="BI23" s="43">
        <f t="shared" si="5"/>
        <v>1.0500000000000001E-2</v>
      </c>
      <c r="BJ23" s="43">
        <f t="shared" si="6"/>
        <v>113.30098559999998</v>
      </c>
      <c r="BK23" s="43" t="str">
        <f t="shared" si="19"/>
        <v/>
      </c>
      <c r="BL23" s="43" t="str">
        <f t="shared" si="12"/>
        <v/>
      </c>
      <c r="BM23" s="44">
        <f t="shared" si="13"/>
        <v>7.8681239999999986E-2</v>
      </c>
      <c r="BN23" s="43">
        <f t="shared" si="32"/>
        <v>1.2700050000000001</v>
      </c>
      <c r="BO23" s="43" t="str">
        <f t="shared" si="8"/>
        <v/>
      </c>
      <c r="BP23" s="55">
        <f t="shared" ref="BP23:BP29" si="36">IF(BK23&lt;&gt;"",BK23/0.000385,IF(BL23&lt;&gt;"",BL23/0.000385,BM23/0.000385))</f>
        <v>204.36685714285713</v>
      </c>
      <c r="BQ23" s="45">
        <f t="shared" ref="BQ23:BQ29" si="37">IF(BK23&lt;&gt;"",BK23,IF(BL23&lt;&gt;"",BL23,BM23))</f>
        <v>7.8681239999999986E-2</v>
      </c>
      <c r="BR23" s="24">
        <f t="shared" si="22"/>
        <v>1.2700050000000001</v>
      </c>
    </row>
    <row r="24" spans="1:70" x14ac:dyDescent="0.3">
      <c r="A24" s="1" t="s">
        <v>82</v>
      </c>
      <c r="B24">
        <v>0.25</v>
      </c>
      <c r="C24" t="s">
        <v>83</v>
      </c>
      <c r="D24">
        <v>12</v>
      </c>
      <c r="E24">
        <v>2</v>
      </c>
      <c r="F24" t="s">
        <v>90</v>
      </c>
      <c r="G24" s="35">
        <v>45570.405555555597</v>
      </c>
      <c r="H24">
        <v>997.91</v>
      </c>
      <c r="I24" s="40"/>
      <c r="J24" s="40">
        <v>855.81</v>
      </c>
      <c r="K24" s="40">
        <v>20.7</v>
      </c>
      <c r="L24" s="40">
        <v>20.100000000000001</v>
      </c>
      <c r="M24" s="40">
        <v>97</v>
      </c>
      <c r="N24" s="40">
        <v>17.600000000000001</v>
      </c>
      <c r="O24" s="40">
        <v>346</v>
      </c>
      <c r="P24" s="40">
        <v>1.19</v>
      </c>
      <c r="Q24" s="40">
        <v>0.54</v>
      </c>
      <c r="R24" s="40">
        <v>0.79</v>
      </c>
      <c r="S24" s="40"/>
      <c r="T24" s="40">
        <v>0.38</v>
      </c>
      <c r="U24" s="40">
        <v>2.4</v>
      </c>
      <c r="V24" s="40">
        <v>4.47</v>
      </c>
      <c r="W24" s="40">
        <v>7.1360000000000001</v>
      </c>
      <c r="X24" s="40">
        <v>38.200000000000003</v>
      </c>
      <c r="Y24" s="40">
        <v>63.2</v>
      </c>
      <c r="Z24" s="40">
        <v>2.81</v>
      </c>
      <c r="AA24" s="40">
        <v>143.80000000000001</v>
      </c>
      <c r="AB24" s="40">
        <v>11.4</v>
      </c>
      <c r="AC24" s="40">
        <v>33.5</v>
      </c>
      <c r="AD24" s="40">
        <v>51.5</v>
      </c>
      <c r="AE24" s="17">
        <v>7.0979999999999999</v>
      </c>
      <c r="AF24" s="40">
        <v>407</v>
      </c>
      <c r="AG24" s="40">
        <v>49.3</v>
      </c>
      <c r="AH24" s="40">
        <v>7.1589999999999998</v>
      </c>
      <c r="AI24" s="40">
        <v>34</v>
      </c>
      <c r="AJ24" s="40">
        <v>2.5</v>
      </c>
      <c r="AK24" s="40">
        <v>0</v>
      </c>
      <c r="AL24" s="40">
        <v>0.1</v>
      </c>
      <c r="AM24" s="40">
        <v>4.8</v>
      </c>
      <c r="AN24" s="40">
        <v>0.6</v>
      </c>
      <c r="AO24" s="40">
        <v>199.2</v>
      </c>
      <c r="AP24" s="40"/>
      <c r="AQ24" s="41">
        <f t="shared" si="0"/>
        <v>0.49299999999999999</v>
      </c>
      <c r="AR24" s="41">
        <f t="shared" si="14"/>
        <v>5.0630000000000001E-2</v>
      </c>
      <c r="AS24" s="41">
        <f t="shared" si="23"/>
        <v>1.6999999999999997</v>
      </c>
      <c r="AT24" s="41">
        <f t="shared" si="24"/>
        <v>0.6</v>
      </c>
      <c r="AU24" s="41">
        <f t="shared" si="25"/>
        <v>0</v>
      </c>
      <c r="AV24" s="67">
        <v>2.4</v>
      </c>
      <c r="AW24">
        <v>200</v>
      </c>
      <c r="AX24">
        <v>34</v>
      </c>
      <c r="AY24" s="40">
        <v>7.2</v>
      </c>
      <c r="AZ24" s="40">
        <v>50</v>
      </c>
      <c r="BA24" s="42">
        <v>2.9999999999999997E-4</v>
      </c>
      <c r="BB24" s="11">
        <v>6.1000000000000004E-3</v>
      </c>
      <c r="BC24" s="42"/>
      <c r="BD24" s="22"/>
      <c r="BE24" s="42">
        <f t="shared" si="1"/>
        <v>1.2011759999999998E-3</v>
      </c>
      <c r="BF24" s="42">
        <f t="shared" si="2"/>
        <v>1.7296934399999995</v>
      </c>
      <c r="BG24" s="42">
        <f t="shared" si="3"/>
        <v>199.2</v>
      </c>
      <c r="BH24" s="43">
        <f t="shared" si="4"/>
        <v>2.4096385542168676E-2</v>
      </c>
      <c r="BI24" s="43">
        <f t="shared" si="5"/>
        <v>2.4E-2</v>
      </c>
      <c r="BJ24" s="43">
        <f t="shared" si="6"/>
        <v>72.907200000000003</v>
      </c>
      <c r="BK24" s="43">
        <f t="shared" si="19"/>
        <v>5.0630000000000001E-2</v>
      </c>
      <c r="BL24" s="43" t="str">
        <f t="shared" si="12"/>
        <v/>
      </c>
      <c r="BM24" s="44" t="str">
        <f t="shared" si="13"/>
        <v/>
      </c>
      <c r="BN24" s="43">
        <f t="shared" si="32"/>
        <v>1.1005799999999999</v>
      </c>
      <c r="BO24" s="43" t="str">
        <f t="shared" si="8"/>
        <v/>
      </c>
      <c r="BP24" s="55">
        <f t="shared" si="36"/>
        <v>131.50649350649351</v>
      </c>
      <c r="BQ24" s="45">
        <f t="shared" si="37"/>
        <v>5.0630000000000001E-2</v>
      </c>
      <c r="BR24" s="24">
        <f t="shared" si="22"/>
        <v>1.1005799999999999</v>
      </c>
    </row>
    <row r="25" spans="1:70" x14ac:dyDescent="0.3">
      <c r="A25" s="1" t="s">
        <v>84</v>
      </c>
      <c r="B25">
        <v>0.25</v>
      </c>
      <c r="C25" t="s">
        <v>83</v>
      </c>
      <c r="D25">
        <v>12</v>
      </c>
      <c r="E25">
        <v>2</v>
      </c>
      <c r="F25" t="s">
        <v>90</v>
      </c>
      <c r="G25" s="35">
        <v>45570.406944444403</v>
      </c>
      <c r="H25">
        <v>997.91</v>
      </c>
      <c r="I25" s="40"/>
      <c r="J25" s="40">
        <v>860.69</v>
      </c>
      <c r="K25" s="40">
        <v>21.4</v>
      </c>
      <c r="L25" s="40">
        <v>20.9</v>
      </c>
      <c r="M25" s="40">
        <v>97.5</v>
      </c>
      <c r="N25" s="40">
        <v>17.100000000000001</v>
      </c>
      <c r="O25" s="40">
        <v>328</v>
      </c>
      <c r="P25" s="40">
        <v>1.03</v>
      </c>
      <c r="Q25" s="40">
        <v>0.55000000000000004</v>
      </c>
      <c r="R25" s="40">
        <v>0.46</v>
      </c>
      <c r="S25" s="40"/>
      <c r="T25" s="40">
        <v>0.31</v>
      </c>
      <c r="U25" s="40">
        <v>1.61</v>
      </c>
      <c r="V25" s="40">
        <v>4.0999999999999996</v>
      </c>
      <c r="W25" s="40">
        <v>7.2119999999999997</v>
      </c>
      <c r="X25" s="40">
        <v>37.1</v>
      </c>
      <c r="Y25" s="40">
        <v>60.9</v>
      </c>
      <c r="Z25" s="40">
        <v>2.92</v>
      </c>
      <c r="AA25" s="40">
        <v>140.5</v>
      </c>
      <c r="AB25" s="40">
        <v>13.2</v>
      </c>
      <c r="AC25" s="40">
        <v>32.6</v>
      </c>
      <c r="AD25" s="40">
        <v>49.5</v>
      </c>
      <c r="AE25" s="17">
        <v>7.173</v>
      </c>
      <c r="AF25" s="40">
        <v>407</v>
      </c>
      <c r="AG25" s="40">
        <v>50.8</v>
      </c>
      <c r="AH25" s="40">
        <v>7.2409999999999997</v>
      </c>
      <c r="AI25" s="40">
        <v>34</v>
      </c>
      <c r="AJ25" s="40">
        <v>2.2999999999999998</v>
      </c>
      <c r="AK25" s="40">
        <v>0</v>
      </c>
      <c r="AL25" s="40">
        <v>0.1</v>
      </c>
      <c r="AM25" s="40">
        <v>2.9</v>
      </c>
      <c r="AN25" s="40">
        <v>1.3</v>
      </c>
      <c r="AO25" s="40">
        <v>197.7</v>
      </c>
      <c r="AP25" s="40"/>
      <c r="AQ25" s="41">
        <f t="shared" si="0"/>
        <v>0.50800000000000001</v>
      </c>
      <c r="AR25" s="41">
        <f t="shared" si="14"/>
        <v>4.201125E-2</v>
      </c>
      <c r="AS25" s="41">
        <f t="shared" si="23"/>
        <v>1.2999999999999998</v>
      </c>
      <c r="AT25" s="41">
        <f t="shared" si="24"/>
        <v>1.3</v>
      </c>
      <c r="AU25" s="41">
        <f t="shared" si="25"/>
        <v>0</v>
      </c>
      <c r="AV25" s="67">
        <v>2.4</v>
      </c>
      <c r="AW25">
        <v>200</v>
      </c>
      <c r="AX25">
        <v>34</v>
      </c>
      <c r="AY25" s="40">
        <v>7.2</v>
      </c>
      <c r="AZ25" s="40">
        <v>50</v>
      </c>
      <c r="BA25" s="42">
        <v>2.9999999999999997E-4</v>
      </c>
      <c r="BB25" s="11">
        <v>5.1000000000000004E-3</v>
      </c>
      <c r="BD25" s="22"/>
      <c r="BE25" s="49">
        <f t="shared" si="1"/>
        <v>1.2395789999999998E-3</v>
      </c>
      <c r="BF25" s="42">
        <f t="shared" si="2"/>
        <v>1.7849937599999997</v>
      </c>
      <c r="BG25" s="42">
        <f t="shared" si="3"/>
        <v>197.7</v>
      </c>
      <c r="BH25" s="43">
        <f t="shared" si="4"/>
        <v>1.4668689934243804E-2</v>
      </c>
      <c r="BI25" s="43">
        <f t="shared" si="5"/>
        <v>1.4499999999999999E-2</v>
      </c>
      <c r="BJ25" s="43">
        <f t="shared" si="6"/>
        <v>60.496200000000002</v>
      </c>
      <c r="BK25" s="43">
        <f t="shared" si="19"/>
        <v>4.201125E-2</v>
      </c>
      <c r="BL25" s="44" t="str">
        <f t="shared" si="12"/>
        <v/>
      </c>
      <c r="BM25" s="44" t="str">
        <f t="shared" si="13"/>
        <v/>
      </c>
      <c r="BN25" s="43">
        <f t="shared" si="32"/>
        <v>1.2553949999999998</v>
      </c>
      <c r="BO25" s="43" t="str">
        <f t="shared" si="8"/>
        <v/>
      </c>
      <c r="BP25" s="55">
        <f t="shared" si="36"/>
        <v>109.12012987012987</v>
      </c>
      <c r="BQ25" s="45">
        <f t="shared" si="37"/>
        <v>4.201125E-2</v>
      </c>
      <c r="BR25" s="24">
        <f t="shared" si="22"/>
        <v>1.2553949999999998</v>
      </c>
    </row>
    <row r="26" spans="1:70" x14ac:dyDescent="0.3">
      <c r="A26" s="1" t="s">
        <v>85</v>
      </c>
      <c r="B26">
        <v>0.25</v>
      </c>
      <c r="C26" t="s">
        <v>77</v>
      </c>
      <c r="D26">
        <v>12</v>
      </c>
      <c r="E26">
        <v>2</v>
      </c>
      <c r="F26" t="s">
        <v>90</v>
      </c>
      <c r="G26" s="35">
        <v>45570.407638888901</v>
      </c>
      <c r="H26">
        <v>997.91</v>
      </c>
      <c r="I26" s="40"/>
      <c r="J26" s="40">
        <v>835.59</v>
      </c>
      <c r="K26" s="40">
        <v>21.5</v>
      </c>
      <c r="L26" s="40">
        <v>20.8</v>
      </c>
      <c r="M26" s="40">
        <v>96.7</v>
      </c>
      <c r="N26" s="40">
        <v>17.2</v>
      </c>
      <c r="O26" s="40">
        <v>318</v>
      </c>
      <c r="P26" s="40">
        <v>1.03</v>
      </c>
      <c r="Q26" s="40">
        <v>0.54</v>
      </c>
      <c r="R26" s="40">
        <v>0.8</v>
      </c>
      <c r="S26" s="40"/>
      <c r="T26" s="40">
        <v>0.28999999999999998</v>
      </c>
      <c r="U26" s="40">
        <v>1.43</v>
      </c>
      <c r="V26" s="40">
        <v>4.1100000000000003</v>
      </c>
      <c r="W26" s="40">
        <v>7.1630000000000003</v>
      </c>
      <c r="X26" s="40">
        <v>37.4</v>
      </c>
      <c r="Y26" s="40">
        <v>63.3</v>
      </c>
      <c r="Z26" s="40">
        <v>3.01</v>
      </c>
      <c r="AA26" s="40">
        <v>136.6</v>
      </c>
      <c r="AB26" s="40">
        <v>11.9</v>
      </c>
      <c r="AC26" s="40">
        <v>32.799999999999997</v>
      </c>
      <c r="AD26" s="40">
        <v>51.5</v>
      </c>
      <c r="AE26" s="17">
        <v>7.1239999999999997</v>
      </c>
      <c r="AF26" s="40">
        <v>407</v>
      </c>
      <c r="AG26" s="40">
        <v>49.7</v>
      </c>
      <c r="AH26" s="40">
        <v>7.1820000000000004</v>
      </c>
      <c r="AI26" s="40">
        <v>34</v>
      </c>
      <c r="AJ26" s="40">
        <v>2.2000000000000002</v>
      </c>
      <c r="AK26" s="40">
        <v>0</v>
      </c>
      <c r="AL26" s="40">
        <v>0.1</v>
      </c>
      <c r="AM26" s="40">
        <v>2.2999999999999998</v>
      </c>
      <c r="AN26" s="40">
        <v>1.7</v>
      </c>
      <c r="AO26" s="40">
        <v>197.4</v>
      </c>
      <c r="AP26" s="40"/>
      <c r="AQ26" s="41">
        <f t="shared" si="0"/>
        <v>0.49700000000000005</v>
      </c>
      <c r="AR26" s="41">
        <f t="shared" si="14"/>
        <v>0.14450318092451522</v>
      </c>
      <c r="AS26" s="41">
        <f t="shared" si="23"/>
        <v>1.4</v>
      </c>
      <c r="AT26" s="41">
        <f t="shared" si="24"/>
        <v>1.2</v>
      </c>
      <c r="AU26" s="41">
        <f t="shared" si="25"/>
        <v>0</v>
      </c>
      <c r="AV26" s="67">
        <v>2.4</v>
      </c>
      <c r="AW26">
        <v>200</v>
      </c>
      <c r="AX26">
        <v>34</v>
      </c>
      <c r="AY26" s="40">
        <v>7.2</v>
      </c>
      <c r="AZ26" s="40">
        <v>50</v>
      </c>
      <c r="BA26" s="42">
        <v>2.9999999999999997E-4</v>
      </c>
      <c r="BB26" s="11"/>
      <c r="BC26" s="42">
        <f>0.00240838634874192*24*60/BG26</f>
        <v>1.7568775796293644E-2</v>
      </c>
      <c r="BD26" s="22">
        <f>0.897647701508021/BG26</f>
        <v>4.5473541109828826E-3</v>
      </c>
      <c r="BE26" s="49">
        <f t="shared" si="1"/>
        <v>1.231776E-3</v>
      </c>
      <c r="BF26" s="42">
        <f t="shared" si="2"/>
        <v>1.77375744</v>
      </c>
      <c r="BG26" s="42">
        <f t="shared" si="3"/>
        <v>197.4</v>
      </c>
      <c r="BH26" s="43">
        <f t="shared" si="4"/>
        <v>1.1651469098277608E-2</v>
      </c>
      <c r="BI26" s="43">
        <f t="shared" si="5"/>
        <v>1.15E-2</v>
      </c>
      <c r="BJ26" s="43">
        <f t="shared" si="6"/>
        <v>208.08458053130192</v>
      </c>
      <c r="BK26" s="43" t="str">
        <f t="shared" si="19"/>
        <v/>
      </c>
      <c r="BL26" s="44">
        <f t="shared" si="12"/>
        <v>0.14450318092451522</v>
      </c>
      <c r="BM26" s="44" t="str">
        <f t="shared" si="13"/>
        <v/>
      </c>
      <c r="BN26" s="43" t="str">
        <f t="shared" si="32"/>
        <v/>
      </c>
      <c r="BO26" s="43">
        <f t="shared" si="8"/>
        <v>0.89764770150802109</v>
      </c>
      <c r="BP26" s="55">
        <f t="shared" si="36"/>
        <v>375.33293746627334</v>
      </c>
      <c r="BQ26" s="45">
        <f t="shared" si="37"/>
        <v>0.14450318092451522</v>
      </c>
      <c r="BR26" s="24">
        <f t="shared" si="22"/>
        <v>0.89764770150802109</v>
      </c>
    </row>
    <row r="27" spans="1:70" x14ac:dyDescent="0.3">
      <c r="A27" s="1" t="s">
        <v>86</v>
      </c>
      <c r="B27">
        <v>0.25</v>
      </c>
      <c r="C27" t="s">
        <v>77</v>
      </c>
      <c r="D27">
        <v>12</v>
      </c>
      <c r="E27">
        <v>2</v>
      </c>
      <c r="F27" t="s">
        <v>90</v>
      </c>
      <c r="G27" s="35">
        <v>45570.408333333296</v>
      </c>
      <c r="H27">
        <v>997.91</v>
      </c>
      <c r="I27" s="40"/>
      <c r="J27" s="40">
        <v>867.57</v>
      </c>
      <c r="K27" s="40">
        <v>22.4</v>
      </c>
      <c r="L27" s="40">
        <v>21.8</v>
      </c>
      <c r="M27" s="40">
        <v>97.2</v>
      </c>
      <c r="N27" s="40">
        <v>17</v>
      </c>
      <c r="O27" s="40">
        <v>315</v>
      </c>
      <c r="P27" s="40">
        <v>1.01</v>
      </c>
      <c r="Q27" s="40">
        <v>0.54</v>
      </c>
      <c r="R27" s="40">
        <v>0.28000000000000003</v>
      </c>
      <c r="S27" s="40"/>
      <c r="T27" s="40">
        <v>0.27</v>
      </c>
      <c r="U27" s="40">
        <v>1.29</v>
      </c>
      <c r="V27" s="40">
        <v>4.04</v>
      </c>
      <c r="W27" s="40">
        <v>7.2759999999999998</v>
      </c>
      <c r="X27" s="40">
        <v>32.5</v>
      </c>
      <c r="Y27" s="40">
        <v>64.099999999999994</v>
      </c>
      <c r="Z27" s="40">
        <v>3.07</v>
      </c>
      <c r="AA27" s="40">
        <v>137.5</v>
      </c>
      <c r="AB27" s="40">
        <v>13.4</v>
      </c>
      <c r="AC27" s="40">
        <v>28.5</v>
      </c>
      <c r="AD27" s="40">
        <v>52.2</v>
      </c>
      <c r="AE27" s="17">
        <v>7.2350000000000003</v>
      </c>
      <c r="AF27" s="40">
        <v>409</v>
      </c>
      <c r="AG27" s="40">
        <v>50.4</v>
      </c>
      <c r="AH27" s="40">
        <v>7.3049999999999997</v>
      </c>
      <c r="AI27" s="40">
        <v>34</v>
      </c>
      <c r="AJ27" s="40">
        <v>2.2000000000000002</v>
      </c>
      <c r="AK27" s="40">
        <v>0</v>
      </c>
      <c r="AL27" s="40">
        <v>0.1</v>
      </c>
      <c r="AM27" s="40">
        <v>2.4</v>
      </c>
      <c r="AN27" s="40">
        <v>1.5</v>
      </c>
      <c r="AO27" s="40">
        <v>197.3</v>
      </c>
      <c r="AP27" s="40"/>
      <c r="AQ27" s="41">
        <f t="shared" si="0"/>
        <v>0.504</v>
      </c>
      <c r="AR27" s="41">
        <f>BQ27</f>
        <v>0.141763572414213</v>
      </c>
      <c r="AS27" s="41">
        <f t="shared" si="23"/>
        <v>1.4</v>
      </c>
      <c r="AT27" s="41">
        <f t="shared" si="24"/>
        <v>1.2</v>
      </c>
      <c r="AU27" s="41">
        <f t="shared" si="25"/>
        <v>0</v>
      </c>
      <c r="AV27" s="67">
        <v>2.4</v>
      </c>
      <c r="AW27">
        <v>200</v>
      </c>
      <c r="AX27">
        <v>34</v>
      </c>
      <c r="AY27" s="40">
        <v>7.2</v>
      </c>
      <c r="AZ27" s="40">
        <v>50</v>
      </c>
      <c r="BA27" s="42">
        <v>2.9999999999999997E-4</v>
      </c>
      <c r="BB27" s="11"/>
      <c r="BC27" s="42">
        <f>0.00236272620690355*24*60/BG27</f>
        <v>1.724442847410599E-2</v>
      </c>
      <c r="BD27" s="22">
        <f>1.18909849474202/BG27</f>
        <v>6.0268550164319307E-3</v>
      </c>
      <c r="BE27" s="49">
        <f t="shared" si="1"/>
        <v>1.2903420000000001E-3</v>
      </c>
      <c r="BF27" s="42">
        <f>BE27*24*60</f>
        <v>1.8580924800000003</v>
      </c>
      <c r="BG27" s="42">
        <f t="shared" si="3"/>
        <v>197.3</v>
      </c>
      <c r="BH27" s="43">
        <f t="shared" si="4"/>
        <v>1.2164216928535225E-2</v>
      </c>
      <c r="BI27" s="43">
        <f t="shared" si="5"/>
        <v>1.2E-2</v>
      </c>
      <c r="BJ27" s="43">
        <f t="shared" si="6"/>
        <v>204.13954427646672</v>
      </c>
      <c r="BK27" s="43" t="str">
        <f t="shared" si="19"/>
        <v/>
      </c>
      <c r="BL27" s="44">
        <f t="shared" si="12"/>
        <v>0.141763572414213</v>
      </c>
      <c r="BM27" s="44" t="str">
        <f t="shared" si="13"/>
        <v/>
      </c>
      <c r="BN27" s="43" t="str">
        <f t="shared" si="32"/>
        <v/>
      </c>
      <c r="BO27" s="43">
        <f t="shared" si="8"/>
        <v>1.18909849474202</v>
      </c>
      <c r="BP27" s="55">
        <f>IF(BK27&lt;&gt;"",BK27/0.000385,IF(BL27&lt;&gt;"",BL27/0.000385,BM27/0.000385))</f>
        <v>368.21707120574808</v>
      </c>
      <c r="BQ27" s="45">
        <f>IF(BK27&lt;&gt;"",BK27,IF(BL27&lt;&gt;"",BL27,BM27))</f>
        <v>0.141763572414213</v>
      </c>
      <c r="BR27" s="24">
        <f>IF(BN27&lt;&gt;"",BN27,BO27)</f>
        <v>1.18909849474202</v>
      </c>
    </row>
    <row r="28" spans="1:70" x14ac:dyDescent="0.3">
      <c r="A28" s="1" t="s">
        <v>87</v>
      </c>
      <c r="B28">
        <v>0.25</v>
      </c>
      <c r="C28" t="s">
        <v>80</v>
      </c>
      <c r="D28">
        <v>12</v>
      </c>
      <c r="E28">
        <v>2</v>
      </c>
      <c r="F28" t="s">
        <v>90</v>
      </c>
      <c r="G28" s="35">
        <v>45570.409027777801</v>
      </c>
      <c r="H28">
        <v>997.91</v>
      </c>
      <c r="I28" s="40"/>
      <c r="J28" s="40">
        <v>861.14</v>
      </c>
      <c r="K28" s="40">
        <v>19.899999999999999</v>
      </c>
      <c r="L28" s="40">
        <v>19.3</v>
      </c>
      <c r="M28" s="40">
        <v>97.1</v>
      </c>
      <c r="N28" s="40">
        <v>16.899999999999999</v>
      </c>
      <c r="O28" s="40">
        <v>318</v>
      </c>
      <c r="P28" s="40">
        <v>1.01</v>
      </c>
      <c r="Q28" s="40">
        <v>0.56000000000000005</v>
      </c>
      <c r="R28" s="40">
        <v>0.6</v>
      </c>
      <c r="S28" s="40"/>
      <c r="T28" s="40">
        <v>0.26</v>
      </c>
      <c r="U28" s="40">
        <v>1.06</v>
      </c>
      <c r="V28" s="40">
        <v>3.89</v>
      </c>
      <c r="W28" s="40">
        <v>7.2190000000000003</v>
      </c>
      <c r="X28" s="40">
        <v>49.1</v>
      </c>
      <c r="Y28" s="40">
        <v>82</v>
      </c>
      <c r="Z28" s="40">
        <v>2.96</v>
      </c>
      <c r="AA28" s="40">
        <v>137.9</v>
      </c>
      <c r="AB28" s="40">
        <v>17.8</v>
      </c>
      <c r="AC28" s="40">
        <v>43.1</v>
      </c>
      <c r="AD28" s="40">
        <v>67.400000000000006</v>
      </c>
      <c r="AE28" s="17">
        <v>7.18</v>
      </c>
      <c r="AF28" s="40">
        <v>1000</v>
      </c>
      <c r="AG28" s="40">
        <v>2.6</v>
      </c>
      <c r="AH28" s="40">
        <v>7.1779999999999999</v>
      </c>
      <c r="AI28" s="40">
        <v>34</v>
      </c>
      <c r="AJ28" s="40">
        <v>2.2000000000000002</v>
      </c>
      <c r="AK28" s="40">
        <v>0</v>
      </c>
      <c r="AL28" s="40">
        <v>0.1</v>
      </c>
      <c r="AM28" s="40">
        <v>1.9</v>
      </c>
      <c r="AN28" s="40">
        <v>1.8</v>
      </c>
      <c r="AO28" s="40">
        <v>197.4</v>
      </c>
      <c r="AP28" s="40"/>
      <c r="AQ28" s="41">
        <f t="shared" si="0"/>
        <v>2.6000000000000002E-2</v>
      </c>
      <c r="AR28" s="41">
        <f>BQ28</f>
        <v>6.8576759999999987E-2</v>
      </c>
      <c r="AS28" s="41">
        <f t="shared" si="23"/>
        <v>1.2</v>
      </c>
      <c r="AT28" s="41">
        <f t="shared" si="24"/>
        <v>1.8</v>
      </c>
      <c r="AU28" s="41">
        <f t="shared" si="25"/>
        <v>0</v>
      </c>
      <c r="AV28" s="67">
        <v>2.4</v>
      </c>
      <c r="AW28">
        <v>200</v>
      </c>
      <c r="AX28">
        <v>34</v>
      </c>
      <c r="AY28" s="40">
        <v>7.2</v>
      </c>
      <c r="AZ28" s="40">
        <v>50</v>
      </c>
      <c r="BA28" s="42">
        <v>2.9999999999999997E-4</v>
      </c>
      <c r="BB28" s="11"/>
      <c r="BD28" s="22"/>
      <c r="BE28" s="49">
        <f t="shared" si="1"/>
        <v>1.1429459999999999E-3</v>
      </c>
      <c r="BF28" s="42">
        <f>BE28*24*60</f>
        <v>1.6458422399999999</v>
      </c>
      <c r="BG28" s="42">
        <f t="shared" si="3"/>
        <v>197.4</v>
      </c>
      <c r="BH28" s="43">
        <f t="shared" si="4"/>
        <v>9.6251266464032412E-3</v>
      </c>
      <c r="BI28" s="43">
        <f t="shared" si="5"/>
        <v>9.4999999999999998E-3</v>
      </c>
      <c r="BJ28" s="43">
        <f t="shared" si="6"/>
        <v>98.750534399999978</v>
      </c>
      <c r="BK28" s="43" t="str">
        <f t="shared" si="19"/>
        <v/>
      </c>
      <c r="BL28" s="44" t="str">
        <f t="shared" si="12"/>
        <v/>
      </c>
      <c r="BM28" s="44">
        <f t="shared" si="13"/>
        <v>6.8576759999999987E-2</v>
      </c>
      <c r="BN28" s="43">
        <f t="shared" si="32"/>
        <v>1.1843999999999999</v>
      </c>
      <c r="BO28" s="43" t="str">
        <f t="shared" si="8"/>
        <v/>
      </c>
      <c r="BP28" s="55">
        <f>IF(BK28&lt;&gt;"",BK28/0.000385,IF(BL28&lt;&gt;"",BL28/0.000385,BM28/0.000385))</f>
        <v>178.12145454545453</v>
      </c>
      <c r="BQ28" s="45">
        <f>IF(BK28&lt;&gt;"",BK28,IF(BL28&lt;&gt;"",BL28,BM28))</f>
        <v>6.8576759999999987E-2</v>
      </c>
      <c r="BR28" s="24">
        <f>IF(BN28&lt;&gt;"",BN28,BO28)</f>
        <v>1.1843999999999999</v>
      </c>
    </row>
    <row r="29" spans="1:70" ht="15" thickBot="1" x14ac:dyDescent="0.35">
      <c r="A29" s="4" t="s">
        <v>88</v>
      </c>
      <c r="B29" s="5">
        <v>0.25</v>
      </c>
      <c r="C29" s="5" t="s">
        <v>80</v>
      </c>
      <c r="D29" s="5">
        <v>12</v>
      </c>
      <c r="E29" s="5">
        <v>2</v>
      </c>
      <c r="F29" s="5" t="s">
        <v>90</v>
      </c>
      <c r="G29" s="36">
        <v>45570.410416666702</v>
      </c>
      <c r="H29" s="5">
        <v>997.91</v>
      </c>
      <c r="I29" s="7"/>
      <c r="J29" s="7">
        <v>859.57</v>
      </c>
      <c r="K29" s="7">
        <v>21.3</v>
      </c>
      <c r="L29" s="7">
        <v>20.7</v>
      </c>
      <c r="M29" s="7">
        <v>97.2</v>
      </c>
      <c r="N29" s="7">
        <v>16.899999999999999</v>
      </c>
      <c r="O29" s="7">
        <v>319</v>
      </c>
      <c r="P29" s="7">
        <v>1</v>
      </c>
      <c r="Q29" s="7">
        <v>0.55000000000000004</v>
      </c>
      <c r="R29" s="7">
        <v>0.66</v>
      </c>
      <c r="S29" s="7"/>
      <c r="T29" s="7">
        <v>0.26</v>
      </c>
      <c r="U29" s="7">
        <v>1.0900000000000001</v>
      </c>
      <c r="V29" s="7">
        <v>4.01</v>
      </c>
      <c r="W29" s="7">
        <v>7.1989999999999998</v>
      </c>
      <c r="X29" s="7">
        <v>41.8</v>
      </c>
      <c r="Y29" s="7">
        <v>66.3</v>
      </c>
      <c r="Z29" s="7">
        <v>2.83</v>
      </c>
      <c r="AA29" s="7">
        <v>137.4</v>
      </c>
      <c r="AB29" s="7">
        <v>14.4</v>
      </c>
      <c r="AC29" s="7">
        <v>36.6</v>
      </c>
      <c r="AD29" s="7">
        <v>54</v>
      </c>
      <c r="AE29" s="18">
        <v>7.16</v>
      </c>
      <c r="AF29" s="7">
        <v>692</v>
      </c>
      <c r="AG29" s="7">
        <v>24.9</v>
      </c>
      <c r="AH29" s="7">
        <v>7.1909999999999998</v>
      </c>
      <c r="AI29" s="7">
        <v>34</v>
      </c>
      <c r="AJ29" s="7">
        <v>2.2999999999999998</v>
      </c>
      <c r="AK29" s="7">
        <v>0</v>
      </c>
      <c r="AL29" s="7">
        <v>0.1</v>
      </c>
      <c r="AM29" s="7">
        <v>2.1</v>
      </c>
      <c r="AN29" s="7">
        <v>1.9</v>
      </c>
      <c r="AO29" s="7">
        <v>197.5</v>
      </c>
      <c r="AP29" s="7"/>
      <c r="AQ29" s="33">
        <f t="shared" si="0"/>
        <v>0.249</v>
      </c>
      <c r="AR29" s="33">
        <f t="shared" si="14"/>
        <v>7.3588500000000001E-2</v>
      </c>
      <c r="AS29" s="33">
        <f t="shared" si="23"/>
        <v>1.4000000000000001</v>
      </c>
      <c r="AT29" s="33">
        <f t="shared" si="24"/>
        <v>1.9</v>
      </c>
      <c r="AU29" s="33">
        <f t="shared" si="25"/>
        <v>0</v>
      </c>
      <c r="AV29" s="68">
        <v>2.4</v>
      </c>
      <c r="AW29" s="5">
        <v>200</v>
      </c>
      <c r="AX29" s="5">
        <v>34</v>
      </c>
      <c r="AY29" s="7">
        <v>7.2</v>
      </c>
      <c r="AZ29" s="7">
        <v>50</v>
      </c>
      <c r="BA29" s="13">
        <v>2.9999999999999997E-4</v>
      </c>
      <c r="BB29" s="12"/>
      <c r="BC29" s="5"/>
      <c r="BD29" s="23"/>
      <c r="BE29" s="60">
        <f t="shared" si="1"/>
        <v>1.2264749999999999E-3</v>
      </c>
      <c r="BF29" s="13">
        <f t="shared" si="2"/>
        <v>1.7661239999999998</v>
      </c>
      <c r="BG29" s="13">
        <f t="shared" si="3"/>
        <v>197.5</v>
      </c>
      <c r="BH29" s="14">
        <f t="shared" si="4"/>
        <v>1.0632911392405063E-2</v>
      </c>
      <c r="BI29" s="14">
        <f t="shared" si="5"/>
        <v>1.0500000000000001E-2</v>
      </c>
      <c r="BJ29" s="14">
        <f t="shared" si="6"/>
        <v>105.96744</v>
      </c>
      <c r="BK29" s="14" t="str">
        <f t="shared" si="19"/>
        <v/>
      </c>
      <c r="BL29" s="29" t="str">
        <f t="shared" si="12"/>
        <v/>
      </c>
      <c r="BM29" s="29">
        <f t="shared" si="13"/>
        <v>7.3588500000000001E-2</v>
      </c>
      <c r="BN29" s="14">
        <f t="shared" si="32"/>
        <v>1.155375</v>
      </c>
      <c r="BO29" s="14" t="str">
        <f t="shared" si="8"/>
        <v/>
      </c>
      <c r="BP29" s="59">
        <f t="shared" si="36"/>
        <v>191.13896103896104</v>
      </c>
      <c r="BQ29" s="31">
        <f t="shared" si="37"/>
        <v>7.3588500000000001E-2</v>
      </c>
      <c r="BR29" s="25">
        <f t="shared" si="22"/>
        <v>1.155375</v>
      </c>
    </row>
    <row r="30" spans="1:70" x14ac:dyDescent="0.3">
      <c r="A30" s="1" t="s">
        <v>76</v>
      </c>
      <c r="B30">
        <v>1000</v>
      </c>
      <c r="C30" t="s">
        <v>77</v>
      </c>
      <c r="D30">
        <v>12</v>
      </c>
      <c r="E30">
        <v>3</v>
      </c>
      <c r="F30" s="71" t="s">
        <v>91</v>
      </c>
      <c r="G30" s="69">
        <v>45571.368055555555</v>
      </c>
      <c r="H30">
        <v>1505.08</v>
      </c>
      <c r="I30" s="40"/>
      <c r="J30" s="40">
        <v>1272.8699999999999</v>
      </c>
      <c r="K30" s="40">
        <v>20.8</v>
      </c>
      <c r="L30" s="40">
        <v>20.5</v>
      </c>
      <c r="M30" s="40">
        <v>98.4</v>
      </c>
      <c r="N30" s="40"/>
      <c r="O30" s="40"/>
      <c r="P30" s="40"/>
      <c r="Q30" s="40"/>
      <c r="R30" s="40">
        <v>0.49</v>
      </c>
      <c r="S30" s="40"/>
      <c r="T30" s="40"/>
      <c r="U30" s="40"/>
      <c r="V30" s="40">
        <v>2.86</v>
      </c>
      <c r="W30" s="40"/>
      <c r="X30" s="40"/>
      <c r="Y30" s="40"/>
      <c r="Z30" s="40"/>
      <c r="AA30" s="40"/>
      <c r="AB30" s="40"/>
      <c r="AC30" s="40"/>
      <c r="AD30" s="40"/>
      <c r="AE30" s="17">
        <v>7.3559999999999999</v>
      </c>
      <c r="AF30" s="40"/>
      <c r="AG30" s="40">
        <v>50.002415610648498</v>
      </c>
      <c r="AH30" s="40"/>
      <c r="AI30" s="40">
        <v>33.999527034243997</v>
      </c>
      <c r="AJ30" s="40"/>
      <c r="AK30" s="40"/>
      <c r="AL30" s="40"/>
      <c r="AM30" s="40">
        <v>14699.6376953125</v>
      </c>
      <c r="AN30" s="40">
        <v>10229.482421875</v>
      </c>
      <c r="AO30" s="40">
        <v>605000</v>
      </c>
      <c r="AP30" s="40"/>
      <c r="AQ30" s="41">
        <f t="shared" si="0"/>
        <v>0.50002415610648498</v>
      </c>
      <c r="AR30" s="41">
        <f t="shared" si="14"/>
        <v>319.71293754274745</v>
      </c>
      <c r="AS30" s="41">
        <f t="shared" si="23"/>
        <v>7445.74658203125</v>
      </c>
      <c r="AT30" s="41">
        <f t="shared" si="24"/>
        <v>4628.6796875</v>
      </c>
      <c r="AU30" s="41">
        <f t="shared" si="25"/>
        <v>0</v>
      </c>
      <c r="AV30" s="67">
        <v>60</v>
      </c>
      <c r="AW30">
        <v>592000</v>
      </c>
      <c r="AX30">
        <v>34</v>
      </c>
      <c r="AY30" s="40">
        <v>7.2</v>
      </c>
      <c r="AZ30" s="40">
        <v>50</v>
      </c>
      <c r="BA30" s="42">
        <v>2.9999999999999997E-4</v>
      </c>
      <c r="BB30" s="11"/>
      <c r="BC30" s="42">
        <f>5.32854895904579*24*60/BG30</f>
        <v>1.2682827274423039E-2</v>
      </c>
      <c r="BD30" s="22">
        <f>4682/BG30</f>
        <v>7.7388429752066118E-3</v>
      </c>
      <c r="BE30" s="42">
        <f t="shared" si="1"/>
        <v>3.7207499999999993</v>
      </c>
      <c r="BF30" s="42">
        <f t="shared" si="2"/>
        <v>5357.8799999999992</v>
      </c>
      <c r="BG30" s="42">
        <f t="shared" si="3"/>
        <v>605000</v>
      </c>
      <c r="BH30" s="43">
        <f t="shared" si="4"/>
        <v>2.4296921810433886E-2</v>
      </c>
      <c r="BI30" s="43">
        <f t="shared" si="5"/>
        <v>2.4830469079919763E-2</v>
      </c>
      <c r="BJ30" s="43">
        <f t="shared" si="6"/>
        <v>460386.63006155635</v>
      </c>
      <c r="BK30" s="43" t="str">
        <f t="shared" si="19"/>
        <v/>
      </c>
      <c r="BL30" s="43">
        <f t="shared" si="12"/>
        <v>319.71293754274745</v>
      </c>
      <c r="BM30" s="44" t="str">
        <f t="shared" si="13"/>
        <v/>
      </c>
      <c r="BN30" s="43" t="str">
        <f t="shared" si="32"/>
        <v/>
      </c>
      <c r="BO30" s="43">
        <f t="shared" si="8"/>
        <v>4682</v>
      </c>
      <c r="BP30" s="55">
        <f>IF(BK30&lt;&gt;"",BK30/0.000385,IF(BL30&lt;&gt;"",BL30/0.000385,BM30/0.000385))</f>
        <v>830423.21439674671</v>
      </c>
      <c r="BQ30" s="45">
        <f>IF(BK30&lt;&gt;"",BK30,IF(BL30&lt;&gt;"",BL30,BM30))</f>
        <v>319.71293754274745</v>
      </c>
      <c r="BR30" s="24">
        <f t="shared" si="22"/>
        <v>4682</v>
      </c>
    </row>
    <row r="31" spans="1:70" x14ac:dyDescent="0.3">
      <c r="A31" s="1" t="s">
        <v>79</v>
      </c>
      <c r="B31">
        <v>0.25</v>
      </c>
      <c r="C31" t="s">
        <v>80</v>
      </c>
      <c r="D31">
        <v>12</v>
      </c>
      <c r="E31">
        <v>3</v>
      </c>
      <c r="G31" s="35">
        <v>45571.440196759257</v>
      </c>
      <c r="H31">
        <v>1505.08</v>
      </c>
      <c r="I31" s="40"/>
      <c r="J31" s="40">
        <v>1374.75</v>
      </c>
      <c r="K31" s="40">
        <v>24.3</v>
      </c>
      <c r="L31" s="40">
        <v>23.4</v>
      </c>
      <c r="M31" s="40">
        <v>96.2</v>
      </c>
      <c r="N31" s="40">
        <v>16.5</v>
      </c>
      <c r="O31" s="40">
        <v>312</v>
      </c>
      <c r="P31" s="40">
        <v>1.59</v>
      </c>
      <c r="Q31" s="40">
        <v>0.47</v>
      </c>
      <c r="R31" s="40">
        <v>0.49</v>
      </c>
      <c r="S31" s="40"/>
      <c r="T31" s="40">
        <v>0.18</v>
      </c>
      <c r="U31" s="40">
        <v>7.0000000000000007E-2</v>
      </c>
      <c r="V31" s="40">
        <v>3.58</v>
      </c>
      <c r="W31" s="40">
        <v>7.3140000000000001</v>
      </c>
      <c r="X31" s="40">
        <v>36.6</v>
      </c>
      <c r="Y31" s="40">
        <v>52.1</v>
      </c>
      <c r="Z31" s="40">
        <v>2.84</v>
      </c>
      <c r="AA31" s="40">
        <v>135.80000000000001</v>
      </c>
      <c r="AB31" s="40">
        <v>16.5</v>
      </c>
      <c r="AC31" s="40">
        <v>32.1</v>
      </c>
      <c r="AD31" s="40">
        <v>42.3</v>
      </c>
      <c r="AE31" s="17">
        <v>7.2729999999999997</v>
      </c>
      <c r="AF31" s="40">
        <v>405</v>
      </c>
      <c r="AG31" s="40">
        <v>48.5</v>
      </c>
      <c r="AH31" s="40">
        <v>7.3040000000000003</v>
      </c>
      <c r="AI31" s="40">
        <v>34</v>
      </c>
      <c r="AJ31" s="40">
        <v>2</v>
      </c>
      <c r="AK31" s="40">
        <v>0.4</v>
      </c>
      <c r="AL31" s="40">
        <v>0.1</v>
      </c>
      <c r="AM31" s="40">
        <v>4.2</v>
      </c>
      <c r="AN31" s="40">
        <v>2.8</v>
      </c>
      <c r="AO31" s="40">
        <v>196.7</v>
      </c>
      <c r="AP31" s="40"/>
      <c r="AQ31" s="41">
        <f t="shared" si="0"/>
        <v>0.48499999999999999</v>
      </c>
      <c r="AR31" s="41">
        <f t="shared" ref="AR31" si="38">BQ31</f>
        <v>8.2850039999999986E-2</v>
      </c>
      <c r="AS31" s="41">
        <f t="shared" si="23"/>
        <v>2</v>
      </c>
      <c r="AT31" s="41">
        <f t="shared" si="24"/>
        <v>1.0999999999999999</v>
      </c>
      <c r="AU31" s="41">
        <f t="shared" si="25"/>
        <v>0</v>
      </c>
      <c r="AV31" s="67">
        <v>2.4</v>
      </c>
      <c r="AW31">
        <v>200</v>
      </c>
      <c r="AX31">
        <v>34</v>
      </c>
      <c r="AY31" s="40">
        <v>7.2</v>
      </c>
      <c r="AZ31" s="40">
        <v>50</v>
      </c>
      <c r="BA31" s="42">
        <v>2.9999999999999997E-4</v>
      </c>
      <c r="BB31" s="11"/>
      <c r="BC31" s="42"/>
      <c r="BD31" s="22"/>
      <c r="BE31" s="42">
        <f t="shared" si="1"/>
        <v>1.3808339999999998E-3</v>
      </c>
      <c r="BF31" s="42">
        <f t="shared" ref="BF31" si="39">BE31*24*60</f>
        <v>1.9884009599999997</v>
      </c>
      <c r="BG31" s="42">
        <f t="shared" si="3"/>
        <v>196.7</v>
      </c>
      <c r="BH31" s="43">
        <f t="shared" si="4"/>
        <v>2.1352313167259787E-2</v>
      </c>
      <c r="BI31" s="43">
        <f t="shared" si="5"/>
        <v>2.1000000000000001E-2</v>
      </c>
      <c r="BJ31" s="43">
        <f t="shared" si="6"/>
        <v>119.30405759999998</v>
      </c>
      <c r="BK31" s="43" t="str">
        <f t="shared" si="19"/>
        <v/>
      </c>
      <c r="BL31" s="43" t="str">
        <f t="shared" si="12"/>
        <v/>
      </c>
      <c r="BM31" s="44">
        <f t="shared" si="13"/>
        <v>8.2850039999999986E-2</v>
      </c>
      <c r="BN31" s="43">
        <f t="shared" si="32"/>
        <v>1.2342924999999998</v>
      </c>
      <c r="BO31" s="43" t="str">
        <f t="shared" si="8"/>
        <v/>
      </c>
      <c r="BP31" s="55">
        <f>IF(BK31&lt;&gt;"",BK31/0.000385,IF(BL31&lt;&gt;"",BL31/0.000385,BM31/0.000385))</f>
        <v>215.19490909090908</v>
      </c>
      <c r="BQ31" s="45">
        <f>IF(BK31&lt;&gt;"",BK31,IF(BL31&lt;&gt;"",BL31,BM31))</f>
        <v>8.2850039999999986E-2</v>
      </c>
      <c r="BR31" s="24">
        <f t="shared" ref="BR31" si="40">IF(BN31&lt;&gt;"",BN31,BO31)</f>
        <v>1.2342924999999998</v>
      </c>
    </row>
    <row r="32" spans="1:70" x14ac:dyDescent="0.3">
      <c r="A32" s="1" t="s">
        <v>81</v>
      </c>
      <c r="B32">
        <v>0.25</v>
      </c>
      <c r="C32" t="s">
        <v>80</v>
      </c>
      <c r="D32">
        <v>12</v>
      </c>
      <c r="E32">
        <v>3</v>
      </c>
      <c r="G32" s="35">
        <v>45571.441030092596</v>
      </c>
      <c r="H32">
        <v>1505.08</v>
      </c>
      <c r="I32" s="40"/>
      <c r="J32" s="40">
        <v>1424.05</v>
      </c>
      <c r="K32" s="40">
        <v>26</v>
      </c>
      <c r="L32" s="40">
        <v>24.9</v>
      </c>
      <c r="M32" s="40">
        <v>95.6</v>
      </c>
      <c r="N32" s="40">
        <v>16.2</v>
      </c>
      <c r="O32" s="40">
        <v>310</v>
      </c>
      <c r="P32" s="40">
        <v>1.81</v>
      </c>
      <c r="Q32" s="40">
        <v>0.47</v>
      </c>
      <c r="R32" s="40">
        <v>0.3</v>
      </c>
      <c r="S32" s="40"/>
      <c r="T32" s="40">
        <v>0.2</v>
      </c>
      <c r="U32" s="40">
        <v>0.06</v>
      </c>
      <c r="V32" s="40">
        <v>3.64</v>
      </c>
      <c r="W32" s="40">
        <v>7.3019999999999996</v>
      </c>
      <c r="X32" s="40">
        <v>39.299999999999997</v>
      </c>
      <c r="Y32" s="40">
        <v>53.3</v>
      </c>
      <c r="Z32" s="40">
        <v>2.95</v>
      </c>
      <c r="AA32" s="40">
        <v>135.69999999999999</v>
      </c>
      <c r="AB32" s="40">
        <v>17.2</v>
      </c>
      <c r="AC32" s="40">
        <v>34.5</v>
      </c>
      <c r="AD32" s="40">
        <v>43.2</v>
      </c>
      <c r="AE32" s="17">
        <v>7.2610000000000001</v>
      </c>
      <c r="AF32" s="40">
        <v>407</v>
      </c>
      <c r="AG32" s="40">
        <v>50.4</v>
      </c>
      <c r="AH32" s="40">
        <v>7.3049999999999997</v>
      </c>
      <c r="AI32" s="40">
        <v>34</v>
      </c>
      <c r="AJ32" s="40">
        <v>2.1</v>
      </c>
      <c r="AK32" s="40">
        <v>0.2</v>
      </c>
      <c r="AL32" s="40">
        <v>0.1</v>
      </c>
      <c r="AM32" s="40">
        <v>4</v>
      </c>
      <c r="AN32" s="40">
        <v>3</v>
      </c>
      <c r="AO32" s="40">
        <v>196.6</v>
      </c>
      <c r="AP32" s="40"/>
      <c r="AQ32" s="41">
        <f t="shared" si="0"/>
        <v>0.504</v>
      </c>
      <c r="AR32" s="41">
        <f t="shared" si="14"/>
        <v>8.8116119999999978E-2</v>
      </c>
      <c r="AS32" s="41">
        <f t="shared" si="23"/>
        <v>1.9</v>
      </c>
      <c r="AT32" s="41">
        <f t="shared" si="24"/>
        <v>1.3</v>
      </c>
      <c r="AU32" s="41">
        <f t="shared" si="25"/>
        <v>0</v>
      </c>
      <c r="AV32" s="67">
        <v>2.4</v>
      </c>
      <c r="AW32">
        <v>200</v>
      </c>
      <c r="AX32">
        <v>34</v>
      </c>
      <c r="AY32" s="40">
        <v>7.2</v>
      </c>
      <c r="AZ32" s="40">
        <v>50</v>
      </c>
      <c r="BA32" s="42">
        <v>2.9999999999999997E-4</v>
      </c>
      <c r="BB32" s="11"/>
      <c r="BC32" s="42"/>
      <c r="BD32" s="22"/>
      <c r="BE32" s="42">
        <f t="shared" si="1"/>
        <v>1.4686019999999998E-3</v>
      </c>
      <c r="BF32" s="42">
        <f t="shared" si="2"/>
        <v>2.11478688</v>
      </c>
      <c r="BG32" s="42">
        <f t="shared" si="3"/>
        <v>196.6</v>
      </c>
      <c r="BH32" s="43">
        <f t="shared" si="4"/>
        <v>2.0345879959308241E-2</v>
      </c>
      <c r="BI32" s="43">
        <f t="shared" si="5"/>
        <v>0.02</v>
      </c>
      <c r="BJ32" s="43">
        <f t="shared" si="6"/>
        <v>126.88721279999997</v>
      </c>
      <c r="BK32" s="43" t="str">
        <f t="shared" si="19"/>
        <v/>
      </c>
      <c r="BL32" s="43" t="str">
        <f t="shared" si="12"/>
        <v/>
      </c>
      <c r="BM32" s="44">
        <f t="shared" si="13"/>
        <v>8.8116119999999978E-2</v>
      </c>
      <c r="BN32" s="43">
        <f t="shared" si="32"/>
        <v>1.3270500000000001</v>
      </c>
      <c r="BO32" s="43" t="str">
        <f t="shared" si="8"/>
        <v/>
      </c>
      <c r="BP32" s="55">
        <f t="shared" ref="BP32:BP38" si="41">IF(BK32&lt;&gt;"",BK32/0.000385,IF(BL32&lt;&gt;"",BL32/0.000385,BM32/0.000385))</f>
        <v>228.87303896103893</v>
      </c>
      <c r="BQ32" s="45">
        <f t="shared" ref="BQ32:BQ38" si="42">IF(BK32&lt;&gt;"",BK32,IF(BL32&lt;&gt;"",BL32,BM32))</f>
        <v>8.8116119999999978E-2</v>
      </c>
      <c r="BR32" s="24">
        <f t="shared" si="22"/>
        <v>1.3270500000000001</v>
      </c>
    </row>
    <row r="33" spans="1:70" x14ac:dyDescent="0.3">
      <c r="A33" s="1" t="s">
        <v>82</v>
      </c>
      <c r="B33">
        <v>0.25</v>
      </c>
      <c r="C33" t="s">
        <v>83</v>
      </c>
      <c r="D33">
        <v>12</v>
      </c>
      <c r="E33">
        <v>3</v>
      </c>
      <c r="G33" s="35">
        <v>45571.441863425927</v>
      </c>
      <c r="H33">
        <v>1505.08</v>
      </c>
      <c r="I33" s="40"/>
      <c r="J33" s="40">
        <v>1416.02</v>
      </c>
      <c r="K33" s="40">
        <v>25.9</v>
      </c>
      <c r="L33" s="40">
        <v>24.8</v>
      </c>
      <c r="M33" s="40">
        <v>95.8</v>
      </c>
      <c r="N33" s="40">
        <v>16.8</v>
      </c>
      <c r="O33" s="40">
        <v>328</v>
      </c>
      <c r="P33" s="40">
        <v>2.33</v>
      </c>
      <c r="Q33" s="40">
        <v>0.46</v>
      </c>
      <c r="R33" s="40">
        <v>0.19</v>
      </c>
      <c r="S33" s="40"/>
      <c r="T33" s="40">
        <v>0.2</v>
      </c>
      <c r="U33" s="40">
        <v>0.1</v>
      </c>
      <c r="V33" s="40">
        <v>4.3</v>
      </c>
      <c r="W33" s="40">
        <v>7.3310000000000004</v>
      </c>
      <c r="X33" s="40">
        <v>36.5</v>
      </c>
      <c r="Y33" s="40">
        <v>47.1</v>
      </c>
      <c r="Z33" s="40">
        <v>2.7</v>
      </c>
      <c r="AA33" s="40">
        <v>144.19999999999999</v>
      </c>
      <c r="AB33" s="40">
        <v>17.100000000000001</v>
      </c>
      <c r="AC33" s="40">
        <v>32</v>
      </c>
      <c r="AD33" s="40">
        <v>38.200000000000003</v>
      </c>
      <c r="AE33" s="17">
        <v>7.2889999999999997</v>
      </c>
      <c r="AF33" s="40">
        <v>406</v>
      </c>
      <c r="AG33" s="40">
        <v>49.4</v>
      </c>
      <c r="AH33" s="40">
        <v>7.3090000000000002</v>
      </c>
      <c r="AI33" s="40">
        <v>34</v>
      </c>
      <c r="AJ33" s="40">
        <v>2.5</v>
      </c>
      <c r="AK33" s="40">
        <v>0.8</v>
      </c>
      <c r="AL33" s="40">
        <v>0.1</v>
      </c>
      <c r="AM33" s="40">
        <v>6.1</v>
      </c>
      <c r="AN33" s="40">
        <v>1.7</v>
      </c>
      <c r="AO33" s="40">
        <v>198.6</v>
      </c>
      <c r="AP33" s="40"/>
      <c r="AQ33" s="41">
        <f t="shared" si="0"/>
        <v>0.49399999999999999</v>
      </c>
      <c r="AR33" s="41">
        <f t="shared" si="14"/>
        <v>6.2890000000000001E-2</v>
      </c>
      <c r="AS33" s="41">
        <f t="shared" si="23"/>
        <v>1.2999999999999998</v>
      </c>
      <c r="AT33" s="41">
        <f t="shared" si="24"/>
        <v>1.1000000000000001</v>
      </c>
      <c r="AU33" s="41">
        <f t="shared" si="25"/>
        <v>0</v>
      </c>
      <c r="AV33" s="67">
        <v>2.4</v>
      </c>
      <c r="AW33">
        <v>200</v>
      </c>
      <c r="AX33">
        <v>34</v>
      </c>
      <c r="AY33" s="40">
        <v>7.2</v>
      </c>
      <c r="AZ33" s="40">
        <v>50</v>
      </c>
      <c r="BA33" s="42">
        <v>2.9999999999999997E-4</v>
      </c>
      <c r="BB33" s="11">
        <v>7.6E-3</v>
      </c>
      <c r="BC33" s="42"/>
      <c r="BD33" s="22"/>
      <c r="BE33" s="42">
        <f t="shared" si="1"/>
        <v>1.4775839999999999E-3</v>
      </c>
      <c r="BF33" s="42">
        <f t="shared" si="2"/>
        <v>2.12772096</v>
      </c>
      <c r="BG33" s="42">
        <f t="shared" si="3"/>
        <v>198.6</v>
      </c>
      <c r="BH33" s="43">
        <f t="shared" si="4"/>
        <v>3.0715005035246726E-2</v>
      </c>
      <c r="BI33" s="43">
        <f t="shared" si="5"/>
        <v>3.0499999999999999E-2</v>
      </c>
      <c r="BJ33" s="43">
        <f t="shared" si="6"/>
        <v>90.561599999999999</v>
      </c>
      <c r="BK33" s="43">
        <f t="shared" si="19"/>
        <v>6.2890000000000001E-2</v>
      </c>
      <c r="BL33" s="43" t="str">
        <f t="shared" si="12"/>
        <v/>
      </c>
      <c r="BM33" s="44" t="str">
        <f t="shared" si="13"/>
        <v/>
      </c>
      <c r="BN33" s="43">
        <f t="shared" si="32"/>
        <v>1.395165</v>
      </c>
      <c r="BO33" s="43" t="str">
        <f t="shared" si="8"/>
        <v/>
      </c>
      <c r="BP33" s="55">
        <f t="shared" si="41"/>
        <v>163.35064935064938</v>
      </c>
      <c r="BQ33" s="45">
        <f t="shared" si="42"/>
        <v>6.2890000000000001E-2</v>
      </c>
      <c r="BR33" s="24">
        <f t="shared" si="22"/>
        <v>1.395165</v>
      </c>
    </row>
    <row r="34" spans="1:70" x14ac:dyDescent="0.3">
      <c r="A34" s="1" t="s">
        <v>84</v>
      </c>
      <c r="B34">
        <v>0.25</v>
      </c>
      <c r="C34" t="s">
        <v>83</v>
      </c>
      <c r="D34">
        <v>12</v>
      </c>
      <c r="E34">
        <v>3</v>
      </c>
      <c r="G34" s="35">
        <v>45571.442696759259</v>
      </c>
      <c r="H34">
        <v>1505.08</v>
      </c>
      <c r="I34" s="40"/>
      <c r="J34" s="40">
        <v>1357.4</v>
      </c>
      <c r="K34" s="40">
        <v>27.4</v>
      </c>
      <c r="L34" s="40">
        <v>26.2</v>
      </c>
      <c r="M34" s="40">
        <v>95.4</v>
      </c>
      <c r="N34" s="40">
        <v>16.2</v>
      </c>
      <c r="O34" s="40">
        <v>319</v>
      </c>
      <c r="P34" s="40">
        <v>2.92</v>
      </c>
      <c r="Q34" s="40">
        <v>0.49</v>
      </c>
      <c r="R34" s="40">
        <v>0.19</v>
      </c>
      <c r="S34" s="40"/>
      <c r="T34" s="40">
        <v>0.15</v>
      </c>
      <c r="U34" s="40">
        <v>7.0000000000000007E-2</v>
      </c>
      <c r="V34" s="40">
        <v>3.88</v>
      </c>
      <c r="W34" s="40">
        <v>7.3559999999999999</v>
      </c>
      <c r="X34" s="40">
        <v>45.7</v>
      </c>
      <c r="Y34" s="40">
        <v>64.099999999999994</v>
      </c>
      <c r="Z34" s="40">
        <v>3.55</v>
      </c>
      <c r="AA34" s="40">
        <v>138.1</v>
      </c>
      <c r="AB34" s="40">
        <v>22.7</v>
      </c>
      <c r="AC34" s="40">
        <v>40.1</v>
      </c>
      <c r="AD34" s="40">
        <v>52.2</v>
      </c>
      <c r="AE34" s="17">
        <v>7.3140000000000001</v>
      </c>
      <c r="AF34" s="40">
        <v>411</v>
      </c>
      <c r="AG34" s="40">
        <v>49.8</v>
      </c>
      <c r="AH34" s="40">
        <v>7.306</v>
      </c>
      <c r="AI34" s="40">
        <v>34</v>
      </c>
      <c r="AJ34" s="40">
        <v>2.2999999999999998</v>
      </c>
      <c r="AK34" s="40">
        <v>0.4</v>
      </c>
      <c r="AL34" s="40">
        <v>0.1</v>
      </c>
      <c r="AM34" s="40">
        <v>4</v>
      </c>
      <c r="AN34" s="40">
        <v>2.5</v>
      </c>
      <c r="AO34" s="40">
        <v>197</v>
      </c>
      <c r="AP34" s="40"/>
      <c r="AQ34" s="41">
        <f t="shared" si="0"/>
        <v>0.498</v>
      </c>
      <c r="AR34" s="41">
        <f t="shared" si="14"/>
        <v>0.16416666666666666</v>
      </c>
      <c r="AS34" s="41">
        <f t="shared" si="23"/>
        <v>1.1000000000000001</v>
      </c>
      <c r="AT34" s="41">
        <f t="shared" si="24"/>
        <v>1.2</v>
      </c>
      <c r="AU34" s="41">
        <f t="shared" si="25"/>
        <v>0</v>
      </c>
      <c r="AV34" s="67">
        <v>2.4</v>
      </c>
      <c r="AW34">
        <v>200</v>
      </c>
      <c r="AX34">
        <v>34</v>
      </c>
      <c r="AY34" s="40">
        <v>7.2</v>
      </c>
      <c r="AZ34" s="40">
        <v>50</v>
      </c>
      <c r="BA34" s="42">
        <v>2.9999999999999997E-4</v>
      </c>
      <c r="BB34" s="11">
        <v>0.02</v>
      </c>
      <c r="BD34" s="22"/>
      <c r="BE34" s="42">
        <f t="shared" si="1"/>
        <v>1.5484199999999998E-3</v>
      </c>
      <c r="BF34" s="42">
        <f t="shared" si="2"/>
        <v>2.2297247999999996</v>
      </c>
      <c r="BG34" s="42">
        <f t="shared" si="3"/>
        <v>197</v>
      </c>
      <c r="BH34" s="43">
        <f t="shared" si="4"/>
        <v>2.030456852791878E-2</v>
      </c>
      <c r="BI34" s="43">
        <f t="shared" si="5"/>
        <v>0.02</v>
      </c>
      <c r="BJ34" s="43">
        <f t="shared" si="6"/>
        <v>236.39999999999998</v>
      </c>
      <c r="BK34" s="43">
        <f t="shared" si="19"/>
        <v>0.16416666666666666</v>
      </c>
      <c r="BL34" s="44" t="str">
        <f t="shared" si="12"/>
        <v/>
      </c>
      <c r="BM34" s="44" t="str">
        <f t="shared" si="13"/>
        <v/>
      </c>
      <c r="BN34" s="43">
        <f t="shared" si="32"/>
        <v>1.3839250000000001</v>
      </c>
      <c r="BO34" s="43" t="str">
        <f t="shared" si="8"/>
        <v/>
      </c>
      <c r="BP34" s="55">
        <f t="shared" si="41"/>
        <v>426.4069264069264</v>
      </c>
      <c r="BQ34" s="45">
        <f t="shared" si="42"/>
        <v>0.16416666666666666</v>
      </c>
      <c r="BR34" s="24">
        <f t="shared" si="22"/>
        <v>1.3839250000000001</v>
      </c>
    </row>
    <row r="35" spans="1:70" x14ac:dyDescent="0.3">
      <c r="A35" s="1" t="s">
        <v>85</v>
      </c>
      <c r="B35">
        <v>0.25</v>
      </c>
      <c r="C35" t="s">
        <v>77</v>
      </c>
      <c r="D35">
        <v>12</v>
      </c>
      <c r="E35">
        <v>3</v>
      </c>
      <c r="G35" s="35">
        <v>45571.443541666667</v>
      </c>
      <c r="H35">
        <v>1505.08</v>
      </c>
      <c r="I35" s="40"/>
      <c r="J35" s="40">
        <v>1383.98</v>
      </c>
      <c r="K35" s="40">
        <v>25.2</v>
      </c>
      <c r="L35" s="40">
        <v>24.1</v>
      </c>
      <c r="M35" s="40">
        <v>95.6</v>
      </c>
      <c r="N35" s="40">
        <v>16.7</v>
      </c>
      <c r="O35" s="40">
        <v>321</v>
      </c>
      <c r="P35" s="40">
        <v>1.32</v>
      </c>
      <c r="Q35" s="40">
        <v>0.45</v>
      </c>
      <c r="R35" s="40">
        <v>1.2</v>
      </c>
      <c r="S35" s="40"/>
      <c r="T35" s="40">
        <v>0.23</v>
      </c>
      <c r="U35" s="40">
        <v>0.1</v>
      </c>
      <c r="V35" s="40">
        <v>3.72</v>
      </c>
      <c r="W35" s="40">
        <v>7.3109999999999999</v>
      </c>
      <c r="X35" s="40">
        <v>34.9</v>
      </c>
      <c r="Y35" s="40">
        <v>52.4</v>
      </c>
      <c r="Z35" s="40">
        <v>2.62</v>
      </c>
      <c r="AA35" s="40">
        <v>138.9</v>
      </c>
      <c r="AB35" s="40">
        <v>15.6</v>
      </c>
      <c r="AC35" s="40">
        <v>30.6</v>
      </c>
      <c r="AD35" s="40">
        <v>42.5</v>
      </c>
      <c r="AE35" s="17">
        <v>7.27</v>
      </c>
      <c r="AF35" s="40">
        <v>407</v>
      </c>
      <c r="AG35" s="40">
        <v>50.8</v>
      </c>
      <c r="AH35" s="40">
        <v>7.3019999999999996</v>
      </c>
      <c r="AI35" s="40">
        <v>34</v>
      </c>
      <c r="AJ35" s="40">
        <v>2.2000000000000002</v>
      </c>
      <c r="AK35" s="40">
        <v>0.1</v>
      </c>
      <c r="AL35" s="40">
        <v>0.1</v>
      </c>
      <c r="AM35" s="40">
        <v>5.8</v>
      </c>
      <c r="AN35" s="40">
        <v>2.6</v>
      </c>
      <c r="AO35" s="40">
        <v>198</v>
      </c>
      <c r="AP35" s="40"/>
      <c r="AQ35" s="41">
        <f t="shared" ref="AQ35:AQ66" si="43">AG35/100</f>
        <v>0.50800000000000001</v>
      </c>
      <c r="AR35" s="41">
        <f t="shared" si="14"/>
        <v>0.12476205211681562</v>
      </c>
      <c r="AS35" s="41">
        <f t="shared" si="23"/>
        <v>3.5</v>
      </c>
      <c r="AT35" s="41">
        <f t="shared" si="24"/>
        <v>0.90000000000000013</v>
      </c>
      <c r="AU35" s="41">
        <f t="shared" si="25"/>
        <v>0</v>
      </c>
      <c r="AV35" s="67">
        <v>2.4</v>
      </c>
      <c r="AW35">
        <v>200</v>
      </c>
      <c r="AX35">
        <v>34</v>
      </c>
      <c r="AY35" s="40">
        <v>7.2</v>
      </c>
      <c r="AZ35" s="40">
        <v>50</v>
      </c>
      <c r="BA35" s="42">
        <v>2.9999999999999997E-4</v>
      </c>
      <c r="BB35" s="11"/>
      <c r="BC35" s="42">
        <f>0.00207936753528026*24*60/BG35</f>
        <v>1.5122672983856439E-2</v>
      </c>
      <c r="BD35" s="42">
        <f>0.937837273085801/BG35</f>
        <v>4.7365518842717221E-3</v>
      </c>
      <c r="BE35" s="42">
        <f t="shared" ref="BE35:BE66" si="44">BA35*L35*BG35/1000</f>
        <v>1.4315399999999998E-3</v>
      </c>
      <c r="BF35" s="42">
        <f t="shared" si="2"/>
        <v>2.0614175999999995</v>
      </c>
      <c r="BG35" s="42">
        <f t="shared" ref="BG35:BG66" si="45">IF(ISBLANK(AO35), AW35+SUM(AJ35:AL35,AM35:AN35)-(AV35*(E35+1)), AO35)</f>
        <v>198</v>
      </c>
      <c r="BH35" s="43">
        <f t="shared" ref="BH35:BH66" si="46">IF(ISBLANK(AM35),"",IFERROR(AM35/BG35,0))</f>
        <v>2.9292929292929291E-2</v>
      </c>
      <c r="BI35" s="43">
        <f t="shared" ref="BI35:BI66" si="47">IF(ISBLANK(AM35),"",AM35/AW35)</f>
        <v>2.8999999999999998E-2</v>
      </c>
      <c r="BJ35" s="43">
        <f t="shared" ref="BJ35:BJ66" si="48">AR35*24*60</f>
        <v>179.6573550482145</v>
      </c>
      <c r="BK35" s="43" t="str">
        <f t="shared" si="19"/>
        <v/>
      </c>
      <c r="BL35" s="44">
        <f t="shared" si="12"/>
        <v>0.12476205211681562</v>
      </c>
      <c r="BM35" s="44" t="str">
        <f t="shared" si="13"/>
        <v/>
      </c>
      <c r="BN35" s="43" t="str">
        <f t="shared" si="32"/>
        <v/>
      </c>
      <c r="BO35" s="43">
        <f t="shared" ref="BO35:BO66" si="49">IF(C35="Julia",BD35*BG35,"")</f>
        <v>0.937837273085801</v>
      </c>
      <c r="BP35" s="55">
        <f t="shared" si="41"/>
        <v>324.05727822549517</v>
      </c>
      <c r="BQ35" s="45">
        <f t="shared" si="42"/>
        <v>0.12476205211681562</v>
      </c>
      <c r="BR35" s="24">
        <f t="shared" si="22"/>
        <v>0.937837273085801</v>
      </c>
    </row>
    <row r="36" spans="1:70" x14ac:dyDescent="0.3">
      <c r="A36" s="1" t="s">
        <v>86</v>
      </c>
      <c r="B36">
        <v>0.25</v>
      </c>
      <c r="C36" t="s">
        <v>77</v>
      </c>
      <c r="D36">
        <v>12</v>
      </c>
      <c r="E36">
        <v>3</v>
      </c>
      <c r="G36" s="35">
        <v>45571.444768518515</v>
      </c>
      <c r="H36">
        <v>1505.08</v>
      </c>
      <c r="I36" s="40"/>
      <c r="J36" s="40">
        <v>1425.99</v>
      </c>
      <c r="K36" s="40">
        <v>26.6</v>
      </c>
      <c r="L36" s="40">
        <v>25.5</v>
      </c>
      <c r="M36" s="40">
        <v>95.9</v>
      </c>
      <c r="N36" s="40">
        <v>16.5</v>
      </c>
      <c r="O36" s="40">
        <v>322</v>
      </c>
      <c r="P36" s="40">
        <v>1.33</v>
      </c>
      <c r="Q36" s="40">
        <v>0.45</v>
      </c>
      <c r="R36" s="40">
        <v>1.45</v>
      </c>
      <c r="S36" s="40"/>
      <c r="T36" s="40">
        <v>0.24</v>
      </c>
      <c r="U36" s="40">
        <v>0.1</v>
      </c>
      <c r="V36" s="40">
        <v>3.6</v>
      </c>
      <c r="W36" s="40">
        <v>7.3019999999999996</v>
      </c>
      <c r="X36" s="40">
        <v>38</v>
      </c>
      <c r="Y36" s="40">
        <v>50.4</v>
      </c>
      <c r="Z36" s="40">
        <v>2.5499999999999998</v>
      </c>
      <c r="AA36" s="40">
        <v>137.69999999999999</v>
      </c>
      <c r="AB36" s="40">
        <v>16.600000000000001</v>
      </c>
      <c r="AC36" s="40">
        <v>33.299999999999997</v>
      </c>
      <c r="AD36" s="40">
        <v>40.799999999999997</v>
      </c>
      <c r="AE36" s="17">
        <v>7.2610000000000001</v>
      </c>
      <c r="AF36" s="40">
        <v>410</v>
      </c>
      <c r="AG36" s="40">
        <v>50.4</v>
      </c>
      <c r="AH36" s="40">
        <v>7.3040000000000003</v>
      </c>
      <c r="AI36" s="40">
        <v>34</v>
      </c>
      <c r="AJ36" s="40">
        <v>2.2000000000000002</v>
      </c>
      <c r="AK36" s="40">
        <v>0.4</v>
      </c>
      <c r="AL36" s="40">
        <v>0.1</v>
      </c>
      <c r="AM36" s="40">
        <v>5.9</v>
      </c>
      <c r="AN36" s="40">
        <v>2.7</v>
      </c>
      <c r="AO36" s="40">
        <v>198.6</v>
      </c>
      <c r="AP36" s="40"/>
      <c r="AQ36" s="41">
        <f t="shared" si="43"/>
        <v>0.504</v>
      </c>
      <c r="AR36" s="41">
        <f>BQ36</f>
        <v>0.1136403146599332</v>
      </c>
      <c r="AS36" s="41">
        <f t="shared" si="23"/>
        <v>3.5000000000000004</v>
      </c>
      <c r="AT36" s="41">
        <f t="shared" si="24"/>
        <v>1.2000000000000002</v>
      </c>
      <c r="AU36" s="41">
        <f t="shared" si="25"/>
        <v>0</v>
      </c>
      <c r="AV36" s="67">
        <v>2.4</v>
      </c>
      <c r="AW36">
        <v>200</v>
      </c>
      <c r="AX36">
        <v>34</v>
      </c>
      <c r="AY36" s="40">
        <v>7.2</v>
      </c>
      <c r="AZ36" s="40">
        <v>50</v>
      </c>
      <c r="BA36" s="42">
        <v>2.9999999999999997E-4</v>
      </c>
      <c r="BB36" s="11"/>
      <c r="BC36" s="42">
        <f>0.00189400524433222*24*60/BG36</f>
        <v>1.3732968538964737E-2</v>
      </c>
      <c r="BD36" s="42">
        <f>0.950560138745667/BG36</f>
        <v>4.7863048275209822E-3</v>
      </c>
      <c r="BE36" s="42">
        <f t="shared" si="44"/>
        <v>1.5192899999999997E-3</v>
      </c>
      <c r="BF36" s="42">
        <f>BE36*24*60</f>
        <v>2.1877775999999995</v>
      </c>
      <c r="BG36" s="42">
        <f t="shared" si="45"/>
        <v>198.6</v>
      </c>
      <c r="BH36" s="43">
        <f t="shared" si="46"/>
        <v>2.9707955689828803E-2</v>
      </c>
      <c r="BI36" s="43">
        <f t="shared" si="47"/>
        <v>2.9500000000000002E-2</v>
      </c>
      <c r="BJ36" s="43">
        <f t="shared" si="48"/>
        <v>163.64205311030381</v>
      </c>
      <c r="BK36" s="43" t="str">
        <f t="shared" si="19"/>
        <v/>
      </c>
      <c r="BL36" s="44">
        <f t="shared" si="12"/>
        <v>0.1136403146599332</v>
      </c>
      <c r="BM36" s="44" t="str">
        <f t="shared" si="13"/>
        <v/>
      </c>
      <c r="BN36" s="43" t="str">
        <f t="shared" si="32"/>
        <v/>
      </c>
      <c r="BO36" s="43">
        <f t="shared" si="49"/>
        <v>0.95056013874566703</v>
      </c>
      <c r="BP36" s="55">
        <f>IF(BK36&lt;&gt;"",BK36/0.000385,IF(BL36&lt;&gt;"",BL36/0.000385,BM36/0.000385))</f>
        <v>295.16964846735897</v>
      </c>
      <c r="BQ36" s="45">
        <f>IF(BK36&lt;&gt;"",BK36,IF(BL36&lt;&gt;"",BL36,BM36))</f>
        <v>0.1136403146599332</v>
      </c>
      <c r="BR36" s="24">
        <f>IF(BN36&lt;&gt;"",BN36,BO36)</f>
        <v>0.95056013874566703</v>
      </c>
    </row>
    <row r="37" spans="1:70" x14ac:dyDescent="0.3">
      <c r="A37" s="1" t="s">
        <v>87</v>
      </c>
      <c r="B37">
        <v>0.25</v>
      </c>
      <c r="C37" t="s">
        <v>80</v>
      </c>
      <c r="D37">
        <v>12</v>
      </c>
      <c r="E37">
        <v>3</v>
      </c>
      <c r="G37" s="35">
        <v>45571.445625</v>
      </c>
      <c r="H37">
        <v>1505.08</v>
      </c>
      <c r="I37" s="40"/>
      <c r="J37" s="40">
        <v>1326.62</v>
      </c>
      <c r="K37" s="40">
        <v>25.6</v>
      </c>
      <c r="L37" s="40">
        <v>24.4</v>
      </c>
      <c r="M37" s="40">
        <v>95.3</v>
      </c>
      <c r="N37" s="40">
        <v>16.2</v>
      </c>
      <c r="O37" s="40">
        <v>325</v>
      </c>
      <c r="P37" s="40">
        <v>2.59</v>
      </c>
      <c r="Q37" s="40">
        <v>0.49</v>
      </c>
      <c r="R37" s="40">
        <v>0.22</v>
      </c>
      <c r="S37" s="40"/>
      <c r="T37" s="40">
        <v>0.16</v>
      </c>
      <c r="U37" s="40">
        <v>0.06</v>
      </c>
      <c r="V37" s="40">
        <v>4.2699999999999996</v>
      </c>
      <c r="W37" s="40">
        <v>7.3120000000000003</v>
      </c>
      <c r="X37" s="40">
        <v>51.2</v>
      </c>
      <c r="Y37" s="40">
        <v>68.2</v>
      </c>
      <c r="Z37" s="40">
        <v>3.1</v>
      </c>
      <c r="AA37" s="40">
        <v>142.1</v>
      </c>
      <c r="AB37" s="40">
        <v>22.9</v>
      </c>
      <c r="AC37" s="40">
        <v>44.9</v>
      </c>
      <c r="AD37" s="40">
        <v>55.6</v>
      </c>
      <c r="AE37" s="17">
        <v>7.2709999999999999</v>
      </c>
      <c r="AF37" s="40">
        <v>1001</v>
      </c>
      <c r="AG37" s="40">
        <v>46</v>
      </c>
      <c r="AH37" s="40">
        <v>7.3070000000000004</v>
      </c>
      <c r="AI37" s="40">
        <v>34</v>
      </c>
      <c r="AJ37" s="40">
        <v>2.6</v>
      </c>
      <c r="AK37" s="40">
        <v>0.4</v>
      </c>
      <c r="AL37" s="40">
        <v>0.1</v>
      </c>
      <c r="AM37" s="40">
        <v>3.7</v>
      </c>
      <c r="AN37" s="40">
        <v>3</v>
      </c>
      <c r="AO37" s="40">
        <v>197.6</v>
      </c>
      <c r="AP37" s="40"/>
      <c r="AQ37" s="41">
        <f t="shared" si="43"/>
        <v>0.46</v>
      </c>
      <c r="AR37" s="41">
        <f>BQ37</f>
        <v>8.6785919999999975E-2</v>
      </c>
      <c r="AS37" s="41">
        <f t="shared" si="23"/>
        <v>1.8000000000000003</v>
      </c>
      <c r="AT37" s="41">
        <f t="shared" si="24"/>
        <v>1.2</v>
      </c>
      <c r="AU37" s="41">
        <f t="shared" si="25"/>
        <v>0</v>
      </c>
      <c r="AV37" s="67">
        <v>2.4</v>
      </c>
      <c r="AW37">
        <v>200</v>
      </c>
      <c r="AX37">
        <v>34</v>
      </c>
      <c r="AY37" s="40">
        <v>7.2</v>
      </c>
      <c r="AZ37" s="40">
        <v>50</v>
      </c>
      <c r="BA37" s="42">
        <v>2.9999999999999997E-4</v>
      </c>
      <c r="BB37" s="11"/>
      <c r="BD37" s="22"/>
      <c r="BE37" s="42">
        <f t="shared" si="44"/>
        <v>1.4464319999999997E-3</v>
      </c>
      <c r="BF37" s="42">
        <f>BE37*24*60</f>
        <v>2.0828620799999999</v>
      </c>
      <c r="BG37" s="42">
        <f t="shared" si="45"/>
        <v>197.6</v>
      </c>
      <c r="BH37" s="43">
        <f t="shared" si="46"/>
        <v>1.8724696356275303E-2</v>
      </c>
      <c r="BI37" s="43">
        <f t="shared" si="47"/>
        <v>1.8500000000000003E-2</v>
      </c>
      <c r="BJ37" s="43">
        <f t="shared" si="48"/>
        <v>124.97172479999998</v>
      </c>
      <c r="BK37" s="43" t="str">
        <f t="shared" si="19"/>
        <v/>
      </c>
      <c r="BL37" s="44" t="str">
        <f t="shared" si="12"/>
        <v/>
      </c>
      <c r="BM37" s="44">
        <f t="shared" si="13"/>
        <v>8.6785919999999975E-2</v>
      </c>
      <c r="BN37" s="43">
        <f t="shared" si="32"/>
        <v>1.3733199999999999</v>
      </c>
      <c r="BO37" s="43" t="str">
        <f t="shared" si="49"/>
        <v/>
      </c>
      <c r="BP37" s="55">
        <f>IF(BK37&lt;&gt;"",BK37/0.000385,IF(BL37&lt;&gt;"",BL37/0.000385,BM37/0.000385))</f>
        <v>225.41797402597396</v>
      </c>
      <c r="BQ37" s="45">
        <f>IF(BK37&lt;&gt;"",BK37,IF(BL37&lt;&gt;"",BL37,BM37))</f>
        <v>8.6785919999999975E-2</v>
      </c>
      <c r="BR37" s="24">
        <f>IF(BN37&lt;&gt;"",BN37,BO37)</f>
        <v>1.3733199999999999</v>
      </c>
    </row>
    <row r="38" spans="1:70" ht="15" thickBot="1" x14ac:dyDescent="0.35">
      <c r="A38" s="1" t="s">
        <v>88</v>
      </c>
      <c r="B38">
        <v>0.25</v>
      </c>
      <c r="C38" t="s">
        <v>80</v>
      </c>
      <c r="D38">
        <v>12</v>
      </c>
      <c r="E38">
        <v>3</v>
      </c>
      <c r="G38" s="35">
        <v>45571.446481481478</v>
      </c>
      <c r="H38">
        <v>1505.08</v>
      </c>
      <c r="I38" s="40"/>
      <c r="J38" s="40">
        <v>1401.27</v>
      </c>
      <c r="K38" s="40">
        <v>25.6</v>
      </c>
      <c r="L38" s="40">
        <v>24.6</v>
      </c>
      <c r="M38" s="40">
        <v>95.9</v>
      </c>
      <c r="N38" s="40">
        <v>16.3</v>
      </c>
      <c r="O38" s="40">
        <v>313</v>
      </c>
      <c r="P38" s="40">
        <v>1.9</v>
      </c>
      <c r="Q38" s="40">
        <v>0.47</v>
      </c>
      <c r="R38" s="40">
        <v>0.3</v>
      </c>
      <c r="S38" s="40"/>
      <c r="T38" s="40">
        <v>0.18</v>
      </c>
      <c r="U38" s="40">
        <v>0.06</v>
      </c>
      <c r="V38" s="40">
        <v>3.81</v>
      </c>
      <c r="W38" s="40">
        <v>7.3140000000000001</v>
      </c>
      <c r="X38" s="40">
        <v>43.3</v>
      </c>
      <c r="Y38" s="40">
        <v>55.3</v>
      </c>
      <c r="Z38" s="40">
        <v>2.92</v>
      </c>
      <c r="AA38" s="40">
        <v>138</v>
      </c>
      <c r="AB38" s="40">
        <v>19.5</v>
      </c>
      <c r="AC38" s="40">
        <v>38</v>
      </c>
      <c r="AD38" s="40">
        <v>44.9</v>
      </c>
      <c r="AE38" s="17">
        <v>7.2729999999999997</v>
      </c>
      <c r="AF38" s="40">
        <v>409</v>
      </c>
      <c r="AG38" s="40">
        <v>49.9</v>
      </c>
      <c r="AH38" s="40">
        <v>7.3070000000000004</v>
      </c>
      <c r="AI38" s="40">
        <v>34</v>
      </c>
      <c r="AJ38" s="40">
        <v>2.2999999999999998</v>
      </c>
      <c r="AK38" s="40">
        <v>0.3</v>
      </c>
      <c r="AL38" s="40">
        <v>0.1</v>
      </c>
      <c r="AM38" s="40">
        <v>3.9</v>
      </c>
      <c r="AN38" s="40">
        <v>3.1</v>
      </c>
      <c r="AO38" s="40">
        <v>197.3</v>
      </c>
      <c r="AP38" s="7"/>
      <c r="AQ38" s="41">
        <f t="shared" si="43"/>
        <v>0.499</v>
      </c>
      <c r="AR38" s="41">
        <f t="shared" si="14"/>
        <v>8.7364440000000002E-2</v>
      </c>
      <c r="AS38" s="41">
        <f t="shared" si="23"/>
        <v>1.7999999999999998</v>
      </c>
      <c r="AT38" s="41">
        <f t="shared" si="24"/>
        <v>1.2000000000000002</v>
      </c>
      <c r="AU38" s="41">
        <f t="shared" si="25"/>
        <v>0</v>
      </c>
      <c r="AV38" s="68">
        <v>2.4</v>
      </c>
      <c r="AW38">
        <v>200</v>
      </c>
      <c r="AX38" s="5">
        <v>34</v>
      </c>
      <c r="AY38" s="40">
        <v>7.2</v>
      </c>
      <c r="AZ38" s="40">
        <v>50</v>
      </c>
      <c r="BA38" s="42">
        <v>2.9999999999999997E-4</v>
      </c>
      <c r="BB38" s="11"/>
      <c r="BD38" s="22"/>
      <c r="BE38" s="42">
        <f t="shared" si="44"/>
        <v>1.4560739999999999E-3</v>
      </c>
      <c r="BF38" s="42">
        <f t="shared" si="2"/>
        <v>2.0967465599999997</v>
      </c>
      <c r="BG38" s="42">
        <f t="shared" si="45"/>
        <v>197.3</v>
      </c>
      <c r="BH38" s="43">
        <f t="shared" si="46"/>
        <v>1.9766852508869739E-2</v>
      </c>
      <c r="BI38" s="43">
        <f t="shared" si="47"/>
        <v>1.95E-2</v>
      </c>
      <c r="BJ38" s="43">
        <f t="shared" si="48"/>
        <v>125.80479360000001</v>
      </c>
      <c r="BK38" s="43" t="str">
        <f t="shared" si="19"/>
        <v/>
      </c>
      <c r="BL38" s="44" t="str">
        <f t="shared" si="12"/>
        <v/>
      </c>
      <c r="BM38" s="44">
        <f t="shared" si="13"/>
        <v>8.7364440000000002E-2</v>
      </c>
      <c r="BN38" s="43">
        <f t="shared" si="32"/>
        <v>1.3317750000000002</v>
      </c>
      <c r="BO38" s="43" t="str">
        <f t="shared" si="49"/>
        <v/>
      </c>
      <c r="BP38" s="55">
        <f t="shared" si="41"/>
        <v>226.92062337662338</v>
      </c>
      <c r="BQ38" s="45">
        <f t="shared" si="42"/>
        <v>8.7364440000000002E-2</v>
      </c>
      <c r="BR38" s="24">
        <f t="shared" si="22"/>
        <v>1.3317750000000002</v>
      </c>
    </row>
    <row r="39" spans="1:70" x14ac:dyDescent="0.3">
      <c r="A39" s="2" t="s">
        <v>76</v>
      </c>
      <c r="B39" s="3">
        <v>1000</v>
      </c>
      <c r="C39" s="3" t="s">
        <v>77</v>
      </c>
      <c r="D39" s="3">
        <v>12</v>
      </c>
      <c r="E39" s="3">
        <v>4</v>
      </c>
      <c r="F39" s="3"/>
      <c r="G39" s="34">
        <v>45572.359027777777</v>
      </c>
      <c r="H39" s="3">
        <v>2119.61</v>
      </c>
      <c r="I39" s="6"/>
      <c r="J39" s="6">
        <v>1588.47</v>
      </c>
      <c r="K39" s="6">
        <v>21.1</v>
      </c>
      <c r="L39" s="6">
        <v>20.8</v>
      </c>
      <c r="M39" s="6">
        <v>98.3</v>
      </c>
      <c r="N39" s="6"/>
      <c r="O39" s="6"/>
      <c r="P39" s="6"/>
      <c r="Q39" s="6"/>
      <c r="R39" s="6">
        <v>1.76</v>
      </c>
      <c r="S39" s="6"/>
      <c r="T39" s="6"/>
      <c r="U39" s="6"/>
      <c r="V39" s="6">
        <v>2.6</v>
      </c>
      <c r="W39" s="6"/>
      <c r="X39" s="6"/>
      <c r="Y39" s="6"/>
      <c r="Z39" s="6"/>
      <c r="AA39" s="6"/>
      <c r="AB39" s="6"/>
      <c r="AC39" s="6"/>
      <c r="AD39" s="6"/>
      <c r="AE39" s="16">
        <v>7.306</v>
      </c>
      <c r="AF39" s="6"/>
      <c r="AG39" s="6">
        <v>50.000105040413999</v>
      </c>
      <c r="AH39" s="6"/>
      <c r="AI39" s="6">
        <v>33.997979719765702</v>
      </c>
      <c r="AJ39" s="6"/>
      <c r="AK39" s="6"/>
      <c r="AL39" s="6"/>
      <c r="AM39" s="6">
        <v>22306.763671875</v>
      </c>
      <c r="AN39" s="6">
        <v>14919.5068359375</v>
      </c>
      <c r="AO39" s="6">
        <v>611400</v>
      </c>
      <c r="AP39" s="6"/>
      <c r="AQ39" s="32">
        <f t="shared" si="43"/>
        <v>0.50000105040414</v>
      </c>
      <c r="AR39" s="32">
        <f t="shared" ref="AR39:AR70" si="50">BQ39</f>
        <v>531.44902002000003</v>
      </c>
      <c r="AS39" s="32">
        <f t="shared" si="23"/>
        <v>7607.1259765625</v>
      </c>
      <c r="AT39" s="32">
        <f t="shared" si="24"/>
        <v>4690.0244140625</v>
      </c>
      <c r="AU39" s="32">
        <f t="shared" si="25"/>
        <v>0</v>
      </c>
      <c r="AV39" s="66">
        <v>60</v>
      </c>
      <c r="AW39" s="3">
        <v>592000</v>
      </c>
      <c r="AX39" s="3">
        <v>34</v>
      </c>
      <c r="AY39" s="6">
        <v>7.2</v>
      </c>
      <c r="AZ39" s="6">
        <v>50</v>
      </c>
      <c r="BA39" s="9">
        <v>2.9999999999999997E-4</v>
      </c>
      <c r="BB39" s="8"/>
      <c r="BC39" s="9">
        <f>8.857483667*24*60/BG39</f>
        <v>2.0861590579784102E-2</v>
      </c>
      <c r="BD39" s="42">
        <f>2610.0869895953/BG39</f>
        <v>4.2690333490273142E-3</v>
      </c>
      <c r="BE39" s="9">
        <f t="shared" si="44"/>
        <v>3.8151359999999999</v>
      </c>
      <c r="BF39" s="9">
        <f t="shared" ref="BF39:BF70" si="51">BE39*24*60</f>
        <v>5493.7958400000007</v>
      </c>
      <c r="BG39" s="9">
        <f t="shared" si="45"/>
        <v>611400</v>
      </c>
      <c r="BH39" s="10">
        <f t="shared" si="46"/>
        <v>3.6484729590897942E-2</v>
      </c>
      <c r="BI39" s="10">
        <f t="shared" si="47"/>
        <v>3.768034404032939E-2</v>
      </c>
      <c r="BJ39" s="10">
        <f t="shared" si="48"/>
        <v>765286.58882880001</v>
      </c>
      <c r="BK39" s="10" t="str">
        <f t="shared" si="19"/>
        <v/>
      </c>
      <c r="BL39" s="10">
        <f t="shared" si="12"/>
        <v>531.44902002000003</v>
      </c>
      <c r="BM39" s="28" t="str">
        <f t="shared" si="13"/>
        <v/>
      </c>
      <c r="BN39" s="10" t="str">
        <f t="shared" si="32"/>
        <v/>
      </c>
      <c r="BO39" s="10">
        <f t="shared" si="49"/>
        <v>2610.0869895953001</v>
      </c>
      <c r="BP39" s="58">
        <f t="shared" ref="BP39:BP70" si="52">IF(BK39&lt;&gt;"",BK39/0.000385,IF(BL39&lt;&gt;"",BL39/0.000385,BM39/0.000385))</f>
        <v>1380387.0649870131</v>
      </c>
      <c r="BQ39" s="30">
        <f t="shared" ref="BQ39:BQ70" si="53">IF(BK39&lt;&gt;"",BK39,IF(BL39&lt;&gt;"",BL39,BM39))</f>
        <v>531.44902002000003</v>
      </c>
      <c r="BR39" s="26">
        <f t="shared" ref="BR39:BR70" si="54">IF(BN39&lt;&gt;"",BN39,BO39)</f>
        <v>2610.0869895953001</v>
      </c>
    </row>
    <row r="40" spans="1:70" x14ac:dyDescent="0.3">
      <c r="A40" s="1" t="s">
        <v>79</v>
      </c>
      <c r="B40">
        <v>0.25</v>
      </c>
      <c r="C40" t="s">
        <v>80</v>
      </c>
      <c r="D40">
        <v>12</v>
      </c>
      <c r="E40">
        <v>4</v>
      </c>
      <c r="G40" s="35">
        <v>45572.402777777781</v>
      </c>
      <c r="H40">
        <v>2119.61</v>
      </c>
      <c r="I40" s="40"/>
      <c r="J40" s="40">
        <v>1786.4549999999999</v>
      </c>
      <c r="K40" s="40">
        <v>25.9</v>
      </c>
      <c r="L40" s="40">
        <v>24.5</v>
      </c>
      <c r="M40" s="40">
        <v>94.7</v>
      </c>
      <c r="N40" s="40">
        <v>16.3</v>
      </c>
      <c r="O40" s="40">
        <v>316</v>
      </c>
      <c r="P40" s="40">
        <v>1.46</v>
      </c>
      <c r="Q40" s="40">
        <v>0.41</v>
      </c>
      <c r="R40" s="40">
        <v>2.14</v>
      </c>
      <c r="S40" s="40"/>
      <c r="T40" s="40">
        <v>0.13</v>
      </c>
      <c r="U40" s="40">
        <v>7.0000000000000007E-2</v>
      </c>
      <c r="V40" s="40">
        <v>3.02</v>
      </c>
      <c r="W40" s="40">
        <v>7.2759999999999998</v>
      </c>
      <c r="X40" s="40">
        <v>43.1</v>
      </c>
      <c r="Y40" s="40">
        <v>60.6</v>
      </c>
      <c r="Z40" s="40">
        <v>2.64</v>
      </c>
      <c r="AA40" s="40">
        <v>133.5</v>
      </c>
      <c r="AB40" s="40">
        <v>17.8</v>
      </c>
      <c r="AC40" s="40">
        <v>37.799999999999997</v>
      </c>
      <c r="AD40" s="40">
        <v>49.2</v>
      </c>
      <c r="AE40" s="17">
        <v>7.2359999999999998</v>
      </c>
      <c r="AF40" s="40">
        <v>406</v>
      </c>
      <c r="AG40" s="40">
        <v>52</v>
      </c>
      <c r="AH40" s="40">
        <v>7.3079999999999998</v>
      </c>
      <c r="AI40" s="40">
        <v>33.9</v>
      </c>
      <c r="AJ40" s="40">
        <v>2</v>
      </c>
      <c r="AK40" s="40">
        <v>1.4</v>
      </c>
      <c r="AL40" s="40">
        <v>0.1</v>
      </c>
      <c r="AM40" s="40">
        <v>6.1</v>
      </c>
      <c r="AN40" s="40">
        <v>4</v>
      </c>
      <c r="AO40" s="40">
        <v>197.4</v>
      </c>
      <c r="AP40" s="40"/>
      <c r="AQ40" s="41">
        <f t="shared" si="43"/>
        <v>0.52</v>
      </c>
      <c r="AR40" s="41">
        <f t="shared" si="50"/>
        <v>8.7053400000000003E-2</v>
      </c>
      <c r="AS40" s="41">
        <f t="shared" si="23"/>
        <v>1.8999999999999995</v>
      </c>
      <c r="AT40" s="41">
        <f t="shared" si="24"/>
        <v>1.2000000000000002</v>
      </c>
      <c r="AU40" s="41">
        <f t="shared" si="25"/>
        <v>0</v>
      </c>
      <c r="AV40" s="67">
        <v>2.4</v>
      </c>
      <c r="AW40">
        <v>200</v>
      </c>
      <c r="AX40">
        <v>34</v>
      </c>
      <c r="AY40" s="40">
        <v>7.2</v>
      </c>
      <c r="AZ40" s="40">
        <v>50</v>
      </c>
      <c r="BA40" s="42">
        <v>2.9999999999999997E-4</v>
      </c>
      <c r="BB40" s="11"/>
      <c r="BC40" s="42"/>
      <c r="BD40" s="22"/>
      <c r="BE40" s="42">
        <f t="shared" si="44"/>
        <v>1.45089E-3</v>
      </c>
      <c r="BF40" s="42">
        <f t="shared" si="51"/>
        <v>2.0892816000000001</v>
      </c>
      <c r="BG40" s="42">
        <f t="shared" si="45"/>
        <v>197.4</v>
      </c>
      <c r="BH40" s="43">
        <f t="shared" si="46"/>
        <v>3.0901722391084092E-2</v>
      </c>
      <c r="BI40" s="43">
        <f t="shared" si="47"/>
        <v>3.0499999999999999E-2</v>
      </c>
      <c r="BJ40" s="43">
        <f t="shared" si="48"/>
        <v>125.35689600000001</v>
      </c>
      <c r="BK40" s="43" t="str">
        <f t="shared" si="19"/>
        <v/>
      </c>
      <c r="BL40" s="43" t="str">
        <f t="shared" si="12"/>
        <v/>
      </c>
      <c r="BM40" s="44">
        <f t="shared" si="13"/>
        <v>8.7053400000000003E-2</v>
      </c>
      <c r="BN40" s="43">
        <f t="shared" si="32"/>
        <v>0</v>
      </c>
      <c r="BO40" s="43" t="str">
        <f t="shared" si="49"/>
        <v/>
      </c>
      <c r="BP40" s="55">
        <f t="shared" si="52"/>
        <v>226.11272727272728</v>
      </c>
      <c r="BQ40" s="45">
        <f t="shared" si="53"/>
        <v>8.7053400000000003E-2</v>
      </c>
      <c r="BR40" s="24">
        <f t="shared" si="54"/>
        <v>0</v>
      </c>
    </row>
    <row r="41" spans="1:70" x14ac:dyDescent="0.3">
      <c r="A41" s="1" t="s">
        <v>81</v>
      </c>
      <c r="B41">
        <v>0.25</v>
      </c>
      <c r="C41" t="s">
        <v>80</v>
      </c>
      <c r="D41">
        <v>12</v>
      </c>
      <c r="E41">
        <v>4</v>
      </c>
      <c r="G41" s="35">
        <v>45572.40347222222</v>
      </c>
      <c r="H41">
        <v>2119.61</v>
      </c>
      <c r="I41" s="40"/>
      <c r="J41" s="40">
        <v>1778.8050000000001</v>
      </c>
      <c r="K41" s="40">
        <v>26.8</v>
      </c>
      <c r="L41" s="40">
        <v>25.2</v>
      </c>
      <c r="M41" s="40">
        <v>94.2</v>
      </c>
      <c r="N41" s="40">
        <v>16.2</v>
      </c>
      <c r="O41" s="40">
        <v>319</v>
      </c>
      <c r="P41" s="40">
        <v>1.45</v>
      </c>
      <c r="Q41" s="40">
        <v>0.41</v>
      </c>
      <c r="R41" s="40">
        <v>2.21</v>
      </c>
      <c r="S41" s="40"/>
      <c r="T41" s="40">
        <v>0.16</v>
      </c>
      <c r="U41" s="40">
        <v>0.1</v>
      </c>
      <c r="V41" s="40">
        <v>3.11</v>
      </c>
      <c r="W41" s="40">
        <v>7.2750000000000004</v>
      </c>
      <c r="X41" s="40">
        <v>45</v>
      </c>
      <c r="Y41" s="40">
        <v>65.400000000000006</v>
      </c>
      <c r="Z41" s="40">
        <v>2.83</v>
      </c>
      <c r="AA41" s="40">
        <v>135.80000000000001</v>
      </c>
      <c r="AB41" s="40">
        <v>18.5</v>
      </c>
      <c r="AC41" s="40">
        <v>39.4</v>
      </c>
      <c r="AD41" s="40">
        <v>53.3</v>
      </c>
      <c r="AE41" s="17">
        <v>7.234</v>
      </c>
      <c r="AF41" s="40">
        <v>406</v>
      </c>
      <c r="AG41" s="40">
        <v>51.1</v>
      </c>
      <c r="AH41" s="40">
        <v>7.3090000000000002</v>
      </c>
      <c r="AI41" s="40">
        <v>33.9</v>
      </c>
      <c r="AJ41" s="40">
        <v>2.1</v>
      </c>
      <c r="AK41" s="40">
        <v>1.2</v>
      </c>
      <c r="AL41" s="40">
        <v>0.1</v>
      </c>
      <c r="AM41" s="40">
        <v>6</v>
      </c>
      <c r="AN41" s="40">
        <v>4.3</v>
      </c>
      <c r="AO41" s="40">
        <v>197.4</v>
      </c>
      <c r="AP41" s="40"/>
      <c r="AQ41" s="41">
        <f t="shared" si="43"/>
        <v>0.51100000000000001</v>
      </c>
      <c r="AR41" s="41">
        <f t="shared" si="50"/>
        <v>8.9540639999999991E-2</v>
      </c>
      <c r="AS41" s="41">
        <f t="shared" si="23"/>
        <v>2</v>
      </c>
      <c r="AT41" s="41">
        <f t="shared" si="24"/>
        <v>1.2999999999999998</v>
      </c>
      <c r="AU41" s="41">
        <f t="shared" si="25"/>
        <v>0</v>
      </c>
      <c r="AV41" s="67">
        <v>2.4</v>
      </c>
      <c r="AW41">
        <v>200</v>
      </c>
      <c r="AX41">
        <v>34</v>
      </c>
      <c r="AY41" s="40">
        <v>7.2</v>
      </c>
      <c r="AZ41" s="40">
        <v>50</v>
      </c>
      <c r="BA41" s="42">
        <v>2.9999999999999997E-4</v>
      </c>
      <c r="BB41" s="11"/>
      <c r="BC41" s="42"/>
      <c r="BD41" s="22"/>
      <c r="BE41" s="42">
        <f t="shared" si="44"/>
        <v>1.4923439999999998E-3</v>
      </c>
      <c r="BF41" s="42">
        <f t="shared" si="51"/>
        <v>2.1489753599999997</v>
      </c>
      <c r="BG41" s="42">
        <f t="shared" si="45"/>
        <v>197.4</v>
      </c>
      <c r="BH41" s="43">
        <f t="shared" si="46"/>
        <v>3.0395136778115502E-2</v>
      </c>
      <c r="BI41" s="43">
        <f t="shared" si="47"/>
        <v>0.03</v>
      </c>
      <c r="BJ41" s="43">
        <f t="shared" si="48"/>
        <v>128.93852159999997</v>
      </c>
      <c r="BK41" s="43" t="str">
        <f t="shared" si="19"/>
        <v/>
      </c>
      <c r="BL41" s="43" t="str">
        <f t="shared" si="12"/>
        <v/>
      </c>
      <c r="BM41" s="44">
        <f t="shared" si="13"/>
        <v>8.9540639999999991E-2</v>
      </c>
      <c r="BN41" s="43">
        <f t="shared" si="32"/>
        <v>0</v>
      </c>
      <c r="BO41" s="43" t="str">
        <f t="shared" si="49"/>
        <v/>
      </c>
      <c r="BP41" s="55">
        <f t="shared" si="52"/>
        <v>232.57309090909089</v>
      </c>
      <c r="BQ41" s="45">
        <f t="shared" si="53"/>
        <v>8.9540639999999991E-2</v>
      </c>
      <c r="BR41" s="24">
        <f t="shared" si="54"/>
        <v>0</v>
      </c>
    </row>
    <row r="42" spans="1:70" x14ac:dyDescent="0.3">
      <c r="A42" s="1" t="s">
        <v>82</v>
      </c>
      <c r="B42">
        <v>0.25</v>
      </c>
      <c r="C42" t="s">
        <v>83</v>
      </c>
      <c r="D42">
        <v>12</v>
      </c>
      <c r="E42">
        <v>4</v>
      </c>
      <c r="G42" s="35">
        <v>45572.404166666667</v>
      </c>
      <c r="H42">
        <v>2119.61</v>
      </c>
      <c r="I42" s="40"/>
      <c r="J42" s="40">
        <v>1675.365</v>
      </c>
      <c r="K42" s="40">
        <v>24.8</v>
      </c>
      <c r="L42" s="40">
        <v>22.8</v>
      </c>
      <c r="M42" s="40">
        <v>91.9</v>
      </c>
      <c r="N42" s="40">
        <v>16.7</v>
      </c>
      <c r="O42" s="40">
        <v>350</v>
      </c>
      <c r="P42" s="40">
        <v>2.69</v>
      </c>
      <c r="Q42" s="40">
        <v>0.44</v>
      </c>
      <c r="R42" s="40">
        <v>0.28999999999999998</v>
      </c>
      <c r="S42" s="40"/>
      <c r="T42" s="40">
        <v>0.28999999999999998</v>
      </c>
      <c r="U42" s="40">
        <v>0.09</v>
      </c>
      <c r="V42" s="40">
        <v>5.22</v>
      </c>
      <c r="W42" s="40">
        <v>7.2809999999999997</v>
      </c>
      <c r="X42" s="40">
        <v>40.6</v>
      </c>
      <c r="Y42" s="40">
        <v>61.6</v>
      </c>
      <c r="Z42" s="40">
        <v>2.74</v>
      </c>
      <c r="AA42" s="40">
        <v>155</v>
      </c>
      <c r="AB42" s="40">
        <v>16.899999999999999</v>
      </c>
      <c r="AC42" s="40">
        <v>35.6</v>
      </c>
      <c r="AD42" s="40">
        <v>50.1</v>
      </c>
      <c r="AE42" s="17">
        <v>7.24</v>
      </c>
      <c r="AF42" s="40">
        <v>410</v>
      </c>
      <c r="AG42" s="40">
        <v>51</v>
      </c>
      <c r="AH42" s="40">
        <v>7.3120000000000003</v>
      </c>
      <c r="AI42" s="40">
        <v>33.9</v>
      </c>
      <c r="AJ42" s="40">
        <v>3.4</v>
      </c>
      <c r="AK42" s="40">
        <v>1.7</v>
      </c>
      <c r="AL42" s="40">
        <v>0.1</v>
      </c>
      <c r="AM42" s="40">
        <v>7.5</v>
      </c>
      <c r="AN42" s="40">
        <v>3.1</v>
      </c>
      <c r="AO42" s="40">
        <v>199.8</v>
      </c>
      <c r="AP42" s="40"/>
      <c r="AQ42" s="41">
        <f t="shared" si="43"/>
        <v>0.51</v>
      </c>
      <c r="AR42" s="41">
        <f t="shared" si="50"/>
        <v>0.16650000000000001</v>
      </c>
      <c r="AS42" s="41">
        <f t="shared" si="23"/>
        <v>1.4000000000000004</v>
      </c>
      <c r="AT42" s="41">
        <f t="shared" si="24"/>
        <v>1.4000000000000001</v>
      </c>
      <c r="AU42" s="41">
        <f t="shared" si="25"/>
        <v>0</v>
      </c>
      <c r="AV42" s="67">
        <v>2.4</v>
      </c>
      <c r="AW42">
        <v>200</v>
      </c>
      <c r="AX42">
        <v>34</v>
      </c>
      <c r="AY42" s="40">
        <v>7.2</v>
      </c>
      <c r="AZ42" s="40">
        <v>50</v>
      </c>
      <c r="BA42" s="42">
        <v>2.9999999999999997E-4</v>
      </c>
      <c r="BB42" s="11">
        <v>0.02</v>
      </c>
      <c r="BC42" s="42"/>
      <c r="BD42" s="22"/>
      <c r="BE42" s="42">
        <f t="shared" si="44"/>
        <v>1.366632E-3</v>
      </c>
      <c r="BF42" s="42">
        <f t="shared" si="51"/>
        <v>1.9679500800000003</v>
      </c>
      <c r="BG42" s="42">
        <f t="shared" si="45"/>
        <v>199.8</v>
      </c>
      <c r="BH42" s="43">
        <f t="shared" si="46"/>
        <v>3.7537537537537538E-2</v>
      </c>
      <c r="BI42" s="43">
        <f t="shared" si="47"/>
        <v>3.7499999999999999E-2</v>
      </c>
      <c r="BJ42" s="43">
        <f t="shared" si="48"/>
        <v>239.76000000000002</v>
      </c>
      <c r="BK42" s="43">
        <f t="shared" si="19"/>
        <v>0.16650000000000001</v>
      </c>
      <c r="BL42" s="43" t="str">
        <f t="shared" si="12"/>
        <v/>
      </c>
      <c r="BM42" s="44" t="str">
        <f t="shared" si="13"/>
        <v/>
      </c>
      <c r="BN42" s="43">
        <f t="shared" si="32"/>
        <v>1.353645</v>
      </c>
      <c r="BO42" s="43" t="str">
        <f t="shared" si="49"/>
        <v/>
      </c>
      <c r="BP42" s="55">
        <f t="shared" si="52"/>
        <v>432.46753246753252</v>
      </c>
      <c r="BQ42" s="45">
        <f t="shared" si="53"/>
        <v>0.16650000000000001</v>
      </c>
      <c r="BR42" s="24">
        <f t="shared" si="54"/>
        <v>1.353645</v>
      </c>
    </row>
    <row r="43" spans="1:70" x14ac:dyDescent="0.3">
      <c r="A43" s="1" t="s">
        <v>84</v>
      </c>
      <c r="B43">
        <v>0.25</v>
      </c>
      <c r="C43" t="s">
        <v>83</v>
      </c>
      <c r="D43">
        <v>12</v>
      </c>
      <c r="E43">
        <v>4</v>
      </c>
      <c r="G43" s="35">
        <v>45572.404861111114</v>
      </c>
      <c r="H43">
        <v>2119.61</v>
      </c>
      <c r="I43" s="40"/>
      <c r="J43" s="40">
        <v>1739.34</v>
      </c>
      <c r="K43" s="40">
        <v>25.9</v>
      </c>
      <c r="L43" s="40">
        <v>23.9</v>
      </c>
      <c r="M43" s="40">
        <v>92.1</v>
      </c>
      <c r="N43" s="40">
        <v>16.7</v>
      </c>
      <c r="O43" s="40">
        <v>333</v>
      </c>
      <c r="P43" s="40">
        <v>1.4</v>
      </c>
      <c r="Q43" s="40">
        <v>0.44</v>
      </c>
      <c r="R43" s="40">
        <v>2.78</v>
      </c>
      <c r="S43" s="40"/>
      <c r="T43" s="40">
        <v>0.17</v>
      </c>
      <c r="U43" s="40">
        <v>0.08</v>
      </c>
      <c r="V43" s="40">
        <v>3.71</v>
      </c>
      <c r="W43" s="40">
        <v>7.2320000000000002</v>
      </c>
      <c r="X43" s="40">
        <v>36.1</v>
      </c>
      <c r="Y43" s="40">
        <v>56.8</v>
      </c>
      <c r="Z43" s="40">
        <v>2.13</v>
      </c>
      <c r="AA43" s="40">
        <v>138.1</v>
      </c>
      <c r="AB43" s="40">
        <v>13.5</v>
      </c>
      <c r="AC43" s="40">
        <v>31.7</v>
      </c>
      <c r="AD43" s="40">
        <v>46.1</v>
      </c>
      <c r="AE43" s="17">
        <v>7.1920000000000002</v>
      </c>
      <c r="AF43" s="40">
        <v>412</v>
      </c>
      <c r="AG43" s="40">
        <v>50.2</v>
      </c>
      <c r="AH43" s="40">
        <v>7.2770000000000001</v>
      </c>
      <c r="AI43" s="40">
        <v>33.9</v>
      </c>
      <c r="AJ43" s="40">
        <v>2.2999999999999998</v>
      </c>
      <c r="AK43" s="40">
        <v>1.3</v>
      </c>
      <c r="AL43" s="40">
        <v>0.1</v>
      </c>
      <c r="AM43" s="40">
        <v>7.6</v>
      </c>
      <c r="AN43" s="40">
        <v>3.9</v>
      </c>
      <c r="AO43" s="40">
        <v>199.2</v>
      </c>
      <c r="AP43" s="40"/>
      <c r="AQ43" s="41">
        <f t="shared" si="43"/>
        <v>0.502</v>
      </c>
      <c r="AR43" s="41">
        <f t="shared" si="50"/>
        <v>0.16600000000000001</v>
      </c>
      <c r="AS43" s="41">
        <f t="shared" si="23"/>
        <v>3.5999999999999996</v>
      </c>
      <c r="AT43" s="41">
        <f t="shared" si="24"/>
        <v>1.4</v>
      </c>
      <c r="AU43" s="41">
        <f t="shared" si="25"/>
        <v>0</v>
      </c>
      <c r="AV43" s="67">
        <v>2.4</v>
      </c>
      <c r="AW43">
        <v>200</v>
      </c>
      <c r="AX43">
        <v>34</v>
      </c>
      <c r="AY43" s="40">
        <v>7.2</v>
      </c>
      <c r="AZ43" s="40">
        <v>50</v>
      </c>
      <c r="BA43" s="42">
        <v>2.9999999999999997E-4</v>
      </c>
      <c r="BB43" s="11">
        <v>0.02</v>
      </c>
      <c r="BD43" s="22"/>
      <c r="BE43" s="42">
        <f t="shared" si="44"/>
        <v>1.4282639999999998E-3</v>
      </c>
      <c r="BF43" s="42">
        <f t="shared" si="51"/>
        <v>2.0567001599999997</v>
      </c>
      <c r="BG43" s="42">
        <f t="shared" si="45"/>
        <v>199.2</v>
      </c>
      <c r="BH43" s="43">
        <f t="shared" si="46"/>
        <v>3.8152610441767071E-2</v>
      </c>
      <c r="BI43" s="43">
        <f t="shared" si="47"/>
        <v>3.7999999999999999E-2</v>
      </c>
      <c r="BJ43" s="43">
        <f t="shared" si="48"/>
        <v>239.04</v>
      </c>
      <c r="BK43" s="43">
        <f t="shared" si="19"/>
        <v>0.16600000000000001</v>
      </c>
      <c r="BL43" s="44" t="str">
        <f t="shared" si="12"/>
        <v/>
      </c>
      <c r="BM43" s="44" t="str">
        <f t="shared" si="13"/>
        <v/>
      </c>
      <c r="BN43" s="43">
        <f t="shared" si="32"/>
        <v>0</v>
      </c>
      <c r="BO43" s="43" t="str">
        <f t="shared" si="49"/>
        <v/>
      </c>
      <c r="BP43" s="55">
        <f t="shared" si="52"/>
        <v>431.16883116883122</v>
      </c>
      <c r="BQ43" s="45">
        <f t="shared" si="53"/>
        <v>0.16600000000000001</v>
      </c>
      <c r="BR43" s="24">
        <f t="shared" si="54"/>
        <v>0</v>
      </c>
    </row>
    <row r="44" spans="1:70" x14ac:dyDescent="0.3">
      <c r="A44" s="1" t="s">
        <v>85</v>
      </c>
      <c r="B44">
        <v>0.25</v>
      </c>
      <c r="C44" t="s">
        <v>77</v>
      </c>
      <c r="D44">
        <v>12</v>
      </c>
      <c r="E44">
        <v>4</v>
      </c>
      <c r="G44" s="35">
        <v>45572.40625</v>
      </c>
      <c r="H44">
        <v>2119.61</v>
      </c>
      <c r="I44" s="40"/>
      <c r="J44" s="40">
        <v>1851.24</v>
      </c>
      <c r="K44" s="40">
        <v>26.4</v>
      </c>
      <c r="L44" s="40">
        <v>24.8</v>
      </c>
      <c r="M44" s="40">
        <v>94</v>
      </c>
      <c r="N44" s="40">
        <v>16.600000000000001</v>
      </c>
      <c r="O44" s="40">
        <v>324</v>
      </c>
      <c r="P44" s="40">
        <v>1.34</v>
      </c>
      <c r="Q44" s="40">
        <v>0.39</v>
      </c>
      <c r="R44" s="40">
        <v>1.64</v>
      </c>
      <c r="S44" s="40"/>
      <c r="T44" s="40">
        <v>0.16</v>
      </c>
      <c r="U44" s="40">
        <v>0.08</v>
      </c>
      <c r="V44" s="40">
        <v>3.51</v>
      </c>
      <c r="W44" s="40">
        <v>7.2720000000000002</v>
      </c>
      <c r="X44" s="40">
        <v>32.4</v>
      </c>
      <c r="Y44" s="40">
        <v>48.5</v>
      </c>
      <c r="Z44" s="40">
        <v>2.2400000000000002</v>
      </c>
      <c r="AA44" s="40">
        <v>139.4</v>
      </c>
      <c r="AB44" s="40">
        <v>13.2</v>
      </c>
      <c r="AC44" s="40">
        <v>28.5</v>
      </c>
      <c r="AD44" s="40">
        <v>39.299999999999997</v>
      </c>
      <c r="AE44" s="17">
        <v>7.2309999999999999</v>
      </c>
      <c r="AF44" s="40">
        <v>407</v>
      </c>
      <c r="AG44" s="40">
        <v>51</v>
      </c>
      <c r="AH44" s="40">
        <v>7.298</v>
      </c>
      <c r="AI44" s="40">
        <v>33.9</v>
      </c>
      <c r="AJ44" s="40">
        <v>2.2000000000000002</v>
      </c>
      <c r="AK44" s="40">
        <v>0.5</v>
      </c>
      <c r="AL44" s="40">
        <v>0.1</v>
      </c>
      <c r="AM44" s="40">
        <v>8.6999999999999993</v>
      </c>
      <c r="AN44" s="40">
        <v>3.6</v>
      </c>
      <c r="AO44" s="40">
        <v>198.1</v>
      </c>
      <c r="AP44" s="40"/>
      <c r="AQ44" s="41">
        <f t="shared" si="43"/>
        <v>0.51</v>
      </c>
      <c r="AR44" s="41">
        <f t="shared" si="50"/>
        <v>0.14890513359397919</v>
      </c>
      <c r="AS44" s="41">
        <f t="shared" ref="AS44:AS75" si="55">AM44-AM35</f>
        <v>2.8999999999999995</v>
      </c>
      <c r="AT44" s="41">
        <f t="shared" ref="AT44:AT75" si="56">AN44-AN35</f>
        <v>1</v>
      </c>
      <c r="AU44" s="41">
        <f t="shared" ref="AU44:AU75" si="57">AP35-AP44</f>
        <v>0</v>
      </c>
      <c r="AV44" s="67">
        <v>2.4</v>
      </c>
      <c r="AW44">
        <v>200</v>
      </c>
      <c r="AX44">
        <v>34</v>
      </c>
      <c r="AY44" s="40">
        <v>7.2</v>
      </c>
      <c r="AZ44" s="40">
        <v>50</v>
      </c>
      <c r="BA44" s="42">
        <v>2.9999999999999997E-4</v>
      </c>
      <c r="BB44" s="11"/>
      <c r="BC44" s="42">
        <f>0.00248175222656632*24*60/BG44</f>
        <v>1.8039995993213025E-2</v>
      </c>
      <c r="BD44" s="42">
        <f>0.176367129335544/BG44</f>
        <v>8.9029343430360426E-4</v>
      </c>
      <c r="BE44" s="42">
        <f t="shared" si="44"/>
        <v>1.4738639999999999E-3</v>
      </c>
      <c r="BF44" s="42">
        <f t="shared" si="51"/>
        <v>2.1223641599999996</v>
      </c>
      <c r="BG44" s="42">
        <f t="shared" si="45"/>
        <v>198.1</v>
      </c>
      <c r="BH44" s="43">
        <f t="shared" si="46"/>
        <v>4.3917213528520946E-2</v>
      </c>
      <c r="BI44" s="43">
        <f t="shared" si="47"/>
        <v>4.3499999999999997E-2</v>
      </c>
      <c r="BJ44" s="43">
        <f t="shared" si="48"/>
        <v>214.42339237533005</v>
      </c>
      <c r="BK44" s="43" t="str">
        <f t="shared" si="19"/>
        <v/>
      </c>
      <c r="BL44" s="44">
        <f t="shared" si="12"/>
        <v>0.14890513359397919</v>
      </c>
      <c r="BM44" s="44" t="str">
        <f t="shared" si="13"/>
        <v/>
      </c>
      <c r="BN44" s="43" t="str">
        <f t="shared" si="32"/>
        <v/>
      </c>
      <c r="BO44" s="43">
        <f t="shared" si="49"/>
        <v>0.17636712933554399</v>
      </c>
      <c r="BP44" s="55">
        <f t="shared" si="52"/>
        <v>386.76658076358234</v>
      </c>
      <c r="BQ44" s="45">
        <f t="shared" si="53"/>
        <v>0.14890513359397919</v>
      </c>
      <c r="BR44" s="24">
        <f t="shared" si="54"/>
        <v>0.17636712933554399</v>
      </c>
    </row>
    <row r="45" spans="1:70" x14ac:dyDescent="0.3">
      <c r="A45" s="1" t="s">
        <v>86</v>
      </c>
      <c r="B45">
        <v>0.25</v>
      </c>
      <c r="C45" t="s">
        <v>77</v>
      </c>
      <c r="D45">
        <v>12</v>
      </c>
      <c r="E45">
        <v>4</v>
      </c>
      <c r="G45" s="35">
        <v>45572.406944444447</v>
      </c>
      <c r="H45">
        <v>2119.61</v>
      </c>
      <c r="I45" s="40"/>
      <c r="J45" s="40">
        <v>1865.34</v>
      </c>
      <c r="K45" s="40">
        <v>28.1</v>
      </c>
      <c r="L45" s="40">
        <v>26.4</v>
      </c>
      <c r="M45" s="40">
        <v>94</v>
      </c>
      <c r="N45" s="40">
        <v>16.7</v>
      </c>
      <c r="O45" s="40">
        <v>325</v>
      </c>
      <c r="P45" s="40">
        <v>1.4</v>
      </c>
      <c r="Q45" s="40">
        <v>0.39</v>
      </c>
      <c r="R45" s="40">
        <v>1.78</v>
      </c>
      <c r="S45" s="40"/>
      <c r="T45" s="40">
        <v>0.16</v>
      </c>
      <c r="U45" s="40">
        <v>7.0000000000000007E-2</v>
      </c>
      <c r="V45" s="40">
        <v>3.47</v>
      </c>
      <c r="W45" s="40">
        <v>7.26</v>
      </c>
      <c r="X45" s="40">
        <v>33.1</v>
      </c>
      <c r="Y45" s="40">
        <v>52.9</v>
      </c>
      <c r="Z45" s="40">
        <v>2.17</v>
      </c>
      <c r="AA45" s="40">
        <v>138</v>
      </c>
      <c r="AB45" s="40">
        <v>13.2</v>
      </c>
      <c r="AC45" s="40">
        <v>29.1</v>
      </c>
      <c r="AD45" s="40">
        <v>43</v>
      </c>
      <c r="AE45" s="17">
        <v>7.22</v>
      </c>
      <c r="AF45" s="40">
        <v>409</v>
      </c>
      <c r="AG45" s="40">
        <v>52.6</v>
      </c>
      <c r="AH45" s="40">
        <v>7.3040000000000003</v>
      </c>
      <c r="AI45" s="40">
        <v>33.9</v>
      </c>
      <c r="AJ45" s="40">
        <v>2.2000000000000002</v>
      </c>
      <c r="AK45" s="40">
        <v>1</v>
      </c>
      <c r="AL45" s="40">
        <v>0.1</v>
      </c>
      <c r="AM45" s="40">
        <v>8.5</v>
      </c>
      <c r="AN45" s="40">
        <v>3.7</v>
      </c>
      <c r="AO45" s="40">
        <v>198.9</v>
      </c>
      <c r="AP45" s="40"/>
      <c r="AQ45" s="41">
        <f t="shared" si="43"/>
        <v>0.52600000000000002</v>
      </c>
      <c r="AR45" s="41">
        <f t="shared" si="50"/>
        <v>0.16320476690989325</v>
      </c>
      <c r="AS45" s="41">
        <f t="shared" si="55"/>
        <v>2.5999999999999996</v>
      </c>
      <c r="AT45" s="41">
        <f t="shared" si="56"/>
        <v>1</v>
      </c>
      <c r="AU45" s="41">
        <f t="shared" si="57"/>
        <v>0</v>
      </c>
      <c r="AV45" s="67">
        <v>2.4</v>
      </c>
      <c r="AW45">
        <v>200</v>
      </c>
      <c r="AX45">
        <v>34</v>
      </c>
      <c r="AY45" s="40">
        <v>7.2</v>
      </c>
      <c r="AZ45" s="40">
        <v>50</v>
      </c>
      <c r="BA45" s="42">
        <v>2.9999999999999997E-4</v>
      </c>
      <c r="BB45" s="11"/>
      <c r="BC45" s="42">
        <f>0.00272007944849822*24*60/BG45</f>
        <v>1.9692882885054989E-2</v>
      </c>
      <c r="BD45" s="42">
        <f>0.507148200573381/BG45</f>
        <v>2.5497647087651129E-3</v>
      </c>
      <c r="BE45" s="42">
        <f t="shared" si="44"/>
        <v>1.5752879999999998E-3</v>
      </c>
      <c r="BF45" s="42">
        <f t="shared" si="51"/>
        <v>2.26841472</v>
      </c>
      <c r="BG45" s="42">
        <f t="shared" si="45"/>
        <v>198.9</v>
      </c>
      <c r="BH45" s="43">
        <f t="shared" si="46"/>
        <v>4.2735042735042736E-2</v>
      </c>
      <c r="BI45" s="43">
        <f t="shared" si="47"/>
        <v>4.2500000000000003E-2</v>
      </c>
      <c r="BJ45" s="43">
        <f t="shared" si="48"/>
        <v>235.01486435024626</v>
      </c>
      <c r="BK45" s="43" t="str">
        <f t="shared" si="19"/>
        <v/>
      </c>
      <c r="BL45" s="44">
        <f t="shared" si="12"/>
        <v>0.16320476690989325</v>
      </c>
      <c r="BM45" s="44" t="str">
        <f t="shared" si="13"/>
        <v/>
      </c>
      <c r="BN45" s="43" t="str">
        <f t="shared" si="32"/>
        <v/>
      </c>
      <c r="BO45" s="43">
        <f t="shared" si="49"/>
        <v>0.50714820057338095</v>
      </c>
      <c r="BP45" s="55">
        <f t="shared" si="52"/>
        <v>423.90848548024223</v>
      </c>
      <c r="BQ45" s="45">
        <f t="shared" si="53"/>
        <v>0.16320476690989325</v>
      </c>
      <c r="BR45" s="24">
        <f t="shared" si="54"/>
        <v>0.50714820057338095</v>
      </c>
    </row>
    <row r="46" spans="1:70" x14ac:dyDescent="0.3">
      <c r="A46" s="1" t="s">
        <v>87</v>
      </c>
      <c r="B46">
        <v>0.25</v>
      </c>
      <c r="C46" t="s">
        <v>80</v>
      </c>
      <c r="D46">
        <v>12</v>
      </c>
      <c r="E46">
        <v>4</v>
      </c>
      <c r="G46" s="35">
        <v>45572.407638888886</v>
      </c>
      <c r="H46">
        <v>2119.61</v>
      </c>
      <c r="J46" s="40">
        <v>1668.4349999999999</v>
      </c>
      <c r="K46" s="40">
        <v>25.5</v>
      </c>
      <c r="L46" s="40">
        <v>23.5</v>
      </c>
      <c r="M46" s="40">
        <v>92.4</v>
      </c>
      <c r="N46" s="40">
        <v>16.3</v>
      </c>
      <c r="O46" s="40">
        <v>330</v>
      </c>
      <c r="P46" s="40">
        <v>1.47</v>
      </c>
      <c r="Q46" s="40">
        <v>0.44</v>
      </c>
      <c r="R46" s="40">
        <v>1.81</v>
      </c>
      <c r="S46" s="40"/>
      <c r="T46" s="40">
        <v>0.13</v>
      </c>
      <c r="U46" s="40">
        <v>7.0000000000000007E-2</v>
      </c>
      <c r="V46" s="40">
        <v>3.76</v>
      </c>
      <c r="W46" s="40">
        <v>7.27</v>
      </c>
      <c r="X46" s="40">
        <v>53.6</v>
      </c>
      <c r="Y46" s="40">
        <v>59.9</v>
      </c>
      <c r="Z46" s="40">
        <v>2.6</v>
      </c>
      <c r="AA46" s="40">
        <v>143</v>
      </c>
      <c r="AB46" s="40">
        <v>21.8</v>
      </c>
      <c r="AC46" s="40">
        <v>47</v>
      </c>
      <c r="AD46" s="40">
        <v>48.7</v>
      </c>
      <c r="AE46" s="17">
        <v>7.2290000000000001</v>
      </c>
      <c r="AF46" s="40">
        <v>680</v>
      </c>
      <c r="AG46" s="40">
        <v>0.5</v>
      </c>
      <c r="AH46" s="40">
        <v>7.2930000000000001</v>
      </c>
      <c r="AI46" s="40">
        <v>33.9</v>
      </c>
      <c r="AJ46" s="40">
        <v>2.6</v>
      </c>
      <c r="AK46" s="40">
        <v>1.2</v>
      </c>
      <c r="AL46" s="40">
        <v>0.1</v>
      </c>
      <c r="AM46" s="40">
        <v>5.7</v>
      </c>
      <c r="AN46" s="40">
        <v>4.4000000000000004</v>
      </c>
      <c r="AO46" s="40">
        <v>198.4</v>
      </c>
      <c r="AP46" s="40"/>
      <c r="AQ46" s="41">
        <f t="shared" si="43"/>
        <v>5.0000000000000001E-3</v>
      </c>
      <c r="AR46" s="41">
        <f t="shared" si="50"/>
        <v>8.3923199999999989E-2</v>
      </c>
      <c r="AS46" s="41">
        <f t="shared" si="55"/>
        <v>2</v>
      </c>
      <c r="AT46" s="41">
        <f t="shared" si="56"/>
        <v>1.4000000000000004</v>
      </c>
      <c r="AU46" s="41">
        <f t="shared" si="57"/>
        <v>0</v>
      </c>
      <c r="AV46" s="67">
        <v>2.4</v>
      </c>
      <c r="AW46">
        <v>200</v>
      </c>
      <c r="AX46">
        <v>34</v>
      </c>
      <c r="AY46" s="40">
        <v>7.2</v>
      </c>
      <c r="AZ46" s="40">
        <v>50</v>
      </c>
      <c r="BA46" s="42">
        <v>2.9999999999999997E-4</v>
      </c>
      <c r="BB46" s="11"/>
      <c r="BD46" s="22"/>
      <c r="BE46" s="42">
        <f t="shared" si="44"/>
        <v>1.3987199999999998E-3</v>
      </c>
      <c r="BF46" s="42">
        <f t="shared" si="51"/>
        <v>2.0141567999999994</v>
      </c>
      <c r="BG46" s="42">
        <f t="shared" si="45"/>
        <v>198.4</v>
      </c>
      <c r="BH46" s="43">
        <f t="shared" si="46"/>
        <v>2.8729838709677418E-2</v>
      </c>
      <c r="BI46" s="43">
        <f t="shared" si="47"/>
        <v>2.8500000000000001E-2</v>
      </c>
      <c r="BJ46" s="43">
        <f t="shared" si="48"/>
        <v>120.849408</v>
      </c>
      <c r="BK46" s="43" t="str">
        <f t="shared" si="19"/>
        <v/>
      </c>
      <c r="BL46" s="44" t="str">
        <f t="shared" si="12"/>
        <v/>
      </c>
      <c r="BM46" s="44">
        <f t="shared" si="13"/>
        <v>8.3923199999999989E-2</v>
      </c>
      <c r="BN46" s="43">
        <f t="shared" si="32"/>
        <v>0</v>
      </c>
      <c r="BO46" s="43" t="str">
        <f t="shared" si="49"/>
        <v/>
      </c>
      <c r="BP46" s="55">
        <f t="shared" si="52"/>
        <v>217.98233766233764</v>
      </c>
      <c r="BQ46" s="45">
        <f t="shared" si="53"/>
        <v>8.3923199999999989E-2</v>
      </c>
      <c r="BR46" s="24">
        <f t="shared" si="54"/>
        <v>0</v>
      </c>
    </row>
    <row r="47" spans="1:70" ht="15" thickBot="1" x14ac:dyDescent="0.35">
      <c r="A47" s="1" t="s">
        <v>88</v>
      </c>
      <c r="B47">
        <v>0.25</v>
      </c>
      <c r="C47" t="s">
        <v>80</v>
      </c>
      <c r="D47">
        <v>12</v>
      </c>
      <c r="E47">
        <v>4</v>
      </c>
      <c r="G47" s="35">
        <v>45572.408333333333</v>
      </c>
      <c r="H47">
        <v>2119.61</v>
      </c>
      <c r="J47" s="40">
        <v>1775.5350000000001</v>
      </c>
      <c r="K47" s="40">
        <v>26.8</v>
      </c>
      <c r="L47" s="40">
        <v>25.3</v>
      </c>
      <c r="M47" s="40">
        <v>94.3</v>
      </c>
      <c r="N47" s="40">
        <v>16.399999999999999</v>
      </c>
      <c r="O47" s="40">
        <v>322</v>
      </c>
      <c r="P47" s="40">
        <v>1.43</v>
      </c>
      <c r="Q47" s="40">
        <v>0.41</v>
      </c>
      <c r="R47" s="40">
        <v>2.1</v>
      </c>
      <c r="S47" s="40"/>
      <c r="T47" s="40">
        <v>0.14000000000000001</v>
      </c>
      <c r="U47" s="40">
        <v>0.08</v>
      </c>
      <c r="V47" s="40">
        <v>3.38</v>
      </c>
      <c r="W47" s="40">
        <v>7.2690000000000001</v>
      </c>
      <c r="X47" s="40">
        <v>43.2</v>
      </c>
      <c r="Y47" s="40">
        <v>60.6</v>
      </c>
      <c r="Z47" s="40">
        <v>2.66</v>
      </c>
      <c r="AA47" s="40">
        <v>137.4</v>
      </c>
      <c r="AB47" s="40">
        <v>17.5</v>
      </c>
      <c r="AC47" s="40">
        <v>37.9</v>
      </c>
      <c r="AD47" s="40">
        <v>49.3</v>
      </c>
      <c r="AE47" s="17">
        <v>7.2290000000000001</v>
      </c>
      <c r="AF47" s="40">
        <v>469</v>
      </c>
      <c r="AG47" s="40">
        <v>22.8</v>
      </c>
      <c r="AH47" s="40">
        <v>7.298</v>
      </c>
      <c r="AI47" s="40">
        <v>33.9</v>
      </c>
      <c r="AJ47" s="40">
        <v>2.2999999999999998</v>
      </c>
      <c r="AK47" s="40">
        <v>1.4</v>
      </c>
      <c r="AL47" s="40">
        <v>0.1</v>
      </c>
      <c r="AM47" s="40">
        <v>5.9</v>
      </c>
      <c r="AN47" s="40">
        <v>4.4000000000000004</v>
      </c>
      <c r="AO47" s="40">
        <v>198.2</v>
      </c>
      <c r="AP47" s="7"/>
      <c r="AQ47" s="41">
        <f t="shared" si="43"/>
        <v>0.22800000000000001</v>
      </c>
      <c r="AR47" s="41">
        <f t="shared" si="50"/>
        <v>9.0260279999999998E-2</v>
      </c>
      <c r="AS47" s="41">
        <f t="shared" si="55"/>
        <v>2.0000000000000004</v>
      </c>
      <c r="AT47" s="41">
        <f t="shared" si="56"/>
        <v>1.3000000000000003</v>
      </c>
      <c r="AU47" s="41">
        <f t="shared" si="57"/>
        <v>0</v>
      </c>
      <c r="AV47" s="68">
        <v>2.4</v>
      </c>
      <c r="AW47">
        <v>200</v>
      </c>
      <c r="AX47" s="5">
        <v>34</v>
      </c>
      <c r="AY47" s="40">
        <v>7.2</v>
      </c>
      <c r="AZ47" s="40">
        <v>50</v>
      </c>
      <c r="BA47" s="42">
        <v>2.9999999999999997E-4</v>
      </c>
      <c r="BB47" s="11"/>
      <c r="BD47" s="22"/>
      <c r="BE47" s="42">
        <f t="shared" si="44"/>
        <v>1.5043379999999998E-3</v>
      </c>
      <c r="BF47" s="42">
        <f t="shared" si="51"/>
        <v>2.1662467199999997</v>
      </c>
      <c r="BG47" s="42">
        <f t="shared" si="45"/>
        <v>198.2</v>
      </c>
      <c r="BH47" s="43">
        <f t="shared" si="46"/>
        <v>2.9767911200807268E-2</v>
      </c>
      <c r="BI47" s="43">
        <f t="shared" si="47"/>
        <v>2.9500000000000002E-2</v>
      </c>
      <c r="BJ47" s="43">
        <f t="shared" si="48"/>
        <v>129.9748032</v>
      </c>
      <c r="BK47" s="43" t="str">
        <f t="shared" si="19"/>
        <v/>
      </c>
      <c r="BL47" s="44" t="str">
        <f t="shared" si="12"/>
        <v/>
      </c>
      <c r="BM47" s="44">
        <f t="shared" si="13"/>
        <v>9.0260279999999998E-2</v>
      </c>
      <c r="BN47" s="43">
        <f t="shared" si="32"/>
        <v>0</v>
      </c>
      <c r="BO47" s="43" t="str">
        <f t="shared" si="49"/>
        <v/>
      </c>
      <c r="BP47" s="55">
        <f t="shared" si="52"/>
        <v>234.44228571428573</v>
      </c>
      <c r="BQ47" s="45">
        <f t="shared" si="53"/>
        <v>9.0260279999999998E-2</v>
      </c>
      <c r="BR47" s="24">
        <f t="shared" si="54"/>
        <v>0</v>
      </c>
    </row>
    <row r="48" spans="1:70" x14ac:dyDescent="0.3">
      <c r="A48" s="2" t="s">
        <v>76</v>
      </c>
      <c r="B48" s="3">
        <v>1000</v>
      </c>
      <c r="C48" s="3" t="s">
        <v>77</v>
      </c>
      <c r="D48" s="3">
        <v>12</v>
      </c>
      <c r="E48" s="3">
        <v>5</v>
      </c>
      <c r="F48" s="3"/>
      <c r="G48" s="34">
        <v>45573.359722222223</v>
      </c>
      <c r="H48" s="3">
        <v>2716.05</v>
      </c>
      <c r="I48" s="3"/>
      <c r="J48" s="6">
        <v>1932.48</v>
      </c>
      <c r="K48" s="6">
        <v>22.2</v>
      </c>
      <c r="L48" s="6">
        <v>21.1</v>
      </c>
      <c r="M48" s="6">
        <v>95</v>
      </c>
      <c r="N48" s="6"/>
      <c r="O48" s="6"/>
      <c r="P48" s="6"/>
      <c r="Q48" s="6"/>
      <c r="R48" s="6">
        <v>2.31</v>
      </c>
      <c r="S48" s="6"/>
      <c r="T48" s="6"/>
      <c r="U48" s="6"/>
      <c r="V48" s="6">
        <v>2.23</v>
      </c>
      <c r="W48" s="6"/>
      <c r="X48" s="6"/>
      <c r="Y48" s="6"/>
      <c r="Z48" s="6"/>
      <c r="AA48" s="6"/>
      <c r="AB48" s="6"/>
      <c r="AC48" s="6"/>
      <c r="AD48" s="6"/>
      <c r="AE48" s="16">
        <v>7.31</v>
      </c>
      <c r="AF48" s="6"/>
      <c r="AG48" s="6">
        <v>49.9998439730619</v>
      </c>
      <c r="AH48" s="6"/>
      <c r="AI48" s="6">
        <v>33.998356455407396</v>
      </c>
      <c r="AJ48" s="6"/>
      <c r="AK48" s="6"/>
      <c r="AL48" s="6"/>
      <c r="AM48" s="6">
        <v>35159.5078125</v>
      </c>
      <c r="AN48" s="6">
        <v>17535.712890625</v>
      </c>
      <c r="AO48" s="6">
        <v>617400</v>
      </c>
      <c r="AP48" s="6"/>
      <c r="AQ48" s="32">
        <f t="shared" si="43"/>
        <v>0.49999843973061897</v>
      </c>
      <c r="AR48" s="32">
        <f t="shared" si="50"/>
        <v>521.71165475371868</v>
      </c>
      <c r="AS48" s="32">
        <f t="shared" si="55"/>
        <v>12852.744140625</v>
      </c>
      <c r="AT48" s="32">
        <f t="shared" si="56"/>
        <v>2616.2060546875</v>
      </c>
      <c r="AU48" s="32">
        <f t="shared" si="57"/>
        <v>0</v>
      </c>
      <c r="AV48" s="66">
        <v>60</v>
      </c>
      <c r="AW48" s="3">
        <v>592000</v>
      </c>
      <c r="AX48" s="3">
        <v>34</v>
      </c>
      <c r="AY48" s="6">
        <v>7.2</v>
      </c>
      <c r="AZ48" s="6">
        <v>50</v>
      </c>
      <c r="BA48" s="9">
        <v>4.0000000000000002E-4</v>
      </c>
      <c r="BB48" s="8"/>
      <c r="BC48" s="9">
        <f>8.69519424589531*24*60/BG48</f>
        <v>2.0280336433575071E-2</v>
      </c>
      <c r="BD48" s="21">
        <f>3886.90413432793/BG48</f>
        <v>6.2956011245998223E-3</v>
      </c>
      <c r="BE48" s="9">
        <f t="shared" si="44"/>
        <v>5.2108560000000006</v>
      </c>
      <c r="BF48" s="9">
        <f t="shared" si="51"/>
        <v>7503.6326400000016</v>
      </c>
      <c r="BG48" s="9">
        <f t="shared" si="45"/>
        <v>617400</v>
      </c>
      <c r="BH48" s="10">
        <f t="shared" si="46"/>
        <v>5.6947696489310008E-2</v>
      </c>
      <c r="BI48" s="10">
        <f t="shared" si="47"/>
        <v>5.9391060494087836E-2</v>
      </c>
      <c r="BJ48" s="10">
        <f t="shared" si="48"/>
        <v>751264.78284535487</v>
      </c>
      <c r="BK48" s="10" t="str">
        <f t="shared" si="19"/>
        <v/>
      </c>
      <c r="BL48" s="10">
        <f t="shared" si="12"/>
        <v>521.71165475371868</v>
      </c>
      <c r="BM48" s="28" t="str">
        <f t="shared" si="13"/>
        <v/>
      </c>
      <c r="BN48" s="10" t="str">
        <f t="shared" si="32"/>
        <v/>
      </c>
      <c r="BO48" s="10">
        <f t="shared" si="49"/>
        <v>3886.9041343279305</v>
      </c>
      <c r="BP48" s="58">
        <f t="shared" si="52"/>
        <v>1355095.2071525161</v>
      </c>
      <c r="BQ48" s="30">
        <f t="shared" si="53"/>
        <v>521.71165475371868</v>
      </c>
      <c r="BR48" s="26">
        <f t="shared" si="54"/>
        <v>3886.9041343279305</v>
      </c>
    </row>
    <row r="49" spans="1:70" x14ac:dyDescent="0.3">
      <c r="A49" s="1" t="s">
        <v>79</v>
      </c>
      <c r="B49">
        <v>0.25</v>
      </c>
      <c r="C49" t="s">
        <v>80</v>
      </c>
      <c r="D49">
        <v>12</v>
      </c>
      <c r="E49">
        <v>5</v>
      </c>
      <c r="G49" s="35">
        <v>45573.445590277777</v>
      </c>
      <c r="H49">
        <v>2716.05</v>
      </c>
      <c r="J49" s="40">
        <v>2466.585</v>
      </c>
      <c r="K49" s="40">
        <v>23.280999999999999</v>
      </c>
      <c r="L49" s="40">
        <v>21.760999999999999</v>
      </c>
      <c r="M49" s="40">
        <v>93.5</v>
      </c>
      <c r="N49" s="40">
        <v>15.73</v>
      </c>
      <c r="O49" s="40">
        <v>322</v>
      </c>
      <c r="P49" s="40">
        <v>1.43</v>
      </c>
      <c r="Q49" s="40">
        <v>0.37</v>
      </c>
      <c r="R49" s="40">
        <v>2.25</v>
      </c>
      <c r="S49" s="40"/>
      <c r="T49" s="40">
        <v>0.15</v>
      </c>
      <c r="U49" s="40">
        <v>0.11</v>
      </c>
      <c r="V49" s="40">
        <v>2.7</v>
      </c>
      <c r="W49" s="40">
        <v>7.266</v>
      </c>
      <c r="X49" s="40">
        <v>46.3</v>
      </c>
      <c r="Y49" s="40">
        <v>66.3</v>
      </c>
      <c r="Z49" s="40">
        <v>2.64</v>
      </c>
      <c r="AA49" s="40">
        <v>136.4</v>
      </c>
      <c r="AB49" s="40">
        <v>18.600000000000001</v>
      </c>
      <c r="AC49" s="40">
        <v>40.6</v>
      </c>
      <c r="AD49" s="40">
        <v>54</v>
      </c>
      <c r="AE49" s="17">
        <v>7.2249999999999996</v>
      </c>
      <c r="AF49" s="40">
        <v>407</v>
      </c>
      <c r="AG49" s="40">
        <v>50.8</v>
      </c>
      <c r="AH49" s="40">
        <v>7.3070000000000004</v>
      </c>
      <c r="AI49" s="40">
        <v>34</v>
      </c>
      <c r="AJ49" s="40">
        <v>2</v>
      </c>
      <c r="AK49" s="40">
        <v>2.9</v>
      </c>
      <c r="AL49" s="40">
        <v>0.1</v>
      </c>
      <c r="AM49" s="40">
        <v>8.3000000000000007</v>
      </c>
      <c r="AN49" s="40">
        <v>4</v>
      </c>
      <c r="AO49" s="40">
        <v>197</v>
      </c>
      <c r="AP49" s="40"/>
      <c r="AQ49" s="41">
        <f t="shared" si="43"/>
        <v>0.50800000000000001</v>
      </c>
      <c r="AR49" s="41">
        <f t="shared" si="50"/>
        <v>0.10288600799999999</v>
      </c>
      <c r="AS49" s="41">
        <f t="shared" si="55"/>
        <v>2.2000000000000011</v>
      </c>
      <c r="AT49" s="41">
        <f t="shared" si="56"/>
        <v>0</v>
      </c>
      <c r="AU49" s="41">
        <f t="shared" si="57"/>
        <v>0</v>
      </c>
      <c r="AV49" s="67">
        <v>2.4</v>
      </c>
      <c r="AW49">
        <v>200</v>
      </c>
      <c r="AX49">
        <v>34</v>
      </c>
      <c r="AY49" s="40">
        <v>7.2</v>
      </c>
      <c r="AZ49" s="40">
        <v>50</v>
      </c>
      <c r="BA49" s="42">
        <v>4.0000000000000002E-4</v>
      </c>
      <c r="BB49" s="11"/>
      <c r="BC49" s="42"/>
      <c r="BD49" s="22"/>
      <c r="BE49" s="42">
        <f t="shared" si="44"/>
        <v>1.7147667999999998E-3</v>
      </c>
      <c r="BF49" s="42">
        <f t="shared" si="51"/>
        <v>2.4692641919999998</v>
      </c>
      <c r="BG49" s="42">
        <f t="shared" si="45"/>
        <v>197</v>
      </c>
      <c r="BH49" s="43">
        <f t="shared" si="46"/>
        <v>4.2131979695431476E-2</v>
      </c>
      <c r="BI49" s="43">
        <f t="shared" si="47"/>
        <v>4.1500000000000002E-2</v>
      </c>
      <c r="BJ49" s="43">
        <f t="shared" si="48"/>
        <v>148.15585152</v>
      </c>
      <c r="BK49" s="43" t="str">
        <f t="shared" si="19"/>
        <v/>
      </c>
      <c r="BL49" s="43" t="str">
        <f t="shared" si="12"/>
        <v/>
      </c>
      <c r="BM49" s="44">
        <f t="shared" si="13"/>
        <v>0.10288600799999999</v>
      </c>
      <c r="BN49" s="43">
        <f t="shared" si="32"/>
        <v>0</v>
      </c>
      <c r="BO49" s="43" t="str">
        <f t="shared" si="49"/>
        <v/>
      </c>
      <c r="BP49" s="55">
        <f t="shared" si="52"/>
        <v>267.23638441558438</v>
      </c>
      <c r="BQ49" s="45">
        <f t="shared" si="53"/>
        <v>0.10288600799999999</v>
      </c>
      <c r="BR49" s="24">
        <f t="shared" si="54"/>
        <v>0</v>
      </c>
    </row>
    <row r="50" spans="1:70" x14ac:dyDescent="0.3">
      <c r="A50" s="1" t="s">
        <v>81</v>
      </c>
      <c r="B50">
        <v>0.25</v>
      </c>
      <c r="C50" t="s">
        <v>80</v>
      </c>
      <c r="D50">
        <v>12</v>
      </c>
      <c r="E50">
        <v>5</v>
      </c>
      <c r="G50" s="35">
        <v>45573.421898148146</v>
      </c>
      <c r="H50">
        <v>2716.05</v>
      </c>
      <c r="J50" s="40">
        <v>2406.1950000000002</v>
      </c>
      <c r="K50" s="40">
        <v>27.155999999999999</v>
      </c>
      <c r="L50" s="40">
        <v>25.081</v>
      </c>
      <c r="M50" s="40">
        <v>92.4</v>
      </c>
      <c r="N50" s="40">
        <v>15.18</v>
      </c>
      <c r="O50" s="40">
        <v>325</v>
      </c>
      <c r="P50" s="40">
        <v>1.38</v>
      </c>
      <c r="Q50" s="40">
        <v>0.37</v>
      </c>
      <c r="R50" s="40">
        <v>2.25</v>
      </c>
      <c r="S50" s="40"/>
      <c r="T50" s="40">
        <v>0.14000000000000001</v>
      </c>
      <c r="U50" s="40">
        <v>0.11</v>
      </c>
      <c r="V50" s="40">
        <v>3.08</v>
      </c>
      <c r="W50" s="40">
        <v>7.2430000000000003</v>
      </c>
      <c r="X50" s="40">
        <v>33.799999999999997</v>
      </c>
      <c r="Y50" s="40">
        <v>66</v>
      </c>
      <c r="Z50" s="40">
        <v>2.75</v>
      </c>
      <c r="AA50" s="40">
        <v>136.19999999999999</v>
      </c>
      <c r="AB50" s="40">
        <v>12.9</v>
      </c>
      <c r="AC50" s="40">
        <v>29.6</v>
      </c>
      <c r="AD50" s="40">
        <v>53.8</v>
      </c>
      <c r="AE50" s="17">
        <v>7.2030000000000003</v>
      </c>
      <c r="AF50" s="40">
        <v>408</v>
      </c>
      <c r="AG50" s="40">
        <v>49.9</v>
      </c>
      <c r="AH50" s="40">
        <v>7.2830000000000004</v>
      </c>
      <c r="AI50" s="40">
        <v>34</v>
      </c>
      <c r="AJ50" s="40">
        <v>2.1</v>
      </c>
      <c r="AK50" s="40">
        <v>2.8</v>
      </c>
      <c r="AL50" s="40">
        <v>0.1</v>
      </c>
      <c r="AM50" s="40">
        <v>8.1999999999999993</v>
      </c>
      <c r="AN50" s="40">
        <v>4.3</v>
      </c>
      <c r="AO50" s="40">
        <v>197.6</v>
      </c>
      <c r="AP50" s="40"/>
      <c r="AQ50" s="41">
        <f t="shared" si="43"/>
        <v>0.499</v>
      </c>
      <c r="AR50" s="41">
        <f t="shared" si="50"/>
        <v>0.11894413440000001</v>
      </c>
      <c r="AS50" s="41">
        <f t="shared" si="55"/>
        <v>2.1999999999999993</v>
      </c>
      <c r="AT50" s="41">
        <f t="shared" si="56"/>
        <v>0</v>
      </c>
      <c r="AU50" s="41">
        <f t="shared" si="57"/>
        <v>0</v>
      </c>
      <c r="AV50" s="67">
        <v>2.4</v>
      </c>
      <c r="AW50">
        <v>200</v>
      </c>
      <c r="AX50">
        <v>34</v>
      </c>
      <c r="AY50" s="40">
        <v>7.2</v>
      </c>
      <c r="AZ50" s="40">
        <v>50</v>
      </c>
      <c r="BA50" s="42">
        <v>4.0000000000000002E-4</v>
      </c>
      <c r="BB50" s="11"/>
      <c r="BC50" s="42"/>
      <c r="BD50" s="22"/>
      <c r="BE50" s="42">
        <f t="shared" si="44"/>
        <v>1.9824022400000002E-3</v>
      </c>
      <c r="BF50" s="42">
        <f t="shared" si="51"/>
        <v>2.8546592256000003</v>
      </c>
      <c r="BG50" s="42">
        <f t="shared" si="45"/>
        <v>197.6</v>
      </c>
      <c r="BH50" s="43">
        <f t="shared" si="46"/>
        <v>4.149797570850202E-2</v>
      </c>
      <c r="BI50" s="43">
        <f t="shared" si="47"/>
        <v>4.0999999999999995E-2</v>
      </c>
      <c r="BJ50" s="43">
        <f t="shared" si="48"/>
        <v>171.27955353600001</v>
      </c>
      <c r="BK50" s="43" t="str">
        <f t="shared" si="19"/>
        <v/>
      </c>
      <c r="BL50" s="43" t="str">
        <f t="shared" si="12"/>
        <v/>
      </c>
      <c r="BM50" s="44">
        <f t="shared" si="13"/>
        <v>0.11894413440000001</v>
      </c>
      <c r="BN50" s="43">
        <f t="shared" si="32"/>
        <v>0</v>
      </c>
      <c r="BO50" s="43" t="str">
        <f t="shared" si="49"/>
        <v/>
      </c>
      <c r="BP50" s="55">
        <f t="shared" si="52"/>
        <v>308.94580363636368</v>
      </c>
      <c r="BQ50" s="45">
        <f t="shared" si="53"/>
        <v>0.11894413440000001</v>
      </c>
      <c r="BR50" s="24">
        <f t="shared" si="54"/>
        <v>0</v>
      </c>
    </row>
    <row r="51" spans="1:70" x14ac:dyDescent="0.3">
      <c r="A51" s="1" t="s">
        <v>82</v>
      </c>
      <c r="B51">
        <v>0.25</v>
      </c>
      <c r="C51" t="s">
        <v>83</v>
      </c>
      <c r="D51">
        <v>12</v>
      </c>
      <c r="E51">
        <v>5</v>
      </c>
      <c r="G51" s="35">
        <v>45573.422743055555</v>
      </c>
      <c r="H51">
        <v>2716.05</v>
      </c>
      <c r="J51" s="40">
        <v>2279.1149999999998</v>
      </c>
      <c r="K51" s="40">
        <v>23.099</v>
      </c>
      <c r="L51" s="40">
        <v>20.533000000000001</v>
      </c>
      <c r="M51" s="40">
        <v>88.9</v>
      </c>
      <c r="N51" s="40">
        <v>16.61</v>
      </c>
      <c r="O51" s="40">
        <v>374</v>
      </c>
      <c r="P51" s="40">
        <v>1.19</v>
      </c>
      <c r="Q51" s="40">
        <v>0.39</v>
      </c>
      <c r="R51" s="40">
        <v>3.27</v>
      </c>
      <c r="S51" s="40"/>
      <c r="T51" s="40">
        <v>0.18</v>
      </c>
      <c r="U51" s="40">
        <v>0.14000000000000001</v>
      </c>
      <c r="V51" s="40">
        <v>4.45</v>
      </c>
      <c r="W51" s="40">
        <v>7.2389999999999999</v>
      </c>
      <c r="X51" s="40">
        <v>39.1</v>
      </c>
      <c r="Y51" s="40">
        <v>52.2</v>
      </c>
      <c r="Z51" s="40">
        <v>1.85</v>
      </c>
      <c r="AA51" s="40">
        <v>153.9</v>
      </c>
      <c r="AB51" s="40">
        <v>14.8</v>
      </c>
      <c r="AC51" s="40">
        <v>34.299999999999997</v>
      </c>
      <c r="AD51" s="40">
        <v>42.4</v>
      </c>
      <c r="AE51" s="17">
        <v>7.1989999999999998</v>
      </c>
      <c r="AF51" s="40">
        <v>407</v>
      </c>
      <c r="AG51" s="40">
        <v>49.1</v>
      </c>
      <c r="AH51" s="40">
        <v>7.2430000000000003</v>
      </c>
      <c r="AI51" s="40">
        <v>34</v>
      </c>
      <c r="AJ51" s="40">
        <v>3.4</v>
      </c>
      <c r="AK51" s="40">
        <v>2.7</v>
      </c>
      <c r="AL51" s="40">
        <v>0.2</v>
      </c>
      <c r="AM51" s="40">
        <v>11.3</v>
      </c>
      <c r="AN51" s="40">
        <v>4.5</v>
      </c>
      <c r="AO51" s="40">
        <v>202.2</v>
      </c>
      <c r="AP51" s="40"/>
      <c r="AQ51" s="41">
        <f t="shared" si="43"/>
        <v>0.49099999999999999</v>
      </c>
      <c r="AR51" s="41">
        <f t="shared" si="50"/>
        <v>0.16849999999999998</v>
      </c>
      <c r="AS51" s="41">
        <f t="shared" si="55"/>
        <v>3.8000000000000007</v>
      </c>
      <c r="AT51" s="41">
        <f t="shared" si="56"/>
        <v>1.4</v>
      </c>
      <c r="AU51" s="41">
        <f t="shared" si="57"/>
        <v>0</v>
      </c>
      <c r="AV51" s="67">
        <v>2.4</v>
      </c>
      <c r="AW51">
        <v>200</v>
      </c>
      <c r="AX51">
        <v>34</v>
      </c>
      <c r="AY51" s="40">
        <v>7.2</v>
      </c>
      <c r="AZ51" s="40">
        <v>50</v>
      </c>
      <c r="BA51" s="42">
        <v>4.0000000000000002E-4</v>
      </c>
      <c r="BB51" s="11">
        <v>0.02</v>
      </c>
      <c r="BC51" s="42"/>
      <c r="BD51" s="22"/>
      <c r="BE51" s="42">
        <f t="shared" si="44"/>
        <v>1.6607090400000001E-3</v>
      </c>
      <c r="BF51" s="42">
        <f t="shared" si="51"/>
        <v>2.3914210176000004</v>
      </c>
      <c r="BG51" s="42">
        <f t="shared" si="45"/>
        <v>202.2</v>
      </c>
      <c r="BH51" s="43">
        <f t="shared" si="46"/>
        <v>5.5885262116716128E-2</v>
      </c>
      <c r="BI51" s="43">
        <f t="shared" si="47"/>
        <v>5.6500000000000002E-2</v>
      </c>
      <c r="BJ51" s="43">
        <f t="shared" si="48"/>
        <v>242.64</v>
      </c>
      <c r="BK51" s="43">
        <f t="shared" si="19"/>
        <v>0.16849999999999998</v>
      </c>
      <c r="BL51" s="43" t="str">
        <f t="shared" si="12"/>
        <v/>
      </c>
      <c r="BM51" s="44" t="str">
        <f t="shared" si="13"/>
        <v/>
      </c>
      <c r="BN51" s="43">
        <f t="shared" si="32"/>
        <v>0</v>
      </c>
      <c r="BO51" s="43" t="str">
        <f t="shared" si="49"/>
        <v/>
      </c>
      <c r="BP51" s="55">
        <f t="shared" si="52"/>
        <v>437.66233766233762</v>
      </c>
      <c r="BQ51" s="45">
        <f t="shared" si="53"/>
        <v>0.16849999999999998</v>
      </c>
      <c r="BR51" s="24">
        <f t="shared" si="54"/>
        <v>0</v>
      </c>
    </row>
    <row r="52" spans="1:70" x14ac:dyDescent="0.3">
      <c r="A52" s="1" t="s">
        <v>84</v>
      </c>
      <c r="B52">
        <v>0.25</v>
      </c>
      <c r="C52" t="s">
        <v>83</v>
      </c>
      <c r="D52">
        <v>12</v>
      </c>
      <c r="E52">
        <v>5</v>
      </c>
      <c r="G52" s="35">
        <v>45573.423587962963</v>
      </c>
      <c r="H52">
        <v>2716.05</v>
      </c>
      <c r="J52" s="40">
        <v>2461.2449999999999</v>
      </c>
      <c r="K52" s="40">
        <v>21.51</v>
      </c>
      <c r="L52" s="40">
        <v>19.835999999999999</v>
      </c>
      <c r="M52" s="40">
        <v>92.2</v>
      </c>
      <c r="N52" s="40">
        <v>16.559999999999999</v>
      </c>
      <c r="O52" s="40">
        <v>339</v>
      </c>
      <c r="P52" s="40">
        <v>1.26</v>
      </c>
      <c r="Q52" s="40">
        <v>0.39</v>
      </c>
      <c r="R52" s="40">
        <v>2.81</v>
      </c>
      <c r="S52" s="40"/>
      <c r="T52" s="40">
        <v>0.2</v>
      </c>
      <c r="U52" s="40">
        <v>0.12</v>
      </c>
      <c r="V52" s="40">
        <v>3.34</v>
      </c>
      <c r="W52" s="40">
        <v>7.2460000000000004</v>
      </c>
      <c r="X52" s="40">
        <v>35.700000000000003</v>
      </c>
      <c r="Y52" s="40">
        <v>47.5</v>
      </c>
      <c r="Z52" s="40">
        <v>1.82</v>
      </c>
      <c r="AA52" s="40">
        <v>143.19999999999999</v>
      </c>
      <c r="AB52" s="40">
        <v>13.7</v>
      </c>
      <c r="AC52" s="40">
        <v>31.3</v>
      </c>
      <c r="AD52" s="40">
        <v>38.5</v>
      </c>
      <c r="AE52" s="17">
        <v>7.2060000000000004</v>
      </c>
      <c r="AF52" s="40">
        <v>409</v>
      </c>
      <c r="AG52" s="40">
        <v>49.7</v>
      </c>
      <c r="AH52" s="40">
        <v>7.2539999999999996</v>
      </c>
      <c r="AI52" s="40">
        <v>34</v>
      </c>
      <c r="AJ52" s="40">
        <v>2.2999999999999998</v>
      </c>
      <c r="AK52" s="40">
        <v>2</v>
      </c>
      <c r="AL52" s="40">
        <v>0.1</v>
      </c>
      <c r="AM52" s="40">
        <v>11.7</v>
      </c>
      <c r="AN52" s="40">
        <v>3.9</v>
      </c>
      <c r="AO52" s="40">
        <v>200.1</v>
      </c>
      <c r="AP52" s="40"/>
      <c r="AQ52" s="41">
        <f t="shared" si="43"/>
        <v>0.49700000000000005</v>
      </c>
      <c r="AR52" s="41">
        <f t="shared" si="50"/>
        <v>0.15757874999999999</v>
      </c>
      <c r="AS52" s="41">
        <f t="shared" si="55"/>
        <v>4.0999999999999996</v>
      </c>
      <c r="AT52" s="41">
        <f t="shared" si="56"/>
        <v>0</v>
      </c>
      <c r="AU52" s="41">
        <f t="shared" si="57"/>
        <v>0</v>
      </c>
      <c r="AV52" s="67">
        <v>2.4</v>
      </c>
      <c r="AW52">
        <v>200</v>
      </c>
      <c r="AX52">
        <v>34</v>
      </c>
      <c r="AY52" s="40">
        <v>7.2</v>
      </c>
      <c r="AZ52" s="40">
        <v>50</v>
      </c>
      <c r="BA52" s="42">
        <v>4.0000000000000002E-4</v>
      </c>
      <c r="BB52" s="11">
        <v>1.89E-2</v>
      </c>
      <c r="BD52" s="22"/>
      <c r="BE52" s="42">
        <f t="shared" si="44"/>
        <v>1.5876734399999999E-3</v>
      </c>
      <c r="BF52" s="42">
        <f t="shared" si="51"/>
        <v>2.2862497535999999</v>
      </c>
      <c r="BG52" s="42">
        <f t="shared" si="45"/>
        <v>200.1</v>
      </c>
      <c r="BH52" s="43">
        <f t="shared" si="46"/>
        <v>5.847076461769115E-2</v>
      </c>
      <c r="BI52" s="43">
        <f t="shared" si="47"/>
        <v>5.8499999999999996E-2</v>
      </c>
      <c r="BJ52" s="43">
        <f t="shared" si="48"/>
        <v>226.9134</v>
      </c>
      <c r="BK52" s="43">
        <f t="shared" si="19"/>
        <v>0.15757874999999999</v>
      </c>
      <c r="BL52" s="44" t="str">
        <f>IF(C52="Julia",BC52*BG52/24,"")</f>
        <v/>
      </c>
      <c r="BM52" s="44" t="str">
        <f t="shared" si="13"/>
        <v/>
      </c>
      <c r="BN52" s="43">
        <f t="shared" si="32"/>
        <v>0</v>
      </c>
      <c r="BO52" s="43" t="str">
        <f t="shared" si="49"/>
        <v/>
      </c>
      <c r="BP52" s="55">
        <f t="shared" si="52"/>
        <v>409.29545454545456</v>
      </c>
      <c r="BQ52" s="45">
        <f t="shared" si="53"/>
        <v>0.15757874999999999</v>
      </c>
      <c r="BR52" s="24">
        <f t="shared" si="54"/>
        <v>0</v>
      </c>
    </row>
    <row r="53" spans="1:70" x14ac:dyDescent="0.3">
      <c r="A53" s="1" t="s">
        <v>85</v>
      </c>
      <c r="B53">
        <v>0.25</v>
      </c>
      <c r="C53" t="s">
        <v>77</v>
      </c>
      <c r="D53">
        <v>12</v>
      </c>
      <c r="E53">
        <v>5</v>
      </c>
      <c r="G53" s="35">
        <v>45573.424444444441</v>
      </c>
      <c r="H53">
        <v>2716.05</v>
      </c>
      <c r="J53" s="40">
        <v>2561.79</v>
      </c>
      <c r="K53" s="40">
        <v>22.911999999999999</v>
      </c>
      <c r="L53" s="40">
        <v>21.283000000000001</v>
      </c>
      <c r="M53" s="40">
        <v>92.9</v>
      </c>
      <c r="N53" s="40">
        <v>16.23</v>
      </c>
      <c r="O53" s="40">
        <v>327</v>
      </c>
      <c r="P53" s="40">
        <v>1.3</v>
      </c>
      <c r="Q53" s="40">
        <v>0.35</v>
      </c>
      <c r="R53" s="40">
        <v>1.49</v>
      </c>
      <c r="S53" s="40"/>
      <c r="T53" s="40">
        <v>0.2</v>
      </c>
      <c r="U53" s="40">
        <v>0.11</v>
      </c>
      <c r="V53" s="40">
        <v>3.06</v>
      </c>
      <c r="W53" s="40">
        <v>7.2729999999999997</v>
      </c>
      <c r="X53" s="40">
        <v>32.299999999999997</v>
      </c>
      <c r="Y53" s="40">
        <v>49</v>
      </c>
      <c r="Z53" s="40">
        <v>1.98</v>
      </c>
      <c r="AA53" s="40">
        <v>140.9</v>
      </c>
      <c r="AB53" s="40">
        <v>13.2</v>
      </c>
      <c r="AC53" s="40">
        <v>28.3</v>
      </c>
      <c r="AD53" s="40">
        <v>39.700000000000003</v>
      </c>
      <c r="AE53" s="17">
        <v>7.2320000000000002</v>
      </c>
      <c r="AF53" s="40">
        <v>411</v>
      </c>
      <c r="AG53" s="40">
        <v>49.4</v>
      </c>
      <c r="AH53" s="40">
        <v>7.2770000000000001</v>
      </c>
      <c r="AI53" s="40">
        <v>34</v>
      </c>
      <c r="AJ53" s="40">
        <v>2.2000000000000002</v>
      </c>
      <c r="AK53" s="40">
        <v>1.2</v>
      </c>
      <c r="AL53" s="40">
        <v>0.1</v>
      </c>
      <c r="AM53" s="40">
        <v>12.3</v>
      </c>
      <c r="AN53" s="40">
        <v>3.8</v>
      </c>
      <c r="AO53" s="40">
        <v>198.5</v>
      </c>
      <c r="AP53" s="40"/>
      <c r="AQ53" s="41">
        <f t="shared" si="43"/>
        <v>0.49399999999999999</v>
      </c>
      <c r="AR53" s="41">
        <f t="shared" si="50"/>
        <v>0.162524541931542</v>
      </c>
      <c r="AS53" s="41">
        <f t="shared" si="55"/>
        <v>3.6000000000000014</v>
      </c>
      <c r="AT53" s="41">
        <f t="shared" si="56"/>
        <v>0.19999999999999973</v>
      </c>
      <c r="AU53" s="41">
        <f t="shared" si="57"/>
        <v>0</v>
      </c>
      <c r="AV53" s="67">
        <v>2.4</v>
      </c>
      <c r="AW53">
        <v>200</v>
      </c>
      <c r="AX53">
        <v>34</v>
      </c>
      <c r="AY53" s="40">
        <v>7.2</v>
      </c>
      <c r="AZ53" s="40">
        <v>50</v>
      </c>
      <c r="BA53" s="42">
        <v>4.0000000000000002E-4</v>
      </c>
      <c r="BB53" s="11"/>
      <c r="BC53" s="42">
        <f>0.0027087423655257*24*60/BG53</f>
        <v>1.965032245016125E-2</v>
      </c>
      <c r="BD53" s="22">
        <f>0.788542101386254/BG53</f>
        <v>3.9725042890995169E-3</v>
      </c>
      <c r="BE53" s="42">
        <f t="shared" si="44"/>
        <v>1.6898702000000001E-3</v>
      </c>
      <c r="BF53" s="42">
        <f t="shared" si="51"/>
        <v>2.433413088</v>
      </c>
      <c r="BG53" s="42">
        <f t="shared" si="45"/>
        <v>198.5</v>
      </c>
      <c r="BH53" s="43">
        <f t="shared" si="46"/>
        <v>6.1964735516372799E-2</v>
      </c>
      <c r="BI53" s="43">
        <f t="shared" si="47"/>
        <v>6.1500000000000006E-2</v>
      </c>
      <c r="BJ53" s="43">
        <f t="shared" si="48"/>
        <v>234.0353403814205</v>
      </c>
      <c r="BK53" s="43" t="str">
        <f t="shared" si="19"/>
        <v/>
      </c>
      <c r="BL53" s="44">
        <f>IF(C53="Julia",BC53*BG53/24,"")</f>
        <v>0.162524541931542</v>
      </c>
      <c r="BM53" s="44" t="str">
        <f t="shared" si="13"/>
        <v/>
      </c>
      <c r="BN53" s="43" t="str">
        <f t="shared" ref="BN53:BN84" si="58">IF(IF(C53&lt;&gt;"Julia",((1.5-R53)*BG53)/400, "")&lt;0,0,IF(C53&lt;&gt;"Julia",((3-R53)*BG53)/400, ""))</f>
        <v/>
      </c>
      <c r="BO53" s="43">
        <f t="shared" si="49"/>
        <v>0.78854210138625414</v>
      </c>
      <c r="BP53" s="55">
        <f t="shared" si="52"/>
        <v>422.1416673546546</v>
      </c>
      <c r="BQ53" s="45">
        <f t="shared" si="53"/>
        <v>0.162524541931542</v>
      </c>
      <c r="BR53" s="24">
        <f t="shared" si="54"/>
        <v>0.78854210138625414</v>
      </c>
    </row>
    <row r="54" spans="1:70" x14ac:dyDescent="0.3">
      <c r="A54" s="1" t="s">
        <v>86</v>
      </c>
      <c r="B54">
        <v>0.25</v>
      </c>
      <c r="C54" t="s">
        <v>77</v>
      </c>
      <c r="D54">
        <v>12</v>
      </c>
      <c r="E54">
        <v>5</v>
      </c>
      <c r="G54" s="35">
        <v>45573.432638888888</v>
      </c>
      <c r="H54">
        <v>2716.05</v>
      </c>
      <c r="J54" s="40">
        <v>2546.25</v>
      </c>
      <c r="K54" s="40">
        <v>24.582000000000001</v>
      </c>
      <c r="L54" s="40">
        <v>23.151</v>
      </c>
      <c r="M54" s="40">
        <v>94.2</v>
      </c>
      <c r="N54" s="40">
        <v>16.29</v>
      </c>
      <c r="O54" s="40">
        <v>333</v>
      </c>
      <c r="P54" s="40">
        <v>1.32</v>
      </c>
      <c r="Q54" s="40">
        <v>0.35</v>
      </c>
      <c r="R54" s="40">
        <v>2.38</v>
      </c>
      <c r="S54" s="40"/>
      <c r="T54" s="40">
        <v>0.19</v>
      </c>
      <c r="U54" s="40">
        <v>0.13</v>
      </c>
      <c r="V54" s="40">
        <v>3.08</v>
      </c>
      <c r="W54" s="40">
        <v>7.2539999999999996</v>
      </c>
      <c r="X54" s="40">
        <v>33.5</v>
      </c>
      <c r="Y54" s="40">
        <v>54.6</v>
      </c>
      <c r="Z54" s="40">
        <v>1.92</v>
      </c>
      <c r="AA54" s="40">
        <v>142.19999999999999</v>
      </c>
      <c r="AB54" s="40">
        <v>13.2</v>
      </c>
      <c r="AC54" s="40">
        <v>29.5</v>
      </c>
      <c r="AD54" s="40">
        <v>44.4</v>
      </c>
      <c r="AE54" s="17">
        <v>7.2140000000000004</v>
      </c>
      <c r="AF54" s="40">
        <v>411</v>
      </c>
      <c r="AG54" s="40">
        <v>51.4</v>
      </c>
      <c r="AH54" s="40">
        <v>7.3019999999999996</v>
      </c>
      <c r="AI54" s="40">
        <v>34</v>
      </c>
      <c r="AJ54" s="40">
        <v>2.2000000000000002</v>
      </c>
      <c r="AK54" s="40">
        <v>1.7</v>
      </c>
      <c r="AL54" s="40">
        <v>0.1</v>
      </c>
      <c r="AM54" s="40">
        <v>12.4</v>
      </c>
      <c r="AN54" s="40">
        <v>4.2</v>
      </c>
      <c r="AO54" s="40">
        <v>199.4</v>
      </c>
      <c r="AP54" s="40"/>
      <c r="AQ54" s="41">
        <f t="shared" si="43"/>
        <v>0.51400000000000001</v>
      </c>
      <c r="AR54" s="41">
        <f t="shared" si="50"/>
        <v>0.16785563357231401</v>
      </c>
      <c r="AS54" s="41">
        <f t="shared" si="55"/>
        <v>3.9000000000000004</v>
      </c>
      <c r="AT54" s="41">
        <f t="shared" si="56"/>
        <v>0.5</v>
      </c>
      <c r="AU54" s="41">
        <f t="shared" si="57"/>
        <v>0</v>
      </c>
      <c r="AV54" s="67">
        <v>2.4</v>
      </c>
      <c r="AW54">
        <v>200</v>
      </c>
      <c r="AX54">
        <v>34</v>
      </c>
      <c r="AY54" s="40">
        <v>7.2</v>
      </c>
      <c r="AZ54" s="40">
        <v>50</v>
      </c>
      <c r="BA54" s="42">
        <v>4.0000000000000002E-4</v>
      </c>
      <c r="BB54" s="11"/>
      <c r="BC54" s="42">
        <f>0.0027975938928719*24*60/BG54</f>
        <v>2.0203285886336689E-2</v>
      </c>
      <c r="BD54" s="22">
        <f>0.705641585444595/BG54</f>
        <v>3.5388244004242475E-3</v>
      </c>
      <c r="BE54" s="42">
        <f t="shared" si="44"/>
        <v>1.8465237600000001E-3</v>
      </c>
      <c r="BF54" s="42">
        <f t="shared" si="51"/>
        <v>2.6589942144000003</v>
      </c>
      <c r="BG54" s="42">
        <f t="shared" si="45"/>
        <v>199.4</v>
      </c>
      <c r="BH54" s="43">
        <f t="shared" si="46"/>
        <v>6.2186559679037114E-2</v>
      </c>
      <c r="BI54" s="43">
        <f t="shared" si="47"/>
        <v>6.2E-2</v>
      </c>
      <c r="BJ54" s="43">
        <f t="shared" si="48"/>
        <v>241.71211234413215</v>
      </c>
      <c r="BK54" s="43" t="str">
        <f t="shared" si="19"/>
        <v/>
      </c>
      <c r="BL54" s="44">
        <f t="shared" si="12"/>
        <v>0.16785563357231401</v>
      </c>
      <c r="BM54" s="44" t="str">
        <f t="shared" si="13"/>
        <v/>
      </c>
      <c r="BN54" s="43" t="str">
        <f t="shared" si="58"/>
        <v/>
      </c>
      <c r="BO54" s="43">
        <f t="shared" si="49"/>
        <v>0.70564158544459499</v>
      </c>
      <c r="BP54" s="55">
        <f t="shared" si="52"/>
        <v>435.98865862938703</v>
      </c>
      <c r="BQ54" s="45">
        <f t="shared" si="53"/>
        <v>0.16785563357231401</v>
      </c>
      <c r="BR54" s="24">
        <f t="shared" si="54"/>
        <v>0.70564158544459499</v>
      </c>
    </row>
    <row r="55" spans="1:70" x14ac:dyDescent="0.3">
      <c r="A55" s="1" t="s">
        <v>87</v>
      </c>
      <c r="B55">
        <v>0.25</v>
      </c>
      <c r="C55" t="s">
        <v>80</v>
      </c>
      <c r="D55">
        <v>12</v>
      </c>
      <c r="E55">
        <v>5</v>
      </c>
      <c r="G55" s="35">
        <v>45573.437222222223</v>
      </c>
      <c r="H55">
        <v>2716.05</v>
      </c>
      <c r="J55" s="40">
        <v>2277.6750000000002</v>
      </c>
      <c r="K55" s="40">
        <v>21.408999999999999</v>
      </c>
      <c r="L55" s="40">
        <v>19.666</v>
      </c>
      <c r="M55" s="40">
        <v>91.9</v>
      </c>
      <c r="N55" s="40">
        <v>15.94</v>
      </c>
      <c r="O55" s="40">
        <v>331</v>
      </c>
      <c r="P55" s="40">
        <v>1.35</v>
      </c>
      <c r="Q55" s="40">
        <v>0.39</v>
      </c>
      <c r="R55" s="40">
        <v>1.77</v>
      </c>
      <c r="S55" s="40"/>
      <c r="T55" s="40">
        <v>0.16</v>
      </c>
      <c r="U55" s="40">
        <v>0.1</v>
      </c>
      <c r="V55" s="40">
        <v>3.43</v>
      </c>
      <c r="W55" s="40">
        <v>7.2649999999999997</v>
      </c>
      <c r="X55" s="40">
        <v>51.9</v>
      </c>
      <c r="Y55" s="40">
        <v>67.599999999999994</v>
      </c>
      <c r="Z55" s="40">
        <v>2.6</v>
      </c>
      <c r="AA55" s="40">
        <v>142.80000000000001</v>
      </c>
      <c r="AB55" s="40">
        <v>20.9</v>
      </c>
      <c r="AC55" s="40">
        <v>45.6</v>
      </c>
      <c r="AD55" s="40">
        <v>55.2</v>
      </c>
      <c r="AE55" s="17">
        <v>7.2240000000000002</v>
      </c>
      <c r="AF55" s="40">
        <v>516</v>
      </c>
      <c r="AG55" s="40">
        <v>52.2</v>
      </c>
      <c r="AH55" s="40">
        <v>7.31</v>
      </c>
      <c r="AI55" s="40">
        <v>34</v>
      </c>
      <c r="AJ55" s="40">
        <v>2.6</v>
      </c>
      <c r="AK55" s="40">
        <v>2.8</v>
      </c>
      <c r="AL55" s="40">
        <v>0.1</v>
      </c>
      <c r="AM55" s="40">
        <v>7.7</v>
      </c>
      <c r="AN55" s="40">
        <v>4.4000000000000004</v>
      </c>
      <c r="AO55" s="40">
        <v>198.1</v>
      </c>
      <c r="AP55" s="40"/>
      <c r="AQ55" s="41">
        <f t="shared" si="43"/>
        <v>0.52200000000000002</v>
      </c>
      <c r="AR55" s="41">
        <f t="shared" si="50"/>
        <v>9.3500030400000003E-2</v>
      </c>
      <c r="AS55" s="41">
        <f t="shared" si="55"/>
        <v>2</v>
      </c>
      <c r="AT55" s="41">
        <f t="shared" si="56"/>
        <v>0</v>
      </c>
      <c r="AU55" s="41">
        <f t="shared" si="57"/>
        <v>0</v>
      </c>
      <c r="AV55" s="67">
        <v>2.4</v>
      </c>
      <c r="AW55">
        <v>200</v>
      </c>
      <c r="AX55">
        <v>34</v>
      </c>
      <c r="AY55" s="40">
        <v>7.2</v>
      </c>
      <c r="AZ55" s="40">
        <v>50</v>
      </c>
      <c r="BA55" s="42">
        <v>4.0000000000000002E-4</v>
      </c>
      <c r="BB55" s="11"/>
      <c r="BD55" s="22"/>
      <c r="BE55" s="42">
        <f t="shared" si="44"/>
        <v>1.5583338400000002E-3</v>
      </c>
      <c r="BF55" s="42">
        <f t="shared" si="51"/>
        <v>2.2440007296000002</v>
      </c>
      <c r="BG55" s="42">
        <f t="shared" si="45"/>
        <v>198.1</v>
      </c>
      <c r="BH55" s="43">
        <f t="shared" si="46"/>
        <v>3.8869257950530034E-2</v>
      </c>
      <c r="BI55" s="43">
        <f t="shared" si="47"/>
        <v>3.85E-2</v>
      </c>
      <c r="BJ55" s="43">
        <f t="shared" si="48"/>
        <v>134.640043776</v>
      </c>
      <c r="BK55" s="43" t="str">
        <f t="shared" si="19"/>
        <v/>
      </c>
      <c r="BL55" s="44" t="str">
        <f t="shared" si="12"/>
        <v/>
      </c>
      <c r="BM55" s="44">
        <f t="shared" si="13"/>
        <v>9.3500030400000003E-2</v>
      </c>
      <c r="BN55" s="43">
        <f t="shared" si="58"/>
        <v>0</v>
      </c>
      <c r="BO55" s="43" t="str">
        <f t="shared" si="49"/>
        <v/>
      </c>
      <c r="BP55" s="55">
        <f t="shared" si="52"/>
        <v>242.85722181818184</v>
      </c>
      <c r="BQ55" s="45">
        <f t="shared" si="53"/>
        <v>9.3500030400000003E-2</v>
      </c>
      <c r="BR55" s="24">
        <f t="shared" si="54"/>
        <v>0</v>
      </c>
    </row>
    <row r="56" spans="1:70" x14ac:dyDescent="0.3">
      <c r="A56" s="1" t="s">
        <v>88</v>
      </c>
      <c r="B56">
        <v>0.25</v>
      </c>
      <c r="C56" t="s">
        <v>80</v>
      </c>
      <c r="D56">
        <v>12</v>
      </c>
      <c r="E56">
        <v>5</v>
      </c>
      <c r="G56" s="35">
        <v>45573.441099537034</v>
      </c>
      <c r="H56">
        <v>2716.05</v>
      </c>
      <c r="J56" s="40">
        <v>2410.7399999999998</v>
      </c>
      <c r="K56" s="40">
        <v>21.79</v>
      </c>
      <c r="L56" s="40">
        <v>20.309999999999999</v>
      </c>
      <c r="M56" s="40">
        <v>93.2</v>
      </c>
      <c r="N56" s="40">
        <v>15.73</v>
      </c>
      <c r="O56" s="40">
        <v>327</v>
      </c>
      <c r="P56" s="40">
        <v>1.37</v>
      </c>
      <c r="Q56" s="40">
        <v>0.37</v>
      </c>
      <c r="R56" s="40">
        <v>2.14</v>
      </c>
      <c r="S56" s="40"/>
      <c r="T56" s="40">
        <v>0.16</v>
      </c>
      <c r="U56" s="40">
        <v>0.09</v>
      </c>
      <c r="V56" s="40">
        <v>2.91</v>
      </c>
      <c r="W56" s="40">
        <v>7.2750000000000004</v>
      </c>
      <c r="X56" s="40">
        <v>47.4</v>
      </c>
      <c r="Y56" s="40">
        <v>65.8</v>
      </c>
      <c r="Z56" s="40">
        <v>2.63</v>
      </c>
      <c r="AA56" s="40">
        <v>138.9</v>
      </c>
      <c r="AB56" s="40">
        <v>19.5</v>
      </c>
      <c r="AC56" s="40">
        <v>41.6</v>
      </c>
      <c r="AD56" s="40">
        <v>53.7</v>
      </c>
      <c r="AE56" s="17">
        <v>7.234</v>
      </c>
      <c r="AF56" s="40">
        <v>406</v>
      </c>
      <c r="AG56" s="40">
        <v>50.2</v>
      </c>
      <c r="AH56" s="40">
        <v>7.3090000000000002</v>
      </c>
      <c r="AI56" s="40">
        <v>34</v>
      </c>
      <c r="AJ56" s="40">
        <v>2.2999999999999998</v>
      </c>
      <c r="AK56" s="40">
        <v>2.8</v>
      </c>
      <c r="AL56" s="40">
        <v>0.1</v>
      </c>
      <c r="AM56" s="40">
        <v>8.1999999999999993</v>
      </c>
      <c r="AN56" s="40">
        <v>4.4000000000000004</v>
      </c>
      <c r="AO56" s="40">
        <v>197.8</v>
      </c>
      <c r="AP56" s="7"/>
      <c r="AQ56" s="41">
        <f t="shared" si="43"/>
        <v>0.502</v>
      </c>
      <c r="AR56" s="41">
        <f t="shared" si="50"/>
        <v>9.6415632000000001E-2</v>
      </c>
      <c r="AS56" s="41">
        <f t="shared" si="55"/>
        <v>2.2999999999999989</v>
      </c>
      <c r="AT56" s="41">
        <f t="shared" si="56"/>
        <v>0</v>
      </c>
      <c r="AU56" s="41">
        <f t="shared" si="57"/>
        <v>0</v>
      </c>
      <c r="AV56" s="68">
        <v>2.4</v>
      </c>
      <c r="AW56">
        <v>200</v>
      </c>
      <c r="AX56" s="5">
        <v>34</v>
      </c>
      <c r="AY56" s="40">
        <v>7.2</v>
      </c>
      <c r="AZ56" s="40">
        <v>50</v>
      </c>
      <c r="BA56" s="42">
        <v>4.0000000000000002E-4</v>
      </c>
      <c r="BB56" s="11"/>
      <c r="BD56" s="22"/>
      <c r="BE56" s="42">
        <f t="shared" si="44"/>
        <v>1.6069271999999998E-3</v>
      </c>
      <c r="BF56" s="42">
        <f t="shared" si="51"/>
        <v>2.3139751679999994</v>
      </c>
      <c r="BG56" s="42">
        <f t="shared" si="45"/>
        <v>197.8</v>
      </c>
      <c r="BH56" s="43">
        <f t="shared" si="46"/>
        <v>4.1456016177957529E-2</v>
      </c>
      <c r="BI56" s="43">
        <f t="shared" si="47"/>
        <v>4.0999999999999995E-2</v>
      </c>
      <c r="BJ56" s="43">
        <f t="shared" si="48"/>
        <v>138.83851007999999</v>
      </c>
      <c r="BK56" s="43" t="str">
        <f t="shared" si="19"/>
        <v/>
      </c>
      <c r="BL56" s="44" t="str">
        <f t="shared" si="12"/>
        <v/>
      </c>
      <c r="BM56" s="44">
        <f t="shared" si="13"/>
        <v>9.6415632000000001E-2</v>
      </c>
      <c r="BN56" s="43">
        <f t="shared" si="58"/>
        <v>0</v>
      </c>
      <c r="BO56" s="43" t="str">
        <f t="shared" si="49"/>
        <v/>
      </c>
      <c r="BP56" s="55">
        <f t="shared" si="52"/>
        <v>250.43021298701299</v>
      </c>
      <c r="BQ56" s="45">
        <f t="shared" si="53"/>
        <v>9.6415632000000001E-2</v>
      </c>
      <c r="BR56" s="24">
        <f t="shared" si="54"/>
        <v>0</v>
      </c>
    </row>
    <row r="57" spans="1:70" x14ac:dyDescent="0.3">
      <c r="A57" s="2" t="s">
        <v>76</v>
      </c>
      <c r="B57" s="3">
        <v>1000</v>
      </c>
      <c r="C57" s="3" t="s">
        <v>77</v>
      </c>
      <c r="D57" s="3">
        <v>12</v>
      </c>
      <c r="E57" s="3">
        <v>6</v>
      </c>
      <c r="F57" s="3"/>
      <c r="G57" s="34">
        <v>45574.36041666667</v>
      </c>
      <c r="H57" s="3">
        <v>3307.9</v>
      </c>
      <c r="I57" s="3"/>
      <c r="J57" s="6">
        <v>2274.8249999999998</v>
      </c>
      <c r="K57" s="6">
        <v>21.1</v>
      </c>
      <c r="L57" s="6">
        <v>19.100000000000001</v>
      </c>
      <c r="M57" s="6">
        <v>90.6</v>
      </c>
      <c r="N57" s="6"/>
      <c r="O57" s="6"/>
      <c r="P57" s="6"/>
      <c r="Q57" s="6"/>
      <c r="R57" s="6">
        <v>7.02</v>
      </c>
      <c r="S57" s="6"/>
      <c r="T57" s="6"/>
      <c r="U57" s="6"/>
      <c r="V57" s="6">
        <v>1.47</v>
      </c>
      <c r="W57" s="6"/>
      <c r="X57" s="6"/>
      <c r="Y57" s="6"/>
      <c r="Z57" s="6"/>
      <c r="AA57" s="6"/>
      <c r="AB57" s="6"/>
      <c r="AC57" s="6"/>
      <c r="AD57" s="6"/>
      <c r="AE57" s="16">
        <v>7.3230000000000004</v>
      </c>
      <c r="AF57" s="6"/>
      <c r="AG57" s="6">
        <v>49.993654711401902</v>
      </c>
      <c r="AH57" s="6"/>
      <c r="AI57" s="6">
        <v>34.002933385798698</v>
      </c>
      <c r="AJ57" s="6"/>
      <c r="AK57" s="6"/>
      <c r="AL57" s="6"/>
      <c r="AM57" s="6">
        <v>47996.265625</v>
      </c>
      <c r="AN57" s="6">
        <v>21432.216796875</v>
      </c>
      <c r="AO57" s="6">
        <v>635400</v>
      </c>
      <c r="AP57" s="6"/>
      <c r="AQ57" s="32">
        <f t="shared" si="43"/>
        <v>0.49993654711401903</v>
      </c>
      <c r="AR57" s="32">
        <f t="shared" si="50"/>
        <v>293.1306760317288</v>
      </c>
      <c r="AS57" s="32">
        <f t="shared" si="55"/>
        <v>12836.7578125</v>
      </c>
      <c r="AT57" s="32">
        <f>AN57-AN48</f>
        <v>3896.50390625</v>
      </c>
      <c r="AU57" s="32">
        <f t="shared" si="57"/>
        <v>0</v>
      </c>
      <c r="AV57" s="66">
        <v>60</v>
      </c>
      <c r="AW57" s="3">
        <v>592000</v>
      </c>
      <c r="AX57" s="3">
        <v>34</v>
      </c>
      <c r="AY57" s="6">
        <v>7.2</v>
      </c>
      <c r="AZ57" s="6">
        <v>50</v>
      </c>
      <c r="BA57" s="9">
        <v>4.0000000000000002E-4</v>
      </c>
      <c r="BB57" s="8"/>
      <c r="BC57" s="9">
        <f>4.88551126719548*24*60/BG57</f>
        <v>1.1071980208941599E-2</v>
      </c>
      <c r="BD57" s="21">
        <f>608.5464479/BG57</f>
        <v>9.5773756358199559E-4</v>
      </c>
      <c r="BE57" s="9">
        <f t="shared" si="44"/>
        <v>4.8544560000000008</v>
      </c>
      <c r="BF57" s="9">
        <f t="shared" si="51"/>
        <v>6990.4166400000013</v>
      </c>
      <c r="BG57" s="9">
        <f t="shared" si="45"/>
        <v>635400</v>
      </c>
      <c r="BH57" s="10">
        <f t="shared" si="46"/>
        <v>7.5537087858042182E-2</v>
      </c>
      <c r="BI57" s="10">
        <f t="shared" si="47"/>
        <v>8.1074773015202703E-2</v>
      </c>
      <c r="BJ57" s="10">
        <f t="shared" si="48"/>
        <v>422108.17348568945</v>
      </c>
      <c r="BK57" s="10" t="str">
        <f t="shared" si="19"/>
        <v/>
      </c>
      <c r="BL57" s="10">
        <f t="shared" si="12"/>
        <v>293.1306760317288</v>
      </c>
      <c r="BM57" s="28" t="str">
        <f t="shared" si="13"/>
        <v/>
      </c>
      <c r="BN57" s="10" t="str">
        <f t="shared" si="58"/>
        <v/>
      </c>
      <c r="BO57" s="10">
        <f>IF(C57="Julia",BD57*BG57,"")</f>
        <v>608.54644789999998</v>
      </c>
      <c r="BP57" s="58">
        <f t="shared" si="52"/>
        <v>761378.37930319167</v>
      </c>
      <c r="BQ57" s="30">
        <f t="shared" si="53"/>
        <v>293.1306760317288</v>
      </c>
      <c r="BR57" s="26">
        <f t="shared" si="54"/>
        <v>608.54644789999998</v>
      </c>
    </row>
    <row r="58" spans="1:70" x14ac:dyDescent="0.3">
      <c r="A58" s="1" t="s">
        <v>79</v>
      </c>
      <c r="B58">
        <v>0.25</v>
      </c>
      <c r="C58" t="s">
        <v>80</v>
      </c>
      <c r="D58">
        <v>12</v>
      </c>
      <c r="E58">
        <v>6</v>
      </c>
      <c r="G58" s="35">
        <v>45574.392199074071</v>
      </c>
      <c r="H58">
        <v>3307.9</v>
      </c>
      <c r="J58" s="40">
        <v>3040.5749999999998</v>
      </c>
      <c r="K58" s="40">
        <v>24.234000000000002</v>
      </c>
      <c r="L58" s="40">
        <v>22.689</v>
      </c>
      <c r="M58" s="40">
        <v>93.6</v>
      </c>
      <c r="N58" s="40">
        <v>15.88</v>
      </c>
      <c r="O58" s="40">
        <v>326</v>
      </c>
      <c r="P58" s="40">
        <v>1.39</v>
      </c>
      <c r="Q58" s="40">
        <v>0.34</v>
      </c>
      <c r="R58" s="40">
        <v>2.8</v>
      </c>
      <c r="S58" s="40"/>
      <c r="T58" s="40">
        <v>0.19</v>
      </c>
      <c r="U58" s="40">
        <v>0.12</v>
      </c>
      <c r="V58" s="72">
        <v>2.39</v>
      </c>
      <c r="W58" s="40">
        <v>7.2869999999999999</v>
      </c>
      <c r="X58" s="40">
        <v>43.9</v>
      </c>
      <c r="Y58" s="40">
        <v>55.7</v>
      </c>
      <c r="Z58" s="40">
        <v>2.4900000000000002</v>
      </c>
      <c r="AA58" s="40">
        <v>137.6</v>
      </c>
      <c r="AB58" s="40">
        <v>18.600000000000001</v>
      </c>
      <c r="AC58" s="40">
        <v>38.5</v>
      </c>
      <c r="AD58" s="40">
        <v>45.3</v>
      </c>
      <c r="AE58" s="17">
        <v>7.2469999999999999</v>
      </c>
      <c r="AF58" s="40">
        <v>408</v>
      </c>
      <c r="AG58" s="40">
        <v>50.5</v>
      </c>
      <c r="AH58" s="40">
        <v>7.3070000000000004</v>
      </c>
      <c r="AI58" s="40">
        <v>34</v>
      </c>
      <c r="AJ58" s="40">
        <v>2</v>
      </c>
      <c r="AK58" s="40">
        <v>4.2</v>
      </c>
      <c r="AL58" s="40">
        <v>0.2</v>
      </c>
      <c r="AM58" s="40">
        <v>10.6</v>
      </c>
      <c r="AN58" s="40">
        <v>4</v>
      </c>
      <c r="AO58" s="40">
        <v>197.2</v>
      </c>
      <c r="AP58" s="40"/>
      <c r="AQ58" s="41">
        <f t="shared" si="43"/>
        <v>0.505</v>
      </c>
      <c r="AR58" s="41">
        <f t="shared" si="50"/>
        <v>0.1073824992</v>
      </c>
      <c r="AS58" s="41">
        <f t="shared" si="55"/>
        <v>2.2999999999999989</v>
      </c>
      <c r="AT58" s="41">
        <f t="shared" si="56"/>
        <v>0</v>
      </c>
      <c r="AU58" s="41">
        <f t="shared" si="57"/>
        <v>0</v>
      </c>
      <c r="AV58" s="67">
        <v>2.4</v>
      </c>
      <c r="AW58">
        <v>200</v>
      </c>
      <c r="AX58">
        <v>34</v>
      </c>
      <c r="AY58" s="40">
        <v>7.2</v>
      </c>
      <c r="AZ58" s="40">
        <v>50</v>
      </c>
      <c r="BA58" s="42">
        <v>4.0000000000000002E-4</v>
      </c>
      <c r="BB58" s="11"/>
      <c r="BC58" s="42"/>
      <c r="BD58" s="22"/>
      <c r="BE58" s="42">
        <f t="shared" si="44"/>
        <v>1.7897083199999999E-3</v>
      </c>
      <c r="BF58" s="42">
        <f t="shared" si="51"/>
        <v>2.5771799808</v>
      </c>
      <c r="BG58" s="42">
        <f t="shared" si="45"/>
        <v>197.2</v>
      </c>
      <c r="BH58" s="43">
        <f t="shared" si="46"/>
        <v>5.3752535496957403E-2</v>
      </c>
      <c r="BI58" s="43">
        <f t="shared" si="47"/>
        <v>5.2999999999999999E-2</v>
      </c>
      <c r="BJ58" s="43">
        <f t="shared" si="48"/>
        <v>154.63079884800001</v>
      </c>
      <c r="BK58" s="43" t="str">
        <f t="shared" si="19"/>
        <v/>
      </c>
      <c r="BL58" s="43" t="str">
        <f t="shared" si="12"/>
        <v/>
      </c>
      <c r="BM58" s="44">
        <f t="shared" si="13"/>
        <v>0.1073824992</v>
      </c>
      <c r="BN58" s="43">
        <f t="shared" si="58"/>
        <v>0</v>
      </c>
      <c r="BO58" s="43" t="str">
        <f>IF(C58="Julia",BD58*BG58,"")</f>
        <v/>
      </c>
      <c r="BP58" s="55">
        <f t="shared" si="52"/>
        <v>278.91558233766233</v>
      </c>
      <c r="BQ58" s="45">
        <f t="shared" si="53"/>
        <v>0.1073824992</v>
      </c>
      <c r="BR58" s="24">
        <f t="shared" si="54"/>
        <v>0</v>
      </c>
    </row>
    <row r="59" spans="1:70" x14ac:dyDescent="0.3">
      <c r="A59" s="1" t="s">
        <v>81</v>
      </c>
      <c r="B59">
        <v>0.25</v>
      </c>
      <c r="C59" t="s">
        <v>80</v>
      </c>
      <c r="D59">
        <v>12</v>
      </c>
      <c r="E59">
        <v>6</v>
      </c>
      <c r="G59" s="35">
        <v>45574.366238425922</v>
      </c>
      <c r="H59">
        <v>3307.9</v>
      </c>
      <c r="J59" s="40">
        <v>2994.66</v>
      </c>
      <c r="K59" s="40">
        <v>21.834</v>
      </c>
      <c r="L59" s="40">
        <v>19.673999999999999</v>
      </c>
      <c r="M59" s="40">
        <v>90.1</v>
      </c>
      <c r="N59" s="40">
        <v>15.74</v>
      </c>
      <c r="O59" s="40">
        <v>333</v>
      </c>
      <c r="P59" s="40">
        <v>1.35</v>
      </c>
      <c r="Q59" s="40">
        <v>0.35</v>
      </c>
      <c r="R59" s="40">
        <v>2.9</v>
      </c>
      <c r="S59" s="40"/>
      <c r="T59" s="40">
        <v>0.19</v>
      </c>
      <c r="U59" s="40">
        <v>0.15</v>
      </c>
      <c r="V59" s="40">
        <v>2.79</v>
      </c>
      <c r="W59" s="40">
        <v>7.298</v>
      </c>
      <c r="X59" s="40">
        <v>30</v>
      </c>
      <c r="Y59" s="40">
        <v>64.599999999999994</v>
      </c>
      <c r="Z59" s="40">
        <v>2.57</v>
      </c>
      <c r="AA59" s="40">
        <v>138.9</v>
      </c>
      <c r="AB59" s="40">
        <v>13</v>
      </c>
      <c r="AC59" s="40">
        <v>26.3</v>
      </c>
      <c r="AD59" s="40">
        <v>52.6</v>
      </c>
      <c r="AE59" s="17">
        <v>7.2560000000000002</v>
      </c>
      <c r="AF59" s="40">
        <v>408</v>
      </c>
      <c r="AG59" s="40">
        <v>51.8</v>
      </c>
      <c r="AH59" s="40">
        <v>7.306</v>
      </c>
      <c r="AI59" s="40">
        <v>33.9</v>
      </c>
      <c r="AJ59" s="40">
        <v>2.1</v>
      </c>
      <c r="AK59" s="40">
        <v>3.9</v>
      </c>
      <c r="AL59" s="40">
        <v>0.2</v>
      </c>
      <c r="AM59" s="40">
        <v>10.9</v>
      </c>
      <c r="AN59" s="40">
        <v>4.3</v>
      </c>
      <c r="AO59" s="40">
        <v>197.6</v>
      </c>
      <c r="AP59" s="40"/>
      <c r="AQ59" s="41">
        <f t="shared" si="43"/>
        <v>0.51800000000000002</v>
      </c>
      <c r="AR59" s="41">
        <f t="shared" si="50"/>
        <v>9.3301977600000002E-2</v>
      </c>
      <c r="AS59" s="41">
        <f t="shared" si="55"/>
        <v>2.7000000000000011</v>
      </c>
      <c r="AT59" s="41">
        <f t="shared" si="56"/>
        <v>0</v>
      </c>
      <c r="AU59" s="41">
        <f t="shared" si="57"/>
        <v>0</v>
      </c>
      <c r="AV59" s="67">
        <v>2.4</v>
      </c>
      <c r="AW59">
        <v>200</v>
      </c>
      <c r="AX59">
        <v>34</v>
      </c>
      <c r="AY59" s="40">
        <v>7.2</v>
      </c>
      <c r="AZ59" s="40">
        <v>50</v>
      </c>
      <c r="BA59" s="42">
        <v>4.0000000000000002E-4</v>
      </c>
      <c r="BB59" s="11"/>
      <c r="BC59" s="42"/>
      <c r="BD59" s="22"/>
      <c r="BE59" s="42">
        <f t="shared" si="44"/>
        <v>1.5550329600000001E-3</v>
      </c>
      <c r="BF59" s="42">
        <f t="shared" si="51"/>
        <v>2.2392474624000003</v>
      </c>
      <c r="BG59" s="42">
        <f t="shared" si="45"/>
        <v>197.6</v>
      </c>
      <c r="BH59" s="43">
        <f t="shared" si="46"/>
        <v>5.5161943319838057E-2</v>
      </c>
      <c r="BI59" s="43">
        <f t="shared" si="47"/>
        <v>5.45E-2</v>
      </c>
      <c r="BJ59" s="43">
        <f t="shared" si="48"/>
        <v>134.35484774399998</v>
      </c>
      <c r="BK59" s="43" t="str">
        <f t="shared" si="19"/>
        <v/>
      </c>
      <c r="BL59" s="43" t="str">
        <f t="shared" si="12"/>
        <v/>
      </c>
      <c r="BM59" s="44">
        <f t="shared" si="13"/>
        <v>9.3301977600000002E-2</v>
      </c>
      <c r="BN59" s="43">
        <f t="shared" si="58"/>
        <v>0</v>
      </c>
      <c r="BO59" s="43" t="str">
        <f t="shared" si="49"/>
        <v/>
      </c>
      <c r="BP59" s="55">
        <f t="shared" si="52"/>
        <v>242.34279896103897</v>
      </c>
      <c r="BQ59" s="45">
        <f t="shared" si="53"/>
        <v>9.3301977600000002E-2</v>
      </c>
      <c r="BR59" s="24">
        <f t="shared" si="54"/>
        <v>0</v>
      </c>
    </row>
    <row r="60" spans="1:70" x14ac:dyDescent="0.3">
      <c r="A60" s="1" t="s">
        <v>82</v>
      </c>
      <c r="B60">
        <v>0.25</v>
      </c>
      <c r="C60" t="s">
        <v>83</v>
      </c>
      <c r="D60">
        <v>12</v>
      </c>
      <c r="E60">
        <v>6</v>
      </c>
      <c r="G60" s="35">
        <v>45574.367083333331</v>
      </c>
      <c r="H60">
        <v>3307.9</v>
      </c>
      <c r="J60" s="40">
        <v>2840.5050000000001</v>
      </c>
      <c r="K60" s="40">
        <v>22.718</v>
      </c>
      <c r="L60" s="40">
        <v>19.876999999999999</v>
      </c>
      <c r="M60" s="40">
        <v>87.5</v>
      </c>
      <c r="N60" s="40">
        <v>16.95</v>
      </c>
      <c r="O60" s="40">
        <v>375</v>
      </c>
      <c r="P60" s="40">
        <v>1.24</v>
      </c>
      <c r="Q60" s="40">
        <v>0.36</v>
      </c>
      <c r="R60" s="40">
        <v>2.89</v>
      </c>
      <c r="S60" s="40"/>
      <c r="T60" s="40">
        <v>0.21</v>
      </c>
      <c r="U60" s="40">
        <v>0.21</v>
      </c>
      <c r="V60" s="40">
        <v>4.18</v>
      </c>
      <c r="W60" s="40">
        <v>7.2709999999999999</v>
      </c>
      <c r="X60" s="40">
        <v>35.4</v>
      </c>
      <c r="Y60" s="40">
        <v>42.4</v>
      </c>
      <c r="Z60" s="40">
        <v>1.78</v>
      </c>
      <c r="AA60" s="40">
        <v>156.9</v>
      </c>
      <c r="AB60" s="40">
        <v>14.4</v>
      </c>
      <c r="AC60" s="40">
        <v>31</v>
      </c>
      <c r="AD60" s="40">
        <v>34.299999999999997</v>
      </c>
      <c r="AE60" s="17">
        <v>7.2309999999999999</v>
      </c>
      <c r="AF60" s="40">
        <v>409</v>
      </c>
      <c r="AG60" s="40">
        <v>51</v>
      </c>
      <c r="AH60" s="40">
        <v>7.2750000000000004</v>
      </c>
      <c r="AI60" s="40">
        <v>33.9</v>
      </c>
      <c r="AJ60" s="40">
        <v>3.4</v>
      </c>
      <c r="AK60" s="40">
        <v>3</v>
      </c>
      <c r="AL60" s="40">
        <v>0.2</v>
      </c>
      <c r="AM60" s="40">
        <v>15.2</v>
      </c>
      <c r="AN60" s="40">
        <v>4.5</v>
      </c>
      <c r="AO60" s="40">
        <v>202.7</v>
      </c>
      <c r="AP60" s="40"/>
      <c r="AQ60" s="41">
        <f t="shared" si="43"/>
        <v>0.51</v>
      </c>
      <c r="AR60" s="41">
        <f t="shared" si="50"/>
        <v>0.16891666666666669</v>
      </c>
      <c r="AS60" s="41">
        <f t="shared" si="55"/>
        <v>3.8999999999999986</v>
      </c>
      <c r="AT60" s="41">
        <f t="shared" si="56"/>
        <v>0</v>
      </c>
      <c r="AU60" s="41">
        <f t="shared" si="57"/>
        <v>0</v>
      </c>
      <c r="AV60" s="67">
        <v>2.4</v>
      </c>
      <c r="AW60">
        <v>200</v>
      </c>
      <c r="AX60">
        <v>34</v>
      </c>
      <c r="AY60" s="40">
        <v>7.2</v>
      </c>
      <c r="AZ60" s="40">
        <v>50</v>
      </c>
      <c r="BA60" s="42">
        <v>4.0000000000000002E-4</v>
      </c>
      <c r="BB60" s="11">
        <v>0.02</v>
      </c>
      <c r="BC60" s="42"/>
      <c r="BD60" s="22"/>
      <c r="BE60" s="42">
        <f t="shared" si="44"/>
        <v>1.6116271599999998E-3</v>
      </c>
      <c r="BF60" s="42">
        <f t="shared" si="51"/>
        <v>2.3207431103999996</v>
      </c>
      <c r="BG60" s="42">
        <f t="shared" si="45"/>
        <v>202.7</v>
      </c>
      <c r="BH60" s="43">
        <f t="shared" si="46"/>
        <v>7.4987666502220024E-2</v>
      </c>
      <c r="BI60" s="43">
        <f t="shared" si="47"/>
        <v>7.5999999999999998E-2</v>
      </c>
      <c r="BJ60" s="43">
        <f t="shared" si="48"/>
        <v>243.24</v>
      </c>
      <c r="BK60" s="43">
        <f t="shared" si="19"/>
        <v>0.16891666666666669</v>
      </c>
      <c r="BL60" s="43" t="str">
        <f t="shared" si="12"/>
        <v/>
      </c>
      <c r="BM60" s="44" t="str">
        <f t="shared" si="13"/>
        <v/>
      </c>
      <c r="BN60" s="43">
        <f t="shared" si="58"/>
        <v>0</v>
      </c>
      <c r="BO60" s="43" t="str">
        <f t="shared" si="49"/>
        <v/>
      </c>
      <c r="BP60" s="55">
        <f t="shared" si="52"/>
        <v>438.74458874458884</v>
      </c>
      <c r="BQ60" s="45">
        <f t="shared" si="53"/>
        <v>0.16891666666666669</v>
      </c>
      <c r="BR60" s="24">
        <f t="shared" si="54"/>
        <v>0</v>
      </c>
    </row>
    <row r="61" spans="1:70" x14ac:dyDescent="0.3">
      <c r="A61" s="1" t="s">
        <v>84</v>
      </c>
      <c r="B61">
        <v>0.25</v>
      </c>
      <c r="C61" t="s">
        <v>83</v>
      </c>
      <c r="D61">
        <v>12</v>
      </c>
      <c r="E61">
        <v>6</v>
      </c>
      <c r="G61" s="35">
        <v>45574.367928240739</v>
      </c>
      <c r="H61">
        <v>3307.9</v>
      </c>
      <c r="J61" s="40">
        <v>3176.8049999999998</v>
      </c>
      <c r="K61" s="40">
        <v>24.638999999999999</v>
      </c>
      <c r="L61" s="40">
        <v>22.527000000000001</v>
      </c>
      <c r="M61" s="40">
        <v>91.4</v>
      </c>
      <c r="N61" s="40">
        <v>16.68</v>
      </c>
      <c r="O61" s="40">
        <v>341</v>
      </c>
      <c r="P61" s="40">
        <v>1.29</v>
      </c>
      <c r="Q61" s="40">
        <v>0.35</v>
      </c>
      <c r="R61" s="40">
        <v>2.29</v>
      </c>
      <c r="S61" s="40"/>
      <c r="T61" s="40">
        <v>0.22</v>
      </c>
      <c r="U61" s="40">
        <v>0.15</v>
      </c>
      <c r="V61" s="40">
        <v>2.94</v>
      </c>
      <c r="W61" s="40">
        <v>7.2809999999999997</v>
      </c>
      <c r="X61" s="40">
        <v>35.200000000000003</v>
      </c>
      <c r="Y61" s="40">
        <v>44.5</v>
      </c>
      <c r="Z61" s="40">
        <v>1.74</v>
      </c>
      <c r="AA61" s="40">
        <v>145.1</v>
      </c>
      <c r="AB61" s="40">
        <v>14.7</v>
      </c>
      <c r="AC61" s="40">
        <v>30.9</v>
      </c>
      <c r="AD61" s="40">
        <v>36.1</v>
      </c>
      <c r="AE61" s="17">
        <v>7.24</v>
      </c>
      <c r="AF61" s="40">
        <v>406</v>
      </c>
      <c r="AG61" s="40">
        <v>50.1</v>
      </c>
      <c r="AH61" s="40">
        <v>7.2789999999999999</v>
      </c>
      <c r="AI61" s="40">
        <v>33.9</v>
      </c>
      <c r="AJ61" s="40">
        <v>2.2999999999999998</v>
      </c>
      <c r="AK61" s="40">
        <v>2.5</v>
      </c>
      <c r="AL61" s="40">
        <v>0.2</v>
      </c>
      <c r="AM61" s="40">
        <v>15.3</v>
      </c>
      <c r="AN61" s="40">
        <v>3.9</v>
      </c>
      <c r="AO61" s="40">
        <v>200.4</v>
      </c>
      <c r="AP61" s="40"/>
      <c r="AQ61" s="41">
        <f t="shared" si="43"/>
        <v>0.501</v>
      </c>
      <c r="AR61" s="41">
        <f t="shared" si="50"/>
        <v>0.10938500000000001</v>
      </c>
      <c r="AS61" s="41">
        <f t="shared" si="55"/>
        <v>3.6000000000000014</v>
      </c>
      <c r="AT61" s="41">
        <f t="shared" si="56"/>
        <v>0</v>
      </c>
      <c r="AU61" s="41">
        <f t="shared" si="57"/>
        <v>0</v>
      </c>
      <c r="AV61" s="67">
        <v>2.4</v>
      </c>
      <c r="AW61">
        <v>200</v>
      </c>
      <c r="AX61">
        <v>34</v>
      </c>
      <c r="AY61" s="40">
        <v>7.2</v>
      </c>
      <c r="AZ61" s="40">
        <v>50</v>
      </c>
      <c r="BA61" s="42">
        <v>4.0000000000000002E-4</v>
      </c>
      <c r="BB61" s="11">
        <v>1.3100000000000001E-2</v>
      </c>
      <c r="BD61" s="22"/>
      <c r="BE61" s="42">
        <f t="shared" si="44"/>
        <v>1.8057643200000003E-3</v>
      </c>
      <c r="BF61" s="42">
        <f t="shared" si="51"/>
        <v>2.6003006208000006</v>
      </c>
      <c r="BG61" s="42">
        <f t="shared" si="45"/>
        <v>200.4</v>
      </c>
      <c r="BH61" s="43">
        <f t="shared" si="46"/>
        <v>7.6347305389221562E-2</v>
      </c>
      <c r="BI61" s="43">
        <f t="shared" si="47"/>
        <v>7.6499999999999999E-2</v>
      </c>
      <c r="BJ61" s="43">
        <f t="shared" si="48"/>
        <v>157.51440000000002</v>
      </c>
      <c r="BK61" s="43">
        <f t="shared" si="19"/>
        <v>0.10938500000000001</v>
      </c>
      <c r="BL61" s="44" t="str">
        <f t="shared" si="12"/>
        <v/>
      </c>
      <c r="BM61" s="44" t="str">
        <f t="shared" si="13"/>
        <v/>
      </c>
      <c r="BN61" s="43">
        <f t="shared" si="58"/>
        <v>0</v>
      </c>
      <c r="BO61" s="43" t="str">
        <f t="shared" si="49"/>
        <v/>
      </c>
      <c r="BP61" s="55">
        <f t="shared" si="52"/>
        <v>284.11688311688317</v>
      </c>
      <c r="BQ61" s="45">
        <f t="shared" si="53"/>
        <v>0.10938500000000001</v>
      </c>
      <c r="BR61" s="24">
        <f t="shared" si="54"/>
        <v>0</v>
      </c>
    </row>
    <row r="62" spans="1:70" x14ac:dyDescent="0.3">
      <c r="A62" s="1" t="s">
        <v>85</v>
      </c>
      <c r="B62">
        <v>0.25</v>
      </c>
      <c r="C62" t="s">
        <v>77</v>
      </c>
      <c r="D62">
        <v>12</v>
      </c>
      <c r="E62">
        <v>6</v>
      </c>
      <c r="G62" s="35">
        <v>45574.374212962961</v>
      </c>
      <c r="H62">
        <v>3307.9</v>
      </c>
      <c r="J62" s="40">
        <v>3150.4349999999999</v>
      </c>
      <c r="K62" s="40">
        <v>22.852</v>
      </c>
      <c r="L62" s="40">
        <v>21.105</v>
      </c>
      <c r="M62" s="40">
        <v>92.4</v>
      </c>
      <c r="N62" s="40">
        <v>16.489999999999998</v>
      </c>
      <c r="O62" s="40">
        <v>341</v>
      </c>
      <c r="P62" s="40">
        <v>1.37</v>
      </c>
      <c r="Q62" s="40">
        <v>0.33</v>
      </c>
      <c r="R62" s="40">
        <v>2.38</v>
      </c>
      <c r="S62" s="40"/>
      <c r="T62" s="40">
        <v>0.21</v>
      </c>
      <c r="U62" s="40">
        <v>0.16</v>
      </c>
      <c r="V62" s="40">
        <v>2.76</v>
      </c>
      <c r="W62" s="40">
        <v>7.3029999999999999</v>
      </c>
      <c r="X62" s="40">
        <v>31</v>
      </c>
      <c r="Y62" s="40">
        <v>44.5</v>
      </c>
      <c r="Z62" s="40">
        <v>1.91</v>
      </c>
      <c r="AA62" s="40">
        <v>145.30000000000001</v>
      </c>
      <c r="AB62" s="40">
        <v>13.6</v>
      </c>
      <c r="AC62" s="40">
        <v>27.2</v>
      </c>
      <c r="AD62" s="40">
        <v>36</v>
      </c>
      <c r="AE62" s="17">
        <v>7.2610000000000001</v>
      </c>
      <c r="AF62" s="40">
        <v>408</v>
      </c>
      <c r="AG62" s="40">
        <v>50.6</v>
      </c>
      <c r="AH62" s="40">
        <v>7.2960000000000003</v>
      </c>
      <c r="AI62" s="40">
        <v>34</v>
      </c>
      <c r="AJ62" s="40">
        <v>2.2000000000000002</v>
      </c>
      <c r="AK62" s="40">
        <v>1.4</v>
      </c>
      <c r="AL62" s="40">
        <v>0.2</v>
      </c>
      <c r="AM62" s="40">
        <v>16</v>
      </c>
      <c r="AN62" s="40">
        <v>4.5999999999999996</v>
      </c>
      <c r="AO62" s="40">
        <v>198.8</v>
      </c>
      <c r="AP62" s="40"/>
      <c r="AQ62" s="41">
        <f t="shared" si="43"/>
        <v>0.50600000000000001</v>
      </c>
      <c r="AR62" s="41">
        <f t="shared" si="50"/>
        <v>0.12559798840033018</v>
      </c>
      <c r="AS62" s="41">
        <f t="shared" si="55"/>
        <v>3.6999999999999993</v>
      </c>
      <c r="AT62" s="41">
        <f t="shared" si="56"/>
        <v>0.79999999999999982</v>
      </c>
      <c r="AU62" s="41">
        <f t="shared" si="57"/>
        <v>0</v>
      </c>
      <c r="AV62" s="67">
        <v>2.4</v>
      </c>
      <c r="AW62">
        <v>200</v>
      </c>
      <c r="AX62">
        <v>34</v>
      </c>
      <c r="AY62" s="40">
        <v>7.2</v>
      </c>
      <c r="AZ62" s="40">
        <v>50</v>
      </c>
      <c r="BA62" s="42">
        <v>4.0000000000000002E-4</v>
      </c>
      <c r="BB62" s="11"/>
      <c r="BC62" s="42">
        <f>0.00209329980667217*24*60/BG62</f>
        <v>1.5162735018148512E-2</v>
      </c>
      <c r="BD62" s="73">
        <f>0.00001988/BG62</f>
        <v>9.9999999999999995E-8</v>
      </c>
      <c r="BE62" s="42">
        <f t="shared" si="44"/>
        <v>1.6782696000000002E-3</v>
      </c>
      <c r="BF62" s="42">
        <f t="shared" si="51"/>
        <v>2.4167082240000002</v>
      </c>
      <c r="BG62" s="42">
        <f t="shared" si="45"/>
        <v>198.8</v>
      </c>
      <c r="BH62" s="43">
        <f t="shared" si="46"/>
        <v>8.0482897384305835E-2</v>
      </c>
      <c r="BI62" s="43">
        <f t="shared" si="47"/>
        <v>0.08</v>
      </c>
      <c r="BJ62" s="43">
        <f t="shared" si="48"/>
        <v>180.86110329647545</v>
      </c>
      <c r="BK62" s="43" t="str">
        <f t="shared" si="19"/>
        <v/>
      </c>
      <c r="BL62" s="44">
        <f t="shared" si="12"/>
        <v>0.12559798840033018</v>
      </c>
      <c r="BM62" s="44" t="str">
        <f t="shared" si="13"/>
        <v/>
      </c>
      <c r="BN62" s="43" t="str">
        <f t="shared" si="58"/>
        <v/>
      </c>
      <c r="BO62" s="43">
        <f t="shared" si="49"/>
        <v>1.9879999999999999E-5</v>
      </c>
      <c r="BP62" s="55">
        <f t="shared" si="52"/>
        <v>326.22854129955891</v>
      </c>
      <c r="BQ62" s="45">
        <f t="shared" si="53"/>
        <v>0.12559798840033018</v>
      </c>
      <c r="BR62" s="24">
        <f t="shared" si="54"/>
        <v>1.9879999999999999E-5</v>
      </c>
    </row>
    <row r="63" spans="1:70" x14ac:dyDescent="0.3">
      <c r="A63" s="1" t="s">
        <v>86</v>
      </c>
      <c r="B63">
        <v>0.25</v>
      </c>
      <c r="C63" t="s">
        <v>77</v>
      </c>
      <c r="D63">
        <v>12</v>
      </c>
      <c r="E63">
        <v>6</v>
      </c>
      <c r="G63" s="35">
        <v>45574.378981481481</v>
      </c>
      <c r="H63">
        <v>3307.9</v>
      </c>
      <c r="J63" s="40">
        <v>3177.2849999999999</v>
      </c>
      <c r="K63" s="40">
        <v>25.539000000000001</v>
      </c>
      <c r="L63" s="40">
        <v>23.734999999999999</v>
      </c>
      <c r="M63" s="40">
        <v>92.9</v>
      </c>
      <c r="N63" s="40">
        <v>16.309999999999999</v>
      </c>
      <c r="O63" s="40">
        <v>341</v>
      </c>
      <c r="P63" s="40">
        <v>1.33</v>
      </c>
      <c r="Q63" s="40">
        <v>0.32</v>
      </c>
      <c r="R63" s="40">
        <v>2.94</v>
      </c>
      <c r="S63" s="40"/>
      <c r="T63" s="40">
        <v>0.21</v>
      </c>
      <c r="U63" s="40">
        <v>0.14000000000000001</v>
      </c>
      <c r="V63" s="40">
        <v>2.64</v>
      </c>
      <c r="W63" s="40">
        <v>7.2839999999999998</v>
      </c>
      <c r="X63" s="40">
        <v>35</v>
      </c>
      <c r="Y63" s="40">
        <v>45.2</v>
      </c>
      <c r="Z63" s="40">
        <v>1.79</v>
      </c>
      <c r="AA63" s="40">
        <v>143.1</v>
      </c>
      <c r="AB63" s="40">
        <v>14.7</v>
      </c>
      <c r="AC63" s="40">
        <v>30.7</v>
      </c>
      <c r="AD63" s="40">
        <v>36.5</v>
      </c>
      <c r="AE63" s="17">
        <v>7.2430000000000003</v>
      </c>
      <c r="AF63" s="40">
        <v>412</v>
      </c>
      <c r="AG63" s="40">
        <v>49.5</v>
      </c>
      <c r="AH63" s="40">
        <v>7.2960000000000003</v>
      </c>
      <c r="AI63" s="40">
        <v>34</v>
      </c>
      <c r="AJ63" s="40">
        <v>2.2000000000000002</v>
      </c>
      <c r="AK63" s="40">
        <v>1.8</v>
      </c>
      <c r="AL63" s="40">
        <v>0.2</v>
      </c>
      <c r="AM63" s="40">
        <v>16.2</v>
      </c>
      <c r="AN63" s="40">
        <v>4.9000000000000004</v>
      </c>
      <c r="AO63" s="40">
        <v>200.2</v>
      </c>
      <c r="AP63" s="40"/>
      <c r="AQ63" s="41">
        <f t="shared" si="43"/>
        <v>0.495</v>
      </c>
      <c r="AR63" s="41">
        <f t="shared" si="50"/>
        <v>0.11309088181131839</v>
      </c>
      <c r="AS63" s="41">
        <f t="shared" si="55"/>
        <v>3.7999999999999989</v>
      </c>
      <c r="AT63" s="41">
        <f t="shared" si="56"/>
        <v>0.70000000000000018</v>
      </c>
      <c r="AU63" s="41">
        <f t="shared" si="57"/>
        <v>0</v>
      </c>
      <c r="AV63" s="67">
        <v>2.4</v>
      </c>
      <c r="AW63">
        <v>200</v>
      </c>
      <c r="AX63">
        <v>34</v>
      </c>
      <c r="AY63" s="40">
        <v>7.2</v>
      </c>
      <c r="AZ63" s="40">
        <v>50</v>
      </c>
      <c r="BA63" s="42">
        <v>4.0000000000000002E-4</v>
      </c>
      <c r="BB63" s="11"/>
      <c r="BC63" s="42">
        <f>0.00188484803018864*24*60/BG63</f>
        <v>1.3557348468889318E-2</v>
      </c>
      <c r="BD63" s="73">
        <f>0.00002002/BG63</f>
        <v>1.0000000000000001E-7</v>
      </c>
      <c r="BE63" s="42">
        <f t="shared" si="44"/>
        <v>1.9006988E-3</v>
      </c>
      <c r="BF63" s="42">
        <f t="shared" si="51"/>
        <v>2.7370062720000004</v>
      </c>
      <c r="BG63" s="42">
        <f t="shared" si="45"/>
        <v>200.2</v>
      </c>
      <c r="BH63" s="43">
        <f t="shared" si="46"/>
        <v>8.0919080919080927E-2</v>
      </c>
      <c r="BI63" s="43">
        <f t="shared" si="47"/>
        <v>8.1000000000000003E-2</v>
      </c>
      <c r="BJ63" s="43">
        <f t="shared" si="48"/>
        <v>162.85086980829848</v>
      </c>
      <c r="BK63" s="43" t="str">
        <f t="shared" si="19"/>
        <v/>
      </c>
      <c r="BL63" s="44">
        <f t="shared" si="12"/>
        <v>0.11309088181131839</v>
      </c>
      <c r="BM63" s="44" t="str">
        <f t="shared" si="13"/>
        <v/>
      </c>
      <c r="BN63" s="43" t="str">
        <f t="shared" si="58"/>
        <v/>
      </c>
      <c r="BO63" s="43">
        <f t="shared" si="49"/>
        <v>2.0020000000000001E-5</v>
      </c>
      <c r="BP63" s="55">
        <f t="shared" si="52"/>
        <v>293.74255015926855</v>
      </c>
      <c r="BQ63" s="45">
        <f t="shared" si="53"/>
        <v>0.11309088181131839</v>
      </c>
      <c r="BR63" s="24">
        <f t="shared" si="54"/>
        <v>2.0020000000000001E-5</v>
      </c>
    </row>
    <row r="64" spans="1:70" x14ac:dyDescent="0.3">
      <c r="A64" s="1" t="s">
        <v>87</v>
      </c>
      <c r="B64">
        <v>0.25</v>
      </c>
      <c r="C64" t="s">
        <v>80</v>
      </c>
      <c r="D64">
        <v>12</v>
      </c>
      <c r="E64">
        <v>6</v>
      </c>
      <c r="G64" s="35">
        <v>45574.383819444447</v>
      </c>
      <c r="H64">
        <v>3307.9</v>
      </c>
      <c r="J64" s="40">
        <v>2752.335</v>
      </c>
      <c r="K64" s="40">
        <v>21.899000000000001</v>
      </c>
      <c r="L64" s="40">
        <v>20.018000000000001</v>
      </c>
      <c r="M64" s="40">
        <v>91.4</v>
      </c>
      <c r="N64" s="40">
        <v>16.100000000000001</v>
      </c>
      <c r="O64" s="40">
        <v>333</v>
      </c>
      <c r="P64" s="40">
        <v>1.33</v>
      </c>
      <c r="Q64" s="40">
        <v>0.36</v>
      </c>
      <c r="R64" s="40">
        <v>2.17</v>
      </c>
      <c r="S64" s="40"/>
      <c r="T64" s="40">
        <v>0.19</v>
      </c>
      <c r="U64" s="40">
        <v>0.12</v>
      </c>
      <c r="V64" s="40">
        <v>3.07</v>
      </c>
      <c r="W64" s="40">
        <v>7.298</v>
      </c>
      <c r="X64" s="40">
        <v>53.3</v>
      </c>
      <c r="Y64" s="40">
        <v>64.400000000000006</v>
      </c>
      <c r="Z64" s="40">
        <v>2.58</v>
      </c>
      <c r="AA64" s="40">
        <v>143.6</v>
      </c>
      <c r="AB64" s="40">
        <v>23.1</v>
      </c>
      <c r="AC64" s="40">
        <v>46.8</v>
      </c>
      <c r="AD64" s="40">
        <v>52.4</v>
      </c>
      <c r="AE64" s="17">
        <v>7.2569999999999997</v>
      </c>
      <c r="AF64" s="40">
        <v>502</v>
      </c>
      <c r="AG64" s="40">
        <v>51.3</v>
      </c>
      <c r="AH64" s="40">
        <v>7.3079999999999998</v>
      </c>
      <c r="AI64" s="40">
        <v>34</v>
      </c>
      <c r="AJ64" s="40">
        <v>2.6</v>
      </c>
      <c r="AK64" s="40">
        <v>4.0999999999999996</v>
      </c>
      <c r="AL64" s="40">
        <v>0.1</v>
      </c>
      <c r="AM64" s="40">
        <v>9.8000000000000007</v>
      </c>
      <c r="AN64" s="40">
        <v>4.4000000000000004</v>
      </c>
      <c r="AO64" s="40">
        <v>198.1</v>
      </c>
      <c r="AP64" s="40"/>
      <c r="AQ64" s="41">
        <f t="shared" si="43"/>
        <v>0.51300000000000001</v>
      </c>
      <c r="AR64" s="41">
        <f t="shared" si="50"/>
        <v>9.5173579200000011E-2</v>
      </c>
      <c r="AS64" s="41">
        <f t="shared" si="55"/>
        <v>2.1000000000000005</v>
      </c>
      <c r="AT64" s="41">
        <f t="shared" si="56"/>
        <v>0</v>
      </c>
      <c r="AU64" s="41">
        <f t="shared" si="57"/>
        <v>0</v>
      </c>
      <c r="AV64" s="67">
        <v>2.4</v>
      </c>
      <c r="AW64">
        <v>200</v>
      </c>
      <c r="AX64">
        <v>34</v>
      </c>
      <c r="AY64" s="40">
        <v>7.2</v>
      </c>
      <c r="AZ64" s="40">
        <v>50</v>
      </c>
      <c r="BA64" s="42">
        <v>4.0000000000000002E-4</v>
      </c>
      <c r="BB64" s="11"/>
      <c r="BD64" s="22"/>
      <c r="BE64" s="42">
        <f t="shared" si="44"/>
        <v>1.5862263200000003E-3</v>
      </c>
      <c r="BF64" s="42">
        <f t="shared" si="51"/>
        <v>2.2841659008000006</v>
      </c>
      <c r="BG64" s="42">
        <f t="shared" si="45"/>
        <v>198.1</v>
      </c>
      <c r="BH64" s="43">
        <f t="shared" si="46"/>
        <v>4.9469964664310959E-2</v>
      </c>
      <c r="BI64" s="43">
        <f t="shared" si="47"/>
        <v>4.9000000000000002E-2</v>
      </c>
      <c r="BJ64" s="43">
        <f t="shared" si="48"/>
        <v>137.04995404800002</v>
      </c>
      <c r="BK64" s="43" t="str">
        <f t="shared" si="19"/>
        <v/>
      </c>
      <c r="BL64" s="44" t="str">
        <f t="shared" si="12"/>
        <v/>
      </c>
      <c r="BM64" s="44">
        <f t="shared" si="13"/>
        <v>9.5173579200000011E-2</v>
      </c>
      <c r="BN64" s="43">
        <f t="shared" si="58"/>
        <v>0</v>
      </c>
      <c r="BO64" s="43" t="str">
        <f t="shared" si="49"/>
        <v/>
      </c>
      <c r="BP64" s="55">
        <f t="shared" si="52"/>
        <v>247.20410181818187</v>
      </c>
      <c r="BQ64" s="45">
        <f t="shared" si="53"/>
        <v>9.5173579200000011E-2</v>
      </c>
      <c r="BR64" s="24">
        <f t="shared" si="54"/>
        <v>0</v>
      </c>
    </row>
    <row r="65" spans="1:70" x14ac:dyDescent="0.3">
      <c r="A65" s="1" t="s">
        <v>88</v>
      </c>
      <c r="B65">
        <v>0.25</v>
      </c>
      <c r="C65" t="s">
        <v>80</v>
      </c>
      <c r="D65">
        <v>12</v>
      </c>
      <c r="E65">
        <v>6</v>
      </c>
      <c r="G65" s="35">
        <v>45574.387708333335</v>
      </c>
      <c r="H65">
        <v>3307.9</v>
      </c>
      <c r="J65" s="40">
        <v>2924.9549999999999</v>
      </c>
      <c r="K65" s="40">
        <v>21.948</v>
      </c>
      <c r="L65" s="40">
        <v>20.143999999999998</v>
      </c>
      <c r="M65" s="40">
        <v>91.8</v>
      </c>
      <c r="N65" s="40">
        <v>15.94</v>
      </c>
      <c r="O65" s="40">
        <v>330</v>
      </c>
      <c r="P65" s="40">
        <v>1.35</v>
      </c>
      <c r="Q65" s="40">
        <v>0.34</v>
      </c>
      <c r="R65" s="40">
        <v>2.4700000000000002</v>
      </c>
      <c r="S65" s="40"/>
      <c r="T65" s="40">
        <v>0.19</v>
      </c>
      <c r="U65" s="40">
        <v>0.11</v>
      </c>
      <c r="V65" s="72">
        <v>2.76</v>
      </c>
      <c r="W65" s="40">
        <v>7.2789999999999999</v>
      </c>
      <c r="X65" s="40">
        <v>41.2</v>
      </c>
      <c r="Y65" s="40">
        <v>58.4</v>
      </c>
      <c r="Z65" s="40">
        <v>2.5499999999999998</v>
      </c>
      <c r="AA65" s="40">
        <v>139.4</v>
      </c>
      <c r="AB65" s="40">
        <v>17.100000000000001</v>
      </c>
      <c r="AC65" s="40">
        <v>36.1</v>
      </c>
      <c r="AD65" s="40">
        <v>47.4</v>
      </c>
      <c r="AE65" s="17">
        <v>7.2380000000000004</v>
      </c>
      <c r="AF65" s="40">
        <v>431</v>
      </c>
      <c r="AG65" s="40">
        <v>48.4</v>
      </c>
      <c r="AH65" s="40">
        <v>7.3049999999999997</v>
      </c>
      <c r="AI65" s="40">
        <v>34</v>
      </c>
      <c r="AJ65" s="40">
        <v>2.2999999999999998</v>
      </c>
      <c r="AK65" s="40">
        <v>4.2</v>
      </c>
      <c r="AL65" s="40">
        <v>0.1</v>
      </c>
      <c r="AM65" s="40">
        <v>10.3</v>
      </c>
      <c r="AN65" s="40">
        <v>4.4000000000000004</v>
      </c>
      <c r="AO65" s="40">
        <v>197.9</v>
      </c>
      <c r="AP65" s="7"/>
      <c r="AQ65" s="41">
        <f t="shared" si="43"/>
        <v>0.48399999999999999</v>
      </c>
      <c r="AR65" s="41">
        <f t="shared" si="50"/>
        <v>9.5675942399999991E-2</v>
      </c>
      <c r="AS65" s="41">
        <f t="shared" si="55"/>
        <v>2.1000000000000014</v>
      </c>
      <c r="AT65" s="41">
        <f t="shared" si="56"/>
        <v>0</v>
      </c>
      <c r="AU65" s="41">
        <f t="shared" si="57"/>
        <v>0</v>
      </c>
      <c r="AV65" s="68">
        <v>2.4</v>
      </c>
      <c r="AW65">
        <v>200</v>
      </c>
      <c r="AX65" s="5">
        <v>34</v>
      </c>
      <c r="AY65" s="40">
        <v>7.2</v>
      </c>
      <c r="AZ65" s="40">
        <v>50</v>
      </c>
      <c r="BA65" s="42">
        <v>4.0000000000000002E-4</v>
      </c>
      <c r="BB65" s="11"/>
      <c r="BD65" s="22"/>
      <c r="BE65" s="42">
        <f t="shared" si="44"/>
        <v>1.59459904E-3</v>
      </c>
      <c r="BF65" s="42">
        <f t="shared" si="51"/>
        <v>2.2962226175999998</v>
      </c>
      <c r="BG65" s="42">
        <f t="shared" si="45"/>
        <v>197.9</v>
      </c>
      <c r="BH65" s="43">
        <f t="shared" si="46"/>
        <v>5.2046488125315815E-2</v>
      </c>
      <c r="BI65" s="43">
        <f t="shared" si="47"/>
        <v>5.1500000000000004E-2</v>
      </c>
      <c r="BJ65" s="43">
        <f t="shared" si="48"/>
        <v>137.77335705599998</v>
      </c>
      <c r="BK65" s="43" t="str">
        <f t="shared" si="19"/>
        <v/>
      </c>
      <c r="BL65" s="44" t="str">
        <f t="shared" si="12"/>
        <v/>
      </c>
      <c r="BM65" s="44">
        <f t="shared" si="13"/>
        <v>9.5675942399999991E-2</v>
      </c>
      <c r="BN65" s="43">
        <f t="shared" si="58"/>
        <v>0</v>
      </c>
      <c r="BO65" s="43" t="str">
        <f t="shared" si="49"/>
        <v/>
      </c>
      <c r="BP65" s="55">
        <f t="shared" si="52"/>
        <v>248.5089412987013</v>
      </c>
      <c r="BQ65" s="45">
        <f t="shared" si="53"/>
        <v>9.5675942399999991E-2</v>
      </c>
      <c r="BR65" s="24">
        <f t="shared" si="54"/>
        <v>0</v>
      </c>
    </row>
    <row r="66" spans="1:70" x14ac:dyDescent="0.3">
      <c r="A66" s="2" t="s">
        <v>76</v>
      </c>
      <c r="B66" s="3">
        <v>1000</v>
      </c>
      <c r="C66" s="3" t="s">
        <v>77</v>
      </c>
      <c r="D66" s="3">
        <v>12</v>
      </c>
      <c r="E66" s="3">
        <v>7</v>
      </c>
      <c r="F66" s="3"/>
      <c r="G66" s="34">
        <v>45575.356249999997</v>
      </c>
      <c r="H66" s="3">
        <v>3888.32</v>
      </c>
      <c r="I66" s="3"/>
      <c r="J66" s="6">
        <v>2722.32</v>
      </c>
      <c r="K66" s="6">
        <v>19</v>
      </c>
      <c r="L66" s="6">
        <v>17.8</v>
      </c>
      <c r="M66" s="6">
        <v>93.7</v>
      </c>
      <c r="N66" s="6"/>
      <c r="O66" s="6"/>
      <c r="P66" s="6"/>
      <c r="Q66" s="6"/>
      <c r="R66" s="6">
        <v>6.5</v>
      </c>
      <c r="S66" s="6"/>
      <c r="T66" s="6"/>
      <c r="U66" s="6"/>
      <c r="V66" s="6">
        <v>1.1000000000000001</v>
      </c>
      <c r="W66" s="6"/>
      <c r="X66" s="6"/>
      <c r="Y66" s="6"/>
      <c r="Z66" s="6"/>
      <c r="AA66" s="6"/>
      <c r="AB66" s="6"/>
      <c r="AC66" s="6"/>
      <c r="AD66" s="6"/>
      <c r="AE66" s="16">
        <v>7.327</v>
      </c>
      <c r="AF66" s="6"/>
      <c r="AG66" s="6">
        <v>49.996602779481499</v>
      </c>
      <c r="AH66" s="6"/>
      <c r="AI66" s="6">
        <v>34.000473865150198</v>
      </c>
      <c r="AJ66" s="6"/>
      <c r="AK66" s="6"/>
      <c r="AL66" s="6"/>
      <c r="AM66" s="6">
        <v>54921.08203125</v>
      </c>
      <c r="AN66" s="6">
        <v>22041.2578125</v>
      </c>
      <c r="AO66" s="6">
        <v>643200.01220703102</v>
      </c>
      <c r="AP66" s="6"/>
      <c r="AQ66" s="32">
        <f t="shared" si="43"/>
        <v>0.49996602779481497</v>
      </c>
      <c r="AR66" s="32">
        <f t="shared" si="50"/>
        <v>322.38396781074897</v>
      </c>
      <c r="AS66" s="32">
        <f t="shared" si="55"/>
        <v>6924.81640625</v>
      </c>
      <c r="AT66" s="32">
        <f t="shared" si="56"/>
        <v>609.041015625</v>
      </c>
      <c r="AU66" s="32">
        <f t="shared" si="57"/>
        <v>0</v>
      </c>
      <c r="AV66" s="66">
        <v>60</v>
      </c>
      <c r="AW66" s="3">
        <v>592000</v>
      </c>
      <c r="AX66" s="3">
        <v>34</v>
      </c>
      <c r="AY66" s="6">
        <v>7.2</v>
      </c>
      <c r="AZ66" s="6">
        <v>50</v>
      </c>
      <c r="BA66" s="9">
        <v>4.0000000000000002E-4</v>
      </c>
      <c r="BB66" s="8"/>
      <c r="BC66" s="9">
        <f>5.37306613017915*24*60/BG66</f>
        <v>1.2029252301953543E-2</v>
      </c>
      <c r="BD66" s="21">
        <f>994.549312093751/BG66</f>
        <v>1.5462520106010646E-3</v>
      </c>
      <c r="BE66" s="9">
        <f t="shared" si="44"/>
        <v>4.5795840869140614</v>
      </c>
      <c r="BF66" s="9">
        <f t="shared" si="51"/>
        <v>6594.6010851562487</v>
      </c>
      <c r="BG66" s="9">
        <f t="shared" si="45"/>
        <v>643200.01220703102</v>
      </c>
      <c r="BH66" s="10">
        <f t="shared" si="46"/>
        <v>8.5387252781289114E-2</v>
      </c>
      <c r="BI66" s="10">
        <f t="shared" si="47"/>
        <v>9.2772098025760141E-2</v>
      </c>
      <c r="BJ66" s="10">
        <f t="shared" si="48"/>
        <v>464232.9136474785</v>
      </c>
      <c r="BK66" s="10" t="str">
        <f t="shared" si="19"/>
        <v/>
      </c>
      <c r="BL66" s="10">
        <f t="shared" si="12"/>
        <v>322.38396781074897</v>
      </c>
      <c r="BM66" s="28" t="str">
        <f t="shared" si="13"/>
        <v/>
      </c>
      <c r="BN66" s="10" t="str">
        <f t="shared" si="58"/>
        <v/>
      </c>
      <c r="BO66" s="10">
        <f t="shared" si="49"/>
        <v>994.54931209375104</v>
      </c>
      <c r="BP66" s="58">
        <f t="shared" si="52"/>
        <v>837360.95535259473</v>
      </c>
      <c r="BQ66" s="30">
        <f t="shared" si="53"/>
        <v>322.38396781074897</v>
      </c>
      <c r="BR66" s="26">
        <f t="shared" si="54"/>
        <v>994.54931209375104</v>
      </c>
    </row>
    <row r="67" spans="1:70" x14ac:dyDescent="0.3">
      <c r="A67" s="1" t="s">
        <v>79</v>
      </c>
      <c r="B67">
        <v>0.25</v>
      </c>
      <c r="C67" t="s">
        <v>80</v>
      </c>
      <c r="D67">
        <v>12</v>
      </c>
      <c r="E67">
        <v>7</v>
      </c>
      <c r="G67" s="35">
        <v>45575.468657407408</v>
      </c>
      <c r="H67">
        <v>3888.32</v>
      </c>
      <c r="J67" s="40">
        <v>3736.0050000000001</v>
      </c>
      <c r="K67" s="40">
        <v>22.940999999999999</v>
      </c>
      <c r="L67" s="40">
        <v>20.937999999999999</v>
      </c>
      <c r="M67" s="40">
        <v>91.3</v>
      </c>
      <c r="N67" s="40">
        <v>15.94</v>
      </c>
      <c r="O67" s="40">
        <v>337</v>
      </c>
      <c r="P67" s="40">
        <v>1.39</v>
      </c>
      <c r="Q67" s="40">
        <v>0.33</v>
      </c>
      <c r="R67" s="40">
        <v>3.2</v>
      </c>
      <c r="S67" s="40"/>
      <c r="T67" s="40">
        <v>0.21</v>
      </c>
      <c r="U67" s="40">
        <v>0.14000000000000001</v>
      </c>
      <c r="V67" s="40">
        <v>2.09</v>
      </c>
      <c r="W67" s="40">
        <v>7.3070000000000004</v>
      </c>
      <c r="X67" s="40">
        <v>43.6</v>
      </c>
      <c r="Y67" s="40">
        <v>65.900000000000006</v>
      </c>
      <c r="Z67" s="40">
        <v>2.31</v>
      </c>
      <c r="AA67" s="40">
        <v>140.5</v>
      </c>
      <c r="AB67" s="40">
        <v>19.3</v>
      </c>
      <c r="AC67" s="40">
        <v>38.200000000000003</v>
      </c>
      <c r="AD67" s="40">
        <v>53.8</v>
      </c>
      <c r="AE67" s="17">
        <v>7.266</v>
      </c>
      <c r="AF67" s="40">
        <v>409</v>
      </c>
      <c r="AG67" s="40">
        <v>50.4</v>
      </c>
      <c r="AH67" s="40">
        <v>7.3049999999999997</v>
      </c>
      <c r="AI67" s="40">
        <v>34</v>
      </c>
      <c r="AJ67" s="40">
        <v>2</v>
      </c>
      <c r="AK67" s="40">
        <v>5.6</v>
      </c>
      <c r="AL67" s="47">
        <v>0.2</v>
      </c>
      <c r="AM67" s="40">
        <v>13.4</v>
      </c>
      <c r="AN67" s="40">
        <v>4</v>
      </c>
      <c r="AO67" s="40">
        <v>198.3</v>
      </c>
      <c r="AP67" s="40"/>
      <c r="AQ67" s="41">
        <f t="shared" ref="AQ67:AQ98" si="59">AG67/100</f>
        <v>0.504</v>
      </c>
      <c r="AR67" s="41">
        <f t="shared" si="50"/>
        <v>9.964812960000001E-2</v>
      </c>
      <c r="AS67" s="41">
        <f t="shared" si="55"/>
        <v>2.8000000000000007</v>
      </c>
      <c r="AT67" s="41">
        <f t="shared" si="56"/>
        <v>0</v>
      </c>
      <c r="AU67" s="41">
        <f t="shared" si="57"/>
        <v>0</v>
      </c>
      <c r="AV67" s="67">
        <v>2.4</v>
      </c>
      <c r="AW67">
        <v>200</v>
      </c>
      <c r="AX67">
        <v>34</v>
      </c>
      <c r="AY67" s="40">
        <v>7.2</v>
      </c>
      <c r="AZ67" s="40">
        <v>50</v>
      </c>
      <c r="BA67" s="42">
        <v>4.0000000000000002E-4</v>
      </c>
      <c r="BB67" s="11"/>
      <c r="BC67" s="42"/>
      <c r="BD67" s="22"/>
      <c r="BE67" s="42">
        <f t="shared" ref="BE67:BE98" si="60">BA67*L67*BG67/1000</f>
        <v>1.6608021600000001E-3</v>
      </c>
      <c r="BF67" s="42">
        <f t="shared" si="51"/>
        <v>2.3915551103999997</v>
      </c>
      <c r="BG67" s="42">
        <f t="shared" ref="BG67:BG98" si="61">IF(ISBLANK(AO67), AW67+SUM(AJ67:AL67,AM67:AN67)-(AV67*(E67+1)), AO67)</f>
        <v>198.3</v>
      </c>
      <c r="BH67" s="43">
        <f t="shared" ref="BH67:BH98" si="62">IF(ISBLANK(AM67),"",IFERROR(AM67/BG67,0))</f>
        <v>6.7574382249117493E-2</v>
      </c>
      <c r="BI67" s="43">
        <f t="shared" ref="BI67:BI98" si="63">IF(ISBLANK(AM67),"",AM67/AW67)</f>
        <v>6.7000000000000004E-2</v>
      </c>
      <c r="BJ67" s="43">
        <f t="shared" ref="BJ67:BJ98" si="64">AR67*24*60</f>
        <v>143.49330662400001</v>
      </c>
      <c r="BK67" s="43" t="str">
        <f t="shared" si="19"/>
        <v/>
      </c>
      <c r="BL67" s="43" t="str">
        <f t="shared" si="12"/>
        <v/>
      </c>
      <c r="BM67" s="44">
        <f t="shared" si="13"/>
        <v>9.964812960000001E-2</v>
      </c>
      <c r="BN67" s="43">
        <f t="shared" si="58"/>
        <v>0</v>
      </c>
      <c r="BO67" s="43" t="str">
        <f t="shared" ref="BO67:BO98" si="65">IF(C67="Julia",BD67*BG67,"")</f>
        <v/>
      </c>
      <c r="BP67" s="55">
        <f t="shared" si="52"/>
        <v>258.82631064935072</v>
      </c>
      <c r="BQ67" s="45">
        <f t="shared" si="53"/>
        <v>9.964812960000001E-2</v>
      </c>
      <c r="BR67" s="24">
        <f t="shared" si="54"/>
        <v>0</v>
      </c>
    </row>
    <row r="68" spans="1:70" x14ac:dyDescent="0.3">
      <c r="A68" s="1" t="s">
        <v>81</v>
      </c>
      <c r="B68">
        <v>0.25</v>
      </c>
      <c r="C68" t="s">
        <v>80</v>
      </c>
      <c r="D68">
        <v>12</v>
      </c>
      <c r="E68">
        <v>7</v>
      </c>
      <c r="G68" s="35">
        <v>45575.469490740739</v>
      </c>
      <c r="H68">
        <v>3888.32</v>
      </c>
      <c r="J68" s="40">
        <v>3687.12</v>
      </c>
      <c r="K68" s="40">
        <v>21.161000000000001</v>
      </c>
      <c r="L68" s="40">
        <v>18.928000000000001</v>
      </c>
      <c r="M68" s="40">
        <v>89.4</v>
      </c>
      <c r="N68" s="40">
        <v>15.92</v>
      </c>
      <c r="O68" s="40">
        <v>328</v>
      </c>
      <c r="P68" s="40">
        <v>1.36</v>
      </c>
      <c r="Q68" s="40">
        <v>0.34</v>
      </c>
      <c r="R68" s="40">
        <v>2.76</v>
      </c>
      <c r="S68" s="40"/>
      <c r="T68" s="40">
        <v>0.15</v>
      </c>
      <c r="U68" s="40">
        <v>0.13</v>
      </c>
      <c r="V68" s="40">
        <v>2.48</v>
      </c>
      <c r="W68" s="40">
        <v>7.2889999999999997</v>
      </c>
      <c r="X68" s="40">
        <v>30.7</v>
      </c>
      <c r="Y68" s="40">
        <v>68.599999999999994</v>
      </c>
      <c r="Z68" s="40">
        <v>2.4700000000000002</v>
      </c>
      <c r="AA68" s="40">
        <v>140.4</v>
      </c>
      <c r="AB68" s="40">
        <v>13</v>
      </c>
      <c r="AC68" s="40">
        <v>26.9</v>
      </c>
      <c r="AD68" s="40">
        <v>56</v>
      </c>
      <c r="AE68" s="17">
        <v>7.2480000000000002</v>
      </c>
      <c r="AF68" s="40">
        <v>410</v>
      </c>
      <c r="AG68" s="40">
        <v>49</v>
      </c>
      <c r="AH68" s="40">
        <v>7.3040000000000003</v>
      </c>
      <c r="AI68" s="40">
        <v>34</v>
      </c>
      <c r="AJ68" s="40">
        <v>2.1</v>
      </c>
      <c r="AK68" s="40">
        <v>5.0999999999999996</v>
      </c>
      <c r="AL68" s="47">
        <v>0.2</v>
      </c>
      <c r="AM68" s="40">
        <v>13.3</v>
      </c>
      <c r="AN68" s="40">
        <v>4.3</v>
      </c>
      <c r="AO68" s="40">
        <v>197.3</v>
      </c>
      <c r="AP68" s="40"/>
      <c r="AQ68" s="41">
        <f t="shared" si="59"/>
        <v>0.49</v>
      </c>
      <c r="AR68" s="41">
        <f t="shared" si="50"/>
        <v>8.9627865600000009E-2</v>
      </c>
      <c r="AS68" s="41">
        <f t="shared" si="55"/>
        <v>2.4000000000000004</v>
      </c>
      <c r="AT68" s="41">
        <f t="shared" si="56"/>
        <v>0</v>
      </c>
      <c r="AU68" s="41">
        <f t="shared" si="57"/>
        <v>0</v>
      </c>
      <c r="AV68" s="67">
        <v>2.4</v>
      </c>
      <c r="AW68">
        <v>200</v>
      </c>
      <c r="AX68">
        <v>34</v>
      </c>
      <c r="AY68" s="40">
        <v>7.2</v>
      </c>
      <c r="AZ68" s="40">
        <v>50</v>
      </c>
      <c r="BA68" s="42">
        <v>4.0000000000000002E-4</v>
      </c>
      <c r="BB68" s="11"/>
      <c r="BC68" s="42"/>
      <c r="BD68" s="22"/>
      <c r="BE68" s="42">
        <f t="shared" si="60"/>
        <v>1.4937977600000003E-3</v>
      </c>
      <c r="BF68" s="42">
        <f t="shared" si="51"/>
        <v>2.1510687744000005</v>
      </c>
      <c r="BG68" s="42">
        <f t="shared" si="61"/>
        <v>197.3</v>
      </c>
      <c r="BH68" s="43">
        <f t="shared" si="62"/>
        <v>6.7410035478966041E-2</v>
      </c>
      <c r="BI68" s="43">
        <f t="shared" si="63"/>
        <v>6.6500000000000004E-2</v>
      </c>
      <c r="BJ68" s="43">
        <f t="shared" si="64"/>
        <v>129.064126464</v>
      </c>
      <c r="BK68" s="43" t="str">
        <f t="shared" si="19"/>
        <v/>
      </c>
      <c r="BL68" s="43" t="str">
        <f t="shared" ref="BL68:BL119" si="66">IF(C68="Julia",BC68*BG68/24,"")</f>
        <v/>
      </c>
      <c r="BM68" s="44">
        <f t="shared" ref="BM68:BM119" si="67">IF(C68="No MPC", 60*BA68*L68*BG68/1000,"")</f>
        <v>8.9627865600000009E-2</v>
      </c>
      <c r="BN68" s="43">
        <f t="shared" si="58"/>
        <v>0</v>
      </c>
      <c r="BO68" s="43" t="str">
        <f t="shared" si="65"/>
        <v/>
      </c>
      <c r="BP68" s="55">
        <f t="shared" si="52"/>
        <v>232.79965090909096</v>
      </c>
      <c r="BQ68" s="45">
        <f t="shared" si="53"/>
        <v>8.9627865600000009E-2</v>
      </c>
      <c r="BR68" s="24">
        <f t="shared" si="54"/>
        <v>0</v>
      </c>
    </row>
    <row r="69" spans="1:70" x14ac:dyDescent="0.3">
      <c r="A69" s="1" t="s">
        <v>82</v>
      </c>
      <c r="B69">
        <v>0.25</v>
      </c>
      <c r="C69" t="s">
        <v>83</v>
      </c>
      <c r="D69">
        <v>12</v>
      </c>
      <c r="E69">
        <v>7</v>
      </c>
      <c r="F69" t="s">
        <v>93</v>
      </c>
      <c r="G69" s="35">
        <v>45575.470335648148</v>
      </c>
      <c r="H69">
        <v>3888.32</v>
      </c>
      <c r="J69" s="40">
        <v>3167.31</v>
      </c>
      <c r="K69" s="40">
        <v>20.071000000000002</v>
      </c>
      <c r="L69" s="40">
        <v>5.5369999999999999</v>
      </c>
      <c r="M69" s="40">
        <v>27.6</v>
      </c>
      <c r="N69" s="40">
        <v>12.68</v>
      </c>
      <c r="O69" s="40">
        <v>439</v>
      </c>
      <c r="P69" s="40">
        <v>5.22</v>
      </c>
      <c r="Q69" s="40">
        <v>0.35</v>
      </c>
      <c r="R69" s="40">
        <v>0.16</v>
      </c>
      <c r="S69" s="40"/>
      <c r="T69" s="40">
        <v>0.15</v>
      </c>
      <c r="U69" s="40">
        <v>0.94</v>
      </c>
      <c r="V69" s="40">
        <v>4.42</v>
      </c>
      <c r="W69" s="40">
        <v>7.0549999999999997</v>
      </c>
      <c r="X69" s="40">
        <v>39.200000000000003</v>
      </c>
      <c r="Y69" s="40">
        <v>0</v>
      </c>
      <c r="Z69" s="40">
        <v>6.92</v>
      </c>
      <c r="AA69" s="40">
        <v>183.1</v>
      </c>
      <c r="AB69" s="40">
        <v>9.6999999999999993</v>
      </c>
      <c r="AC69" s="40">
        <v>34.4</v>
      </c>
      <c r="AD69" s="40">
        <v>0</v>
      </c>
      <c r="AE69" s="17">
        <v>7.0190000000000001</v>
      </c>
      <c r="AF69" s="40">
        <v>408</v>
      </c>
      <c r="AG69" s="46"/>
      <c r="AH69" s="40">
        <v>7.085</v>
      </c>
      <c r="AI69" s="40">
        <v>34</v>
      </c>
      <c r="AJ69" s="40">
        <v>6.4</v>
      </c>
      <c r="AK69" s="40">
        <v>3.2</v>
      </c>
      <c r="AL69" s="47">
        <v>0.2</v>
      </c>
      <c r="AM69" s="40">
        <v>19.600000000000001</v>
      </c>
      <c r="AN69" s="40">
        <v>4.5</v>
      </c>
      <c r="AO69" s="40">
        <v>206.1</v>
      </c>
      <c r="AP69" s="40"/>
      <c r="AQ69" s="41">
        <f t="shared" si="59"/>
        <v>0</v>
      </c>
      <c r="AR69" s="41">
        <f t="shared" si="50"/>
        <v>0.17174999999999999</v>
      </c>
      <c r="AS69" s="41">
        <f t="shared" si="55"/>
        <v>4.4000000000000021</v>
      </c>
      <c r="AT69" s="41">
        <f t="shared" si="56"/>
        <v>0</v>
      </c>
      <c r="AU69" s="41">
        <f t="shared" si="57"/>
        <v>0</v>
      </c>
      <c r="AV69" s="67">
        <v>2.4</v>
      </c>
      <c r="AW69">
        <v>200</v>
      </c>
      <c r="AX69">
        <v>34</v>
      </c>
      <c r="AY69" s="40">
        <v>7.2</v>
      </c>
      <c r="AZ69" s="40">
        <v>50</v>
      </c>
      <c r="BA69" s="42">
        <v>4.0000000000000002E-4</v>
      </c>
      <c r="BB69" s="11">
        <v>0.02</v>
      </c>
      <c r="BC69" s="42"/>
      <c r="BD69" s="22"/>
      <c r="BE69" s="42">
        <f t="shared" si="60"/>
        <v>4.5647028000000007E-4</v>
      </c>
      <c r="BF69" s="42">
        <f t="shared" si="51"/>
        <v>0.65731720320000009</v>
      </c>
      <c r="BG69" s="42">
        <f t="shared" si="61"/>
        <v>206.1</v>
      </c>
      <c r="BH69" s="43">
        <f t="shared" si="62"/>
        <v>9.5099466278505587E-2</v>
      </c>
      <c r="BI69" s="43">
        <f t="shared" si="63"/>
        <v>9.8000000000000004E-2</v>
      </c>
      <c r="BJ69" s="43">
        <f t="shared" si="64"/>
        <v>247.32</v>
      </c>
      <c r="BK69" s="43">
        <f t="shared" si="19"/>
        <v>0.17174999999999999</v>
      </c>
      <c r="BL69" s="43" t="str">
        <f t="shared" si="66"/>
        <v/>
      </c>
      <c r="BM69" s="44" t="str">
        <f t="shared" si="67"/>
        <v/>
      </c>
      <c r="BN69" s="43">
        <f t="shared" si="58"/>
        <v>1.4633099999999999</v>
      </c>
      <c r="BO69" s="43" t="str">
        <f t="shared" si="65"/>
        <v/>
      </c>
      <c r="BP69" s="55">
        <f t="shared" si="52"/>
        <v>446.10389610389609</v>
      </c>
      <c r="BQ69" s="45">
        <f t="shared" si="53"/>
        <v>0.17174999999999999</v>
      </c>
      <c r="BR69" s="24">
        <f t="shared" si="54"/>
        <v>1.4633099999999999</v>
      </c>
    </row>
    <row r="70" spans="1:70" x14ac:dyDescent="0.3">
      <c r="A70" s="1" t="s">
        <v>84</v>
      </c>
      <c r="B70">
        <v>0.25</v>
      </c>
      <c r="C70" t="s">
        <v>83</v>
      </c>
      <c r="D70">
        <v>12</v>
      </c>
      <c r="E70">
        <v>7</v>
      </c>
      <c r="G70" s="35">
        <v>45575.471192129633</v>
      </c>
      <c r="H70">
        <v>3888.32</v>
      </c>
      <c r="J70" s="40">
        <v>3814.8449999999998</v>
      </c>
      <c r="K70" s="40">
        <v>23.63</v>
      </c>
      <c r="L70" s="40">
        <v>21.545999999999999</v>
      </c>
      <c r="M70" s="40">
        <v>91.2</v>
      </c>
      <c r="N70" s="40">
        <v>16.510000000000002</v>
      </c>
      <c r="O70" s="40">
        <v>337</v>
      </c>
      <c r="P70" s="40">
        <v>1.38</v>
      </c>
      <c r="Q70" s="40">
        <v>0.32</v>
      </c>
      <c r="R70" s="40">
        <v>0.9</v>
      </c>
      <c r="S70" s="40"/>
      <c r="T70" s="40">
        <v>0.22</v>
      </c>
      <c r="U70" s="40">
        <v>0.16</v>
      </c>
      <c r="V70" s="40">
        <v>2.65</v>
      </c>
      <c r="W70" s="40">
        <v>7.31</v>
      </c>
      <c r="X70" s="40">
        <v>36.200000000000003</v>
      </c>
      <c r="Y70" s="40">
        <v>51.9</v>
      </c>
      <c r="Z70" s="40">
        <v>1.74</v>
      </c>
      <c r="AA70" s="40">
        <v>147.5</v>
      </c>
      <c r="AB70" s="40">
        <v>16.2</v>
      </c>
      <c r="AC70" s="40">
        <v>31.8</v>
      </c>
      <c r="AD70" s="40">
        <v>42.1</v>
      </c>
      <c r="AE70" s="17">
        <v>7.2690000000000001</v>
      </c>
      <c r="AF70" s="40">
        <v>407</v>
      </c>
      <c r="AG70" s="40">
        <v>49.7</v>
      </c>
      <c r="AH70" s="40">
        <v>7.3090000000000002</v>
      </c>
      <c r="AI70" s="40">
        <v>34</v>
      </c>
      <c r="AJ70" s="40">
        <v>2.2999999999999998</v>
      </c>
      <c r="AK70" s="40">
        <v>3.3</v>
      </c>
      <c r="AL70" s="47">
        <v>0.2</v>
      </c>
      <c r="AM70" s="40">
        <v>18.3</v>
      </c>
      <c r="AN70" s="40">
        <v>3.9</v>
      </c>
      <c r="AO70" s="40">
        <v>200.2</v>
      </c>
      <c r="AP70" s="40"/>
      <c r="AQ70" s="41">
        <f t="shared" si="59"/>
        <v>0.49700000000000005</v>
      </c>
      <c r="AR70" s="41">
        <f t="shared" si="50"/>
        <v>0.10677333333333333</v>
      </c>
      <c r="AS70" s="41">
        <f t="shared" si="55"/>
        <v>3</v>
      </c>
      <c r="AT70" s="41">
        <f t="shared" si="56"/>
        <v>0</v>
      </c>
      <c r="AU70" s="41">
        <f t="shared" si="57"/>
        <v>0</v>
      </c>
      <c r="AV70" s="67">
        <v>2.4</v>
      </c>
      <c r="AW70">
        <v>200</v>
      </c>
      <c r="AX70">
        <v>34</v>
      </c>
      <c r="AY70" s="40">
        <v>7.2</v>
      </c>
      <c r="AZ70" s="40">
        <v>50</v>
      </c>
      <c r="BA70" s="42">
        <v>4.0000000000000002E-4</v>
      </c>
      <c r="BB70" s="11">
        <v>1.2800000000000001E-2</v>
      </c>
      <c r="BD70" s="22"/>
      <c r="BE70" s="42">
        <f t="shared" si="60"/>
        <v>1.7254036799999998E-3</v>
      </c>
      <c r="BF70" s="42">
        <f t="shared" si="51"/>
        <v>2.4845812991999998</v>
      </c>
      <c r="BG70" s="42">
        <f t="shared" si="61"/>
        <v>200.2</v>
      </c>
      <c r="BH70" s="43">
        <f t="shared" si="62"/>
        <v>9.1408591408591422E-2</v>
      </c>
      <c r="BI70" s="43">
        <f t="shared" si="63"/>
        <v>9.1499999999999998E-2</v>
      </c>
      <c r="BJ70" s="43">
        <f t="shared" si="64"/>
        <v>153.75360000000001</v>
      </c>
      <c r="BK70" s="43">
        <f t="shared" si="19"/>
        <v>0.10677333333333333</v>
      </c>
      <c r="BL70" s="44" t="str">
        <f t="shared" si="66"/>
        <v/>
      </c>
      <c r="BM70" s="44" t="str">
        <f t="shared" si="67"/>
        <v/>
      </c>
      <c r="BN70" s="43">
        <f t="shared" si="58"/>
        <v>1.05105</v>
      </c>
      <c r="BO70" s="43" t="str">
        <f t="shared" si="65"/>
        <v/>
      </c>
      <c r="BP70" s="55">
        <f t="shared" si="52"/>
        <v>277.33333333333331</v>
      </c>
      <c r="BQ70" s="45">
        <f t="shared" si="53"/>
        <v>0.10677333333333333</v>
      </c>
      <c r="BR70" s="24">
        <f t="shared" si="54"/>
        <v>1.05105</v>
      </c>
    </row>
    <row r="71" spans="1:70" x14ac:dyDescent="0.3">
      <c r="A71" s="1" t="s">
        <v>85</v>
      </c>
      <c r="B71">
        <v>0.25</v>
      </c>
      <c r="C71" t="s">
        <v>77</v>
      </c>
      <c r="D71">
        <v>12</v>
      </c>
      <c r="E71">
        <v>7</v>
      </c>
      <c r="G71" s="35">
        <v>45575.472037037034</v>
      </c>
      <c r="H71">
        <v>3888.32</v>
      </c>
      <c r="J71" s="40">
        <v>3932.895</v>
      </c>
      <c r="K71" s="40">
        <v>23.419</v>
      </c>
      <c r="L71" s="40">
        <v>21.161000000000001</v>
      </c>
      <c r="M71" s="40">
        <v>90.4</v>
      </c>
      <c r="N71" s="40">
        <v>16.38</v>
      </c>
      <c r="O71" s="40">
        <v>336</v>
      </c>
      <c r="P71" s="40">
        <v>1.43</v>
      </c>
      <c r="Q71" s="40">
        <v>0.31</v>
      </c>
      <c r="R71" s="40">
        <v>1.04</v>
      </c>
      <c r="S71" s="40"/>
      <c r="T71" s="40">
        <v>0.22</v>
      </c>
      <c r="U71" s="40">
        <v>0.15</v>
      </c>
      <c r="V71" s="40">
        <v>2.4500000000000002</v>
      </c>
      <c r="W71" s="40">
        <v>7.3070000000000004</v>
      </c>
      <c r="X71" s="40">
        <v>33.200000000000003</v>
      </c>
      <c r="Y71" s="40">
        <v>45.9</v>
      </c>
      <c r="Z71" s="40">
        <v>1.85</v>
      </c>
      <c r="AA71" s="40">
        <v>146.80000000000001</v>
      </c>
      <c r="AB71" s="40">
        <v>14.7</v>
      </c>
      <c r="AC71" s="40">
        <v>29.1</v>
      </c>
      <c r="AD71" s="40">
        <v>37.200000000000003</v>
      </c>
      <c r="AE71" s="17">
        <v>7.266</v>
      </c>
      <c r="AF71" s="40">
        <v>407</v>
      </c>
      <c r="AG71" s="40">
        <v>50</v>
      </c>
      <c r="AH71" s="40">
        <v>7.3040000000000003</v>
      </c>
      <c r="AI71" s="40">
        <v>34</v>
      </c>
      <c r="AJ71" s="40">
        <v>2.2000000000000002</v>
      </c>
      <c r="AK71" s="40">
        <v>2</v>
      </c>
      <c r="AL71" s="47">
        <v>0.2</v>
      </c>
      <c r="AM71" s="40">
        <v>19.399999999999999</v>
      </c>
      <c r="AN71" s="40">
        <v>4.5999999999999996</v>
      </c>
      <c r="AO71" s="40">
        <v>199.1</v>
      </c>
      <c r="AP71" s="40"/>
      <c r="AQ71" s="41">
        <f t="shared" si="59"/>
        <v>0.5</v>
      </c>
      <c r="AR71" s="41">
        <f t="shared" ref="AR71:AR102" si="68">BQ71</f>
        <v>0.12528233500386121</v>
      </c>
      <c r="AS71" s="41">
        <f t="shared" si="55"/>
        <v>3.3999999999999986</v>
      </c>
      <c r="AT71" s="41">
        <f t="shared" si="56"/>
        <v>0</v>
      </c>
      <c r="AU71" s="41">
        <f t="shared" si="57"/>
        <v>0</v>
      </c>
      <c r="AV71" s="67">
        <v>2.4</v>
      </c>
      <c r="AW71">
        <v>200</v>
      </c>
      <c r="AX71">
        <v>34</v>
      </c>
      <c r="AY71" s="40">
        <v>7.2</v>
      </c>
      <c r="AZ71" s="40">
        <v>50</v>
      </c>
      <c r="BA71" s="42">
        <v>4.0000000000000002E-4</v>
      </c>
      <c r="BB71" s="11"/>
      <c r="BC71" s="42">
        <f>0.00208803891673102*24*60/BG71</f>
        <v>1.5101838473594521E-2</v>
      </c>
      <c r="BD71" s="73">
        <f>0.00001991/BG71</f>
        <v>1.0000000000000001E-7</v>
      </c>
      <c r="BE71" s="42">
        <f t="shared" si="60"/>
        <v>1.6852620399999999E-3</v>
      </c>
      <c r="BF71" s="42">
        <f t="shared" ref="BF71:BF102" si="69">BE71*24*60</f>
        <v>2.4267773375999999</v>
      </c>
      <c r="BG71" s="42">
        <f t="shared" si="61"/>
        <v>199.1</v>
      </c>
      <c r="BH71" s="43">
        <f t="shared" si="62"/>
        <v>9.7438473129080855E-2</v>
      </c>
      <c r="BI71" s="43">
        <f t="shared" si="63"/>
        <v>9.6999999999999989E-2</v>
      </c>
      <c r="BJ71" s="43">
        <f t="shared" si="64"/>
        <v>180.40656240556015</v>
      </c>
      <c r="BK71" s="43" t="str">
        <f t="shared" ref="BK71:BK119" si="70">IF(C71="Python",BB71*BG71/24,"")</f>
        <v/>
      </c>
      <c r="BL71" s="44">
        <f t="shared" si="66"/>
        <v>0.12528233500386121</v>
      </c>
      <c r="BM71" s="44" t="str">
        <f t="shared" si="67"/>
        <v/>
      </c>
      <c r="BN71" s="43" t="str">
        <f t="shared" si="58"/>
        <v/>
      </c>
      <c r="BO71" s="43">
        <f t="shared" si="65"/>
        <v>1.9910000000000001E-5</v>
      </c>
      <c r="BP71" s="55">
        <f t="shared" ref="BP71:BP102" si="71">IF(BK71&lt;&gt;"",BK71/0.000385,IF(BL71&lt;&gt;"",BL71/0.000385,BM71/0.000385))</f>
        <v>325.40866234769146</v>
      </c>
      <c r="BQ71" s="45">
        <f t="shared" ref="BQ71:BQ102" si="72">IF(BK71&lt;&gt;"",BK71,IF(BL71&lt;&gt;"",BL71,BM71))</f>
        <v>0.12528233500386121</v>
      </c>
      <c r="BR71" s="24">
        <f t="shared" ref="BR71:BR102" si="73">IF(BN71&lt;&gt;"",BN71,BO71)</f>
        <v>1.9910000000000001E-5</v>
      </c>
    </row>
    <row r="72" spans="1:70" x14ac:dyDescent="0.3">
      <c r="A72" s="1" t="s">
        <v>86</v>
      </c>
      <c r="B72">
        <v>0.25</v>
      </c>
      <c r="C72" t="s">
        <v>77</v>
      </c>
      <c r="D72">
        <v>12</v>
      </c>
      <c r="E72">
        <v>7</v>
      </c>
      <c r="G72" s="35">
        <v>45575.472905092596</v>
      </c>
      <c r="H72">
        <v>3888.32</v>
      </c>
      <c r="J72" s="40">
        <v>4031.79</v>
      </c>
      <c r="K72" s="40">
        <v>23.832000000000001</v>
      </c>
      <c r="L72" s="40">
        <v>21.452999999999999</v>
      </c>
      <c r="M72" s="40">
        <v>90</v>
      </c>
      <c r="N72" s="40">
        <v>16.329999999999998</v>
      </c>
      <c r="O72" s="40">
        <v>336</v>
      </c>
      <c r="P72" s="40">
        <v>1.39</v>
      </c>
      <c r="Q72" s="40">
        <v>0.3</v>
      </c>
      <c r="R72" s="40">
        <v>1.25</v>
      </c>
      <c r="S72" s="40"/>
      <c r="T72" s="40">
        <v>0.21</v>
      </c>
      <c r="U72" s="40">
        <v>0.13</v>
      </c>
      <c r="V72" s="46">
        <v>2.37</v>
      </c>
      <c r="W72" s="40">
        <v>7.2949999999999999</v>
      </c>
      <c r="X72" s="40">
        <v>34.6</v>
      </c>
      <c r="Y72" s="40">
        <v>46.7</v>
      </c>
      <c r="Z72" s="40">
        <v>1.71</v>
      </c>
      <c r="AA72" s="40">
        <v>145.30000000000001</v>
      </c>
      <c r="AB72" s="40">
        <v>14.9</v>
      </c>
      <c r="AC72" s="40">
        <v>30.3</v>
      </c>
      <c r="AD72" s="40">
        <v>37.799999999999997</v>
      </c>
      <c r="AE72" s="17">
        <v>7.2530000000000001</v>
      </c>
      <c r="AF72" s="40">
        <v>408</v>
      </c>
      <c r="AG72" s="40">
        <v>50</v>
      </c>
      <c r="AH72" s="40">
        <v>7.3040000000000003</v>
      </c>
      <c r="AI72" s="40">
        <v>34</v>
      </c>
      <c r="AJ72" s="40">
        <v>2.2000000000000002</v>
      </c>
      <c r="AK72" s="40">
        <v>2.4</v>
      </c>
      <c r="AL72" s="47">
        <v>0.2</v>
      </c>
      <c r="AM72" s="40">
        <v>19.3</v>
      </c>
      <c r="AN72" s="40">
        <v>4.9000000000000004</v>
      </c>
      <c r="AO72" s="40">
        <v>200.3</v>
      </c>
      <c r="AP72" s="40"/>
      <c r="AQ72" s="41">
        <f t="shared" si="59"/>
        <v>0.5</v>
      </c>
      <c r="AR72" s="41">
        <f t="shared" si="68"/>
        <v>0.12608010420086038</v>
      </c>
      <c r="AS72" s="41">
        <f t="shared" si="55"/>
        <v>3.1000000000000014</v>
      </c>
      <c r="AT72" s="41">
        <f t="shared" si="56"/>
        <v>0</v>
      </c>
      <c r="AU72" s="41">
        <f t="shared" si="57"/>
        <v>0</v>
      </c>
      <c r="AV72" s="67">
        <v>2.4</v>
      </c>
      <c r="AW72">
        <v>200</v>
      </c>
      <c r="AX72">
        <v>34</v>
      </c>
      <c r="AY72" s="40">
        <v>7.2</v>
      </c>
      <c r="AZ72" s="40">
        <v>50</v>
      </c>
      <c r="BA72" s="42">
        <v>4.0000000000000002E-4</v>
      </c>
      <c r="BB72" s="11"/>
      <c r="BC72" s="42">
        <f>0.00210133507001434*24*60/BG72</f>
        <v>1.5106952075989262E-2</v>
      </c>
      <c r="BD72" s="73">
        <f>0.00002003/BG72</f>
        <v>9.9999999999999995E-8</v>
      </c>
      <c r="BE72" s="42">
        <f t="shared" si="60"/>
        <v>1.7188143600000002E-3</v>
      </c>
      <c r="BF72" s="42">
        <f t="shared" si="69"/>
        <v>2.4750926784000002</v>
      </c>
      <c r="BG72" s="42">
        <f t="shared" si="61"/>
        <v>200.3</v>
      </c>
      <c r="BH72" s="43">
        <f t="shared" si="62"/>
        <v>9.6355466799800296E-2</v>
      </c>
      <c r="BI72" s="43">
        <f t="shared" si="63"/>
        <v>9.6500000000000002E-2</v>
      </c>
      <c r="BJ72" s="43">
        <f t="shared" si="64"/>
        <v>181.55535004923897</v>
      </c>
      <c r="BK72" s="43" t="str">
        <f t="shared" si="70"/>
        <v/>
      </c>
      <c r="BL72" s="44">
        <f t="shared" si="66"/>
        <v>0.12608010420086038</v>
      </c>
      <c r="BM72" s="44" t="str">
        <f t="shared" si="67"/>
        <v/>
      </c>
      <c r="BN72" s="43" t="str">
        <f t="shared" si="58"/>
        <v/>
      </c>
      <c r="BO72" s="43">
        <f t="shared" si="65"/>
        <v>2.003E-5</v>
      </c>
      <c r="BP72" s="55">
        <f t="shared" si="71"/>
        <v>327.48079013210491</v>
      </c>
      <c r="BQ72" s="45">
        <f t="shared" si="72"/>
        <v>0.12608010420086038</v>
      </c>
      <c r="BR72" s="24">
        <f t="shared" si="73"/>
        <v>2.003E-5</v>
      </c>
    </row>
    <row r="73" spans="1:70" x14ac:dyDescent="0.3">
      <c r="A73" s="1" t="s">
        <v>87</v>
      </c>
      <c r="B73">
        <v>0.25</v>
      </c>
      <c r="C73" t="s">
        <v>80</v>
      </c>
      <c r="D73">
        <v>12</v>
      </c>
      <c r="E73">
        <v>7</v>
      </c>
      <c r="G73" s="35">
        <v>45575.473749999997</v>
      </c>
      <c r="H73">
        <v>3888.32</v>
      </c>
      <c r="J73" s="40">
        <v>3377.0549999999998</v>
      </c>
      <c r="K73" s="40">
        <v>21.202000000000002</v>
      </c>
      <c r="L73" s="40">
        <v>19.155000000000001</v>
      </c>
      <c r="M73" s="40">
        <v>90.3</v>
      </c>
      <c r="N73" s="40">
        <v>16.05</v>
      </c>
      <c r="O73" s="40">
        <v>342</v>
      </c>
      <c r="P73" s="40">
        <v>1.3</v>
      </c>
      <c r="Q73" s="40">
        <v>0.34</v>
      </c>
      <c r="R73" s="40">
        <v>2.4700000000000002</v>
      </c>
      <c r="S73" s="40"/>
      <c r="T73" s="40">
        <v>0.19</v>
      </c>
      <c r="U73" s="40">
        <v>0.14000000000000001</v>
      </c>
      <c r="V73" s="40">
        <v>2.77</v>
      </c>
      <c r="W73" s="40">
        <v>7.3029999999999999</v>
      </c>
      <c r="X73" s="40">
        <v>53</v>
      </c>
      <c r="Y73" s="40">
        <v>44.6</v>
      </c>
      <c r="Z73" s="40">
        <v>2.4700000000000002</v>
      </c>
      <c r="AA73" s="40">
        <v>143.1</v>
      </c>
      <c r="AB73" s="40">
        <v>23.2</v>
      </c>
      <c r="AC73" s="40">
        <v>46.4</v>
      </c>
      <c r="AD73" s="40">
        <v>36</v>
      </c>
      <c r="AE73" s="17">
        <v>7.2610000000000001</v>
      </c>
      <c r="AF73" s="40">
        <v>446</v>
      </c>
      <c r="AG73" s="40">
        <v>50.8</v>
      </c>
      <c r="AH73" s="40">
        <v>7.3049999999999997</v>
      </c>
      <c r="AI73" s="40">
        <v>34</v>
      </c>
      <c r="AJ73" s="40">
        <v>2.6</v>
      </c>
      <c r="AK73" s="40">
        <v>5.5</v>
      </c>
      <c r="AL73" s="47">
        <v>0.1</v>
      </c>
      <c r="AM73" s="40">
        <v>12.3</v>
      </c>
      <c r="AN73" s="40">
        <v>4.4000000000000004</v>
      </c>
      <c r="AO73" s="40">
        <v>199.1</v>
      </c>
      <c r="AP73" s="40"/>
      <c r="AQ73" s="41">
        <f t="shared" si="59"/>
        <v>0.50800000000000001</v>
      </c>
      <c r="AR73" s="41">
        <f t="shared" si="68"/>
        <v>9.1530252000000006E-2</v>
      </c>
      <c r="AS73" s="41">
        <f t="shared" si="55"/>
        <v>2.5</v>
      </c>
      <c r="AT73" s="41">
        <f t="shared" si="56"/>
        <v>0</v>
      </c>
      <c r="AU73" s="41">
        <f t="shared" si="57"/>
        <v>0</v>
      </c>
      <c r="AV73" s="67">
        <v>2.4</v>
      </c>
      <c r="AW73">
        <v>200</v>
      </c>
      <c r="AX73">
        <v>34</v>
      </c>
      <c r="AY73" s="40">
        <v>7.2</v>
      </c>
      <c r="AZ73" s="40">
        <v>50</v>
      </c>
      <c r="BA73" s="42">
        <v>4.0000000000000002E-4</v>
      </c>
      <c r="BB73" s="11"/>
      <c r="BD73" s="22"/>
      <c r="BE73" s="42">
        <f t="shared" si="60"/>
        <v>1.5255042000000001E-3</v>
      </c>
      <c r="BF73" s="42">
        <f t="shared" si="69"/>
        <v>2.1967260480000004</v>
      </c>
      <c r="BG73" s="42">
        <f t="shared" si="61"/>
        <v>199.1</v>
      </c>
      <c r="BH73" s="43">
        <f t="shared" si="62"/>
        <v>6.1778001004520348E-2</v>
      </c>
      <c r="BI73" s="43">
        <f t="shared" si="63"/>
        <v>6.1500000000000006E-2</v>
      </c>
      <c r="BJ73" s="43">
        <f t="shared" si="64"/>
        <v>131.80356288000002</v>
      </c>
      <c r="BK73" s="43" t="str">
        <f t="shared" si="70"/>
        <v/>
      </c>
      <c r="BL73" s="44" t="str">
        <f t="shared" si="66"/>
        <v/>
      </c>
      <c r="BM73" s="44">
        <f t="shared" si="67"/>
        <v>9.1530252000000006E-2</v>
      </c>
      <c r="BN73" s="43">
        <f t="shared" si="58"/>
        <v>0</v>
      </c>
      <c r="BO73" s="43" t="str">
        <f t="shared" si="65"/>
        <v/>
      </c>
      <c r="BP73" s="55">
        <f t="shared" si="71"/>
        <v>237.74091428571433</v>
      </c>
      <c r="BQ73" s="45">
        <f t="shared" si="72"/>
        <v>9.1530252000000006E-2</v>
      </c>
      <c r="BR73" s="24">
        <f t="shared" si="73"/>
        <v>0</v>
      </c>
    </row>
    <row r="74" spans="1:70" ht="15" thickBot="1" x14ac:dyDescent="0.35">
      <c r="A74" s="1" t="s">
        <v>88</v>
      </c>
      <c r="B74">
        <v>0.25</v>
      </c>
      <c r="C74" t="s">
        <v>80</v>
      </c>
      <c r="D74">
        <v>12</v>
      </c>
      <c r="E74">
        <v>7</v>
      </c>
      <c r="G74" s="35">
        <v>45575.474618055552</v>
      </c>
      <c r="H74">
        <v>3888.32</v>
      </c>
      <c r="J74" s="40">
        <v>3609.27</v>
      </c>
      <c r="K74" s="40">
        <v>19.338000000000001</v>
      </c>
      <c r="L74" s="40">
        <v>17.457000000000001</v>
      </c>
      <c r="M74" s="40">
        <v>90.3</v>
      </c>
      <c r="N74" s="40">
        <v>15.94</v>
      </c>
      <c r="O74" s="40">
        <v>330</v>
      </c>
      <c r="P74" s="40">
        <v>1.32</v>
      </c>
      <c r="Q74" s="40">
        <v>0.33</v>
      </c>
      <c r="R74" s="40">
        <v>2.61</v>
      </c>
      <c r="S74" s="40"/>
      <c r="T74" s="40">
        <v>0.19</v>
      </c>
      <c r="U74" s="40">
        <v>0.13</v>
      </c>
      <c r="V74" s="40">
        <v>2.4300000000000002</v>
      </c>
      <c r="W74" s="40">
        <v>7.3049999999999997</v>
      </c>
      <c r="X74" s="40">
        <v>41.9</v>
      </c>
      <c r="Y74" s="40">
        <v>63.3</v>
      </c>
      <c r="Z74" s="40">
        <v>2.41</v>
      </c>
      <c r="AA74" s="40">
        <v>139.4</v>
      </c>
      <c r="AB74" s="40">
        <v>18.399999999999999</v>
      </c>
      <c r="AC74" s="40">
        <v>36.700000000000003</v>
      </c>
      <c r="AD74" s="40">
        <v>51.5</v>
      </c>
      <c r="AE74" s="17">
        <v>7.2640000000000002</v>
      </c>
      <c r="AF74" s="40">
        <v>406</v>
      </c>
      <c r="AG74" s="40">
        <v>52.2</v>
      </c>
      <c r="AH74" s="40">
        <v>7.3029999999999999</v>
      </c>
      <c r="AI74" s="40">
        <v>34</v>
      </c>
      <c r="AJ74" s="40">
        <v>2.2999999999999998</v>
      </c>
      <c r="AK74" s="40">
        <v>5.5</v>
      </c>
      <c r="AL74" s="40">
        <v>0.2</v>
      </c>
      <c r="AM74" s="40">
        <v>12.8</v>
      </c>
      <c r="AN74" s="40">
        <v>4.4000000000000004</v>
      </c>
      <c r="AO74" s="40">
        <v>198.6</v>
      </c>
      <c r="AP74" s="7"/>
      <c r="AQ74" s="41">
        <f t="shared" si="59"/>
        <v>0.52200000000000002</v>
      </c>
      <c r="AR74" s="41">
        <f t="shared" si="68"/>
        <v>8.3207044800000005E-2</v>
      </c>
      <c r="AS74" s="41">
        <f t="shared" si="55"/>
        <v>2.5</v>
      </c>
      <c r="AT74" s="41">
        <f t="shared" si="56"/>
        <v>0</v>
      </c>
      <c r="AU74" s="41">
        <f t="shared" si="57"/>
        <v>0</v>
      </c>
      <c r="AV74" s="68">
        <v>2.4</v>
      </c>
      <c r="AW74">
        <v>200</v>
      </c>
      <c r="AX74" s="5">
        <v>34</v>
      </c>
      <c r="AY74" s="40">
        <v>7.2</v>
      </c>
      <c r="AZ74" s="40">
        <v>50</v>
      </c>
      <c r="BA74" s="42">
        <v>4.0000000000000002E-4</v>
      </c>
      <c r="BB74" s="11" t="s">
        <v>92</v>
      </c>
      <c r="BD74" s="22"/>
      <c r="BE74" s="42">
        <f t="shared" si="60"/>
        <v>1.3867840800000002E-3</v>
      </c>
      <c r="BF74" s="42">
        <f t="shared" si="69"/>
        <v>1.9969690752000004</v>
      </c>
      <c r="BG74" s="42">
        <f t="shared" si="61"/>
        <v>198.6</v>
      </c>
      <c r="BH74" s="43">
        <f t="shared" si="62"/>
        <v>6.4451158106747231E-2</v>
      </c>
      <c r="BI74" s="43">
        <f t="shared" si="63"/>
        <v>6.4000000000000001E-2</v>
      </c>
      <c r="BJ74" s="43">
        <f t="shared" si="64"/>
        <v>119.818144512</v>
      </c>
      <c r="BK74" s="43" t="str">
        <f t="shared" si="70"/>
        <v/>
      </c>
      <c r="BL74" s="44" t="str">
        <f t="shared" si="66"/>
        <v/>
      </c>
      <c r="BM74" s="44">
        <f t="shared" si="67"/>
        <v>8.3207044800000005E-2</v>
      </c>
      <c r="BN74" s="43">
        <f t="shared" si="58"/>
        <v>0</v>
      </c>
      <c r="BO74" s="43" t="str">
        <f t="shared" si="65"/>
        <v/>
      </c>
      <c r="BP74" s="55">
        <f t="shared" si="71"/>
        <v>216.1221942857143</v>
      </c>
      <c r="BQ74" s="45">
        <f t="shared" si="72"/>
        <v>8.3207044800000005E-2</v>
      </c>
      <c r="BR74" s="24">
        <f t="shared" si="73"/>
        <v>0</v>
      </c>
    </row>
    <row r="75" spans="1:70" s="92" customFormat="1" x14ac:dyDescent="0.3">
      <c r="A75" s="81" t="s">
        <v>76</v>
      </c>
      <c r="B75" s="82">
        <v>1000</v>
      </c>
      <c r="C75" s="82" t="s">
        <v>77</v>
      </c>
      <c r="D75" s="82">
        <v>12</v>
      </c>
      <c r="E75" s="82">
        <v>8</v>
      </c>
      <c r="F75" s="82"/>
      <c r="G75" s="83">
        <v>45576.349305555559</v>
      </c>
      <c r="H75" s="82">
        <v>4309.7</v>
      </c>
      <c r="I75" s="82"/>
      <c r="J75" s="84">
        <v>3221.7150000000001</v>
      </c>
      <c r="K75" s="84">
        <v>22.3</v>
      </c>
      <c r="L75" s="84">
        <v>21.5</v>
      </c>
      <c r="M75" s="84">
        <v>97</v>
      </c>
      <c r="N75" s="84"/>
      <c r="O75" s="84"/>
      <c r="P75" s="84"/>
      <c r="Q75" s="84"/>
      <c r="R75" s="84">
        <v>7.06</v>
      </c>
      <c r="S75" s="84"/>
      <c r="T75" s="84"/>
      <c r="U75" s="84"/>
      <c r="V75" s="84">
        <v>0.84</v>
      </c>
      <c r="W75" s="84"/>
      <c r="X75" s="84"/>
      <c r="Y75" s="84"/>
      <c r="Z75" s="84"/>
      <c r="AA75" s="84"/>
      <c r="AB75" s="84"/>
      <c r="AC75" s="84"/>
      <c r="AD75" s="84"/>
      <c r="AE75" s="85">
        <v>7.3</v>
      </c>
      <c r="AF75" s="84"/>
      <c r="AG75" s="84">
        <v>52.5</v>
      </c>
      <c r="AH75" s="84"/>
      <c r="AI75" s="84">
        <v>34</v>
      </c>
      <c r="AJ75" s="84"/>
      <c r="AK75" s="84"/>
      <c r="AL75" s="84"/>
      <c r="AM75" s="84">
        <v>62332.34765625</v>
      </c>
      <c r="AN75" s="84">
        <v>23036.900390625</v>
      </c>
      <c r="AO75" s="84">
        <v>656400.02441406297</v>
      </c>
      <c r="AP75" s="84"/>
      <c r="AQ75" s="84">
        <f t="shared" si="59"/>
        <v>0.52500000000000002</v>
      </c>
      <c r="AR75" s="84">
        <f t="shared" si="68"/>
        <v>283.4185635278526</v>
      </c>
      <c r="AS75" s="84">
        <f t="shared" si="55"/>
        <v>7411.265625</v>
      </c>
      <c r="AT75" s="84">
        <f t="shared" si="56"/>
        <v>995.642578125</v>
      </c>
      <c r="AU75" s="84">
        <f t="shared" si="57"/>
        <v>0</v>
      </c>
      <c r="AV75" s="86">
        <v>60</v>
      </c>
      <c r="AW75" s="82">
        <v>592000</v>
      </c>
      <c r="AX75" s="82">
        <v>34</v>
      </c>
      <c r="AY75" s="84">
        <v>7.2</v>
      </c>
      <c r="AZ75" s="84">
        <v>50</v>
      </c>
      <c r="BA75" s="87">
        <v>4.0000000000000002E-4</v>
      </c>
      <c r="BB75" s="88"/>
      <c r="BC75" s="87">
        <f>4.72364272546421*24*60/BG75</f>
        <v>1.0362652760015243E-2</v>
      </c>
      <c r="BD75" s="89">
        <f>792.953496967818/BG75</f>
        <v>1.2080339236361999E-3</v>
      </c>
      <c r="BE75" s="87">
        <f t="shared" si="60"/>
        <v>5.6450402099609418</v>
      </c>
      <c r="BF75" s="87">
        <f t="shared" si="69"/>
        <v>8128.857902343756</v>
      </c>
      <c r="BG75" s="87">
        <f t="shared" si="61"/>
        <v>656400.02441406297</v>
      </c>
      <c r="BH75" s="87">
        <f t="shared" si="62"/>
        <v>9.4960916114972899E-2</v>
      </c>
      <c r="BI75" s="87">
        <f t="shared" si="63"/>
        <v>0.1052911277977196</v>
      </c>
      <c r="BJ75" s="87">
        <f t="shared" si="64"/>
        <v>408122.73148010776</v>
      </c>
      <c r="BK75" s="87" t="str">
        <f t="shared" si="70"/>
        <v/>
      </c>
      <c r="BL75" s="87">
        <f>IF(C75="Julia",BC75*BG75/24,"")</f>
        <v>283.4185635278526</v>
      </c>
      <c r="BM75" s="90" t="str">
        <f t="shared" si="67"/>
        <v/>
      </c>
      <c r="BN75" s="87" t="str">
        <f t="shared" si="58"/>
        <v/>
      </c>
      <c r="BO75" s="87">
        <f t="shared" si="65"/>
        <v>792.95349696781796</v>
      </c>
      <c r="BP75" s="91">
        <f t="shared" si="71"/>
        <v>736152.11305935739</v>
      </c>
      <c r="BQ75" s="90">
        <f t="shared" si="72"/>
        <v>283.4185635278526</v>
      </c>
      <c r="BR75" s="91">
        <f t="shared" si="73"/>
        <v>792.95349696781796</v>
      </c>
    </row>
    <row r="76" spans="1:70" x14ac:dyDescent="0.3">
      <c r="A76" s="1" t="s">
        <v>79</v>
      </c>
      <c r="B76">
        <v>0.25</v>
      </c>
      <c r="C76" t="s">
        <v>80</v>
      </c>
      <c r="D76">
        <v>12</v>
      </c>
      <c r="E76">
        <v>8</v>
      </c>
      <c r="G76" s="35">
        <v>45576.376423611109</v>
      </c>
      <c r="H76">
        <v>4309.7</v>
      </c>
      <c r="J76" s="40">
        <v>4151.3100000000004</v>
      </c>
      <c r="K76" s="40">
        <v>20.934000000000001</v>
      </c>
      <c r="L76" s="40">
        <v>19.114999999999998</v>
      </c>
      <c r="M76" s="40">
        <v>91.3</v>
      </c>
      <c r="N76" s="40">
        <v>16.260000000000002</v>
      </c>
      <c r="O76" s="40">
        <v>332</v>
      </c>
      <c r="P76" s="40">
        <v>1.39</v>
      </c>
      <c r="Q76" s="40">
        <v>0.32</v>
      </c>
      <c r="R76" s="40">
        <v>3.17</v>
      </c>
      <c r="S76" s="40"/>
      <c r="T76" s="40">
        <v>0.22</v>
      </c>
      <c r="U76" s="40">
        <v>0.15</v>
      </c>
      <c r="V76" s="40">
        <v>1.91</v>
      </c>
      <c r="W76" s="40">
        <v>7.3129999999999997</v>
      </c>
      <c r="X76" s="40">
        <v>38.9</v>
      </c>
      <c r="Y76" s="40">
        <v>61.3</v>
      </c>
      <c r="Z76" s="40">
        <v>2.12</v>
      </c>
      <c r="AA76" s="40">
        <v>139.5</v>
      </c>
      <c r="AB76" s="40">
        <v>17.5</v>
      </c>
      <c r="AC76" s="40">
        <v>34.1</v>
      </c>
      <c r="AD76" s="40">
        <v>49.9</v>
      </c>
      <c r="AE76" s="17">
        <v>7.2720000000000002</v>
      </c>
      <c r="AF76" s="40">
        <v>408</v>
      </c>
      <c r="AG76" s="40">
        <v>49.9</v>
      </c>
      <c r="AH76" s="40">
        <v>7.3070000000000004</v>
      </c>
      <c r="AI76" s="40">
        <v>34</v>
      </c>
      <c r="AJ76" s="40">
        <v>2</v>
      </c>
      <c r="AK76" s="40">
        <v>6.6</v>
      </c>
      <c r="AL76" s="40">
        <v>0.2</v>
      </c>
      <c r="AM76" s="40">
        <v>15.6</v>
      </c>
      <c r="AN76" s="40">
        <v>4</v>
      </c>
      <c r="AO76" s="40">
        <v>197.9</v>
      </c>
      <c r="AP76" s="40"/>
      <c r="AQ76" s="41">
        <f t="shared" si="59"/>
        <v>0.499</v>
      </c>
      <c r="AR76" s="41">
        <f t="shared" si="68"/>
        <v>9.0788603999999995E-2</v>
      </c>
      <c r="AS76" s="41">
        <f t="shared" ref="AS76:AS107" si="74">AM76-AM67</f>
        <v>2.1999999999999993</v>
      </c>
      <c r="AT76" s="41">
        <f t="shared" ref="AT76:AT107" si="75">AN76-AN67</f>
        <v>0</v>
      </c>
      <c r="AU76" s="41">
        <f t="shared" ref="AU76:AU107" si="76">AP67-AP76</f>
        <v>0</v>
      </c>
      <c r="AV76" s="67">
        <v>2.4</v>
      </c>
      <c r="AW76">
        <v>200</v>
      </c>
      <c r="AX76">
        <v>34</v>
      </c>
      <c r="AY76" s="40">
        <v>7.2</v>
      </c>
      <c r="AZ76" s="40">
        <v>50</v>
      </c>
      <c r="BA76" s="42">
        <v>4.0000000000000002E-4</v>
      </c>
      <c r="BB76" s="11"/>
      <c r="BC76" s="42"/>
      <c r="BD76" s="22"/>
      <c r="BE76" s="42">
        <f t="shared" si="60"/>
        <v>1.5131434000000001E-3</v>
      </c>
      <c r="BF76" s="42">
        <f t="shared" si="69"/>
        <v>2.1789264960000003</v>
      </c>
      <c r="BG76" s="42">
        <f t="shared" si="61"/>
        <v>197.9</v>
      </c>
      <c r="BH76" s="43">
        <f t="shared" si="62"/>
        <v>7.8827690752905508E-2</v>
      </c>
      <c r="BI76" s="43">
        <f t="shared" si="63"/>
        <v>7.8E-2</v>
      </c>
      <c r="BJ76" s="43">
        <f t="shared" si="64"/>
        <v>130.73558975999998</v>
      </c>
      <c r="BK76" s="43" t="str">
        <f t="shared" si="70"/>
        <v/>
      </c>
      <c r="BL76" s="43" t="str">
        <f>IF(C76="Julia",BC76*BG76/24,"")</f>
        <v/>
      </c>
      <c r="BM76" s="44">
        <f t="shared" si="67"/>
        <v>9.0788603999999995E-2</v>
      </c>
      <c r="BN76" s="43">
        <f t="shared" si="58"/>
        <v>0</v>
      </c>
      <c r="BO76" s="43" t="str">
        <f t="shared" si="65"/>
        <v/>
      </c>
      <c r="BP76" s="55">
        <f t="shared" si="71"/>
        <v>235.81455584415585</v>
      </c>
      <c r="BQ76" s="45">
        <f t="shared" si="72"/>
        <v>9.0788603999999995E-2</v>
      </c>
      <c r="BR76" s="24">
        <f t="shared" si="73"/>
        <v>0</v>
      </c>
    </row>
    <row r="77" spans="1:70" x14ac:dyDescent="0.3">
      <c r="A77" s="1" t="s">
        <v>81</v>
      </c>
      <c r="B77">
        <v>0.25</v>
      </c>
      <c r="C77" t="s">
        <v>80</v>
      </c>
      <c r="D77">
        <v>12</v>
      </c>
      <c r="E77">
        <v>8</v>
      </c>
      <c r="G77" s="35">
        <v>45576.377268518518</v>
      </c>
      <c r="H77">
        <v>4309.7</v>
      </c>
      <c r="J77" s="40">
        <v>4252.2</v>
      </c>
      <c r="K77" s="40">
        <v>24.87</v>
      </c>
      <c r="L77" s="40">
        <v>22.106000000000002</v>
      </c>
      <c r="M77" s="40">
        <v>88.9</v>
      </c>
      <c r="N77" s="40">
        <v>16.170000000000002</v>
      </c>
      <c r="O77" s="40">
        <v>334</v>
      </c>
      <c r="P77" s="40">
        <v>1.39</v>
      </c>
      <c r="Q77" s="40">
        <v>0.33</v>
      </c>
      <c r="R77" s="40">
        <v>2.59</v>
      </c>
      <c r="S77" s="40"/>
      <c r="T77" s="40">
        <v>0.17</v>
      </c>
      <c r="U77" s="40">
        <v>0.15</v>
      </c>
      <c r="V77" s="40">
        <v>2.08</v>
      </c>
      <c r="W77" s="40">
        <v>7.3330000000000002</v>
      </c>
      <c r="X77" s="40">
        <v>34.1</v>
      </c>
      <c r="Y77" s="40">
        <v>67</v>
      </c>
      <c r="Z77" s="40">
        <v>2.41</v>
      </c>
      <c r="AA77" s="40">
        <v>138.5</v>
      </c>
      <c r="AB77" s="40">
        <v>16</v>
      </c>
      <c r="AC77" s="40">
        <v>29.9</v>
      </c>
      <c r="AD77" s="40">
        <v>54.6</v>
      </c>
      <c r="AE77" s="17">
        <v>7.2910000000000004</v>
      </c>
      <c r="AF77" s="40">
        <v>408</v>
      </c>
      <c r="AG77" s="40">
        <v>52.2</v>
      </c>
      <c r="AH77" s="40">
        <v>7.3079999999999998</v>
      </c>
      <c r="AI77" s="40">
        <v>34</v>
      </c>
      <c r="AJ77" s="40">
        <v>2.1</v>
      </c>
      <c r="AK77" s="40">
        <v>6.1</v>
      </c>
      <c r="AL77" s="40">
        <v>0.2</v>
      </c>
      <c r="AM77" s="40">
        <v>15.3</v>
      </c>
      <c r="AN77" s="40">
        <v>4.3</v>
      </c>
      <c r="AO77" s="40">
        <v>196.6</v>
      </c>
      <c r="AP77" s="40"/>
      <c r="AQ77" s="41">
        <f t="shared" si="59"/>
        <v>0.52200000000000002</v>
      </c>
      <c r="AR77" s="41">
        <f t="shared" si="68"/>
        <v>0.1043049504</v>
      </c>
      <c r="AS77" s="41">
        <f t="shared" si="74"/>
        <v>2</v>
      </c>
      <c r="AT77" s="41">
        <f t="shared" si="75"/>
        <v>0</v>
      </c>
      <c r="AU77" s="41">
        <f t="shared" si="76"/>
        <v>0</v>
      </c>
      <c r="AV77" s="67">
        <v>2.4</v>
      </c>
      <c r="AW77">
        <v>200</v>
      </c>
      <c r="AX77">
        <v>34</v>
      </c>
      <c r="AY77" s="40">
        <v>7.2</v>
      </c>
      <c r="AZ77" s="40">
        <v>50</v>
      </c>
      <c r="BA77" s="42">
        <v>4.0000000000000002E-4</v>
      </c>
      <c r="BB77" s="11"/>
      <c r="BC77" s="42"/>
      <c r="BD77" s="22"/>
      <c r="BE77" s="42">
        <f t="shared" si="60"/>
        <v>1.73841584E-3</v>
      </c>
      <c r="BF77" s="42">
        <f t="shared" si="69"/>
        <v>2.5033188096000001</v>
      </c>
      <c r="BG77" s="42">
        <f t="shared" si="61"/>
        <v>196.6</v>
      </c>
      <c r="BH77" s="43">
        <f t="shared" si="62"/>
        <v>7.7822990844354026E-2</v>
      </c>
      <c r="BI77" s="43">
        <f t="shared" si="63"/>
        <v>7.6499999999999999E-2</v>
      </c>
      <c r="BJ77" s="43">
        <f t="shared" si="64"/>
        <v>150.19912857599999</v>
      </c>
      <c r="BK77" s="43" t="str">
        <f t="shared" si="70"/>
        <v/>
      </c>
      <c r="BL77" s="43" t="str">
        <f t="shared" si="66"/>
        <v/>
      </c>
      <c r="BM77" s="44">
        <f t="shared" si="67"/>
        <v>0.1043049504</v>
      </c>
      <c r="BN77" s="43">
        <f t="shared" si="58"/>
        <v>0</v>
      </c>
      <c r="BO77" s="43" t="str">
        <f t="shared" si="65"/>
        <v/>
      </c>
      <c r="BP77" s="55">
        <f t="shared" si="71"/>
        <v>270.9219490909091</v>
      </c>
      <c r="BQ77" s="45">
        <f t="shared" si="72"/>
        <v>0.1043049504</v>
      </c>
      <c r="BR77" s="24">
        <f t="shared" si="73"/>
        <v>0</v>
      </c>
    </row>
    <row r="78" spans="1:70" x14ac:dyDescent="0.3">
      <c r="A78" s="1" t="s">
        <v>82</v>
      </c>
      <c r="B78">
        <v>0.25</v>
      </c>
      <c r="C78" t="s">
        <v>83</v>
      </c>
      <c r="D78">
        <v>12</v>
      </c>
      <c r="E78">
        <v>8</v>
      </c>
      <c r="G78" s="35"/>
      <c r="H78">
        <v>4309.7</v>
      </c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17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1">
        <f t="shared" si="59"/>
        <v>0</v>
      </c>
      <c r="AR78" s="41">
        <f t="shared" si="68"/>
        <v>0</v>
      </c>
      <c r="AS78" s="41">
        <f t="shared" si="74"/>
        <v>-19.600000000000001</v>
      </c>
      <c r="AT78" s="41">
        <f t="shared" si="75"/>
        <v>-4.5</v>
      </c>
      <c r="AU78" s="41">
        <f t="shared" si="76"/>
        <v>0</v>
      </c>
      <c r="AV78" s="67">
        <v>2.4</v>
      </c>
      <c r="AW78">
        <v>200</v>
      </c>
      <c r="AX78">
        <v>34</v>
      </c>
      <c r="AY78" s="40">
        <v>7.2</v>
      </c>
      <c r="AZ78" s="40">
        <v>50</v>
      </c>
      <c r="BA78" s="42">
        <v>4.0000000000000002E-4</v>
      </c>
      <c r="BB78" s="11"/>
      <c r="BC78" s="42"/>
      <c r="BD78" s="22"/>
      <c r="BE78" s="42">
        <f t="shared" si="60"/>
        <v>0</v>
      </c>
      <c r="BF78" s="42">
        <f t="shared" si="69"/>
        <v>0</v>
      </c>
      <c r="BG78" s="42">
        <f t="shared" si="61"/>
        <v>178.4</v>
      </c>
      <c r="BH78" s="43" t="str">
        <f t="shared" si="62"/>
        <v/>
      </c>
      <c r="BI78" s="43" t="str">
        <f t="shared" si="63"/>
        <v/>
      </c>
      <c r="BJ78" s="43">
        <f t="shared" si="64"/>
        <v>0</v>
      </c>
      <c r="BK78" s="43">
        <f t="shared" si="70"/>
        <v>0</v>
      </c>
      <c r="BL78" s="43" t="str">
        <f t="shared" si="66"/>
        <v/>
      </c>
      <c r="BM78" s="44" t="str">
        <f t="shared" si="67"/>
        <v/>
      </c>
      <c r="BN78" s="43">
        <f t="shared" si="58"/>
        <v>1.3380000000000001</v>
      </c>
      <c r="BO78" s="43" t="str">
        <f t="shared" si="65"/>
        <v/>
      </c>
      <c r="BP78" s="55">
        <f t="shared" si="71"/>
        <v>0</v>
      </c>
      <c r="BQ78" s="45">
        <f t="shared" si="72"/>
        <v>0</v>
      </c>
      <c r="BR78" s="24">
        <f t="shared" si="73"/>
        <v>1.3380000000000001</v>
      </c>
    </row>
    <row r="79" spans="1:70" x14ac:dyDescent="0.3">
      <c r="A79" s="1" t="s">
        <v>84</v>
      </c>
      <c r="B79">
        <v>0.25</v>
      </c>
      <c r="C79" t="s">
        <v>83</v>
      </c>
      <c r="D79">
        <v>12</v>
      </c>
      <c r="E79">
        <v>8</v>
      </c>
      <c r="G79" s="35">
        <v>45576.378101851849</v>
      </c>
      <c r="H79">
        <v>4309.7</v>
      </c>
      <c r="J79" s="40">
        <v>4328.1750000000002</v>
      </c>
      <c r="K79" s="40">
        <v>21.445</v>
      </c>
      <c r="L79" s="40">
        <v>19.353999999999999</v>
      </c>
      <c r="M79" s="40">
        <v>90.2</v>
      </c>
      <c r="N79" s="40">
        <v>16.760000000000002</v>
      </c>
      <c r="O79" s="40">
        <v>340</v>
      </c>
      <c r="P79" s="40">
        <v>1.45</v>
      </c>
      <c r="Q79" s="40">
        <v>0.31</v>
      </c>
      <c r="R79" s="40">
        <v>1.75</v>
      </c>
      <c r="S79" s="40"/>
      <c r="T79" s="40">
        <v>0.23</v>
      </c>
      <c r="U79" s="40">
        <v>0.17</v>
      </c>
      <c r="V79" s="46">
        <v>2.2799999999999998</v>
      </c>
      <c r="W79" s="40">
        <v>7.3109999999999999</v>
      </c>
      <c r="X79" s="40">
        <v>36</v>
      </c>
      <c r="Y79" s="40">
        <v>45.6</v>
      </c>
      <c r="Z79" s="40">
        <v>1.71</v>
      </c>
      <c r="AA79" s="40">
        <v>149.6</v>
      </c>
      <c r="AB79" s="40">
        <v>16.100000000000001</v>
      </c>
      <c r="AC79" s="40">
        <v>31.6</v>
      </c>
      <c r="AD79" s="40">
        <v>36.9</v>
      </c>
      <c r="AE79" s="17">
        <v>7.2690000000000001</v>
      </c>
      <c r="AF79" s="40">
        <v>408</v>
      </c>
      <c r="AG79" s="40">
        <v>50.6</v>
      </c>
      <c r="AH79" s="40">
        <v>7.3040000000000003</v>
      </c>
      <c r="AI79" s="40">
        <v>33.9</v>
      </c>
      <c r="AJ79" s="40">
        <v>2.2999999999999998</v>
      </c>
      <c r="AK79" s="40">
        <v>4</v>
      </c>
      <c r="AL79" s="40">
        <v>0.3</v>
      </c>
      <c r="AM79" s="40">
        <v>20.6</v>
      </c>
      <c r="AN79" s="40">
        <v>5</v>
      </c>
      <c r="AO79" s="40">
        <v>200.5</v>
      </c>
      <c r="AP79" s="40"/>
      <c r="AQ79" s="41">
        <f t="shared" si="59"/>
        <v>0.50600000000000001</v>
      </c>
      <c r="AR79" s="41">
        <f t="shared" si="68"/>
        <v>0.10860416666666667</v>
      </c>
      <c r="AS79" s="41">
        <f t="shared" si="74"/>
        <v>2.3000000000000007</v>
      </c>
      <c r="AT79" s="41">
        <f t="shared" si="75"/>
        <v>1.1000000000000001</v>
      </c>
      <c r="AU79" s="41">
        <f t="shared" si="76"/>
        <v>0</v>
      </c>
      <c r="AV79" s="67">
        <v>2.4</v>
      </c>
      <c r="AW79">
        <v>200</v>
      </c>
      <c r="AX79">
        <v>34</v>
      </c>
      <c r="AY79" s="40">
        <v>7.2</v>
      </c>
      <c r="AZ79" s="40">
        <v>50</v>
      </c>
      <c r="BA79" s="42">
        <v>4.0000000000000002E-4</v>
      </c>
      <c r="BB79" s="11">
        <v>1.2999999999999999E-2</v>
      </c>
      <c r="BD79" s="22"/>
      <c r="BE79" s="42">
        <f t="shared" si="60"/>
        <v>1.5521908E-3</v>
      </c>
      <c r="BF79" s="42">
        <f t="shared" si="69"/>
        <v>2.2351547519999997</v>
      </c>
      <c r="BG79" s="42">
        <f t="shared" si="61"/>
        <v>200.5</v>
      </c>
      <c r="BH79" s="43">
        <f t="shared" si="62"/>
        <v>0.10274314214463841</v>
      </c>
      <c r="BI79" s="43">
        <f t="shared" si="63"/>
        <v>0.10300000000000001</v>
      </c>
      <c r="BJ79" s="43">
        <f t="shared" si="64"/>
        <v>156.39000000000001</v>
      </c>
      <c r="BK79" s="43">
        <f t="shared" si="70"/>
        <v>0.10860416666666667</v>
      </c>
      <c r="BL79" s="44" t="str">
        <f t="shared" si="66"/>
        <v/>
      </c>
      <c r="BM79" s="44" t="str">
        <f t="shared" si="67"/>
        <v/>
      </c>
      <c r="BN79" s="43">
        <f t="shared" si="58"/>
        <v>0</v>
      </c>
      <c r="BO79" s="43" t="str">
        <f t="shared" si="65"/>
        <v/>
      </c>
      <c r="BP79" s="55">
        <f t="shared" si="71"/>
        <v>282.08874458874459</v>
      </c>
      <c r="BQ79" s="45">
        <f t="shared" si="72"/>
        <v>0.10860416666666667</v>
      </c>
      <c r="BR79" s="24">
        <f t="shared" si="73"/>
        <v>0</v>
      </c>
    </row>
    <row r="80" spans="1:70" x14ac:dyDescent="0.3">
      <c r="A80" s="1" t="s">
        <v>85</v>
      </c>
      <c r="B80">
        <v>0.25</v>
      </c>
      <c r="C80" t="s">
        <v>77</v>
      </c>
      <c r="D80">
        <v>12</v>
      </c>
      <c r="E80">
        <v>8</v>
      </c>
      <c r="G80" s="35">
        <v>45576.378946759258</v>
      </c>
      <c r="H80">
        <v>4309.7</v>
      </c>
      <c r="J80" s="40">
        <v>4470.4350000000004</v>
      </c>
      <c r="K80" s="40">
        <v>31.463999999999999</v>
      </c>
      <c r="L80" s="40">
        <v>27.488</v>
      </c>
      <c r="M80" s="40">
        <v>87.4</v>
      </c>
      <c r="N80" s="40">
        <v>16.43</v>
      </c>
      <c r="O80" s="40">
        <v>340</v>
      </c>
      <c r="P80" s="40">
        <v>1.54</v>
      </c>
      <c r="Q80" s="40">
        <v>0.31</v>
      </c>
      <c r="R80" s="40">
        <v>0.62</v>
      </c>
      <c r="S80" s="40"/>
      <c r="T80" s="40">
        <v>0.27</v>
      </c>
      <c r="U80" s="40">
        <v>0.18</v>
      </c>
      <c r="V80" s="40">
        <v>2.16</v>
      </c>
      <c r="W80" s="40">
        <v>7.3159999999999998</v>
      </c>
      <c r="X80" s="40">
        <v>31.9</v>
      </c>
      <c r="Y80" s="40">
        <v>44.6</v>
      </c>
      <c r="Z80" s="40">
        <v>1.9</v>
      </c>
      <c r="AA80" s="40">
        <v>148.5</v>
      </c>
      <c r="AB80" s="40">
        <v>14.4</v>
      </c>
      <c r="AC80" s="40">
        <v>28</v>
      </c>
      <c r="AD80" s="40">
        <v>36.1</v>
      </c>
      <c r="AE80" s="17">
        <v>7.274</v>
      </c>
      <c r="AF80" s="40">
        <v>407</v>
      </c>
      <c r="AG80" s="40">
        <v>50</v>
      </c>
      <c r="AH80" s="40">
        <v>7.3049999999999997</v>
      </c>
      <c r="AI80" s="40">
        <v>34</v>
      </c>
      <c r="AJ80" s="40">
        <v>2.2000000000000002</v>
      </c>
      <c r="AK80" s="40">
        <v>2.9</v>
      </c>
      <c r="AL80" s="40">
        <v>0.2</v>
      </c>
      <c r="AM80" s="40">
        <v>22.1</v>
      </c>
      <c r="AN80" s="40">
        <v>4.5999999999999996</v>
      </c>
      <c r="AO80" s="40">
        <v>198.6</v>
      </c>
      <c r="AP80" s="40"/>
      <c r="AQ80" s="41">
        <f t="shared" si="59"/>
        <v>0.5</v>
      </c>
      <c r="AR80" s="41">
        <f t="shared" si="68"/>
        <v>0.131818314836991</v>
      </c>
      <c r="AS80" s="41">
        <f t="shared" si="74"/>
        <v>2.7000000000000028</v>
      </c>
      <c r="AT80" s="41">
        <f t="shared" si="75"/>
        <v>0</v>
      </c>
      <c r="AU80" s="41">
        <f t="shared" si="76"/>
        <v>0</v>
      </c>
      <c r="AV80" s="67">
        <v>2.4</v>
      </c>
      <c r="AW80">
        <v>200</v>
      </c>
      <c r="AX80">
        <v>34</v>
      </c>
      <c r="AY80" s="40">
        <v>7.2</v>
      </c>
      <c r="AZ80" s="40">
        <v>50</v>
      </c>
      <c r="BA80" s="42">
        <v>4.0000000000000002E-4</v>
      </c>
      <c r="BB80" s="11"/>
      <c r="BC80" s="42">
        <f>0.00219697191394985*24*60/BG80</f>
        <v>1.5929705720482294E-2</v>
      </c>
      <c r="BD80" s="42">
        <f>0.208163106754803/BG80</f>
        <v>1.0481526019879305E-3</v>
      </c>
      <c r="BE80" s="42">
        <f t="shared" si="60"/>
        <v>2.1836467200000002E-3</v>
      </c>
      <c r="BF80" s="42">
        <f t="shared" si="69"/>
        <v>3.1444512768000004</v>
      </c>
      <c r="BG80" s="42">
        <f t="shared" si="61"/>
        <v>198.6</v>
      </c>
      <c r="BH80" s="43">
        <f t="shared" si="62"/>
        <v>0.11127895266868078</v>
      </c>
      <c r="BI80" s="43">
        <f t="shared" si="63"/>
        <v>0.1105</v>
      </c>
      <c r="BJ80" s="43">
        <f t="shared" si="64"/>
        <v>189.81837336526701</v>
      </c>
      <c r="BK80" s="43" t="str">
        <f t="shared" si="70"/>
        <v/>
      </c>
      <c r="BL80" s="44">
        <f t="shared" si="66"/>
        <v>0.131818314836991</v>
      </c>
      <c r="BM80" s="44" t="str">
        <f t="shared" si="67"/>
        <v/>
      </c>
      <c r="BN80" s="43" t="str">
        <f t="shared" si="58"/>
        <v/>
      </c>
      <c r="BO80" s="43">
        <f t="shared" si="65"/>
        <v>0.20816310675480301</v>
      </c>
      <c r="BP80" s="55">
        <f t="shared" si="71"/>
        <v>342.38523334283377</v>
      </c>
      <c r="BQ80" s="45">
        <f t="shared" si="72"/>
        <v>0.131818314836991</v>
      </c>
      <c r="BR80" s="24">
        <f t="shared" si="73"/>
        <v>0.20816310675480301</v>
      </c>
    </row>
    <row r="81" spans="1:70" x14ac:dyDescent="0.3">
      <c r="A81" s="1" t="s">
        <v>86</v>
      </c>
      <c r="B81">
        <v>0.25</v>
      </c>
      <c r="C81" t="s">
        <v>77</v>
      </c>
      <c r="D81">
        <v>12</v>
      </c>
      <c r="E81">
        <v>8</v>
      </c>
      <c r="G81" s="35">
        <v>45576.379803240743</v>
      </c>
      <c r="H81">
        <v>4309.7</v>
      </c>
      <c r="I81" s="48"/>
      <c r="J81" s="72">
        <v>4489.7250000000004</v>
      </c>
      <c r="K81" s="40">
        <v>24.68</v>
      </c>
      <c r="L81" s="40">
        <v>21.777000000000001</v>
      </c>
      <c r="M81" s="40">
        <v>88.2</v>
      </c>
      <c r="N81" s="40">
        <v>16.309999999999999</v>
      </c>
      <c r="O81" s="40">
        <v>340</v>
      </c>
      <c r="P81" s="40">
        <v>1.48</v>
      </c>
      <c r="Q81" s="40">
        <v>0.3</v>
      </c>
      <c r="R81" s="40">
        <v>0.69</v>
      </c>
      <c r="S81" s="40"/>
      <c r="T81" s="40">
        <v>0.24</v>
      </c>
      <c r="U81" s="40">
        <v>0.18</v>
      </c>
      <c r="V81" s="40">
        <v>2.0499999999999998</v>
      </c>
      <c r="W81" s="40">
        <v>7.33</v>
      </c>
      <c r="X81" s="40">
        <v>33.1</v>
      </c>
      <c r="Y81" s="40">
        <v>42.8</v>
      </c>
      <c r="Z81" s="40">
        <v>1.78</v>
      </c>
      <c r="AA81" s="40">
        <v>149</v>
      </c>
      <c r="AB81" s="40">
        <v>15.4</v>
      </c>
      <c r="AC81" s="40">
        <v>29</v>
      </c>
      <c r="AD81" s="40">
        <v>34.6</v>
      </c>
      <c r="AE81" s="17">
        <v>7.2880000000000003</v>
      </c>
      <c r="AF81" s="40">
        <v>406</v>
      </c>
      <c r="AG81" s="40">
        <v>51.4</v>
      </c>
      <c r="AH81" s="40">
        <v>7.3049999999999997</v>
      </c>
      <c r="AI81" s="40">
        <v>33.9</v>
      </c>
      <c r="AJ81" s="40">
        <v>2.2000000000000002</v>
      </c>
      <c r="AK81" s="40">
        <v>3.3</v>
      </c>
      <c r="AL81" s="40">
        <v>0.3</v>
      </c>
      <c r="AM81" s="40">
        <v>22</v>
      </c>
      <c r="AN81" s="40">
        <v>4.9000000000000004</v>
      </c>
      <c r="AO81" s="40">
        <v>200.1</v>
      </c>
      <c r="AP81" s="40"/>
      <c r="AQ81" s="41">
        <f t="shared" si="59"/>
        <v>0.51400000000000001</v>
      </c>
      <c r="AR81" s="41">
        <f t="shared" si="68"/>
        <v>0.13049272090479661</v>
      </c>
      <c r="AS81" s="41">
        <f t="shared" si="74"/>
        <v>2.6999999999999993</v>
      </c>
      <c r="AT81" s="41">
        <f t="shared" si="75"/>
        <v>0</v>
      </c>
      <c r="AU81" s="41">
        <f t="shared" si="76"/>
        <v>0</v>
      </c>
      <c r="AV81" s="67">
        <v>2.4</v>
      </c>
      <c r="AW81">
        <v>200</v>
      </c>
      <c r="AX81">
        <v>34</v>
      </c>
      <c r="AY81" s="40">
        <v>7.2</v>
      </c>
      <c r="AZ81" s="40">
        <v>50</v>
      </c>
      <c r="BA81" s="42">
        <v>4.0000000000000002E-4</v>
      </c>
      <c r="BB81" s="11"/>
      <c r="BC81" s="42">
        <f>0.00217487868174661*24*60/BG81</f>
        <v>1.5651300858146519E-2</v>
      </c>
      <c r="BD81" s="42">
        <f>0.269836303208401/BG81</f>
        <v>1.3485072624107998E-3</v>
      </c>
      <c r="BE81" s="42">
        <f t="shared" si="60"/>
        <v>1.7430310800000003E-3</v>
      </c>
      <c r="BF81" s="42">
        <f t="shared" si="69"/>
        <v>2.5099647552000004</v>
      </c>
      <c r="BG81" s="42">
        <f t="shared" si="61"/>
        <v>200.1</v>
      </c>
      <c r="BH81" s="43">
        <f t="shared" si="62"/>
        <v>0.10994502748625687</v>
      </c>
      <c r="BI81" s="43">
        <f t="shared" si="63"/>
        <v>0.11</v>
      </c>
      <c r="BJ81" s="43">
        <f t="shared" si="64"/>
        <v>187.90951810290713</v>
      </c>
      <c r="BK81" s="43" t="str">
        <f t="shared" si="70"/>
        <v/>
      </c>
      <c r="BL81" s="44">
        <f t="shared" si="66"/>
        <v>0.13049272090479661</v>
      </c>
      <c r="BM81" s="44" t="str">
        <f t="shared" si="67"/>
        <v/>
      </c>
      <c r="BN81" s="43" t="str">
        <f t="shared" si="58"/>
        <v/>
      </c>
      <c r="BO81" s="43">
        <f t="shared" si="65"/>
        <v>0.26983630320840102</v>
      </c>
      <c r="BP81" s="55">
        <f t="shared" si="71"/>
        <v>338.94213222025093</v>
      </c>
      <c r="BQ81" s="45">
        <f t="shared" si="72"/>
        <v>0.13049272090479661</v>
      </c>
      <c r="BR81" s="24">
        <f t="shared" si="73"/>
        <v>0.26983630320840102</v>
      </c>
    </row>
    <row r="82" spans="1:70" x14ac:dyDescent="0.3">
      <c r="A82" s="1" t="s">
        <v>87</v>
      </c>
      <c r="B82">
        <v>0.25</v>
      </c>
      <c r="C82" t="s">
        <v>80</v>
      </c>
      <c r="D82">
        <v>12</v>
      </c>
      <c r="E82">
        <v>8</v>
      </c>
      <c r="G82" s="35">
        <v>45576.380659722221</v>
      </c>
      <c r="H82">
        <v>4309.7</v>
      </c>
      <c r="I82" s="48"/>
      <c r="J82" s="72">
        <v>3788.91</v>
      </c>
      <c r="K82" s="40">
        <v>27.675000000000001</v>
      </c>
      <c r="L82" s="40">
        <v>25.376999999999999</v>
      </c>
      <c r="M82" s="40">
        <v>91.7</v>
      </c>
      <c r="N82" s="40">
        <v>16.71</v>
      </c>
      <c r="O82" s="40">
        <v>343</v>
      </c>
      <c r="P82" s="40">
        <v>1.32</v>
      </c>
      <c r="Q82" s="40">
        <v>0.33</v>
      </c>
      <c r="R82" s="40">
        <v>2.5499999999999998</v>
      </c>
      <c r="S82" s="40"/>
      <c r="T82" s="40">
        <v>0.22</v>
      </c>
      <c r="U82" s="40">
        <v>0.14000000000000001</v>
      </c>
      <c r="V82" s="40">
        <v>2.48</v>
      </c>
      <c r="W82" s="40">
        <v>7.319</v>
      </c>
      <c r="X82" s="40">
        <v>52.5</v>
      </c>
      <c r="Y82" s="40">
        <v>62.2</v>
      </c>
      <c r="Z82" s="40">
        <v>2.27</v>
      </c>
      <c r="AA82" s="40">
        <v>144.6</v>
      </c>
      <c r="AB82" s="40">
        <v>23.9</v>
      </c>
      <c r="AC82" s="40">
        <v>46.1</v>
      </c>
      <c r="AD82" s="40">
        <v>50.6</v>
      </c>
      <c r="AE82" s="17">
        <v>7.2770000000000001</v>
      </c>
      <c r="AF82" s="40">
        <v>484</v>
      </c>
      <c r="AG82" s="40">
        <v>52.1</v>
      </c>
      <c r="AH82" s="40">
        <v>7.306</v>
      </c>
      <c r="AI82" s="40">
        <v>34</v>
      </c>
      <c r="AJ82" s="40">
        <v>2.6</v>
      </c>
      <c r="AK82" s="40">
        <v>6.6</v>
      </c>
      <c r="AL82" s="40">
        <v>0.1</v>
      </c>
      <c r="AM82" s="40">
        <v>14.4</v>
      </c>
      <c r="AN82" s="40">
        <v>4.4000000000000004</v>
      </c>
      <c r="AO82" s="40">
        <v>198.9</v>
      </c>
      <c r="AP82" s="40"/>
      <c r="AQ82" s="41">
        <f t="shared" si="59"/>
        <v>0.52100000000000002</v>
      </c>
      <c r="AR82" s="41">
        <f t="shared" si="68"/>
        <v>0.12113964720000002</v>
      </c>
      <c r="AS82" s="41">
        <f t="shared" si="74"/>
        <v>2.0999999999999996</v>
      </c>
      <c r="AT82" s="41">
        <f t="shared" si="75"/>
        <v>0</v>
      </c>
      <c r="AU82" s="41">
        <f t="shared" si="76"/>
        <v>0</v>
      </c>
      <c r="AV82" s="67">
        <v>2.4</v>
      </c>
      <c r="AW82">
        <v>200</v>
      </c>
      <c r="AX82">
        <v>34</v>
      </c>
      <c r="AY82" s="40">
        <v>7.2</v>
      </c>
      <c r="AZ82" s="40">
        <v>50</v>
      </c>
      <c r="BA82" s="42">
        <v>4.0000000000000002E-4</v>
      </c>
      <c r="BB82" s="11"/>
      <c r="BD82" s="22"/>
      <c r="BE82" s="42">
        <f t="shared" si="60"/>
        <v>2.01899412E-3</v>
      </c>
      <c r="BF82" s="42">
        <f t="shared" si="69"/>
        <v>2.9073515327999999</v>
      </c>
      <c r="BG82" s="42">
        <f t="shared" si="61"/>
        <v>198.9</v>
      </c>
      <c r="BH82" s="43">
        <f t="shared" si="62"/>
        <v>7.2398190045248875E-2</v>
      </c>
      <c r="BI82" s="43">
        <f t="shared" si="63"/>
        <v>7.2000000000000008E-2</v>
      </c>
      <c r="BJ82" s="43">
        <f t="shared" si="64"/>
        <v>174.44109196800002</v>
      </c>
      <c r="BK82" s="43" t="str">
        <f t="shared" si="70"/>
        <v/>
      </c>
      <c r="BL82" s="44" t="str">
        <f t="shared" si="66"/>
        <v/>
      </c>
      <c r="BM82" s="44">
        <f t="shared" si="67"/>
        <v>0.12113964720000002</v>
      </c>
      <c r="BN82" s="43">
        <f t="shared" si="58"/>
        <v>0</v>
      </c>
      <c r="BO82" s="43" t="str">
        <f t="shared" si="65"/>
        <v/>
      </c>
      <c r="BP82" s="55">
        <f t="shared" si="71"/>
        <v>314.64843428571436</v>
      </c>
      <c r="BQ82" s="45">
        <f t="shared" si="72"/>
        <v>0.12113964720000002</v>
      </c>
      <c r="BR82" s="24">
        <f t="shared" si="73"/>
        <v>0</v>
      </c>
    </row>
    <row r="83" spans="1:70" ht="15" thickBot="1" x14ac:dyDescent="0.35">
      <c r="A83" s="1" t="s">
        <v>88</v>
      </c>
      <c r="B83">
        <v>0.25</v>
      </c>
      <c r="C83" t="s">
        <v>80</v>
      </c>
      <c r="D83">
        <v>12</v>
      </c>
      <c r="E83">
        <v>8</v>
      </c>
      <c r="G83" s="35">
        <v>45576.381516203706</v>
      </c>
      <c r="H83">
        <v>4309.7</v>
      </c>
      <c r="I83" s="48"/>
      <c r="J83" s="72">
        <v>4070.835</v>
      </c>
      <c r="K83" s="40">
        <v>21.449000000000002</v>
      </c>
      <c r="L83" s="40">
        <v>19.5</v>
      </c>
      <c r="M83" s="40">
        <v>90.9</v>
      </c>
      <c r="N83" s="40">
        <v>16.350000000000001</v>
      </c>
      <c r="O83" s="40">
        <v>333</v>
      </c>
      <c r="P83" s="40">
        <v>1.37</v>
      </c>
      <c r="Q83" s="40">
        <v>0.32</v>
      </c>
      <c r="R83" s="40">
        <v>2.5499999999999998</v>
      </c>
      <c r="S83" s="40"/>
      <c r="T83" s="40">
        <v>0.21</v>
      </c>
      <c r="U83" s="40">
        <v>0.16</v>
      </c>
      <c r="V83" s="40">
        <v>2.2200000000000002</v>
      </c>
      <c r="W83" s="40">
        <v>7.3129999999999997</v>
      </c>
      <c r="X83" s="40">
        <v>40.299999999999997</v>
      </c>
      <c r="Y83" s="40">
        <v>61</v>
      </c>
      <c r="Z83" s="40">
        <v>2.42</v>
      </c>
      <c r="AA83" s="40">
        <v>143.6</v>
      </c>
      <c r="AB83" s="40">
        <v>18.100000000000001</v>
      </c>
      <c r="AC83" s="40">
        <v>35.4</v>
      </c>
      <c r="AD83" s="40">
        <v>49.6</v>
      </c>
      <c r="AE83" s="17">
        <v>7.2709999999999999</v>
      </c>
      <c r="AF83" s="40">
        <v>408</v>
      </c>
      <c r="AG83" s="40">
        <v>56.7</v>
      </c>
      <c r="AH83" s="40">
        <v>7.3029999999999999</v>
      </c>
      <c r="AI83" s="40">
        <v>34</v>
      </c>
      <c r="AJ83" s="40">
        <v>2.2999999999999998</v>
      </c>
      <c r="AK83" s="40">
        <v>6.7</v>
      </c>
      <c r="AL83" s="40">
        <v>0.2</v>
      </c>
      <c r="AM83" s="40">
        <v>14.6</v>
      </c>
      <c r="AN83" s="40">
        <v>4.4000000000000004</v>
      </c>
      <c r="AO83" s="40">
        <v>198</v>
      </c>
      <c r="AP83" s="7"/>
      <c r="AQ83" s="41">
        <f t="shared" si="59"/>
        <v>0.56700000000000006</v>
      </c>
      <c r="AR83" s="41">
        <f t="shared" si="68"/>
        <v>9.2663999999999996E-2</v>
      </c>
      <c r="AS83" s="41">
        <f t="shared" si="74"/>
        <v>1.7999999999999989</v>
      </c>
      <c r="AT83" s="41">
        <f t="shared" si="75"/>
        <v>0</v>
      </c>
      <c r="AU83" s="41">
        <f t="shared" si="76"/>
        <v>0</v>
      </c>
      <c r="AV83" s="68">
        <v>2.4</v>
      </c>
      <c r="AW83">
        <v>200</v>
      </c>
      <c r="AX83" s="5">
        <v>34</v>
      </c>
      <c r="AY83" s="40">
        <v>7.2</v>
      </c>
      <c r="AZ83" s="40">
        <v>50</v>
      </c>
      <c r="BA83" s="42">
        <v>4.0000000000000002E-4</v>
      </c>
      <c r="BB83" s="11"/>
      <c r="BD83" s="22"/>
      <c r="BE83" s="42">
        <f t="shared" si="60"/>
        <v>1.5444E-3</v>
      </c>
      <c r="BF83" s="42">
        <f t="shared" si="69"/>
        <v>2.2239360000000001</v>
      </c>
      <c r="BG83" s="42">
        <f t="shared" si="61"/>
        <v>198</v>
      </c>
      <c r="BH83" s="43">
        <f t="shared" si="62"/>
        <v>7.373737373737374E-2</v>
      </c>
      <c r="BI83" s="43">
        <f t="shared" si="63"/>
        <v>7.2999999999999995E-2</v>
      </c>
      <c r="BJ83" s="43">
        <f t="shared" si="64"/>
        <v>133.43616</v>
      </c>
      <c r="BK83" s="43" t="str">
        <f t="shared" si="70"/>
        <v/>
      </c>
      <c r="BL83" s="44" t="str">
        <f t="shared" si="66"/>
        <v/>
      </c>
      <c r="BM83" s="44">
        <f t="shared" si="67"/>
        <v>9.2663999999999996E-2</v>
      </c>
      <c r="BN83" s="43">
        <f t="shared" si="58"/>
        <v>0</v>
      </c>
      <c r="BO83" s="43" t="str">
        <f t="shared" si="65"/>
        <v/>
      </c>
      <c r="BP83" s="55">
        <f t="shared" si="71"/>
        <v>240.68571428571428</v>
      </c>
      <c r="BQ83" s="45">
        <f t="shared" si="72"/>
        <v>9.2663999999999996E-2</v>
      </c>
      <c r="BR83" s="24">
        <f t="shared" si="73"/>
        <v>0</v>
      </c>
    </row>
    <row r="84" spans="1:70" x14ac:dyDescent="0.3">
      <c r="A84" s="2" t="s">
        <v>76</v>
      </c>
      <c r="B84" s="3">
        <v>1000</v>
      </c>
      <c r="C84" s="3" t="s">
        <v>77</v>
      </c>
      <c r="D84" s="3">
        <v>12</v>
      </c>
      <c r="E84" s="3">
        <v>9</v>
      </c>
      <c r="F84" s="3"/>
      <c r="G84" s="74">
        <v>45577.364340277803</v>
      </c>
      <c r="H84" s="3">
        <v>4805.7299999999996</v>
      </c>
      <c r="I84" s="37"/>
      <c r="J84" s="77">
        <v>3776.085</v>
      </c>
      <c r="K84" s="75"/>
      <c r="L84" s="75"/>
      <c r="M84" s="75"/>
      <c r="N84" s="6"/>
      <c r="O84" s="6"/>
      <c r="P84" s="6"/>
      <c r="Q84" s="6"/>
      <c r="R84" s="75"/>
      <c r="S84" s="6"/>
      <c r="T84" s="6"/>
      <c r="U84" s="6"/>
      <c r="V84" s="75"/>
      <c r="W84" s="6"/>
      <c r="X84" s="6"/>
      <c r="Y84" s="6"/>
      <c r="Z84" s="6"/>
      <c r="AA84" s="6"/>
      <c r="AB84" s="6"/>
      <c r="AC84" s="6"/>
      <c r="AD84" s="6"/>
      <c r="AE84" s="76"/>
      <c r="AF84" s="6"/>
      <c r="AG84" s="75"/>
      <c r="AH84" s="6"/>
      <c r="AI84" s="75"/>
      <c r="AJ84" s="6"/>
      <c r="AK84" s="6"/>
      <c r="AL84" s="6"/>
      <c r="AM84" s="75"/>
      <c r="AN84" s="75"/>
      <c r="AO84" s="75"/>
      <c r="AP84" s="6"/>
      <c r="AQ84" s="32">
        <f t="shared" si="59"/>
        <v>0</v>
      </c>
      <c r="AR84" s="32">
        <f t="shared" si="68"/>
        <v>0</v>
      </c>
      <c r="AS84" s="32">
        <f t="shared" si="74"/>
        <v>-62332.34765625</v>
      </c>
      <c r="AT84" s="32">
        <f t="shared" si="75"/>
        <v>-23036.900390625</v>
      </c>
      <c r="AU84" s="32">
        <f t="shared" si="76"/>
        <v>0</v>
      </c>
      <c r="AV84" s="66">
        <v>60</v>
      </c>
      <c r="AW84" s="3">
        <v>592000</v>
      </c>
      <c r="AX84" s="3">
        <v>34</v>
      </c>
      <c r="AY84" s="6">
        <v>7.2</v>
      </c>
      <c r="AZ84" s="6">
        <v>50</v>
      </c>
      <c r="BA84" s="9">
        <v>4.0000000000000002E-4</v>
      </c>
      <c r="BB84" s="8"/>
      <c r="BC84" s="9"/>
      <c r="BD84" s="21"/>
      <c r="BE84" s="9">
        <f t="shared" si="60"/>
        <v>0</v>
      </c>
      <c r="BF84" s="9">
        <f t="shared" si="69"/>
        <v>0</v>
      </c>
      <c r="BG84" s="9">
        <f t="shared" si="61"/>
        <v>591400</v>
      </c>
      <c r="BH84" s="10" t="str">
        <f t="shared" si="62"/>
        <v/>
      </c>
      <c r="BI84" s="10" t="str">
        <f t="shared" si="63"/>
        <v/>
      </c>
      <c r="BJ84" s="10">
        <f t="shared" si="64"/>
        <v>0</v>
      </c>
      <c r="BK84" s="10" t="str">
        <f t="shared" si="70"/>
        <v/>
      </c>
      <c r="BL84" s="10">
        <f t="shared" si="66"/>
        <v>0</v>
      </c>
      <c r="BM84" s="28" t="str">
        <f t="shared" si="67"/>
        <v/>
      </c>
      <c r="BN84" s="10" t="str">
        <f t="shared" si="58"/>
        <v/>
      </c>
      <c r="BO84" s="10">
        <f t="shared" si="65"/>
        <v>0</v>
      </c>
      <c r="BP84" s="58">
        <f t="shared" si="71"/>
        <v>0</v>
      </c>
      <c r="BQ84" s="30">
        <f t="shared" si="72"/>
        <v>0</v>
      </c>
      <c r="BR84" s="26">
        <f t="shared" si="73"/>
        <v>0</v>
      </c>
    </row>
    <row r="85" spans="1:70" x14ac:dyDescent="0.3">
      <c r="A85" s="1" t="s">
        <v>79</v>
      </c>
      <c r="B85">
        <v>0.25</v>
      </c>
      <c r="C85" t="s">
        <v>80</v>
      </c>
      <c r="D85">
        <v>12</v>
      </c>
      <c r="E85">
        <v>9</v>
      </c>
      <c r="G85" s="35">
        <v>45577.342303240737</v>
      </c>
      <c r="H85">
        <v>4805.7299999999996</v>
      </c>
      <c r="I85" s="48"/>
      <c r="J85" s="72">
        <v>4718.79</v>
      </c>
      <c r="K85" s="40">
        <v>20.309999999999999</v>
      </c>
      <c r="L85" s="40">
        <v>18.126000000000001</v>
      </c>
      <c r="M85" s="40">
        <v>89.2</v>
      </c>
      <c r="N85" s="40">
        <v>16.399999999999999</v>
      </c>
      <c r="O85" s="40">
        <v>336</v>
      </c>
      <c r="P85" s="40">
        <v>1.43</v>
      </c>
      <c r="Q85" s="40">
        <v>0.31</v>
      </c>
      <c r="R85" s="40">
        <v>2.96</v>
      </c>
      <c r="S85" s="40"/>
      <c r="T85" s="40">
        <v>0.22</v>
      </c>
      <c r="U85" s="40">
        <v>0.15</v>
      </c>
      <c r="V85" s="40">
        <v>1.73</v>
      </c>
      <c r="W85" s="40">
        <v>7.2919999999999998</v>
      </c>
      <c r="X85" s="40">
        <v>37.299999999999997</v>
      </c>
      <c r="Y85" s="40">
        <v>62.2</v>
      </c>
      <c r="Z85" s="40">
        <v>2.0299999999999998</v>
      </c>
      <c r="AA85" s="40">
        <v>143.19999999999999</v>
      </c>
      <c r="AB85" s="40">
        <v>15.9</v>
      </c>
      <c r="AC85" s="40">
        <v>32.700000000000003</v>
      </c>
      <c r="AD85" s="40">
        <v>50.6</v>
      </c>
      <c r="AE85" s="17">
        <v>7.2510000000000003</v>
      </c>
      <c r="AF85" s="40">
        <v>405</v>
      </c>
      <c r="AG85" s="40">
        <v>50.5</v>
      </c>
      <c r="AH85" s="40">
        <v>7.3040000000000003</v>
      </c>
      <c r="AI85" s="40">
        <v>34</v>
      </c>
      <c r="AJ85" s="40">
        <v>2</v>
      </c>
      <c r="AK85" s="40">
        <v>7.9</v>
      </c>
      <c r="AL85" s="40">
        <v>0.3</v>
      </c>
      <c r="AM85" s="40">
        <v>17.7</v>
      </c>
      <c r="AN85" s="40">
        <v>4</v>
      </c>
      <c r="AO85" s="40">
        <v>197.1</v>
      </c>
      <c r="AP85" s="40"/>
      <c r="AQ85" s="41">
        <f t="shared" si="59"/>
        <v>0.505</v>
      </c>
      <c r="AR85" s="41">
        <f t="shared" si="68"/>
        <v>8.5743230399999995E-2</v>
      </c>
      <c r="AS85" s="41">
        <f t="shared" si="74"/>
        <v>2.0999999999999996</v>
      </c>
      <c r="AT85" s="41">
        <f t="shared" si="75"/>
        <v>0</v>
      </c>
      <c r="AU85" s="41">
        <f t="shared" si="76"/>
        <v>0</v>
      </c>
      <c r="AV85" s="67">
        <v>2.4</v>
      </c>
      <c r="AW85">
        <v>200</v>
      </c>
      <c r="AX85">
        <v>34</v>
      </c>
      <c r="AY85" s="40">
        <v>7.2</v>
      </c>
      <c r="AZ85" s="40">
        <v>50</v>
      </c>
      <c r="BA85" s="42">
        <v>4.0000000000000002E-4</v>
      </c>
      <c r="BB85" s="11"/>
      <c r="BC85" s="42"/>
      <c r="BD85" s="22"/>
      <c r="BE85" s="42">
        <f t="shared" si="60"/>
        <v>1.4290538400000001E-3</v>
      </c>
      <c r="BF85" s="42">
        <f t="shared" si="69"/>
        <v>2.0578375296000004</v>
      </c>
      <c r="BG85" s="42">
        <f t="shared" si="61"/>
        <v>197.1</v>
      </c>
      <c r="BH85" s="43">
        <f t="shared" si="62"/>
        <v>8.9802130898021304E-2</v>
      </c>
      <c r="BI85" s="43">
        <f t="shared" si="63"/>
        <v>8.8499999999999995E-2</v>
      </c>
      <c r="BJ85" s="43">
        <f t="shared" si="64"/>
        <v>123.470251776</v>
      </c>
      <c r="BK85" s="43" t="str">
        <f t="shared" si="70"/>
        <v/>
      </c>
      <c r="BL85" s="43" t="str">
        <f t="shared" si="66"/>
        <v/>
      </c>
      <c r="BM85" s="44">
        <f t="shared" si="67"/>
        <v>8.5743230399999995E-2</v>
      </c>
      <c r="BN85" s="43">
        <f t="shared" ref="BN85:BN119" si="77">IF(IF(C85&lt;&gt;"Julia",((1.5-R85)*BG85)/400, "")&lt;0,0,IF(C85&lt;&gt;"Julia",((3-R85)*BG85)/400, ""))</f>
        <v>0</v>
      </c>
      <c r="BO85" s="43" t="str">
        <f t="shared" si="65"/>
        <v/>
      </c>
      <c r="BP85" s="55">
        <f t="shared" si="71"/>
        <v>222.70968935064934</v>
      </c>
      <c r="BQ85" s="45">
        <f t="shared" si="72"/>
        <v>8.5743230399999995E-2</v>
      </c>
      <c r="BR85" s="24">
        <f t="shared" si="73"/>
        <v>0</v>
      </c>
    </row>
    <row r="86" spans="1:70" x14ac:dyDescent="0.3">
      <c r="A86" s="1" t="s">
        <v>81</v>
      </c>
      <c r="B86">
        <v>0.25</v>
      </c>
      <c r="C86" t="s">
        <v>80</v>
      </c>
      <c r="D86">
        <v>12</v>
      </c>
      <c r="E86">
        <v>9</v>
      </c>
      <c r="G86" s="35">
        <v>45577.324907407405</v>
      </c>
      <c r="H86">
        <v>4805.7299999999996</v>
      </c>
      <c r="I86" s="48"/>
      <c r="J86" s="72">
        <v>4821.33</v>
      </c>
      <c r="K86" s="40">
        <v>19.646000000000001</v>
      </c>
      <c r="L86" s="40">
        <v>17.206</v>
      </c>
      <c r="M86" s="40">
        <v>87.6</v>
      </c>
      <c r="N86" s="40">
        <v>16.239999999999998</v>
      </c>
      <c r="O86" s="40">
        <v>339</v>
      </c>
      <c r="P86" s="40">
        <v>1.41</v>
      </c>
      <c r="Q86" s="40">
        <v>0.32</v>
      </c>
      <c r="R86" s="40">
        <v>2.85</v>
      </c>
      <c r="S86" s="40"/>
      <c r="T86" s="40">
        <v>0.2</v>
      </c>
      <c r="U86" s="40">
        <v>0.17</v>
      </c>
      <c r="V86">
        <v>1.99</v>
      </c>
      <c r="W86" s="40">
        <v>7.298</v>
      </c>
      <c r="X86" s="40">
        <v>31.2</v>
      </c>
      <c r="Y86" s="40">
        <v>64.400000000000006</v>
      </c>
      <c r="Z86" s="40">
        <v>2.11</v>
      </c>
      <c r="AA86" s="40">
        <v>142.5</v>
      </c>
      <c r="AB86" s="40">
        <v>13.5</v>
      </c>
      <c r="AC86" s="40">
        <v>27.3</v>
      </c>
      <c r="AD86" s="40">
        <v>52.5</v>
      </c>
      <c r="AE86" s="17">
        <v>7.2560000000000002</v>
      </c>
      <c r="AF86" s="40">
        <v>411</v>
      </c>
      <c r="AG86" s="40">
        <v>49.6</v>
      </c>
      <c r="AH86" s="40">
        <v>7.306</v>
      </c>
      <c r="AI86" s="40">
        <v>34</v>
      </c>
      <c r="AJ86" s="40">
        <v>2.1</v>
      </c>
      <c r="AK86" s="40">
        <v>7.3</v>
      </c>
      <c r="AL86" s="40">
        <v>0.3</v>
      </c>
      <c r="AM86" s="40">
        <v>17.7</v>
      </c>
      <c r="AN86" s="40">
        <v>4.3</v>
      </c>
      <c r="AO86" s="40">
        <v>196.3</v>
      </c>
      <c r="AP86" s="40"/>
      <c r="AQ86" s="41">
        <f t="shared" si="59"/>
        <v>0.496</v>
      </c>
      <c r="AR86" s="41">
        <f t="shared" si="68"/>
        <v>8.1060907200000004E-2</v>
      </c>
      <c r="AS86" s="41">
        <f t="shared" si="74"/>
        <v>2.3999999999999986</v>
      </c>
      <c r="AT86" s="41">
        <f t="shared" si="75"/>
        <v>0</v>
      </c>
      <c r="AU86" s="41">
        <f t="shared" si="76"/>
        <v>0</v>
      </c>
      <c r="AV86" s="67">
        <v>2.4</v>
      </c>
      <c r="AW86">
        <v>200</v>
      </c>
      <c r="AX86">
        <v>34</v>
      </c>
      <c r="AY86" s="40">
        <v>7.2</v>
      </c>
      <c r="AZ86" s="40">
        <v>50</v>
      </c>
      <c r="BA86" s="42">
        <v>4.0000000000000002E-4</v>
      </c>
      <c r="BB86" s="11"/>
      <c r="BC86" s="42"/>
      <c r="BD86" s="22"/>
      <c r="BE86" s="42">
        <f t="shared" si="60"/>
        <v>1.3510151200000003E-3</v>
      </c>
      <c r="BF86" s="42">
        <f t="shared" si="69"/>
        <v>1.9454617728000005</v>
      </c>
      <c r="BG86" s="42">
        <f t="shared" si="61"/>
        <v>196.3</v>
      </c>
      <c r="BH86" s="43">
        <f t="shared" si="62"/>
        <v>9.0168110035659693E-2</v>
      </c>
      <c r="BI86" s="43">
        <f t="shared" si="63"/>
        <v>8.8499999999999995E-2</v>
      </c>
      <c r="BJ86" s="43">
        <f t="shared" si="64"/>
        <v>116.727706368</v>
      </c>
      <c r="BK86" s="43" t="str">
        <f t="shared" si="70"/>
        <v/>
      </c>
      <c r="BL86" s="43" t="str">
        <f t="shared" si="66"/>
        <v/>
      </c>
      <c r="BM86" s="44">
        <f t="shared" si="67"/>
        <v>8.1060907200000004E-2</v>
      </c>
      <c r="BN86" s="43">
        <f t="shared" si="77"/>
        <v>0</v>
      </c>
      <c r="BO86" s="43" t="str">
        <f t="shared" si="65"/>
        <v/>
      </c>
      <c r="BP86" s="55">
        <f t="shared" si="71"/>
        <v>210.54781090909094</v>
      </c>
      <c r="BQ86" s="45">
        <f t="shared" si="72"/>
        <v>8.1060907200000004E-2</v>
      </c>
      <c r="BR86" s="24">
        <f t="shared" si="73"/>
        <v>0</v>
      </c>
    </row>
    <row r="87" spans="1:70" x14ac:dyDescent="0.3">
      <c r="A87" s="1" t="s">
        <v>82</v>
      </c>
      <c r="B87">
        <v>0.25</v>
      </c>
      <c r="C87" t="s">
        <v>83</v>
      </c>
      <c r="D87">
        <v>12</v>
      </c>
      <c r="E87">
        <v>9</v>
      </c>
      <c r="G87" s="35"/>
      <c r="H87">
        <v>4805.7299999999996</v>
      </c>
      <c r="I87" s="48"/>
      <c r="J87" s="72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17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1">
        <f t="shared" si="59"/>
        <v>0</v>
      </c>
      <c r="AR87" s="41">
        <f t="shared" si="68"/>
        <v>0</v>
      </c>
      <c r="AS87" s="41">
        <f t="shared" si="74"/>
        <v>0</v>
      </c>
      <c r="AT87" s="41">
        <f t="shared" si="75"/>
        <v>0</v>
      </c>
      <c r="AU87" s="41">
        <f t="shared" si="76"/>
        <v>0</v>
      </c>
      <c r="AV87" s="67">
        <v>2.4</v>
      </c>
      <c r="AW87">
        <v>200</v>
      </c>
      <c r="AX87">
        <v>34</v>
      </c>
      <c r="AY87" s="40">
        <v>7.2</v>
      </c>
      <c r="AZ87" s="40">
        <v>50</v>
      </c>
      <c r="BA87" s="42">
        <v>4.0000000000000002E-4</v>
      </c>
      <c r="BB87" s="11"/>
      <c r="BC87" s="42"/>
      <c r="BD87" s="22"/>
      <c r="BE87" s="42">
        <f t="shared" si="60"/>
        <v>0</v>
      </c>
      <c r="BF87" s="42">
        <f t="shared" si="69"/>
        <v>0</v>
      </c>
      <c r="BG87" s="42">
        <f t="shared" si="61"/>
        <v>176</v>
      </c>
      <c r="BH87" s="43" t="str">
        <f t="shared" si="62"/>
        <v/>
      </c>
      <c r="BI87" s="43" t="str">
        <f t="shared" si="63"/>
        <v/>
      </c>
      <c r="BJ87" s="43">
        <f t="shared" si="64"/>
        <v>0</v>
      </c>
      <c r="BK87" s="43">
        <f t="shared" si="70"/>
        <v>0</v>
      </c>
      <c r="BL87" s="43" t="str">
        <f t="shared" si="66"/>
        <v/>
      </c>
      <c r="BM87" s="44" t="str">
        <f t="shared" si="67"/>
        <v/>
      </c>
      <c r="BN87" s="43">
        <f t="shared" si="77"/>
        <v>1.32</v>
      </c>
      <c r="BO87" s="43" t="str">
        <f t="shared" si="65"/>
        <v/>
      </c>
      <c r="BP87" s="55">
        <f t="shared" si="71"/>
        <v>0</v>
      </c>
      <c r="BQ87" s="45">
        <f t="shared" si="72"/>
        <v>0</v>
      </c>
      <c r="BR87" s="24">
        <f t="shared" si="73"/>
        <v>1.32</v>
      </c>
    </row>
    <row r="88" spans="1:70" x14ac:dyDescent="0.3">
      <c r="A88" s="1" t="s">
        <v>84</v>
      </c>
      <c r="B88">
        <v>0.25</v>
      </c>
      <c r="C88" t="s">
        <v>83</v>
      </c>
      <c r="D88">
        <v>12</v>
      </c>
      <c r="E88">
        <v>9</v>
      </c>
      <c r="G88" s="35">
        <v>45577.327361111114</v>
      </c>
      <c r="H88">
        <v>4805.7299999999996</v>
      </c>
      <c r="I88" s="48"/>
      <c r="J88" s="72">
        <v>4869.1350000000002</v>
      </c>
      <c r="K88" s="40">
        <v>21.117000000000001</v>
      </c>
      <c r="L88" s="40">
        <v>18.507000000000001</v>
      </c>
      <c r="M88" s="40">
        <v>87.6</v>
      </c>
      <c r="N88" s="40">
        <v>16.71</v>
      </c>
      <c r="O88" s="40">
        <v>347</v>
      </c>
      <c r="P88" s="40">
        <v>1.46</v>
      </c>
      <c r="Q88" s="40">
        <v>0.31</v>
      </c>
      <c r="R88" s="40">
        <v>0.96</v>
      </c>
      <c r="S88" s="40"/>
      <c r="T88" s="40">
        <v>0.25</v>
      </c>
      <c r="U88" s="40">
        <v>0.18</v>
      </c>
      <c r="V88" s="40">
        <v>1.93</v>
      </c>
      <c r="W88" s="40">
        <v>7.3049999999999997</v>
      </c>
      <c r="X88" s="40">
        <v>37</v>
      </c>
      <c r="Y88" s="40">
        <v>54.3</v>
      </c>
      <c r="Z88" s="40">
        <v>1.67</v>
      </c>
      <c r="AA88" s="40">
        <v>152.6</v>
      </c>
      <c r="AB88" s="40">
        <v>16.3</v>
      </c>
      <c r="AC88" s="40">
        <v>32.4</v>
      </c>
      <c r="AD88" s="40">
        <v>44.1</v>
      </c>
      <c r="AE88" s="17">
        <v>7.2640000000000002</v>
      </c>
      <c r="AF88" s="40">
        <v>409</v>
      </c>
      <c r="AG88" s="40">
        <v>49.8</v>
      </c>
      <c r="AH88" s="40">
        <v>7.3040000000000003</v>
      </c>
      <c r="AI88" s="40">
        <v>34</v>
      </c>
      <c r="AJ88" s="40">
        <v>2.2999999999999998</v>
      </c>
      <c r="AK88" s="40">
        <v>4.9000000000000004</v>
      </c>
      <c r="AL88" s="40">
        <v>0.3</v>
      </c>
      <c r="AM88" s="40">
        <v>23.1</v>
      </c>
      <c r="AN88" s="40">
        <v>5</v>
      </c>
      <c r="AO88" s="40">
        <v>200.2</v>
      </c>
      <c r="AP88" s="40"/>
      <c r="AQ88" s="41">
        <f t="shared" si="59"/>
        <v>0.498</v>
      </c>
      <c r="AR88" s="41">
        <f t="shared" si="68"/>
        <v>0</v>
      </c>
      <c r="AS88" s="41">
        <f t="shared" si="74"/>
        <v>2.5</v>
      </c>
      <c r="AT88" s="41">
        <f t="shared" si="75"/>
        <v>0</v>
      </c>
      <c r="AU88" s="41">
        <f t="shared" si="76"/>
        <v>0</v>
      </c>
      <c r="AV88" s="67">
        <v>2.4</v>
      </c>
      <c r="AW88">
        <v>200</v>
      </c>
      <c r="AX88">
        <v>34</v>
      </c>
      <c r="AY88" s="40">
        <v>7.2</v>
      </c>
      <c r="AZ88" s="40">
        <v>50</v>
      </c>
      <c r="BA88" s="42">
        <v>4.0000000000000002E-4</v>
      </c>
      <c r="BB88" s="11"/>
      <c r="BD88" s="22"/>
      <c r="BE88" s="42">
        <f t="shared" si="60"/>
        <v>1.4820405600000002E-3</v>
      </c>
      <c r="BF88" s="42">
        <f t="shared" si="69"/>
        <v>2.1341384064000004</v>
      </c>
      <c r="BG88" s="42">
        <f t="shared" si="61"/>
        <v>200.2</v>
      </c>
      <c r="BH88" s="43">
        <f t="shared" si="62"/>
        <v>0.1153846153846154</v>
      </c>
      <c r="BI88" s="43">
        <f t="shared" si="63"/>
        <v>0.11550000000000001</v>
      </c>
      <c r="BJ88" s="43">
        <f t="shared" si="64"/>
        <v>0</v>
      </c>
      <c r="BK88" s="43">
        <f t="shared" si="70"/>
        <v>0</v>
      </c>
      <c r="BL88" s="44" t="str">
        <f t="shared" si="66"/>
        <v/>
      </c>
      <c r="BM88" s="44" t="str">
        <f t="shared" si="67"/>
        <v/>
      </c>
      <c r="BN88" s="43">
        <f t="shared" si="77"/>
        <v>1.0210199999999998</v>
      </c>
      <c r="BO88" s="43" t="str">
        <f t="shared" si="65"/>
        <v/>
      </c>
      <c r="BP88" s="55">
        <f t="shared" si="71"/>
        <v>0</v>
      </c>
      <c r="BQ88" s="45">
        <f t="shared" si="72"/>
        <v>0</v>
      </c>
      <c r="BR88" s="24">
        <f t="shared" si="73"/>
        <v>1.0210199999999998</v>
      </c>
    </row>
    <row r="89" spans="1:70" x14ac:dyDescent="0.3">
      <c r="A89" s="1" t="s">
        <v>85</v>
      </c>
      <c r="B89">
        <v>0.25</v>
      </c>
      <c r="C89" t="s">
        <v>77</v>
      </c>
      <c r="D89">
        <v>12</v>
      </c>
      <c r="E89">
        <v>9</v>
      </c>
      <c r="G89" s="35">
        <v>45577.328217592592</v>
      </c>
      <c r="H89">
        <v>4805.7299999999996</v>
      </c>
      <c r="I89" s="48"/>
      <c r="J89" s="72">
        <v>5030.49</v>
      </c>
      <c r="K89" s="40">
        <v>21.672000000000001</v>
      </c>
      <c r="L89" s="40">
        <v>18.122</v>
      </c>
      <c r="M89" s="40">
        <v>83.6</v>
      </c>
      <c r="N89" s="40">
        <v>16.41</v>
      </c>
      <c r="O89" s="40">
        <v>351</v>
      </c>
      <c r="P89" s="40">
        <v>1.61</v>
      </c>
      <c r="Q89" s="40">
        <v>0.32</v>
      </c>
      <c r="R89" s="40">
        <v>0.65</v>
      </c>
      <c r="S89" s="40"/>
      <c r="T89" s="40">
        <v>0.28000000000000003</v>
      </c>
      <c r="U89" s="40">
        <v>0.39</v>
      </c>
      <c r="V89" s="40">
        <v>1.93</v>
      </c>
      <c r="W89" s="40">
        <v>7.31</v>
      </c>
      <c r="X89" s="40">
        <v>30.3</v>
      </c>
      <c r="Y89" s="40">
        <v>48.2</v>
      </c>
      <c r="Z89" s="40">
        <v>1.87</v>
      </c>
      <c r="AA89" s="40">
        <v>156.1</v>
      </c>
      <c r="AB89" s="40">
        <v>13.5</v>
      </c>
      <c r="AC89" s="40">
        <v>26.6</v>
      </c>
      <c r="AD89" s="40">
        <v>39</v>
      </c>
      <c r="AE89" s="17">
        <v>7.2679999999999998</v>
      </c>
      <c r="AF89" s="40">
        <v>406</v>
      </c>
      <c r="AG89" s="40">
        <v>50.4</v>
      </c>
      <c r="AH89" s="40">
        <v>7.3019999999999996</v>
      </c>
      <c r="AI89" s="40">
        <v>34</v>
      </c>
      <c r="AJ89" s="40">
        <v>2.2000000000000002</v>
      </c>
      <c r="AK89" s="40">
        <v>3.6</v>
      </c>
      <c r="AL89" s="40">
        <v>0.3</v>
      </c>
      <c r="AM89" s="40">
        <v>25.1</v>
      </c>
      <c r="AN89" s="40">
        <v>4.9000000000000004</v>
      </c>
      <c r="AO89" s="40">
        <v>198.5</v>
      </c>
      <c r="AP89" s="40"/>
      <c r="AQ89" s="41">
        <f t="shared" si="59"/>
        <v>0.504</v>
      </c>
      <c r="AR89" s="41">
        <f t="shared" si="68"/>
        <v>0</v>
      </c>
      <c r="AS89" s="41">
        <f t="shared" si="74"/>
        <v>3</v>
      </c>
      <c r="AT89" s="41">
        <f t="shared" si="75"/>
        <v>0.30000000000000071</v>
      </c>
      <c r="AU89" s="41">
        <f t="shared" si="76"/>
        <v>0</v>
      </c>
      <c r="AV89" s="67">
        <v>2.4</v>
      </c>
      <c r="AW89">
        <v>200</v>
      </c>
      <c r="AX89">
        <v>34</v>
      </c>
      <c r="AY89" s="40">
        <v>7.2</v>
      </c>
      <c r="AZ89" s="40">
        <v>50</v>
      </c>
      <c r="BA89" s="42">
        <v>4.0000000000000002E-4</v>
      </c>
      <c r="BB89" s="11"/>
      <c r="BD89" s="22"/>
      <c r="BE89" s="42">
        <f t="shared" si="60"/>
        <v>1.4388868000000002E-3</v>
      </c>
      <c r="BF89" s="42">
        <f t="shared" si="69"/>
        <v>2.0719969919999999</v>
      </c>
      <c r="BG89" s="42">
        <f t="shared" si="61"/>
        <v>198.5</v>
      </c>
      <c r="BH89" s="43">
        <f t="shared" si="62"/>
        <v>0.12644836272040302</v>
      </c>
      <c r="BI89" s="43">
        <f t="shared" si="63"/>
        <v>0.1255</v>
      </c>
      <c r="BJ89" s="43">
        <f t="shared" si="64"/>
        <v>0</v>
      </c>
      <c r="BK89" s="43" t="str">
        <f t="shared" si="70"/>
        <v/>
      </c>
      <c r="BL89" s="44">
        <f t="shared" si="66"/>
        <v>0</v>
      </c>
      <c r="BM89" s="44" t="str">
        <f t="shared" si="67"/>
        <v/>
      </c>
      <c r="BN89" s="43" t="str">
        <f t="shared" si="77"/>
        <v/>
      </c>
      <c r="BO89" s="43">
        <f t="shared" si="65"/>
        <v>0</v>
      </c>
      <c r="BP89" s="55">
        <f t="shared" si="71"/>
        <v>0</v>
      </c>
      <c r="BQ89" s="45">
        <f t="shared" si="72"/>
        <v>0</v>
      </c>
      <c r="BR89" s="24">
        <f t="shared" si="73"/>
        <v>0</v>
      </c>
    </row>
    <row r="90" spans="1:70" x14ac:dyDescent="0.3">
      <c r="A90" s="1" t="s">
        <v>86</v>
      </c>
      <c r="B90">
        <v>0.25</v>
      </c>
      <c r="C90" t="s">
        <v>77</v>
      </c>
      <c r="D90">
        <v>12</v>
      </c>
      <c r="E90">
        <v>9</v>
      </c>
      <c r="G90" s="35">
        <v>45577.329062500001</v>
      </c>
      <c r="H90">
        <v>4805.7299999999996</v>
      </c>
      <c r="I90" s="48"/>
      <c r="J90" s="72">
        <v>5038.74</v>
      </c>
      <c r="K90" s="40">
        <v>22.402000000000001</v>
      </c>
      <c r="L90" s="40">
        <v>19.074000000000002</v>
      </c>
      <c r="M90" s="40">
        <v>85.1</v>
      </c>
      <c r="N90" s="40">
        <v>16.46</v>
      </c>
      <c r="O90" s="40">
        <v>350</v>
      </c>
      <c r="P90" s="40">
        <v>1.57</v>
      </c>
      <c r="Q90" s="40">
        <v>0.31</v>
      </c>
      <c r="R90" s="40">
        <v>0.67</v>
      </c>
      <c r="S90" s="40"/>
      <c r="T90" s="40">
        <v>0.27</v>
      </c>
      <c r="U90" s="40">
        <v>0.28999999999999998</v>
      </c>
      <c r="V90" s="40">
        <v>1.78</v>
      </c>
      <c r="W90" s="40">
        <v>7.3040000000000003</v>
      </c>
      <c r="X90" s="40">
        <v>35.299999999999997</v>
      </c>
      <c r="Y90" s="40">
        <v>42.8</v>
      </c>
      <c r="Z90" s="40">
        <v>1.76</v>
      </c>
      <c r="AA90" s="40">
        <v>154.6</v>
      </c>
      <c r="AB90" s="40">
        <v>15.5</v>
      </c>
      <c r="AC90" s="40">
        <v>31</v>
      </c>
      <c r="AD90" s="40">
        <v>34.700000000000003</v>
      </c>
      <c r="AE90" s="17">
        <v>7.2629999999999999</v>
      </c>
      <c r="AF90" s="40">
        <v>406</v>
      </c>
      <c r="AG90" s="40">
        <v>49.3</v>
      </c>
      <c r="AH90" s="40">
        <v>7.3029999999999999</v>
      </c>
      <c r="AI90" s="40">
        <v>34</v>
      </c>
      <c r="AJ90" s="40">
        <v>2.2000000000000002</v>
      </c>
      <c r="AK90" s="40">
        <v>3.9</v>
      </c>
      <c r="AL90" s="40">
        <v>0.3</v>
      </c>
      <c r="AM90" s="40">
        <v>25</v>
      </c>
      <c r="AN90" s="40">
        <v>5.2</v>
      </c>
      <c r="AO90" s="40">
        <v>200.1</v>
      </c>
      <c r="AP90" s="40"/>
      <c r="AQ90" s="41">
        <f t="shared" si="59"/>
        <v>0.49299999999999999</v>
      </c>
      <c r="AR90" s="41">
        <f t="shared" si="68"/>
        <v>0</v>
      </c>
      <c r="AS90" s="41">
        <f t="shared" si="74"/>
        <v>3</v>
      </c>
      <c r="AT90" s="41">
        <f t="shared" si="75"/>
        <v>0.29999999999999982</v>
      </c>
      <c r="AU90" s="41">
        <f t="shared" si="76"/>
        <v>0</v>
      </c>
      <c r="AV90" s="67">
        <v>2.4</v>
      </c>
      <c r="AW90">
        <v>200</v>
      </c>
      <c r="AX90">
        <v>34</v>
      </c>
      <c r="AY90" s="40">
        <v>7.2</v>
      </c>
      <c r="AZ90" s="40">
        <v>50</v>
      </c>
      <c r="BA90" s="42">
        <v>4.0000000000000002E-4</v>
      </c>
      <c r="BB90" s="11"/>
      <c r="BD90" s="22"/>
      <c r="BE90" s="42">
        <f t="shared" si="60"/>
        <v>1.5266829600000002E-3</v>
      </c>
      <c r="BF90" s="42">
        <f t="shared" si="69"/>
        <v>2.1984234624000001</v>
      </c>
      <c r="BG90" s="42">
        <f t="shared" si="61"/>
        <v>200.1</v>
      </c>
      <c r="BH90" s="43">
        <f t="shared" si="62"/>
        <v>0.12493753123438281</v>
      </c>
      <c r="BI90" s="43">
        <f t="shared" si="63"/>
        <v>0.125</v>
      </c>
      <c r="BJ90" s="43">
        <f t="shared" si="64"/>
        <v>0</v>
      </c>
      <c r="BK90" s="43" t="str">
        <f t="shared" si="70"/>
        <v/>
      </c>
      <c r="BL90" s="44">
        <f t="shared" si="66"/>
        <v>0</v>
      </c>
      <c r="BM90" s="44" t="str">
        <f t="shared" si="67"/>
        <v/>
      </c>
      <c r="BN90" s="43" t="str">
        <f t="shared" si="77"/>
        <v/>
      </c>
      <c r="BO90" s="43">
        <f t="shared" si="65"/>
        <v>0</v>
      </c>
      <c r="BP90" s="55">
        <f t="shared" si="71"/>
        <v>0</v>
      </c>
      <c r="BQ90" s="45">
        <f t="shared" si="72"/>
        <v>0</v>
      </c>
      <c r="BR90" s="24">
        <f t="shared" si="73"/>
        <v>0</v>
      </c>
    </row>
    <row r="91" spans="1:70" x14ac:dyDescent="0.3">
      <c r="A91" s="1" t="s">
        <v>87</v>
      </c>
      <c r="B91">
        <v>0.25</v>
      </c>
      <c r="C91" t="s">
        <v>80</v>
      </c>
      <c r="D91">
        <v>12</v>
      </c>
      <c r="E91">
        <v>9</v>
      </c>
      <c r="G91" s="35">
        <v>45577.329918981479</v>
      </c>
      <c r="H91">
        <v>4805.7299999999996</v>
      </c>
      <c r="I91" s="48"/>
      <c r="J91" s="72">
        <v>4396.6049999999996</v>
      </c>
      <c r="K91" s="40">
        <v>19.827999999999999</v>
      </c>
      <c r="L91" s="40">
        <v>17.614999999999998</v>
      </c>
      <c r="M91" s="40">
        <v>88.8</v>
      </c>
      <c r="N91" s="40">
        <v>16.71</v>
      </c>
      <c r="O91" s="40">
        <v>351</v>
      </c>
      <c r="P91" s="40">
        <v>1.34</v>
      </c>
      <c r="Q91" s="40">
        <v>0.32</v>
      </c>
      <c r="R91" s="40">
        <v>3.01</v>
      </c>
      <c r="S91" s="40"/>
      <c r="T91" s="40">
        <v>0.25</v>
      </c>
      <c r="U91" s="40">
        <v>0.15</v>
      </c>
      <c r="V91" s="40">
        <v>2.31</v>
      </c>
      <c r="W91" s="40">
        <v>7.2990000000000004</v>
      </c>
      <c r="X91" s="40">
        <v>51.3</v>
      </c>
      <c r="Y91" s="40">
        <v>57</v>
      </c>
      <c r="Z91" s="40">
        <v>1.99</v>
      </c>
      <c r="AA91" s="40">
        <v>150.1</v>
      </c>
      <c r="AB91" s="40">
        <v>22.2</v>
      </c>
      <c r="AC91" s="40">
        <v>45</v>
      </c>
      <c r="AD91" s="40">
        <v>46.2</v>
      </c>
      <c r="AE91" s="17">
        <v>7.2569999999999997</v>
      </c>
      <c r="AF91" s="40">
        <v>634</v>
      </c>
      <c r="AG91" s="40">
        <v>44.9</v>
      </c>
      <c r="AH91" s="40">
        <v>7.3029999999999999</v>
      </c>
      <c r="AI91" s="40">
        <v>34</v>
      </c>
      <c r="AJ91" s="40">
        <v>2.6</v>
      </c>
      <c r="AK91" s="40">
        <v>7.7</v>
      </c>
      <c r="AL91" s="40">
        <v>0.2</v>
      </c>
      <c r="AM91" s="40">
        <v>17.100000000000001</v>
      </c>
      <c r="AN91" s="40">
        <v>4.4000000000000004</v>
      </c>
      <c r="AO91" s="40">
        <v>199.3</v>
      </c>
      <c r="AP91" s="40"/>
      <c r="AQ91" s="41">
        <f t="shared" si="59"/>
        <v>0.44900000000000001</v>
      </c>
      <c r="AR91" s="41">
        <f t="shared" si="68"/>
        <v>8.4256068000000003E-2</v>
      </c>
      <c r="AS91" s="41">
        <f t="shared" si="74"/>
        <v>2.7000000000000011</v>
      </c>
      <c r="AT91" s="41">
        <f t="shared" si="75"/>
        <v>0</v>
      </c>
      <c r="AU91" s="41">
        <f t="shared" si="76"/>
        <v>0</v>
      </c>
      <c r="AV91" s="67">
        <v>2.4</v>
      </c>
      <c r="AW91">
        <v>200</v>
      </c>
      <c r="AX91">
        <v>34</v>
      </c>
      <c r="AY91" s="40">
        <v>7.2</v>
      </c>
      <c r="AZ91" s="40">
        <v>50</v>
      </c>
      <c r="BA91" s="42">
        <v>4.0000000000000002E-4</v>
      </c>
      <c r="BB91" s="11"/>
      <c r="BD91" s="22"/>
      <c r="BE91" s="42">
        <f t="shared" si="60"/>
        <v>1.4042677999999999E-3</v>
      </c>
      <c r="BF91" s="42">
        <f t="shared" si="69"/>
        <v>2.022145632</v>
      </c>
      <c r="BG91" s="42">
        <f t="shared" si="61"/>
        <v>199.3</v>
      </c>
      <c r="BH91" s="43">
        <f t="shared" si="62"/>
        <v>8.5800301053687911E-2</v>
      </c>
      <c r="BI91" s="43">
        <f t="shared" si="63"/>
        <v>8.5500000000000007E-2</v>
      </c>
      <c r="BJ91" s="43">
        <f t="shared" si="64"/>
        <v>121.32873791999999</v>
      </c>
      <c r="BK91" s="43" t="str">
        <f t="shared" si="70"/>
        <v/>
      </c>
      <c r="BL91" s="44" t="str">
        <f t="shared" si="66"/>
        <v/>
      </c>
      <c r="BM91" s="44">
        <f t="shared" si="67"/>
        <v>8.4256068000000003E-2</v>
      </c>
      <c r="BN91" s="43">
        <f t="shared" si="77"/>
        <v>0</v>
      </c>
      <c r="BO91" s="43" t="str">
        <f t="shared" si="65"/>
        <v/>
      </c>
      <c r="BP91" s="55">
        <f t="shared" si="71"/>
        <v>218.84692987012988</v>
      </c>
      <c r="BQ91" s="45">
        <f t="shared" si="72"/>
        <v>8.4256068000000003E-2</v>
      </c>
      <c r="BR91" s="24">
        <f t="shared" si="73"/>
        <v>0</v>
      </c>
    </row>
    <row r="92" spans="1:70" ht="15" thickBot="1" x14ac:dyDescent="0.35">
      <c r="A92" s="1" t="s">
        <v>88</v>
      </c>
      <c r="B92">
        <v>0.25</v>
      </c>
      <c r="C92" t="s">
        <v>80</v>
      </c>
      <c r="D92">
        <v>12</v>
      </c>
      <c r="E92">
        <v>9</v>
      </c>
      <c r="G92" s="35">
        <v>45577.333067129628</v>
      </c>
      <c r="H92">
        <v>4805.7299999999996</v>
      </c>
      <c r="I92" s="48"/>
      <c r="J92" s="72"/>
      <c r="K92" s="40">
        <v>20.274000000000001</v>
      </c>
      <c r="L92" s="40">
        <v>18.190000000000001</v>
      </c>
      <c r="M92" s="40">
        <v>89.7</v>
      </c>
      <c r="N92" s="40">
        <v>16.41</v>
      </c>
      <c r="O92" s="40">
        <v>343</v>
      </c>
      <c r="P92" s="40">
        <v>1.38</v>
      </c>
      <c r="Q92" s="40">
        <v>0.31</v>
      </c>
      <c r="R92" s="40">
        <v>2.62</v>
      </c>
      <c r="S92" s="40"/>
      <c r="T92" s="40">
        <v>0.21</v>
      </c>
      <c r="U92" s="40">
        <v>0.16</v>
      </c>
      <c r="V92" s="40">
        <v>1.97</v>
      </c>
      <c r="W92" s="40">
        <v>7.3010000000000002</v>
      </c>
      <c r="X92" s="40">
        <v>39.299999999999997</v>
      </c>
      <c r="Y92" s="40">
        <v>59.8</v>
      </c>
      <c r="Z92" s="40">
        <v>2.19</v>
      </c>
      <c r="AA92" s="40">
        <v>144.5</v>
      </c>
      <c r="AB92" s="40">
        <v>17.100000000000001</v>
      </c>
      <c r="AC92" s="40">
        <v>34.4</v>
      </c>
      <c r="AD92" s="40">
        <v>48.5</v>
      </c>
      <c r="AE92" s="17">
        <v>7.2590000000000003</v>
      </c>
      <c r="AF92" s="40">
        <v>424</v>
      </c>
      <c r="AG92" s="40">
        <v>49.6</v>
      </c>
      <c r="AH92" s="40">
        <v>7.306</v>
      </c>
      <c r="AI92" s="40">
        <v>34</v>
      </c>
      <c r="AJ92" s="40">
        <v>2.2999999999999998</v>
      </c>
      <c r="AK92" s="40">
        <v>7.9</v>
      </c>
      <c r="AL92" s="40">
        <v>0.2</v>
      </c>
      <c r="AM92" s="40">
        <v>16.7</v>
      </c>
      <c r="AN92" s="40">
        <v>4.4000000000000004</v>
      </c>
      <c r="AO92" s="40">
        <v>197.3</v>
      </c>
      <c r="AP92" s="7"/>
      <c r="AQ92" s="41">
        <f t="shared" si="59"/>
        <v>0.496</v>
      </c>
      <c r="AR92" s="41">
        <f t="shared" si="68"/>
        <v>8.6133288000000016E-2</v>
      </c>
      <c r="AS92" s="41">
        <f t="shared" si="74"/>
        <v>2.0999999999999996</v>
      </c>
      <c r="AT92" s="41">
        <f t="shared" si="75"/>
        <v>0</v>
      </c>
      <c r="AU92" s="41">
        <f t="shared" si="76"/>
        <v>0</v>
      </c>
      <c r="AV92" s="68">
        <v>2.4</v>
      </c>
      <c r="AW92">
        <v>200</v>
      </c>
      <c r="AX92" s="5">
        <v>34</v>
      </c>
      <c r="AY92" s="40">
        <v>7.2</v>
      </c>
      <c r="AZ92" s="40">
        <v>50</v>
      </c>
      <c r="BA92" s="42">
        <v>4.0000000000000002E-4</v>
      </c>
      <c r="BB92" s="11"/>
      <c r="BD92" s="22"/>
      <c r="BE92" s="42">
        <f t="shared" si="60"/>
        <v>1.4355548000000002E-3</v>
      </c>
      <c r="BF92" s="42">
        <f t="shared" si="69"/>
        <v>2.0671989120000003</v>
      </c>
      <c r="BG92" s="42">
        <f t="shared" si="61"/>
        <v>197.3</v>
      </c>
      <c r="BH92" s="43">
        <f t="shared" si="62"/>
        <v>8.4642676127724276E-2</v>
      </c>
      <c r="BI92" s="43">
        <f t="shared" si="63"/>
        <v>8.3499999999999991E-2</v>
      </c>
      <c r="BJ92" s="43">
        <f t="shared" si="64"/>
        <v>124.03193472000001</v>
      </c>
      <c r="BK92" s="43" t="str">
        <f t="shared" si="70"/>
        <v/>
      </c>
      <c r="BL92" s="44" t="str">
        <f t="shared" si="66"/>
        <v/>
      </c>
      <c r="BM92" s="44">
        <f t="shared" si="67"/>
        <v>8.6133288000000016E-2</v>
      </c>
      <c r="BN92" s="43">
        <f t="shared" si="77"/>
        <v>0</v>
      </c>
      <c r="BO92" s="43" t="str">
        <f t="shared" si="65"/>
        <v/>
      </c>
      <c r="BP92" s="55">
        <f t="shared" si="71"/>
        <v>223.72282597402602</v>
      </c>
      <c r="BQ92" s="45">
        <f t="shared" si="72"/>
        <v>8.6133288000000016E-2</v>
      </c>
      <c r="BR92" s="24">
        <f t="shared" si="73"/>
        <v>0</v>
      </c>
    </row>
    <row r="93" spans="1:70" x14ac:dyDescent="0.3">
      <c r="A93" s="2" t="s">
        <v>76</v>
      </c>
      <c r="B93" s="3">
        <v>1000</v>
      </c>
      <c r="C93" s="3" t="s">
        <v>77</v>
      </c>
      <c r="D93" s="3">
        <v>12</v>
      </c>
      <c r="E93" s="3">
        <v>10</v>
      </c>
      <c r="F93" s="3"/>
      <c r="G93" s="34"/>
      <c r="H93" s="37">
        <v>5497.99</v>
      </c>
      <c r="I93" s="37"/>
      <c r="J93" s="77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39"/>
      <c r="W93" s="6"/>
      <c r="X93" s="6"/>
      <c r="Y93" s="6"/>
      <c r="Z93" s="6"/>
      <c r="AA93" s="6"/>
      <c r="AB93" s="6"/>
      <c r="AC93" s="6"/>
      <c r="AD93" s="6"/>
      <c r="AE93" s="1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32">
        <f t="shared" si="59"/>
        <v>0</v>
      </c>
      <c r="AR93" s="32">
        <f t="shared" si="68"/>
        <v>0</v>
      </c>
      <c r="AS93" s="32">
        <f t="shared" si="74"/>
        <v>0</v>
      </c>
      <c r="AT93" s="32">
        <f t="shared" si="75"/>
        <v>0</v>
      </c>
      <c r="AU93" s="32">
        <f t="shared" si="76"/>
        <v>0</v>
      </c>
      <c r="AV93" s="66">
        <v>60</v>
      </c>
      <c r="AW93" s="3">
        <v>592000</v>
      </c>
      <c r="AX93" s="3">
        <v>34</v>
      </c>
      <c r="AY93" s="6">
        <v>7.2</v>
      </c>
      <c r="AZ93" s="6">
        <v>50</v>
      </c>
      <c r="BA93" s="9">
        <v>4.0000000000000002E-4</v>
      </c>
      <c r="BB93" s="8"/>
      <c r="BC93" s="9"/>
      <c r="BD93" s="21"/>
      <c r="BE93" s="9">
        <f t="shared" si="60"/>
        <v>0</v>
      </c>
      <c r="BF93" s="9">
        <f t="shared" si="69"/>
        <v>0</v>
      </c>
      <c r="BG93" s="9">
        <f t="shared" si="61"/>
        <v>591340</v>
      </c>
      <c r="BH93" s="10" t="str">
        <f t="shared" si="62"/>
        <v/>
      </c>
      <c r="BI93" s="10" t="str">
        <f t="shared" si="63"/>
        <v/>
      </c>
      <c r="BJ93" s="10">
        <f t="shared" si="64"/>
        <v>0</v>
      </c>
      <c r="BK93" s="10" t="str">
        <f t="shared" si="70"/>
        <v/>
      </c>
      <c r="BL93" s="10">
        <f t="shared" si="66"/>
        <v>0</v>
      </c>
      <c r="BM93" s="28" t="str">
        <f t="shared" si="67"/>
        <v/>
      </c>
      <c r="BN93" s="10" t="str">
        <f t="shared" si="77"/>
        <v/>
      </c>
      <c r="BO93" s="10">
        <f t="shared" si="65"/>
        <v>0</v>
      </c>
      <c r="BP93" s="58">
        <f t="shared" si="71"/>
        <v>0</v>
      </c>
      <c r="BQ93" s="30">
        <f t="shared" si="72"/>
        <v>0</v>
      </c>
      <c r="BR93" s="26">
        <f t="shared" si="73"/>
        <v>0</v>
      </c>
    </row>
    <row r="94" spans="1:70" x14ac:dyDescent="0.3">
      <c r="A94" s="1" t="s">
        <v>79</v>
      </c>
      <c r="B94">
        <v>0.25</v>
      </c>
      <c r="C94" t="s">
        <v>80</v>
      </c>
      <c r="D94">
        <v>12</v>
      </c>
      <c r="E94">
        <v>10</v>
      </c>
      <c r="G94" s="35"/>
      <c r="H94" s="48">
        <v>5497.99</v>
      </c>
      <c r="I94" s="48"/>
      <c r="J94" s="72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17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1">
        <f t="shared" si="59"/>
        <v>0</v>
      </c>
      <c r="AR94" s="41">
        <f t="shared" si="68"/>
        <v>0</v>
      </c>
      <c r="AS94" s="41">
        <f t="shared" si="74"/>
        <v>-17.7</v>
      </c>
      <c r="AT94" s="41">
        <f t="shared" si="75"/>
        <v>-4</v>
      </c>
      <c r="AU94" s="41">
        <f t="shared" si="76"/>
        <v>0</v>
      </c>
      <c r="AV94" s="67">
        <v>2.4</v>
      </c>
      <c r="AW94">
        <v>200</v>
      </c>
      <c r="AX94">
        <v>34</v>
      </c>
      <c r="AY94" s="40">
        <v>7.2</v>
      </c>
      <c r="AZ94" s="40">
        <v>50</v>
      </c>
      <c r="BA94" s="42">
        <v>4.0000000000000002E-4</v>
      </c>
      <c r="BB94" s="11"/>
      <c r="BC94" s="42"/>
      <c r="BD94" s="22"/>
      <c r="BE94" s="42">
        <f t="shared" si="60"/>
        <v>0</v>
      </c>
      <c r="BF94" s="42">
        <f t="shared" si="69"/>
        <v>0</v>
      </c>
      <c r="BG94" s="42">
        <f t="shared" si="61"/>
        <v>173.6</v>
      </c>
      <c r="BH94" s="43" t="str">
        <f t="shared" si="62"/>
        <v/>
      </c>
      <c r="BI94" s="43" t="str">
        <f t="shared" si="63"/>
        <v/>
      </c>
      <c r="BJ94" s="43">
        <f t="shared" si="64"/>
        <v>0</v>
      </c>
      <c r="BK94" s="43" t="str">
        <f t="shared" si="70"/>
        <v/>
      </c>
      <c r="BL94" s="43" t="str">
        <f t="shared" si="66"/>
        <v/>
      </c>
      <c r="BM94" s="44">
        <f t="shared" si="67"/>
        <v>0</v>
      </c>
      <c r="BN94" s="43">
        <f t="shared" si="77"/>
        <v>1.3019999999999998</v>
      </c>
      <c r="BO94" s="43" t="str">
        <f t="shared" si="65"/>
        <v/>
      </c>
      <c r="BP94" s="55">
        <f t="shared" si="71"/>
        <v>0</v>
      </c>
      <c r="BQ94" s="45">
        <f t="shared" si="72"/>
        <v>0</v>
      </c>
      <c r="BR94" s="24">
        <f t="shared" si="73"/>
        <v>1.3019999999999998</v>
      </c>
    </row>
    <row r="95" spans="1:70" x14ac:dyDescent="0.3">
      <c r="A95" s="1" t="s">
        <v>81</v>
      </c>
      <c r="B95">
        <v>0.25</v>
      </c>
      <c r="C95" t="s">
        <v>80</v>
      </c>
      <c r="D95">
        <v>12</v>
      </c>
      <c r="E95">
        <v>10</v>
      </c>
      <c r="G95" s="35"/>
      <c r="H95" s="48">
        <v>5497.99</v>
      </c>
      <c r="I95" s="48"/>
      <c r="J95" s="72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17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1">
        <f t="shared" si="59"/>
        <v>0</v>
      </c>
      <c r="AR95" s="41">
        <f t="shared" si="68"/>
        <v>0</v>
      </c>
      <c r="AS95" s="41">
        <f t="shared" si="74"/>
        <v>-17.7</v>
      </c>
      <c r="AT95" s="41">
        <f t="shared" si="75"/>
        <v>-4.3</v>
      </c>
      <c r="AU95" s="41">
        <f t="shared" si="76"/>
        <v>0</v>
      </c>
      <c r="AV95" s="67">
        <v>2.4</v>
      </c>
      <c r="AW95">
        <v>200</v>
      </c>
      <c r="AX95">
        <v>34</v>
      </c>
      <c r="AY95" s="40">
        <v>7.2</v>
      </c>
      <c r="AZ95" s="40">
        <v>50</v>
      </c>
      <c r="BA95" s="42">
        <v>4.0000000000000002E-4</v>
      </c>
      <c r="BB95" s="11"/>
      <c r="BC95" s="42"/>
      <c r="BD95" s="22"/>
      <c r="BE95" s="42">
        <f t="shared" si="60"/>
        <v>0</v>
      </c>
      <c r="BF95" s="42">
        <f t="shared" si="69"/>
        <v>0</v>
      </c>
      <c r="BG95" s="42">
        <f t="shared" si="61"/>
        <v>173.6</v>
      </c>
      <c r="BH95" s="43" t="str">
        <f t="shared" si="62"/>
        <v/>
      </c>
      <c r="BI95" s="43" t="str">
        <f t="shared" si="63"/>
        <v/>
      </c>
      <c r="BJ95" s="43">
        <f t="shared" si="64"/>
        <v>0</v>
      </c>
      <c r="BK95" s="43" t="str">
        <f t="shared" si="70"/>
        <v/>
      </c>
      <c r="BL95" s="43" t="str">
        <f t="shared" si="66"/>
        <v/>
      </c>
      <c r="BM95" s="44">
        <f t="shared" si="67"/>
        <v>0</v>
      </c>
      <c r="BN95" s="43">
        <f t="shared" si="77"/>
        <v>1.3019999999999998</v>
      </c>
      <c r="BO95" s="43" t="str">
        <f t="shared" si="65"/>
        <v/>
      </c>
      <c r="BP95" s="55">
        <f t="shared" si="71"/>
        <v>0</v>
      </c>
      <c r="BQ95" s="45">
        <f t="shared" si="72"/>
        <v>0</v>
      </c>
      <c r="BR95" s="24">
        <f t="shared" si="73"/>
        <v>1.3019999999999998</v>
      </c>
    </row>
    <row r="96" spans="1:70" x14ac:dyDescent="0.3">
      <c r="A96" s="1" t="s">
        <v>82</v>
      </c>
      <c r="B96">
        <v>0.25</v>
      </c>
      <c r="C96" t="s">
        <v>83</v>
      </c>
      <c r="D96">
        <v>12</v>
      </c>
      <c r="E96">
        <v>10</v>
      </c>
      <c r="G96" s="35"/>
      <c r="H96" s="48">
        <v>5497.99</v>
      </c>
      <c r="I96" s="48"/>
      <c r="J96" s="72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17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1">
        <f t="shared" si="59"/>
        <v>0</v>
      </c>
      <c r="AR96" s="41">
        <f t="shared" si="68"/>
        <v>0</v>
      </c>
      <c r="AS96" s="41">
        <f t="shared" si="74"/>
        <v>0</v>
      </c>
      <c r="AT96" s="41">
        <f t="shared" si="75"/>
        <v>0</v>
      </c>
      <c r="AU96" s="41">
        <f t="shared" si="76"/>
        <v>0</v>
      </c>
      <c r="AV96" s="67">
        <v>2.4</v>
      </c>
      <c r="AW96">
        <v>200</v>
      </c>
      <c r="AX96">
        <v>34</v>
      </c>
      <c r="AY96" s="40">
        <v>7.2</v>
      </c>
      <c r="AZ96" s="40">
        <v>50</v>
      </c>
      <c r="BA96" s="42">
        <v>4.0000000000000002E-4</v>
      </c>
      <c r="BB96" s="11"/>
      <c r="BC96" s="42"/>
      <c r="BD96" s="22"/>
      <c r="BE96" s="42">
        <f t="shared" si="60"/>
        <v>0</v>
      </c>
      <c r="BF96" s="42">
        <f t="shared" si="69"/>
        <v>0</v>
      </c>
      <c r="BG96" s="42">
        <f t="shared" si="61"/>
        <v>173.6</v>
      </c>
      <c r="BH96" s="43" t="str">
        <f t="shared" si="62"/>
        <v/>
      </c>
      <c r="BI96" s="43" t="str">
        <f t="shared" si="63"/>
        <v/>
      </c>
      <c r="BJ96" s="43">
        <f t="shared" si="64"/>
        <v>0</v>
      </c>
      <c r="BK96" s="43">
        <f t="shared" si="70"/>
        <v>0</v>
      </c>
      <c r="BL96" s="43" t="str">
        <f t="shared" si="66"/>
        <v/>
      </c>
      <c r="BM96" s="44" t="str">
        <f t="shared" si="67"/>
        <v/>
      </c>
      <c r="BN96" s="43">
        <f t="shared" si="77"/>
        <v>1.3019999999999998</v>
      </c>
      <c r="BO96" s="43" t="str">
        <f t="shared" si="65"/>
        <v/>
      </c>
      <c r="BP96" s="55">
        <f t="shared" si="71"/>
        <v>0</v>
      </c>
      <c r="BQ96" s="45">
        <f t="shared" si="72"/>
        <v>0</v>
      </c>
      <c r="BR96" s="24">
        <f t="shared" si="73"/>
        <v>1.3019999999999998</v>
      </c>
    </row>
    <row r="97" spans="1:70" x14ac:dyDescent="0.3">
      <c r="A97" s="1" t="s">
        <v>84</v>
      </c>
      <c r="B97">
        <v>0.25</v>
      </c>
      <c r="C97" t="s">
        <v>83</v>
      </c>
      <c r="D97">
        <v>12</v>
      </c>
      <c r="E97">
        <v>10</v>
      </c>
      <c r="G97" s="35"/>
      <c r="H97" s="48">
        <v>5497.99</v>
      </c>
      <c r="I97" s="48"/>
      <c r="J97" s="72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17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1">
        <f t="shared" si="59"/>
        <v>0</v>
      </c>
      <c r="AR97" s="41">
        <f t="shared" si="68"/>
        <v>0</v>
      </c>
      <c r="AS97" s="41">
        <f t="shared" si="74"/>
        <v>-23.1</v>
      </c>
      <c r="AT97" s="41">
        <f t="shared" si="75"/>
        <v>-5</v>
      </c>
      <c r="AU97" s="41">
        <f t="shared" si="76"/>
        <v>0</v>
      </c>
      <c r="AV97" s="67">
        <v>2.4</v>
      </c>
      <c r="AW97">
        <v>200</v>
      </c>
      <c r="AX97">
        <v>34</v>
      </c>
      <c r="AY97" s="40">
        <v>7.2</v>
      </c>
      <c r="AZ97" s="40">
        <v>50</v>
      </c>
      <c r="BA97" s="42">
        <v>4.0000000000000002E-4</v>
      </c>
      <c r="BB97" s="11"/>
      <c r="BD97" s="22"/>
      <c r="BE97" s="42">
        <f t="shared" si="60"/>
        <v>0</v>
      </c>
      <c r="BF97" s="42">
        <f t="shared" si="69"/>
        <v>0</v>
      </c>
      <c r="BG97" s="42">
        <f t="shared" si="61"/>
        <v>173.6</v>
      </c>
      <c r="BH97" s="43" t="str">
        <f t="shared" si="62"/>
        <v/>
      </c>
      <c r="BI97" s="43" t="str">
        <f t="shared" si="63"/>
        <v/>
      </c>
      <c r="BJ97" s="43">
        <f t="shared" si="64"/>
        <v>0</v>
      </c>
      <c r="BK97" s="43">
        <f t="shared" si="70"/>
        <v>0</v>
      </c>
      <c r="BL97" s="44" t="str">
        <f t="shared" si="66"/>
        <v/>
      </c>
      <c r="BM97" s="44" t="str">
        <f t="shared" si="67"/>
        <v/>
      </c>
      <c r="BN97" s="43">
        <f t="shared" si="77"/>
        <v>1.3019999999999998</v>
      </c>
      <c r="BO97" s="43" t="str">
        <f t="shared" si="65"/>
        <v/>
      </c>
      <c r="BP97" s="55">
        <f t="shared" si="71"/>
        <v>0</v>
      </c>
      <c r="BQ97" s="45">
        <f t="shared" si="72"/>
        <v>0</v>
      </c>
      <c r="BR97" s="24">
        <f t="shared" si="73"/>
        <v>1.3019999999999998</v>
      </c>
    </row>
    <row r="98" spans="1:70" x14ac:dyDescent="0.3">
      <c r="A98" s="1" t="s">
        <v>85</v>
      </c>
      <c r="B98">
        <v>0.25</v>
      </c>
      <c r="C98" t="s">
        <v>77</v>
      </c>
      <c r="D98">
        <v>12</v>
      </c>
      <c r="E98">
        <v>10</v>
      </c>
      <c r="G98" s="35"/>
      <c r="H98" s="48">
        <v>5497.99</v>
      </c>
      <c r="I98" s="48"/>
      <c r="J98" s="72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17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1">
        <f t="shared" si="59"/>
        <v>0</v>
      </c>
      <c r="AR98" s="41">
        <f t="shared" si="68"/>
        <v>0</v>
      </c>
      <c r="AS98" s="41">
        <f t="shared" si="74"/>
        <v>-25.1</v>
      </c>
      <c r="AT98" s="41">
        <f t="shared" si="75"/>
        <v>-4.9000000000000004</v>
      </c>
      <c r="AU98" s="41">
        <f t="shared" si="76"/>
        <v>0</v>
      </c>
      <c r="AV98" s="67">
        <v>2.4</v>
      </c>
      <c r="AW98">
        <v>200</v>
      </c>
      <c r="AX98">
        <v>34</v>
      </c>
      <c r="AY98" s="40">
        <v>7.2</v>
      </c>
      <c r="AZ98" s="40">
        <v>50</v>
      </c>
      <c r="BA98" s="42">
        <v>4.0000000000000002E-4</v>
      </c>
      <c r="BB98" s="11"/>
      <c r="BD98" s="22"/>
      <c r="BE98" s="42">
        <f t="shared" si="60"/>
        <v>0</v>
      </c>
      <c r="BF98" s="42">
        <f t="shared" si="69"/>
        <v>0</v>
      </c>
      <c r="BG98" s="42">
        <f t="shared" si="61"/>
        <v>173.6</v>
      </c>
      <c r="BH98" s="43" t="str">
        <f t="shared" si="62"/>
        <v/>
      </c>
      <c r="BI98" s="43" t="str">
        <f t="shared" si="63"/>
        <v/>
      </c>
      <c r="BJ98" s="43">
        <f t="shared" si="64"/>
        <v>0</v>
      </c>
      <c r="BK98" s="43" t="str">
        <f t="shared" si="70"/>
        <v/>
      </c>
      <c r="BL98" s="44">
        <f t="shared" si="66"/>
        <v>0</v>
      </c>
      <c r="BM98" s="44" t="str">
        <f t="shared" si="67"/>
        <v/>
      </c>
      <c r="BN98" s="43" t="str">
        <f t="shared" si="77"/>
        <v/>
      </c>
      <c r="BO98" s="43">
        <f t="shared" si="65"/>
        <v>0</v>
      </c>
      <c r="BP98" s="55">
        <f t="shared" si="71"/>
        <v>0</v>
      </c>
      <c r="BQ98" s="45">
        <f t="shared" si="72"/>
        <v>0</v>
      </c>
      <c r="BR98" s="24">
        <f t="shared" si="73"/>
        <v>0</v>
      </c>
    </row>
    <row r="99" spans="1:70" x14ac:dyDescent="0.3">
      <c r="A99" s="1" t="s">
        <v>86</v>
      </c>
      <c r="B99">
        <v>0.25</v>
      </c>
      <c r="C99" t="s">
        <v>77</v>
      </c>
      <c r="D99">
        <v>12</v>
      </c>
      <c r="E99">
        <v>10</v>
      </c>
      <c r="G99" s="35"/>
      <c r="H99" s="48">
        <v>5497.99</v>
      </c>
      <c r="I99" s="48"/>
      <c r="J99" s="72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17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1">
        <f t="shared" ref="AQ99:AQ119" si="78">AG99/100</f>
        <v>0</v>
      </c>
      <c r="AR99" s="41">
        <f t="shared" si="68"/>
        <v>0</v>
      </c>
      <c r="AS99" s="41">
        <f t="shared" si="74"/>
        <v>-25</v>
      </c>
      <c r="AT99" s="41">
        <f t="shared" si="75"/>
        <v>-5.2</v>
      </c>
      <c r="AU99" s="41">
        <f t="shared" si="76"/>
        <v>0</v>
      </c>
      <c r="AV99" s="67">
        <v>2.4</v>
      </c>
      <c r="AW99">
        <v>200</v>
      </c>
      <c r="AX99">
        <v>34</v>
      </c>
      <c r="AY99" s="40">
        <v>7.2</v>
      </c>
      <c r="AZ99" s="40">
        <v>50</v>
      </c>
      <c r="BA99" s="42">
        <v>4.0000000000000002E-4</v>
      </c>
      <c r="BB99" s="11"/>
      <c r="BD99" s="22"/>
      <c r="BE99" s="42">
        <f t="shared" ref="BE99:BE119" si="79">BA99*L99*BG99/1000</f>
        <v>0</v>
      </c>
      <c r="BF99" s="42">
        <f t="shared" si="69"/>
        <v>0</v>
      </c>
      <c r="BG99" s="42">
        <f t="shared" ref="BG99:BG119" si="80">IF(ISBLANK(AO99), AW99+SUM(AJ99:AL99,AM99:AN99)-(AV99*(E99+1)), AO99)</f>
        <v>173.6</v>
      </c>
      <c r="BH99" s="43" t="str">
        <f t="shared" ref="BH99:BH119" si="81">IF(ISBLANK(AM99),"",IFERROR(AM99/BG99,0))</f>
        <v/>
      </c>
      <c r="BI99" s="43" t="str">
        <f t="shared" ref="BI99:BI119" si="82">IF(ISBLANK(AM99),"",AM99/AW99)</f>
        <v/>
      </c>
      <c r="BJ99" s="43">
        <f t="shared" ref="BJ99:BJ119" si="83">AR99*24*60</f>
        <v>0</v>
      </c>
      <c r="BK99" s="43" t="str">
        <f t="shared" si="70"/>
        <v/>
      </c>
      <c r="BL99" s="44">
        <f t="shared" si="66"/>
        <v>0</v>
      </c>
      <c r="BM99" s="44" t="str">
        <f t="shared" si="67"/>
        <v/>
      </c>
      <c r="BN99" s="43" t="str">
        <f t="shared" si="77"/>
        <v/>
      </c>
      <c r="BO99" s="43">
        <f t="shared" ref="BO99:BO119" si="84">IF(C99="Julia",BD99*BG99,"")</f>
        <v>0</v>
      </c>
      <c r="BP99" s="55">
        <f t="shared" si="71"/>
        <v>0</v>
      </c>
      <c r="BQ99" s="45">
        <f t="shared" si="72"/>
        <v>0</v>
      </c>
      <c r="BR99" s="24">
        <f t="shared" si="73"/>
        <v>0</v>
      </c>
    </row>
    <row r="100" spans="1:70" x14ac:dyDescent="0.3">
      <c r="A100" s="1" t="s">
        <v>87</v>
      </c>
      <c r="B100">
        <v>0.25</v>
      </c>
      <c r="C100" t="s">
        <v>80</v>
      </c>
      <c r="D100">
        <v>12</v>
      </c>
      <c r="E100">
        <v>10</v>
      </c>
      <c r="G100" s="35"/>
      <c r="H100" s="48">
        <v>5497.99</v>
      </c>
      <c r="I100" s="48"/>
      <c r="J100" s="72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6"/>
      <c r="W100" s="40"/>
      <c r="X100" s="40"/>
      <c r="Y100" s="40"/>
      <c r="Z100" s="40"/>
      <c r="AA100" s="40"/>
      <c r="AB100" s="40"/>
      <c r="AC100" s="40"/>
      <c r="AD100" s="40"/>
      <c r="AE100" s="17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1">
        <f t="shared" si="78"/>
        <v>0</v>
      </c>
      <c r="AR100" s="41">
        <f t="shared" si="68"/>
        <v>0</v>
      </c>
      <c r="AS100" s="41">
        <f t="shared" si="74"/>
        <v>-17.100000000000001</v>
      </c>
      <c r="AT100" s="41">
        <f t="shared" si="75"/>
        <v>-4.4000000000000004</v>
      </c>
      <c r="AU100" s="41">
        <f t="shared" si="76"/>
        <v>0</v>
      </c>
      <c r="AV100" s="67">
        <v>2.4</v>
      </c>
      <c r="AW100">
        <v>200</v>
      </c>
      <c r="AX100">
        <v>34</v>
      </c>
      <c r="AY100" s="40">
        <v>7.2</v>
      </c>
      <c r="AZ100" s="40">
        <v>50</v>
      </c>
      <c r="BA100" s="42">
        <v>4.0000000000000002E-4</v>
      </c>
      <c r="BB100" s="11"/>
      <c r="BD100" s="22"/>
      <c r="BE100" s="42">
        <f t="shared" si="79"/>
        <v>0</v>
      </c>
      <c r="BF100" s="42">
        <f t="shared" si="69"/>
        <v>0</v>
      </c>
      <c r="BG100" s="42">
        <f t="shared" si="80"/>
        <v>173.6</v>
      </c>
      <c r="BH100" s="43" t="str">
        <f t="shared" si="81"/>
        <v/>
      </c>
      <c r="BI100" s="43" t="str">
        <f t="shared" si="82"/>
        <v/>
      </c>
      <c r="BJ100" s="43">
        <f t="shared" si="83"/>
        <v>0</v>
      </c>
      <c r="BK100" s="43" t="str">
        <f t="shared" si="70"/>
        <v/>
      </c>
      <c r="BL100" s="44" t="str">
        <f t="shared" si="66"/>
        <v/>
      </c>
      <c r="BM100" s="44">
        <f t="shared" si="67"/>
        <v>0</v>
      </c>
      <c r="BN100" s="43">
        <f t="shared" si="77"/>
        <v>1.3019999999999998</v>
      </c>
      <c r="BO100" s="43" t="str">
        <f t="shared" si="84"/>
        <v/>
      </c>
      <c r="BP100" s="55">
        <f t="shared" si="71"/>
        <v>0</v>
      </c>
      <c r="BQ100" s="45">
        <f t="shared" si="72"/>
        <v>0</v>
      </c>
      <c r="BR100" s="24">
        <f t="shared" si="73"/>
        <v>1.3019999999999998</v>
      </c>
    </row>
    <row r="101" spans="1:70" ht="15" thickBot="1" x14ac:dyDescent="0.35">
      <c r="A101" s="1" t="s">
        <v>88</v>
      </c>
      <c r="B101">
        <v>0.25</v>
      </c>
      <c r="C101" t="s">
        <v>80</v>
      </c>
      <c r="D101">
        <v>12</v>
      </c>
      <c r="E101">
        <v>10</v>
      </c>
      <c r="G101" s="35"/>
      <c r="H101" s="48">
        <v>5497.99</v>
      </c>
      <c r="I101" s="48"/>
      <c r="J101" s="72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17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7"/>
      <c r="AQ101" s="41">
        <f t="shared" si="78"/>
        <v>0</v>
      </c>
      <c r="AR101" s="41">
        <f t="shared" si="68"/>
        <v>0</v>
      </c>
      <c r="AS101" s="41">
        <f t="shared" si="74"/>
        <v>-16.7</v>
      </c>
      <c r="AT101" s="41">
        <f t="shared" si="75"/>
        <v>-4.4000000000000004</v>
      </c>
      <c r="AU101" s="41">
        <f t="shared" si="76"/>
        <v>0</v>
      </c>
      <c r="AV101" s="68">
        <v>2.4</v>
      </c>
      <c r="AW101">
        <v>200</v>
      </c>
      <c r="AX101" s="5">
        <v>34</v>
      </c>
      <c r="AY101" s="40">
        <v>7.2</v>
      </c>
      <c r="AZ101" s="40">
        <v>50</v>
      </c>
      <c r="BA101" s="42">
        <v>4.0000000000000002E-4</v>
      </c>
      <c r="BB101" s="11"/>
      <c r="BD101" s="22"/>
      <c r="BE101" s="42">
        <f t="shared" si="79"/>
        <v>0</v>
      </c>
      <c r="BF101" s="42">
        <f t="shared" si="69"/>
        <v>0</v>
      </c>
      <c r="BG101" s="42">
        <f t="shared" si="80"/>
        <v>173.6</v>
      </c>
      <c r="BH101" s="43" t="str">
        <f t="shared" si="81"/>
        <v/>
      </c>
      <c r="BI101" s="43" t="str">
        <f t="shared" si="82"/>
        <v/>
      </c>
      <c r="BJ101" s="43">
        <f t="shared" si="83"/>
        <v>0</v>
      </c>
      <c r="BK101" s="43" t="str">
        <f t="shared" si="70"/>
        <v/>
      </c>
      <c r="BL101" s="44" t="str">
        <f t="shared" si="66"/>
        <v/>
      </c>
      <c r="BM101" s="44">
        <f t="shared" si="67"/>
        <v>0</v>
      </c>
      <c r="BN101" s="43">
        <f t="shared" si="77"/>
        <v>1.3019999999999998</v>
      </c>
      <c r="BO101" s="43" t="str">
        <f t="shared" si="84"/>
        <v/>
      </c>
      <c r="BP101" s="55">
        <f t="shared" si="71"/>
        <v>0</v>
      </c>
      <c r="BQ101" s="45">
        <f t="shared" si="72"/>
        <v>0</v>
      </c>
      <c r="BR101" s="24">
        <f t="shared" si="73"/>
        <v>1.3019999999999998</v>
      </c>
    </row>
    <row r="102" spans="1:70" x14ac:dyDescent="0.3">
      <c r="A102" s="2" t="s">
        <v>76</v>
      </c>
      <c r="B102" s="3">
        <v>1000</v>
      </c>
      <c r="C102" s="3" t="s">
        <v>77</v>
      </c>
      <c r="D102" s="3">
        <v>12</v>
      </c>
      <c r="E102" s="3">
        <v>11</v>
      </c>
      <c r="F102" s="3"/>
      <c r="G102" s="61"/>
      <c r="H102" s="37">
        <v>6057.48</v>
      </c>
      <c r="I102" s="3"/>
      <c r="J102" s="78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61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6"/>
      <c r="AQ102" s="32">
        <f t="shared" si="78"/>
        <v>0</v>
      </c>
      <c r="AR102" s="32">
        <f t="shared" si="68"/>
        <v>0</v>
      </c>
      <c r="AS102" s="32">
        <f t="shared" si="74"/>
        <v>0</v>
      </c>
      <c r="AT102" s="32">
        <f t="shared" si="75"/>
        <v>0</v>
      </c>
      <c r="AU102" s="32">
        <f t="shared" si="76"/>
        <v>0</v>
      </c>
      <c r="AV102" s="66">
        <v>60</v>
      </c>
      <c r="AW102" s="3">
        <v>592000</v>
      </c>
      <c r="AX102" s="3">
        <v>34</v>
      </c>
      <c r="AY102" s="6">
        <v>7.2</v>
      </c>
      <c r="AZ102" s="6">
        <v>50</v>
      </c>
      <c r="BA102" s="9">
        <v>4.0000000000000002E-4</v>
      </c>
      <c r="BB102" s="8"/>
      <c r="BC102" s="9"/>
      <c r="BD102" s="21"/>
      <c r="BE102" s="9">
        <f t="shared" si="79"/>
        <v>0</v>
      </c>
      <c r="BF102" s="9">
        <f t="shared" si="69"/>
        <v>0</v>
      </c>
      <c r="BG102" s="9">
        <f t="shared" si="80"/>
        <v>591280</v>
      </c>
      <c r="BH102" s="10" t="str">
        <f t="shared" si="81"/>
        <v/>
      </c>
      <c r="BI102" s="10" t="str">
        <f t="shared" si="82"/>
        <v/>
      </c>
      <c r="BJ102" s="10">
        <f t="shared" si="83"/>
        <v>0</v>
      </c>
      <c r="BK102" s="10" t="str">
        <f t="shared" si="70"/>
        <v/>
      </c>
      <c r="BL102" s="10">
        <f t="shared" si="66"/>
        <v>0</v>
      </c>
      <c r="BM102" s="28" t="str">
        <f t="shared" si="67"/>
        <v/>
      </c>
      <c r="BN102" s="10" t="str">
        <f t="shared" si="77"/>
        <v/>
      </c>
      <c r="BO102" s="10">
        <f t="shared" si="84"/>
        <v>0</v>
      </c>
      <c r="BP102" s="58">
        <f t="shared" si="71"/>
        <v>0</v>
      </c>
      <c r="BQ102" s="30">
        <f t="shared" si="72"/>
        <v>0</v>
      </c>
      <c r="BR102" s="26">
        <f t="shared" si="73"/>
        <v>0</v>
      </c>
    </row>
    <row r="103" spans="1:70" x14ac:dyDescent="0.3">
      <c r="A103" s="1" t="s">
        <v>79</v>
      </c>
      <c r="B103">
        <v>0.25</v>
      </c>
      <c r="C103" t="s">
        <v>80</v>
      </c>
      <c r="D103">
        <v>12</v>
      </c>
      <c r="E103">
        <v>11</v>
      </c>
      <c r="G103" s="54"/>
      <c r="H103" s="48">
        <v>6057.48</v>
      </c>
      <c r="J103" s="79"/>
      <c r="AE103" s="54"/>
      <c r="AP103" s="40"/>
      <c r="AQ103" s="41">
        <f t="shared" si="78"/>
        <v>0</v>
      </c>
      <c r="AR103" s="41">
        <f t="shared" ref="AR103:AR119" si="85">BQ103</f>
        <v>0</v>
      </c>
      <c r="AS103" s="41">
        <f t="shared" si="74"/>
        <v>0</v>
      </c>
      <c r="AT103" s="41">
        <f t="shared" si="75"/>
        <v>0</v>
      </c>
      <c r="AU103" s="41">
        <f t="shared" si="76"/>
        <v>0</v>
      </c>
      <c r="AV103" s="67">
        <v>2.4</v>
      </c>
      <c r="AW103">
        <v>200</v>
      </c>
      <c r="AX103">
        <v>34</v>
      </c>
      <c r="AY103" s="40">
        <v>7.2</v>
      </c>
      <c r="AZ103" s="40">
        <v>50</v>
      </c>
      <c r="BA103" s="42">
        <v>4.0000000000000002E-4</v>
      </c>
      <c r="BB103" s="11"/>
      <c r="BC103" s="42"/>
      <c r="BD103" s="22"/>
      <c r="BE103" s="42">
        <f t="shared" si="79"/>
        <v>0</v>
      </c>
      <c r="BF103" s="42">
        <f t="shared" ref="BF103:BF119" si="86">BE103*24*60</f>
        <v>0</v>
      </c>
      <c r="BG103" s="42">
        <f t="shared" si="80"/>
        <v>171.2</v>
      </c>
      <c r="BH103" s="43" t="str">
        <f t="shared" si="81"/>
        <v/>
      </c>
      <c r="BI103" s="43" t="str">
        <f t="shared" si="82"/>
        <v/>
      </c>
      <c r="BJ103" s="43">
        <f t="shared" si="83"/>
        <v>0</v>
      </c>
      <c r="BK103" s="43" t="str">
        <f t="shared" si="70"/>
        <v/>
      </c>
      <c r="BL103" s="43" t="str">
        <f t="shared" si="66"/>
        <v/>
      </c>
      <c r="BM103" s="44">
        <f t="shared" si="67"/>
        <v>0</v>
      </c>
      <c r="BN103" s="43">
        <f t="shared" si="77"/>
        <v>1.2839999999999998</v>
      </c>
      <c r="BO103" s="43" t="str">
        <f t="shared" si="84"/>
        <v/>
      </c>
      <c r="BP103" s="55">
        <f t="shared" ref="BP103:BP119" si="87">IF(BK103&lt;&gt;"",BK103/0.000385,IF(BL103&lt;&gt;"",BL103/0.000385,BM103/0.000385))</f>
        <v>0</v>
      </c>
      <c r="BQ103" s="45">
        <f t="shared" ref="BQ103:BQ119" si="88">IF(BK103&lt;&gt;"",BK103,IF(BL103&lt;&gt;"",BL103,BM103))</f>
        <v>0</v>
      </c>
      <c r="BR103" s="24">
        <f t="shared" ref="BR103:BR119" si="89">IF(BN103&lt;&gt;"",BN103,BO103)</f>
        <v>1.2839999999999998</v>
      </c>
    </row>
    <row r="104" spans="1:70" x14ac:dyDescent="0.3">
      <c r="A104" s="1" t="s">
        <v>81</v>
      </c>
      <c r="B104">
        <v>0.25</v>
      </c>
      <c r="C104" t="s">
        <v>80</v>
      </c>
      <c r="D104">
        <v>12</v>
      </c>
      <c r="E104">
        <v>11</v>
      </c>
      <c r="G104" s="54"/>
      <c r="H104" s="48">
        <v>6057.48</v>
      </c>
      <c r="J104" s="79"/>
      <c r="T104" s="56"/>
      <c r="AE104" s="54"/>
      <c r="AP104" s="40"/>
      <c r="AQ104" s="41">
        <f t="shared" si="78"/>
        <v>0</v>
      </c>
      <c r="AR104" s="41">
        <f t="shared" si="85"/>
        <v>0</v>
      </c>
      <c r="AS104" s="41">
        <f t="shared" si="74"/>
        <v>0</v>
      </c>
      <c r="AT104" s="41">
        <f t="shared" si="75"/>
        <v>0</v>
      </c>
      <c r="AU104" s="41">
        <f t="shared" si="76"/>
        <v>0</v>
      </c>
      <c r="AV104" s="67">
        <v>2.4</v>
      </c>
      <c r="AW104">
        <v>200</v>
      </c>
      <c r="AX104">
        <v>34</v>
      </c>
      <c r="AY104" s="40">
        <v>7.2</v>
      </c>
      <c r="AZ104" s="40">
        <v>50</v>
      </c>
      <c r="BA104" s="42">
        <v>4.0000000000000002E-4</v>
      </c>
      <c r="BB104" s="11"/>
      <c r="BC104" s="42"/>
      <c r="BD104" s="22"/>
      <c r="BE104" s="42">
        <f t="shared" si="79"/>
        <v>0</v>
      </c>
      <c r="BF104" s="42">
        <f t="shared" si="86"/>
        <v>0</v>
      </c>
      <c r="BG104" s="42">
        <f t="shared" si="80"/>
        <v>171.2</v>
      </c>
      <c r="BH104" s="43" t="str">
        <f t="shared" si="81"/>
        <v/>
      </c>
      <c r="BI104" s="43" t="str">
        <f t="shared" si="82"/>
        <v/>
      </c>
      <c r="BJ104" s="43">
        <f t="shared" si="83"/>
        <v>0</v>
      </c>
      <c r="BK104" s="43" t="str">
        <f t="shared" si="70"/>
        <v/>
      </c>
      <c r="BL104" s="43" t="str">
        <f t="shared" si="66"/>
        <v/>
      </c>
      <c r="BM104" s="44">
        <f t="shared" si="67"/>
        <v>0</v>
      </c>
      <c r="BN104" s="43">
        <f t="shared" si="77"/>
        <v>1.2839999999999998</v>
      </c>
      <c r="BO104" s="43" t="str">
        <f t="shared" si="84"/>
        <v/>
      </c>
      <c r="BP104" s="55">
        <f t="shared" si="87"/>
        <v>0</v>
      </c>
      <c r="BQ104" s="45">
        <f t="shared" si="88"/>
        <v>0</v>
      </c>
      <c r="BR104" s="24">
        <f t="shared" si="89"/>
        <v>1.2839999999999998</v>
      </c>
    </row>
    <row r="105" spans="1:70" x14ac:dyDescent="0.3">
      <c r="A105" s="1" t="s">
        <v>82</v>
      </c>
      <c r="B105">
        <v>0.25</v>
      </c>
      <c r="C105" t="s">
        <v>83</v>
      </c>
      <c r="D105">
        <v>12</v>
      </c>
      <c r="E105">
        <v>11</v>
      </c>
      <c r="G105" s="54"/>
      <c r="H105" s="48">
        <v>6057.48</v>
      </c>
      <c r="J105" s="79"/>
      <c r="AE105" s="54"/>
      <c r="AP105" s="40"/>
      <c r="AQ105" s="41">
        <f t="shared" si="78"/>
        <v>0</v>
      </c>
      <c r="AR105" s="41">
        <f t="shared" si="85"/>
        <v>0</v>
      </c>
      <c r="AS105" s="41">
        <f t="shared" si="74"/>
        <v>0</v>
      </c>
      <c r="AT105" s="41">
        <f t="shared" si="75"/>
        <v>0</v>
      </c>
      <c r="AU105" s="41">
        <f t="shared" si="76"/>
        <v>0</v>
      </c>
      <c r="AV105" s="67">
        <v>2.4</v>
      </c>
      <c r="AW105">
        <v>200</v>
      </c>
      <c r="AX105">
        <v>34</v>
      </c>
      <c r="AY105" s="40">
        <v>7.2</v>
      </c>
      <c r="AZ105" s="40">
        <v>50</v>
      </c>
      <c r="BA105" s="42">
        <v>4.0000000000000002E-4</v>
      </c>
      <c r="BB105" s="11"/>
      <c r="BC105" s="42"/>
      <c r="BD105" s="22"/>
      <c r="BE105" s="42">
        <f t="shared" si="79"/>
        <v>0</v>
      </c>
      <c r="BF105" s="42">
        <f t="shared" si="86"/>
        <v>0</v>
      </c>
      <c r="BG105" s="42">
        <f t="shared" si="80"/>
        <v>171.2</v>
      </c>
      <c r="BH105" s="43" t="str">
        <f t="shared" si="81"/>
        <v/>
      </c>
      <c r="BI105" s="43" t="str">
        <f t="shared" si="82"/>
        <v/>
      </c>
      <c r="BJ105" s="43">
        <f t="shared" si="83"/>
        <v>0</v>
      </c>
      <c r="BK105" s="43">
        <f t="shared" si="70"/>
        <v>0</v>
      </c>
      <c r="BL105" s="43" t="str">
        <f t="shared" si="66"/>
        <v/>
      </c>
      <c r="BM105" s="44" t="str">
        <f t="shared" si="67"/>
        <v/>
      </c>
      <c r="BN105" s="43">
        <f t="shared" si="77"/>
        <v>1.2839999999999998</v>
      </c>
      <c r="BO105" s="43" t="str">
        <f t="shared" si="84"/>
        <v/>
      </c>
      <c r="BP105" s="55">
        <f t="shared" si="87"/>
        <v>0</v>
      </c>
      <c r="BQ105" s="45">
        <f t="shared" si="88"/>
        <v>0</v>
      </c>
      <c r="BR105" s="24">
        <f t="shared" si="89"/>
        <v>1.2839999999999998</v>
      </c>
    </row>
    <row r="106" spans="1:70" x14ac:dyDescent="0.3">
      <c r="A106" s="1" t="s">
        <v>84</v>
      </c>
      <c r="B106">
        <v>0.25</v>
      </c>
      <c r="C106" t="s">
        <v>83</v>
      </c>
      <c r="D106">
        <v>12</v>
      </c>
      <c r="E106">
        <v>11</v>
      </c>
      <c r="G106" s="54"/>
      <c r="H106" s="48">
        <v>6057.48</v>
      </c>
      <c r="J106" s="79"/>
      <c r="AE106" s="54"/>
      <c r="AP106" s="40"/>
      <c r="AQ106" s="41">
        <f t="shared" si="78"/>
        <v>0</v>
      </c>
      <c r="AR106" s="41">
        <f t="shared" si="85"/>
        <v>0</v>
      </c>
      <c r="AS106" s="41">
        <f t="shared" si="74"/>
        <v>0</v>
      </c>
      <c r="AT106" s="41">
        <f t="shared" si="75"/>
        <v>0</v>
      </c>
      <c r="AU106" s="41">
        <f t="shared" si="76"/>
        <v>0</v>
      </c>
      <c r="AV106" s="67">
        <v>2.4</v>
      </c>
      <c r="AW106">
        <v>200</v>
      </c>
      <c r="AX106">
        <v>34</v>
      </c>
      <c r="AY106" s="40">
        <v>7.2</v>
      </c>
      <c r="AZ106" s="40">
        <v>50</v>
      </c>
      <c r="BA106" s="42">
        <v>4.0000000000000002E-4</v>
      </c>
      <c r="BB106" s="11"/>
      <c r="BD106" s="22"/>
      <c r="BE106" s="42">
        <f t="shared" si="79"/>
        <v>0</v>
      </c>
      <c r="BF106" s="42">
        <f t="shared" si="86"/>
        <v>0</v>
      </c>
      <c r="BG106" s="42">
        <f t="shared" si="80"/>
        <v>171.2</v>
      </c>
      <c r="BH106" s="43" t="str">
        <f t="shared" si="81"/>
        <v/>
      </c>
      <c r="BI106" s="43" t="str">
        <f t="shared" si="82"/>
        <v/>
      </c>
      <c r="BJ106" s="43">
        <f t="shared" si="83"/>
        <v>0</v>
      </c>
      <c r="BK106" s="43">
        <f t="shared" si="70"/>
        <v>0</v>
      </c>
      <c r="BL106" s="44" t="str">
        <f t="shared" si="66"/>
        <v/>
      </c>
      <c r="BM106" s="44" t="str">
        <f t="shared" si="67"/>
        <v/>
      </c>
      <c r="BN106" s="43">
        <f t="shared" si="77"/>
        <v>1.2839999999999998</v>
      </c>
      <c r="BO106" s="43" t="str">
        <f t="shared" si="84"/>
        <v/>
      </c>
      <c r="BP106" s="55">
        <f t="shared" si="87"/>
        <v>0</v>
      </c>
      <c r="BQ106" s="45">
        <f t="shared" si="88"/>
        <v>0</v>
      </c>
      <c r="BR106" s="24">
        <f t="shared" si="89"/>
        <v>1.2839999999999998</v>
      </c>
    </row>
    <row r="107" spans="1:70" x14ac:dyDescent="0.3">
      <c r="A107" s="1" t="s">
        <v>85</v>
      </c>
      <c r="B107">
        <v>0.25</v>
      </c>
      <c r="C107" t="s">
        <v>77</v>
      </c>
      <c r="D107">
        <v>12</v>
      </c>
      <c r="E107">
        <v>11</v>
      </c>
      <c r="G107" s="54"/>
      <c r="H107" s="48">
        <v>6057.48</v>
      </c>
      <c r="J107" s="79"/>
      <c r="AC107" s="57"/>
      <c r="AE107" s="54"/>
      <c r="AP107" s="40"/>
      <c r="AQ107" s="41">
        <f t="shared" si="78"/>
        <v>0</v>
      </c>
      <c r="AR107" s="41">
        <f t="shared" si="85"/>
        <v>0</v>
      </c>
      <c r="AS107" s="41">
        <f t="shared" si="74"/>
        <v>0</v>
      </c>
      <c r="AT107" s="41">
        <f t="shared" si="75"/>
        <v>0</v>
      </c>
      <c r="AU107" s="41">
        <f t="shared" si="76"/>
        <v>0</v>
      </c>
      <c r="AV107" s="67">
        <v>2.4</v>
      </c>
      <c r="AW107">
        <v>200</v>
      </c>
      <c r="AX107">
        <v>34</v>
      </c>
      <c r="AY107" s="40">
        <v>7.2</v>
      </c>
      <c r="AZ107" s="40">
        <v>50</v>
      </c>
      <c r="BA107" s="42">
        <v>4.0000000000000002E-4</v>
      </c>
      <c r="BB107" s="11"/>
      <c r="BD107" s="22"/>
      <c r="BE107" s="42">
        <f t="shared" si="79"/>
        <v>0</v>
      </c>
      <c r="BF107" s="42">
        <f t="shared" si="86"/>
        <v>0</v>
      </c>
      <c r="BG107" s="42">
        <f t="shared" si="80"/>
        <v>171.2</v>
      </c>
      <c r="BH107" s="43" t="str">
        <f t="shared" si="81"/>
        <v/>
      </c>
      <c r="BI107" s="43" t="str">
        <f t="shared" si="82"/>
        <v/>
      </c>
      <c r="BJ107" s="43">
        <f t="shared" si="83"/>
        <v>0</v>
      </c>
      <c r="BK107" s="43" t="str">
        <f t="shared" si="70"/>
        <v/>
      </c>
      <c r="BL107" s="44">
        <f t="shared" si="66"/>
        <v>0</v>
      </c>
      <c r="BM107" s="44" t="str">
        <f t="shared" si="67"/>
        <v/>
      </c>
      <c r="BN107" s="43" t="str">
        <f t="shared" si="77"/>
        <v/>
      </c>
      <c r="BO107" s="43">
        <f t="shared" si="84"/>
        <v>0</v>
      </c>
      <c r="BP107" s="55">
        <f t="shared" si="87"/>
        <v>0</v>
      </c>
      <c r="BQ107" s="45">
        <f t="shared" si="88"/>
        <v>0</v>
      </c>
      <c r="BR107" s="24">
        <f t="shared" si="89"/>
        <v>0</v>
      </c>
    </row>
    <row r="108" spans="1:70" x14ac:dyDescent="0.3">
      <c r="A108" s="1" t="s">
        <v>86</v>
      </c>
      <c r="B108">
        <v>0.25</v>
      </c>
      <c r="C108" t="s">
        <v>77</v>
      </c>
      <c r="D108">
        <v>12</v>
      </c>
      <c r="E108">
        <v>11</v>
      </c>
      <c r="G108" s="54"/>
      <c r="H108" s="48">
        <v>6057.48</v>
      </c>
      <c r="J108" s="79"/>
      <c r="AC108" s="57"/>
      <c r="AE108" s="54"/>
      <c r="AP108" s="40"/>
      <c r="AQ108" s="41">
        <f t="shared" si="78"/>
        <v>0</v>
      </c>
      <c r="AR108" s="41">
        <f t="shared" si="85"/>
        <v>0</v>
      </c>
      <c r="AS108" s="41">
        <f t="shared" ref="AS108:AS119" si="90">AM108-AM99</f>
        <v>0</v>
      </c>
      <c r="AT108" s="41">
        <f t="shared" ref="AT108:AT119" si="91">AN108-AN99</f>
        <v>0</v>
      </c>
      <c r="AU108" s="41">
        <f t="shared" ref="AU108:AU119" si="92">AP99-AP108</f>
        <v>0</v>
      </c>
      <c r="AV108" s="67">
        <v>2.4</v>
      </c>
      <c r="AW108">
        <v>200</v>
      </c>
      <c r="AX108">
        <v>34</v>
      </c>
      <c r="AY108" s="40">
        <v>7.2</v>
      </c>
      <c r="AZ108" s="40">
        <v>50</v>
      </c>
      <c r="BA108" s="42">
        <v>4.0000000000000002E-4</v>
      </c>
      <c r="BB108" s="11"/>
      <c r="BD108" s="22"/>
      <c r="BE108" s="42">
        <f t="shared" si="79"/>
        <v>0</v>
      </c>
      <c r="BF108" s="42">
        <f t="shared" si="86"/>
        <v>0</v>
      </c>
      <c r="BG108" s="42">
        <f t="shared" si="80"/>
        <v>171.2</v>
      </c>
      <c r="BH108" s="43" t="str">
        <f t="shared" si="81"/>
        <v/>
      </c>
      <c r="BI108" s="43" t="str">
        <f t="shared" si="82"/>
        <v/>
      </c>
      <c r="BJ108" s="43">
        <f t="shared" si="83"/>
        <v>0</v>
      </c>
      <c r="BK108" s="43" t="str">
        <f t="shared" si="70"/>
        <v/>
      </c>
      <c r="BL108" s="44">
        <f t="shared" si="66"/>
        <v>0</v>
      </c>
      <c r="BM108" s="44" t="str">
        <f t="shared" si="67"/>
        <v/>
      </c>
      <c r="BN108" s="43" t="str">
        <f t="shared" si="77"/>
        <v/>
      </c>
      <c r="BO108" s="43">
        <f t="shared" si="84"/>
        <v>0</v>
      </c>
      <c r="BP108" s="55">
        <f t="shared" si="87"/>
        <v>0</v>
      </c>
      <c r="BQ108" s="45">
        <f t="shared" si="88"/>
        <v>0</v>
      </c>
      <c r="BR108" s="24">
        <f t="shared" si="89"/>
        <v>0</v>
      </c>
    </row>
    <row r="109" spans="1:70" x14ac:dyDescent="0.3">
      <c r="A109" s="1" t="s">
        <v>87</v>
      </c>
      <c r="B109">
        <v>0.25</v>
      </c>
      <c r="C109" t="s">
        <v>80</v>
      </c>
      <c r="D109">
        <v>12</v>
      </c>
      <c r="E109">
        <v>11</v>
      </c>
      <c r="G109" s="54"/>
      <c r="H109" s="48">
        <v>6057.48</v>
      </c>
      <c r="J109" s="79"/>
      <c r="AE109" s="54"/>
      <c r="AP109" s="40"/>
      <c r="AQ109" s="41">
        <f t="shared" si="78"/>
        <v>0</v>
      </c>
      <c r="AR109" s="41">
        <f t="shared" si="85"/>
        <v>0</v>
      </c>
      <c r="AS109" s="41">
        <f t="shared" si="90"/>
        <v>0</v>
      </c>
      <c r="AT109" s="41">
        <f t="shared" si="91"/>
        <v>0</v>
      </c>
      <c r="AU109" s="41">
        <f t="shared" si="92"/>
        <v>0</v>
      </c>
      <c r="AV109" s="67">
        <v>2.4</v>
      </c>
      <c r="AW109">
        <v>200</v>
      </c>
      <c r="AX109">
        <v>34</v>
      </c>
      <c r="AY109" s="40">
        <v>7.2</v>
      </c>
      <c r="AZ109" s="40">
        <v>50</v>
      </c>
      <c r="BA109" s="42">
        <v>4.0000000000000002E-4</v>
      </c>
      <c r="BB109" s="11"/>
      <c r="BD109" s="22"/>
      <c r="BE109" s="42">
        <f t="shared" si="79"/>
        <v>0</v>
      </c>
      <c r="BF109" s="42">
        <f t="shared" si="86"/>
        <v>0</v>
      </c>
      <c r="BG109" s="42">
        <f t="shared" si="80"/>
        <v>171.2</v>
      </c>
      <c r="BH109" s="43" t="str">
        <f t="shared" si="81"/>
        <v/>
      </c>
      <c r="BI109" s="43" t="str">
        <f t="shared" si="82"/>
        <v/>
      </c>
      <c r="BJ109" s="43">
        <f t="shared" si="83"/>
        <v>0</v>
      </c>
      <c r="BK109" s="43" t="str">
        <f t="shared" si="70"/>
        <v/>
      </c>
      <c r="BL109" s="44" t="str">
        <f t="shared" si="66"/>
        <v/>
      </c>
      <c r="BM109" s="44">
        <f t="shared" si="67"/>
        <v>0</v>
      </c>
      <c r="BN109" s="43">
        <f t="shared" si="77"/>
        <v>1.2839999999999998</v>
      </c>
      <c r="BO109" s="43" t="str">
        <f t="shared" si="84"/>
        <v/>
      </c>
      <c r="BP109" s="55">
        <f t="shared" si="87"/>
        <v>0</v>
      </c>
      <c r="BQ109" s="45">
        <f t="shared" si="88"/>
        <v>0</v>
      </c>
      <c r="BR109" s="24">
        <f t="shared" si="89"/>
        <v>1.2839999999999998</v>
      </c>
    </row>
    <row r="110" spans="1:70" ht="15" thickBot="1" x14ac:dyDescent="0.35">
      <c r="A110" s="1" t="s">
        <v>88</v>
      </c>
      <c r="B110">
        <v>0.25</v>
      </c>
      <c r="C110" t="s">
        <v>80</v>
      </c>
      <c r="D110">
        <v>12</v>
      </c>
      <c r="E110">
        <v>11</v>
      </c>
      <c r="G110" s="54"/>
      <c r="H110" s="48">
        <v>6057.48</v>
      </c>
      <c r="J110" s="79"/>
      <c r="AE110" s="54"/>
      <c r="AP110" s="7"/>
      <c r="AQ110" s="41">
        <f t="shared" si="78"/>
        <v>0</v>
      </c>
      <c r="AR110" s="41">
        <f t="shared" si="85"/>
        <v>0</v>
      </c>
      <c r="AS110" s="41">
        <f t="shared" si="90"/>
        <v>0</v>
      </c>
      <c r="AT110" s="41">
        <f t="shared" si="91"/>
        <v>0</v>
      </c>
      <c r="AU110" s="41">
        <f t="shared" si="92"/>
        <v>0</v>
      </c>
      <c r="AV110" s="68">
        <v>2.4</v>
      </c>
      <c r="AW110">
        <v>200</v>
      </c>
      <c r="AX110" s="5">
        <v>34</v>
      </c>
      <c r="AY110" s="40">
        <v>7.2</v>
      </c>
      <c r="AZ110" s="40">
        <v>50</v>
      </c>
      <c r="BA110" s="42">
        <v>4.0000000000000002E-4</v>
      </c>
      <c r="BB110" s="11"/>
      <c r="BD110" s="22"/>
      <c r="BE110" s="42">
        <f t="shared" si="79"/>
        <v>0</v>
      </c>
      <c r="BF110" s="42">
        <f t="shared" si="86"/>
        <v>0</v>
      </c>
      <c r="BG110" s="42">
        <f t="shared" si="80"/>
        <v>171.2</v>
      </c>
      <c r="BH110" s="43" t="str">
        <f t="shared" si="81"/>
        <v/>
      </c>
      <c r="BI110" s="43" t="str">
        <f t="shared" si="82"/>
        <v/>
      </c>
      <c r="BJ110" s="43">
        <f t="shared" si="83"/>
        <v>0</v>
      </c>
      <c r="BK110" s="43" t="str">
        <f t="shared" si="70"/>
        <v/>
      </c>
      <c r="BL110" s="44" t="str">
        <f t="shared" si="66"/>
        <v/>
      </c>
      <c r="BM110" s="44">
        <f t="shared" si="67"/>
        <v>0</v>
      </c>
      <c r="BN110" s="43">
        <f t="shared" si="77"/>
        <v>1.2839999999999998</v>
      </c>
      <c r="BO110" s="43" t="str">
        <f t="shared" si="84"/>
        <v/>
      </c>
      <c r="BP110" s="55">
        <f t="shared" si="87"/>
        <v>0</v>
      </c>
      <c r="BQ110" s="45">
        <f t="shared" si="88"/>
        <v>0</v>
      </c>
      <c r="BR110" s="24">
        <f t="shared" si="89"/>
        <v>1.2839999999999998</v>
      </c>
    </row>
    <row r="111" spans="1:70" x14ac:dyDescent="0.3">
      <c r="A111" s="2" t="s">
        <v>76</v>
      </c>
      <c r="B111" s="3">
        <v>1000</v>
      </c>
      <c r="C111" s="3" t="s">
        <v>77</v>
      </c>
      <c r="D111" s="3">
        <v>12</v>
      </c>
      <c r="E111" s="3">
        <v>12</v>
      </c>
      <c r="F111" s="3"/>
      <c r="G111" s="61"/>
      <c r="H111" s="37">
        <v>6478.05</v>
      </c>
      <c r="I111" s="3"/>
      <c r="J111" s="78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61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6"/>
      <c r="AQ111" s="32">
        <f t="shared" si="78"/>
        <v>0</v>
      </c>
      <c r="AR111" s="32">
        <f t="shared" si="85"/>
        <v>0</v>
      </c>
      <c r="AS111" s="32">
        <f t="shared" si="90"/>
        <v>0</v>
      </c>
      <c r="AT111" s="32">
        <f t="shared" si="91"/>
        <v>0</v>
      </c>
      <c r="AU111" s="32">
        <f t="shared" si="92"/>
        <v>0</v>
      </c>
      <c r="AV111" s="66">
        <v>60</v>
      </c>
      <c r="AW111" s="3">
        <v>592000</v>
      </c>
      <c r="AX111" s="3">
        <v>34</v>
      </c>
      <c r="AY111" s="6">
        <v>7.2</v>
      </c>
      <c r="AZ111" s="6">
        <v>50</v>
      </c>
      <c r="BA111" s="9">
        <v>4.0000000000000002E-4</v>
      </c>
      <c r="BB111" s="8"/>
      <c r="BC111" s="9"/>
      <c r="BD111" s="21"/>
      <c r="BE111" s="9">
        <f t="shared" si="79"/>
        <v>0</v>
      </c>
      <c r="BF111" s="9">
        <f t="shared" si="86"/>
        <v>0</v>
      </c>
      <c r="BG111" s="9">
        <f t="shared" si="80"/>
        <v>591220</v>
      </c>
      <c r="BH111" s="10" t="str">
        <f t="shared" si="81"/>
        <v/>
      </c>
      <c r="BI111" s="10" t="str">
        <f t="shared" si="82"/>
        <v/>
      </c>
      <c r="BJ111" s="10">
        <f t="shared" si="83"/>
        <v>0</v>
      </c>
      <c r="BK111" s="10" t="str">
        <f t="shared" si="70"/>
        <v/>
      </c>
      <c r="BL111" s="10">
        <f t="shared" si="66"/>
        <v>0</v>
      </c>
      <c r="BM111" s="28" t="str">
        <f t="shared" si="67"/>
        <v/>
      </c>
      <c r="BN111" s="10" t="str">
        <f t="shared" si="77"/>
        <v/>
      </c>
      <c r="BO111" s="10">
        <f t="shared" si="84"/>
        <v>0</v>
      </c>
      <c r="BP111" s="58">
        <f t="shared" si="87"/>
        <v>0</v>
      </c>
      <c r="BQ111" s="30">
        <f t="shared" si="88"/>
        <v>0</v>
      </c>
      <c r="BR111" s="26">
        <f t="shared" si="89"/>
        <v>0</v>
      </c>
    </row>
    <row r="112" spans="1:70" x14ac:dyDescent="0.3">
      <c r="A112" s="1" t="s">
        <v>79</v>
      </c>
      <c r="B112">
        <v>0.25</v>
      </c>
      <c r="C112" t="s">
        <v>80</v>
      </c>
      <c r="D112">
        <v>12</v>
      </c>
      <c r="E112">
        <v>12</v>
      </c>
      <c r="G112" s="54"/>
      <c r="H112" s="48">
        <v>6478.05</v>
      </c>
      <c r="J112" s="79"/>
      <c r="AE112" s="54"/>
      <c r="AP112" s="40"/>
      <c r="AQ112" s="41">
        <f t="shared" si="78"/>
        <v>0</v>
      </c>
      <c r="AR112" s="41">
        <f t="shared" si="85"/>
        <v>0</v>
      </c>
      <c r="AS112" s="41">
        <f t="shared" si="90"/>
        <v>0</v>
      </c>
      <c r="AT112" s="41">
        <f t="shared" si="91"/>
        <v>0</v>
      </c>
      <c r="AU112" s="41">
        <f t="shared" si="92"/>
        <v>0</v>
      </c>
      <c r="AV112" s="67">
        <v>2.4</v>
      </c>
      <c r="AW112">
        <v>200</v>
      </c>
      <c r="AX112">
        <v>34</v>
      </c>
      <c r="AY112" s="40">
        <v>7.2</v>
      </c>
      <c r="AZ112" s="40">
        <v>50</v>
      </c>
      <c r="BA112" s="42">
        <v>4.0000000000000002E-4</v>
      </c>
      <c r="BB112" s="11"/>
      <c r="BC112" s="42"/>
      <c r="BD112" s="22"/>
      <c r="BE112" s="42">
        <f t="shared" si="79"/>
        <v>0</v>
      </c>
      <c r="BF112" s="42">
        <f t="shared" si="86"/>
        <v>0</v>
      </c>
      <c r="BG112" s="42">
        <f t="shared" si="80"/>
        <v>168.8</v>
      </c>
      <c r="BH112" s="43" t="str">
        <f t="shared" si="81"/>
        <v/>
      </c>
      <c r="BI112" s="43" t="str">
        <f t="shared" si="82"/>
        <v/>
      </c>
      <c r="BJ112" s="43">
        <f t="shared" si="83"/>
        <v>0</v>
      </c>
      <c r="BK112" s="43" t="str">
        <f t="shared" si="70"/>
        <v/>
      </c>
      <c r="BL112" s="43" t="str">
        <f t="shared" si="66"/>
        <v/>
      </c>
      <c r="BM112" s="44">
        <f t="shared" si="67"/>
        <v>0</v>
      </c>
      <c r="BN112" s="43">
        <f t="shared" si="77"/>
        <v>1.266</v>
      </c>
      <c r="BO112" s="43" t="str">
        <f t="shared" si="84"/>
        <v/>
      </c>
      <c r="BP112" s="55">
        <f t="shared" si="87"/>
        <v>0</v>
      </c>
      <c r="BQ112" s="45">
        <f t="shared" si="88"/>
        <v>0</v>
      </c>
      <c r="BR112" s="24">
        <f t="shared" si="89"/>
        <v>1.266</v>
      </c>
    </row>
    <row r="113" spans="1:70" x14ac:dyDescent="0.3">
      <c r="A113" s="1" t="s">
        <v>81</v>
      </c>
      <c r="B113">
        <v>0.25</v>
      </c>
      <c r="C113" t="s">
        <v>80</v>
      </c>
      <c r="D113">
        <v>12</v>
      </c>
      <c r="E113">
        <v>12</v>
      </c>
      <c r="G113" s="54"/>
      <c r="H113" s="48">
        <v>6478.05</v>
      </c>
      <c r="J113" s="79"/>
      <c r="AE113" s="54"/>
      <c r="AP113" s="40"/>
      <c r="AQ113" s="41">
        <f t="shared" si="78"/>
        <v>0</v>
      </c>
      <c r="AR113" s="41">
        <f t="shared" si="85"/>
        <v>0</v>
      </c>
      <c r="AS113" s="41">
        <f t="shared" si="90"/>
        <v>0</v>
      </c>
      <c r="AT113" s="41">
        <f t="shared" si="91"/>
        <v>0</v>
      </c>
      <c r="AU113" s="41">
        <f t="shared" si="92"/>
        <v>0</v>
      </c>
      <c r="AV113" s="67">
        <v>2.4</v>
      </c>
      <c r="AW113">
        <v>200</v>
      </c>
      <c r="AX113">
        <v>34</v>
      </c>
      <c r="AY113" s="40">
        <v>7.2</v>
      </c>
      <c r="AZ113" s="40">
        <v>50</v>
      </c>
      <c r="BA113" s="42">
        <v>4.0000000000000002E-4</v>
      </c>
      <c r="BB113" s="11"/>
      <c r="BC113" s="42"/>
      <c r="BD113" s="22"/>
      <c r="BE113" s="42">
        <f t="shared" si="79"/>
        <v>0</v>
      </c>
      <c r="BF113" s="42">
        <f t="shared" si="86"/>
        <v>0</v>
      </c>
      <c r="BG113" s="42">
        <f t="shared" si="80"/>
        <v>168.8</v>
      </c>
      <c r="BH113" s="43" t="str">
        <f t="shared" si="81"/>
        <v/>
      </c>
      <c r="BI113" s="43" t="str">
        <f t="shared" si="82"/>
        <v/>
      </c>
      <c r="BJ113" s="43">
        <f t="shared" si="83"/>
        <v>0</v>
      </c>
      <c r="BK113" s="43" t="str">
        <f t="shared" si="70"/>
        <v/>
      </c>
      <c r="BL113" s="43" t="str">
        <f t="shared" si="66"/>
        <v/>
      </c>
      <c r="BM113" s="44">
        <f t="shared" si="67"/>
        <v>0</v>
      </c>
      <c r="BN113" s="43">
        <f t="shared" si="77"/>
        <v>1.266</v>
      </c>
      <c r="BO113" s="43" t="str">
        <f t="shared" si="84"/>
        <v/>
      </c>
      <c r="BP113" s="55">
        <f t="shared" si="87"/>
        <v>0</v>
      </c>
      <c r="BQ113" s="45">
        <f t="shared" si="88"/>
        <v>0</v>
      </c>
      <c r="BR113" s="24">
        <f t="shared" si="89"/>
        <v>1.266</v>
      </c>
    </row>
    <row r="114" spans="1:70" x14ac:dyDescent="0.3">
      <c r="A114" s="1" t="s">
        <v>82</v>
      </c>
      <c r="B114">
        <v>0.25</v>
      </c>
      <c r="C114" t="s">
        <v>83</v>
      </c>
      <c r="D114">
        <v>12</v>
      </c>
      <c r="E114">
        <v>12</v>
      </c>
      <c r="G114" s="54"/>
      <c r="H114" s="48">
        <v>6478.05</v>
      </c>
      <c r="J114" s="79"/>
      <c r="AE114" s="54"/>
      <c r="AP114" s="40"/>
      <c r="AQ114" s="41">
        <f t="shared" si="78"/>
        <v>0</v>
      </c>
      <c r="AR114" s="41">
        <f t="shared" si="85"/>
        <v>0</v>
      </c>
      <c r="AS114" s="41">
        <f t="shared" si="90"/>
        <v>0</v>
      </c>
      <c r="AT114" s="41">
        <f t="shared" si="91"/>
        <v>0</v>
      </c>
      <c r="AU114" s="41">
        <f t="shared" si="92"/>
        <v>0</v>
      </c>
      <c r="AV114" s="67">
        <v>2.4</v>
      </c>
      <c r="AW114">
        <v>200</v>
      </c>
      <c r="AX114">
        <v>34</v>
      </c>
      <c r="AY114" s="40">
        <v>7.2</v>
      </c>
      <c r="AZ114" s="40">
        <v>50</v>
      </c>
      <c r="BA114" s="42">
        <v>4.0000000000000002E-4</v>
      </c>
      <c r="BB114" s="11"/>
      <c r="BC114" s="42"/>
      <c r="BD114" s="22"/>
      <c r="BE114" s="42">
        <f t="shared" si="79"/>
        <v>0</v>
      </c>
      <c r="BF114" s="42">
        <f t="shared" si="86"/>
        <v>0</v>
      </c>
      <c r="BG114" s="42">
        <f t="shared" si="80"/>
        <v>168.8</v>
      </c>
      <c r="BH114" s="43" t="str">
        <f t="shared" si="81"/>
        <v/>
      </c>
      <c r="BI114" s="43" t="str">
        <f t="shared" si="82"/>
        <v/>
      </c>
      <c r="BJ114" s="43">
        <f t="shared" si="83"/>
        <v>0</v>
      </c>
      <c r="BK114" s="43">
        <f t="shared" si="70"/>
        <v>0</v>
      </c>
      <c r="BL114" s="43" t="str">
        <f t="shared" si="66"/>
        <v/>
      </c>
      <c r="BM114" s="44" t="str">
        <f t="shared" si="67"/>
        <v/>
      </c>
      <c r="BN114" s="43">
        <f t="shared" si="77"/>
        <v>1.266</v>
      </c>
      <c r="BO114" s="43" t="str">
        <f t="shared" si="84"/>
        <v/>
      </c>
      <c r="BP114" s="55">
        <f t="shared" si="87"/>
        <v>0</v>
      </c>
      <c r="BQ114" s="45">
        <f t="shared" si="88"/>
        <v>0</v>
      </c>
      <c r="BR114" s="24">
        <f t="shared" si="89"/>
        <v>1.266</v>
      </c>
    </row>
    <row r="115" spans="1:70" x14ac:dyDescent="0.3">
      <c r="A115" s="1" t="s">
        <v>84</v>
      </c>
      <c r="B115">
        <v>0.25</v>
      </c>
      <c r="C115" t="s">
        <v>83</v>
      </c>
      <c r="D115">
        <v>12</v>
      </c>
      <c r="E115">
        <v>12</v>
      </c>
      <c r="G115" s="54"/>
      <c r="H115" s="48">
        <v>6478.05</v>
      </c>
      <c r="J115" s="79"/>
      <c r="AE115" s="54"/>
      <c r="AP115" s="40"/>
      <c r="AQ115" s="41">
        <f t="shared" si="78"/>
        <v>0</v>
      </c>
      <c r="AR115" s="41">
        <f t="shared" si="85"/>
        <v>0</v>
      </c>
      <c r="AS115" s="41">
        <f t="shared" si="90"/>
        <v>0</v>
      </c>
      <c r="AT115" s="41">
        <f t="shared" si="91"/>
        <v>0</v>
      </c>
      <c r="AU115" s="41">
        <f t="shared" si="92"/>
        <v>0</v>
      </c>
      <c r="AV115" s="67">
        <v>2.4</v>
      </c>
      <c r="AW115">
        <v>200</v>
      </c>
      <c r="AX115">
        <v>34</v>
      </c>
      <c r="AY115" s="40">
        <v>7.2</v>
      </c>
      <c r="AZ115" s="40">
        <v>50</v>
      </c>
      <c r="BA115" s="42">
        <v>4.0000000000000002E-4</v>
      </c>
      <c r="BB115" s="11"/>
      <c r="BD115" s="22"/>
      <c r="BE115" s="42">
        <f t="shared" si="79"/>
        <v>0</v>
      </c>
      <c r="BF115" s="42">
        <f t="shared" si="86"/>
        <v>0</v>
      </c>
      <c r="BG115" s="42">
        <f t="shared" si="80"/>
        <v>168.8</v>
      </c>
      <c r="BH115" s="43" t="str">
        <f t="shared" si="81"/>
        <v/>
      </c>
      <c r="BI115" s="43" t="str">
        <f t="shared" si="82"/>
        <v/>
      </c>
      <c r="BJ115" s="43">
        <f t="shared" si="83"/>
        <v>0</v>
      </c>
      <c r="BK115" s="43">
        <f t="shared" si="70"/>
        <v>0</v>
      </c>
      <c r="BL115" s="44" t="str">
        <f t="shared" si="66"/>
        <v/>
      </c>
      <c r="BM115" s="44" t="str">
        <f t="shared" si="67"/>
        <v/>
      </c>
      <c r="BN115" s="43">
        <f t="shared" si="77"/>
        <v>1.266</v>
      </c>
      <c r="BO115" s="43" t="str">
        <f t="shared" si="84"/>
        <v/>
      </c>
      <c r="BP115" s="55">
        <f t="shared" si="87"/>
        <v>0</v>
      </c>
      <c r="BQ115" s="45">
        <f t="shared" si="88"/>
        <v>0</v>
      </c>
      <c r="BR115" s="24">
        <f t="shared" si="89"/>
        <v>1.266</v>
      </c>
    </row>
    <row r="116" spans="1:70" x14ac:dyDescent="0.3">
      <c r="A116" s="1" t="s">
        <v>85</v>
      </c>
      <c r="B116">
        <v>0.25</v>
      </c>
      <c r="C116" t="s">
        <v>77</v>
      </c>
      <c r="D116">
        <v>12</v>
      </c>
      <c r="E116">
        <v>12</v>
      </c>
      <c r="G116" s="54"/>
      <c r="H116" s="48">
        <v>6478.05</v>
      </c>
      <c r="J116" s="79"/>
      <c r="AE116" s="54"/>
      <c r="AP116" s="40"/>
      <c r="AQ116" s="41">
        <f t="shared" si="78"/>
        <v>0</v>
      </c>
      <c r="AR116" s="41">
        <f t="shared" si="85"/>
        <v>0</v>
      </c>
      <c r="AS116" s="41">
        <f t="shared" si="90"/>
        <v>0</v>
      </c>
      <c r="AT116" s="41">
        <f t="shared" si="91"/>
        <v>0</v>
      </c>
      <c r="AU116" s="41">
        <f t="shared" si="92"/>
        <v>0</v>
      </c>
      <c r="AV116" s="67">
        <v>2.4</v>
      </c>
      <c r="AW116">
        <v>200</v>
      </c>
      <c r="AX116">
        <v>34</v>
      </c>
      <c r="AY116" s="40">
        <v>7.2</v>
      </c>
      <c r="AZ116" s="40">
        <v>50</v>
      </c>
      <c r="BA116" s="42">
        <v>4.0000000000000002E-4</v>
      </c>
      <c r="BB116" s="11"/>
      <c r="BD116" s="22"/>
      <c r="BE116" s="42">
        <f t="shared" si="79"/>
        <v>0</v>
      </c>
      <c r="BF116" s="42">
        <f t="shared" si="86"/>
        <v>0</v>
      </c>
      <c r="BG116" s="42">
        <f t="shared" si="80"/>
        <v>168.8</v>
      </c>
      <c r="BH116" s="43" t="str">
        <f t="shared" si="81"/>
        <v/>
      </c>
      <c r="BI116" s="43" t="str">
        <f t="shared" si="82"/>
        <v/>
      </c>
      <c r="BJ116" s="43">
        <f t="shared" si="83"/>
        <v>0</v>
      </c>
      <c r="BK116" s="43" t="str">
        <f t="shared" si="70"/>
        <v/>
      </c>
      <c r="BL116" s="44">
        <f t="shared" si="66"/>
        <v>0</v>
      </c>
      <c r="BM116" s="44" t="str">
        <f t="shared" si="67"/>
        <v/>
      </c>
      <c r="BN116" s="43" t="str">
        <f t="shared" si="77"/>
        <v/>
      </c>
      <c r="BO116" s="43">
        <f t="shared" si="84"/>
        <v>0</v>
      </c>
      <c r="BP116" s="55">
        <f t="shared" si="87"/>
        <v>0</v>
      </c>
      <c r="BQ116" s="45">
        <f t="shared" si="88"/>
        <v>0</v>
      </c>
      <c r="BR116" s="24">
        <f t="shared" si="89"/>
        <v>0</v>
      </c>
    </row>
    <row r="117" spans="1:70" x14ac:dyDescent="0.3">
      <c r="A117" s="1" t="s">
        <v>86</v>
      </c>
      <c r="B117">
        <v>0.25</v>
      </c>
      <c r="C117" t="s">
        <v>77</v>
      </c>
      <c r="D117">
        <v>12</v>
      </c>
      <c r="E117">
        <v>12</v>
      </c>
      <c r="G117" s="54"/>
      <c r="H117" s="48">
        <v>6478.05</v>
      </c>
      <c r="J117" s="79"/>
      <c r="AE117" s="54"/>
      <c r="AP117" s="40"/>
      <c r="AQ117" s="41">
        <f t="shared" si="78"/>
        <v>0</v>
      </c>
      <c r="AR117" s="41">
        <f t="shared" si="85"/>
        <v>0</v>
      </c>
      <c r="AS117" s="41">
        <f t="shared" si="90"/>
        <v>0</v>
      </c>
      <c r="AT117" s="41">
        <f t="shared" si="91"/>
        <v>0</v>
      </c>
      <c r="AU117" s="41">
        <f t="shared" si="92"/>
        <v>0</v>
      </c>
      <c r="AV117" s="67">
        <v>2.4</v>
      </c>
      <c r="AW117">
        <v>200</v>
      </c>
      <c r="AX117">
        <v>34</v>
      </c>
      <c r="AY117" s="40">
        <v>7.2</v>
      </c>
      <c r="AZ117" s="40">
        <v>50</v>
      </c>
      <c r="BA117" s="42">
        <v>4.0000000000000002E-4</v>
      </c>
      <c r="BB117" s="11"/>
      <c r="BD117" s="22"/>
      <c r="BE117" s="42">
        <f t="shared" si="79"/>
        <v>0</v>
      </c>
      <c r="BF117" s="42">
        <f t="shared" si="86"/>
        <v>0</v>
      </c>
      <c r="BG117" s="42">
        <f t="shared" si="80"/>
        <v>168.8</v>
      </c>
      <c r="BH117" s="43" t="str">
        <f t="shared" si="81"/>
        <v/>
      </c>
      <c r="BI117" s="43" t="str">
        <f t="shared" si="82"/>
        <v/>
      </c>
      <c r="BJ117" s="43">
        <f t="shared" si="83"/>
        <v>0</v>
      </c>
      <c r="BK117" s="43" t="str">
        <f t="shared" si="70"/>
        <v/>
      </c>
      <c r="BL117" s="44">
        <f t="shared" si="66"/>
        <v>0</v>
      </c>
      <c r="BM117" s="44" t="str">
        <f t="shared" si="67"/>
        <v/>
      </c>
      <c r="BN117" s="43" t="str">
        <f t="shared" si="77"/>
        <v/>
      </c>
      <c r="BO117" s="43">
        <f t="shared" si="84"/>
        <v>0</v>
      </c>
      <c r="BP117" s="55">
        <f t="shared" si="87"/>
        <v>0</v>
      </c>
      <c r="BQ117" s="45">
        <f t="shared" si="88"/>
        <v>0</v>
      </c>
      <c r="BR117" s="24">
        <f t="shared" si="89"/>
        <v>0</v>
      </c>
    </row>
    <row r="118" spans="1:70" x14ac:dyDescent="0.3">
      <c r="A118" s="1" t="s">
        <v>87</v>
      </c>
      <c r="B118">
        <v>0.25</v>
      </c>
      <c r="C118" t="s">
        <v>80</v>
      </c>
      <c r="D118">
        <v>12</v>
      </c>
      <c r="E118">
        <v>12</v>
      </c>
      <c r="G118" s="54"/>
      <c r="H118" s="48">
        <v>6478.05</v>
      </c>
      <c r="J118" s="79"/>
      <c r="AE118" s="54"/>
      <c r="AP118" s="40"/>
      <c r="AQ118" s="41">
        <f t="shared" si="78"/>
        <v>0</v>
      </c>
      <c r="AR118" s="41">
        <f t="shared" si="85"/>
        <v>0</v>
      </c>
      <c r="AS118" s="41">
        <f t="shared" si="90"/>
        <v>0</v>
      </c>
      <c r="AT118" s="41">
        <f t="shared" si="91"/>
        <v>0</v>
      </c>
      <c r="AU118" s="41">
        <f t="shared" si="92"/>
        <v>0</v>
      </c>
      <c r="AV118" s="67">
        <v>2.4</v>
      </c>
      <c r="AW118">
        <v>200</v>
      </c>
      <c r="AX118">
        <v>34</v>
      </c>
      <c r="AY118" s="40">
        <v>7.2</v>
      </c>
      <c r="AZ118" s="40">
        <v>50</v>
      </c>
      <c r="BA118" s="42">
        <v>4.0000000000000002E-4</v>
      </c>
      <c r="BB118" s="11"/>
      <c r="BD118" s="22"/>
      <c r="BE118" s="42">
        <f t="shared" si="79"/>
        <v>0</v>
      </c>
      <c r="BF118" s="42">
        <f t="shared" si="86"/>
        <v>0</v>
      </c>
      <c r="BG118" s="42">
        <f t="shared" si="80"/>
        <v>168.8</v>
      </c>
      <c r="BH118" s="43" t="str">
        <f t="shared" si="81"/>
        <v/>
      </c>
      <c r="BI118" s="43" t="str">
        <f t="shared" si="82"/>
        <v/>
      </c>
      <c r="BJ118" s="43">
        <f t="shared" si="83"/>
        <v>0</v>
      </c>
      <c r="BK118" s="43" t="str">
        <f t="shared" si="70"/>
        <v/>
      </c>
      <c r="BL118" s="44" t="str">
        <f t="shared" si="66"/>
        <v/>
      </c>
      <c r="BM118" s="44">
        <f t="shared" si="67"/>
        <v>0</v>
      </c>
      <c r="BN118" s="43">
        <f t="shared" si="77"/>
        <v>1.266</v>
      </c>
      <c r="BO118" s="43" t="str">
        <f t="shared" si="84"/>
        <v/>
      </c>
      <c r="BP118" s="55">
        <f t="shared" si="87"/>
        <v>0</v>
      </c>
      <c r="BQ118" s="45">
        <f t="shared" si="88"/>
        <v>0</v>
      </c>
      <c r="BR118" s="24">
        <f t="shared" si="89"/>
        <v>1.266</v>
      </c>
    </row>
    <row r="119" spans="1:70" ht="15" thickBot="1" x14ac:dyDescent="0.35">
      <c r="A119" s="4" t="s">
        <v>88</v>
      </c>
      <c r="B119" s="5">
        <v>0.25</v>
      </c>
      <c r="C119" s="5" t="s">
        <v>80</v>
      </c>
      <c r="D119" s="5">
        <v>12</v>
      </c>
      <c r="E119" s="5">
        <v>12</v>
      </c>
      <c r="F119" s="5"/>
      <c r="G119" s="62"/>
      <c r="H119" s="38">
        <v>6478.05</v>
      </c>
      <c r="I119" s="5"/>
      <c r="J119" s="8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62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7"/>
      <c r="AQ119" s="33">
        <f t="shared" si="78"/>
        <v>0</v>
      </c>
      <c r="AR119" s="33">
        <f t="shared" si="85"/>
        <v>0</v>
      </c>
      <c r="AS119" s="33">
        <f t="shared" si="90"/>
        <v>0</v>
      </c>
      <c r="AT119" s="33">
        <f t="shared" si="91"/>
        <v>0</v>
      </c>
      <c r="AU119" s="33">
        <f t="shared" si="92"/>
        <v>0</v>
      </c>
      <c r="AV119" s="68">
        <v>2.4</v>
      </c>
      <c r="AW119" s="5">
        <v>200</v>
      </c>
      <c r="AX119" s="5">
        <v>34</v>
      </c>
      <c r="AY119" s="7">
        <v>7.2</v>
      </c>
      <c r="AZ119" s="7">
        <v>50</v>
      </c>
      <c r="BA119" s="13">
        <v>4.0000000000000002E-4</v>
      </c>
      <c r="BB119" s="12"/>
      <c r="BC119" s="5"/>
      <c r="BD119" s="23"/>
      <c r="BE119" s="13">
        <f t="shared" si="79"/>
        <v>0</v>
      </c>
      <c r="BF119" s="13">
        <f t="shared" si="86"/>
        <v>0</v>
      </c>
      <c r="BG119" s="13">
        <f t="shared" si="80"/>
        <v>168.8</v>
      </c>
      <c r="BH119" s="14" t="str">
        <f t="shared" si="81"/>
        <v/>
      </c>
      <c r="BI119" s="14" t="str">
        <f t="shared" si="82"/>
        <v/>
      </c>
      <c r="BJ119" s="14">
        <f t="shared" si="83"/>
        <v>0</v>
      </c>
      <c r="BK119" s="14" t="str">
        <f t="shared" si="70"/>
        <v/>
      </c>
      <c r="BL119" s="29" t="str">
        <f t="shared" si="66"/>
        <v/>
      </c>
      <c r="BM119" s="29">
        <f t="shared" si="67"/>
        <v>0</v>
      </c>
      <c r="BN119" s="14">
        <f t="shared" si="77"/>
        <v>1.266</v>
      </c>
      <c r="BO119" s="14" t="str">
        <f t="shared" si="84"/>
        <v/>
      </c>
      <c r="BP119" s="59">
        <f t="shared" si="87"/>
        <v>0</v>
      </c>
      <c r="BQ119" s="31">
        <f t="shared" si="88"/>
        <v>0</v>
      </c>
      <c r="BR119" s="25">
        <f t="shared" si="89"/>
        <v>1.266</v>
      </c>
    </row>
  </sheetData>
  <autoFilter ref="A2:BP335" xr:uid="{00000000-0001-0000-0000-000000000000}"/>
  <mergeCells count="7">
    <mergeCell ref="BQ1:BR1"/>
    <mergeCell ref="BE1:BP1"/>
    <mergeCell ref="A1:G1"/>
    <mergeCell ref="H1:AE1"/>
    <mergeCell ref="AW1:BA1"/>
    <mergeCell ref="BB1:BD1"/>
    <mergeCell ref="AF1:AV1"/>
  </mergeCells>
  <phoneticPr fontId="18" type="noConversion"/>
  <conditionalFormatting sqref="BB3:BB119">
    <cfRule type="expression" dxfId="7" priority="4">
      <formula>IF($C3 = "Python", TRUE, FALSE)</formula>
    </cfRule>
  </conditionalFormatting>
  <conditionalFormatting sqref="BE3:BJ119">
    <cfRule type="notContainsBlanks" dxfId="6" priority="18">
      <formula>LEN(TRIM(BE3))&gt;0</formula>
    </cfRule>
  </conditionalFormatting>
  <conditionalFormatting sqref="BC3:BD119">
    <cfRule type="expression" dxfId="5" priority="8">
      <formula>IF($C3 = "Julia", TRUE, FALSE)</formula>
    </cfRule>
  </conditionalFormatting>
  <conditionalFormatting sqref="BE3:BO119">
    <cfRule type="cellIs" dxfId="4" priority="6" operator="equal">
      <formula>""</formula>
    </cfRule>
    <cfRule type="expression" dxfId="3" priority="216">
      <formula>ISNA($BE$3:$BO$101)</formula>
    </cfRule>
  </conditionalFormatting>
  <conditionalFormatting sqref="AP3:AP119">
    <cfRule type="expression" dxfId="2" priority="3">
      <formula>IF($B3&lt;1, TRUE, FALSE)</formula>
    </cfRule>
  </conditionalFormatting>
  <conditionalFormatting sqref="BQ3:BR119">
    <cfRule type="expression" dxfId="1" priority="1">
      <formula>IF(AND($C3="Julia",$B3&lt;1),TRUE, FALSE)</formula>
    </cfRule>
    <cfRule type="expression" dxfId="0" priority="2">
      <formula>IF(AND($C3="Python",$B3&lt;1),TRUE, FALSE)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736866-79EE-4C47-B374-7C3565856A36}">
  <ds:schemaRefs>
    <ds:schemaRef ds:uri="http://schemas.openxmlformats.org/package/2006/metadata/core-properties"/>
    <ds:schemaRef ds:uri="http://purl.org/dc/terms/"/>
    <ds:schemaRef ds:uri="a198008e-c7f6-4ed0-9865-26ace3c97b59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34d8c884-fe7e-4d4f-a833-b92a2823f74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Yu Luo</cp:lastModifiedBy>
  <cp:revision/>
  <dcterms:created xsi:type="dcterms:W3CDTF">2024-02-21T20:31:27Z</dcterms:created>
  <dcterms:modified xsi:type="dcterms:W3CDTF">2024-10-12T13:11:33Z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