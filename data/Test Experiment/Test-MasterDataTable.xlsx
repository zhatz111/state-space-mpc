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mydrive.gsk.com/personal/zach_a_hatzenbeller_gsk_com/Documents/Documents/GitHub/state-space-model/data/Test Experiment/"/>
    </mc:Choice>
  </mc:AlternateContent>
  <xr:revisionPtr revIDLastSave="3149" documentId="14_{29998BAB-B97E-4D42-B36C-5857DA37A7C9}" xr6:coauthVersionLast="47" xr6:coauthVersionMax="47" xr10:uidLastSave="{5292F756-0A1A-4558-84B1-7779BA5CD0CE}"/>
  <bookViews>
    <workbookView xWindow="28680" yWindow="-30" windowWidth="29040" windowHeight="15720" xr2:uid="{00000000-000D-0000-FFFF-FFFF00000000}"/>
  </bookViews>
  <sheets>
    <sheet name="MasterDataTable" sheetId="1" r:id="rId1"/>
    <sheet name="Sheet1" sheetId="4" r:id="rId2"/>
  </sheets>
  <definedNames>
    <definedName name="_xlnm._FilterDatabase" localSheetId="0" hidden="1">MasterDataTable!$A$2:$AI$92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" i="4" l="1"/>
  <c r="D15" i="4"/>
  <c r="D14" i="4"/>
  <c r="D13" i="4"/>
  <c r="D12" i="4"/>
  <c r="D11" i="4"/>
  <c r="D10" i="4"/>
  <c r="D9" i="4"/>
  <c r="D8" i="4"/>
  <c r="D7" i="4"/>
  <c r="D6" i="4"/>
  <c r="D5" i="4"/>
  <c r="D4" i="4"/>
  <c r="D3" i="4"/>
  <c r="D2" i="4"/>
</calcChain>
</file>

<file path=xl/sharedStrings.xml><?xml version="1.0" encoding="utf-8"?>
<sst xmlns="http://schemas.openxmlformats.org/spreadsheetml/2006/main" count="312" uniqueCount="51">
  <si>
    <t>Batch Data</t>
  </si>
  <si>
    <t>Offline Data</t>
  </si>
  <si>
    <t>Online Data</t>
  </si>
  <si>
    <t>Process Setpoints</t>
  </si>
  <si>
    <t>Batch</t>
  </si>
  <si>
    <t>Scale (L)</t>
  </si>
  <si>
    <t>Controller</t>
  </si>
  <si>
    <t>Day</t>
  </si>
  <si>
    <t>Comments</t>
  </si>
  <si>
    <t>Sample Time</t>
  </si>
  <si>
    <t>Reference Titer</t>
  </si>
  <si>
    <t>IGG</t>
  </si>
  <si>
    <t xml:space="preserve">TCC  </t>
  </si>
  <si>
    <t>VCC</t>
  </si>
  <si>
    <t>Viability</t>
  </si>
  <si>
    <t>Osmolality</t>
  </si>
  <si>
    <t>Ammonium</t>
  </si>
  <si>
    <t>Calcium</t>
  </si>
  <si>
    <t>Glucose</t>
  </si>
  <si>
    <t>Glutamine</t>
  </si>
  <si>
    <t>Glutamate</t>
  </si>
  <si>
    <t>Lactate</t>
  </si>
  <si>
    <t>pH</t>
  </si>
  <si>
    <t>pO2</t>
  </si>
  <si>
    <t>Potassium</t>
  </si>
  <si>
    <t>Sodium</t>
  </si>
  <si>
    <t>Bicarbonate</t>
  </si>
  <si>
    <t>pCO2 at Temp</t>
  </si>
  <si>
    <t>pO2 at Temp</t>
  </si>
  <si>
    <t>pH at Temp</t>
  </si>
  <si>
    <t>Volume from Reactor (mL)</t>
  </si>
  <si>
    <t>Daily Feed Amount (mL)</t>
  </si>
  <si>
    <t>Initial_Volume</t>
  </si>
  <si>
    <t>pH_setpoint</t>
  </si>
  <si>
    <t>Test-Cntrl-1</t>
  </si>
  <si>
    <t>Test-Cntrl-2</t>
  </si>
  <si>
    <t>AR25-050-004</t>
  </si>
  <si>
    <t>AR25-050-005</t>
  </si>
  <si>
    <t>AR25-050-006</t>
  </si>
  <si>
    <t>AR25-050-007</t>
  </si>
  <si>
    <t>AR25-050-008</t>
  </si>
  <si>
    <t>AR25-050-009</t>
  </si>
  <si>
    <t>day</t>
  </si>
  <si>
    <t>titer</t>
  </si>
  <si>
    <t>avg_titer</t>
  </si>
  <si>
    <t>Reference titer is from  B7H4 batches AR25-051-002_004_012</t>
  </si>
  <si>
    <t>Diameter</t>
  </si>
  <si>
    <t>pCO2</t>
  </si>
  <si>
    <t>DO_setpoint</t>
  </si>
  <si>
    <t>Temp_setpoint</t>
  </si>
  <si>
    <t>Volume from Reactor (L)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</si>
</sst>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.5"/>
      <color theme="1"/>
      <name val="Calibri"/>
      <family val="2"/>
      <scheme val="minor"/>
    </font>
    <font>
      <b/>
      <sz val="11.5"/>
      <color rgb="FF00B050"/>
      <name val="Calibri"/>
      <family val="2"/>
      <scheme val="minor"/>
    </font>
    <font>
      <b/>
      <sz val="11.5"/>
      <color rgb="FF7030A0"/>
      <name val="Calibri"/>
      <family val="2"/>
      <scheme val="minor"/>
    </font>
    <font>
      <b/>
      <sz val="11.5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3">
    <xf numFmtId="0" fontId="0" fillId="0" borderId="0" xfId="0"/>
    <xf numFmtId="0" fontId="0" fillId="0" borderId="13" xfId="0" applyBorder="1"/>
    <xf numFmtId="0" fontId="0" fillId="0" borderId="10" xfId="0" applyBorder="1"/>
    <xf numFmtId="0" fontId="0" fillId="0" borderId="11" xfId="0" applyBorder="1"/>
    <xf numFmtId="0" fontId="0" fillId="0" borderId="15" xfId="0" applyBorder="1"/>
    <xf numFmtId="0" fontId="0" fillId="0" borderId="16" xfId="0" applyBorder="1"/>
    <xf numFmtId="0" fontId="20" fillId="0" borderId="14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2" fillId="0" borderId="14" xfId="0" applyFont="1" applyBorder="1" applyAlignment="1">
      <alignment horizontal="center" vertical="center" wrapText="1"/>
    </xf>
    <xf numFmtId="22" fontId="0" fillId="0" borderId="12" xfId="0" applyNumberFormat="1" applyBorder="1"/>
    <xf numFmtId="22" fontId="0" fillId="0" borderId="14" xfId="0" applyNumberFormat="1" applyBorder="1"/>
    <xf numFmtId="22" fontId="0" fillId="0" borderId="17" xfId="0" applyNumberFormat="1" applyBorder="1"/>
    <xf numFmtId="0" fontId="0" fillId="0" borderId="14" xfId="0" applyBorder="1"/>
    <xf numFmtId="0" fontId="0" fillId="0" borderId="12" xfId="0" applyBorder="1"/>
    <xf numFmtId="0" fontId="0" fillId="0" borderId="17" xfId="0" applyBorder="1"/>
    <xf numFmtId="0" fontId="20" fillId="0" borderId="0" xfId="0" applyFont="1" applyAlignment="1">
      <alignment horizontal="center" vertical="center" wrapText="1"/>
    </xf>
    <xf numFmtId="0" fontId="22" fillId="0" borderId="0" xfId="0" applyFont="1" applyAlignment="1">
      <alignment horizontal="center" vertical="center" wrapText="1"/>
    </xf>
    <xf numFmtId="0" fontId="21" fillId="0" borderId="13" xfId="0" applyFont="1" applyBorder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0" fontId="24" fillId="0" borderId="0" xfId="0" applyFont="1"/>
    <xf numFmtId="0" fontId="21" fillId="0" borderId="0" xfId="0" applyFont="1" applyAlignment="1">
      <alignment horizontal="center" vertical="center" wrapText="1"/>
    </xf>
    <xf numFmtId="0" fontId="24" fillId="0" borderId="11" xfId="0" applyFont="1" applyBorder="1"/>
    <xf numFmtId="0" fontId="24" fillId="0" borderId="16" xfId="0" applyFont="1" applyBorder="1"/>
    <xf numFmtId="0" fontId="19" fillId="36" borderId="18" xfId="0" applyFont="1" applyFill="1" applyBorder="1" applyAlignment="1">
      <alignment horizontal="center"/>
    </xf>
    <xf numFmtId="0" fontId="19" fillId="36" borderId="21" xfId="0" applyFont="1" applyFill="1" applyBorder="1" applyAlignment="1">
      <alignment horizontal="center"/>
    </xf>
    <xf numFmtId="0" fontId="19" fillId="33" borderId="18" xfId="0" applyFont="1" applyFill="1" applyBorder="1" applyAlignment="1">
      <alignment horizontal="center"/>
    </xf>
    <xf numFmtId="0" fontId="19" fillId="35" borderId="18" xfId="0" applyFont="1" applyFill="1" applyBorder="1" applyAlignment="1">
      <alignment horizontal="center"/>
    </xf>
    <xf numFmtId="0" fontId="19" fillId="35" borderId="19" xfId="0" applyFont="1" applyFill="1" applyBorder="1" applyAlignment="1">
      <alignment horizontal="center"/>
    </xf>
    <xf numFmtId="0" fontId="19" fillId="35" borderId="20" xfId="0" applyFont="1" applyFill="1" applyBorder="1" applyAlignment="1">
      <alignment horizontal="center"/>
    </xf>
    <xf numFmtId="0" fontId="19" fillId="34" borderId="18" xfId="0" applyFont="1" applyFill="1" applyBorder="1" applyAlignment="1">
      <alignment horizontal="center"/>
    </xf>
    <xf numFmtId="0" fontId="19" fillId="34" borderId="20" xfId="0" applyFont="1" applyFill="1" applyBorder="1" applyAlignment="1">
      <alignment horizontal="center"/>
    </xf>
    <xf numFmtId="0" fontId="19" fillId="34" borderId="19" xfId="0" applyFont="1" applyFill="1" applyBorder="1" applyAlignment="1">
      <alignment horizontal="center"/>
    </xf>
    <xf numFmtId="0" fontId="0" fillId="0" borderId="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00F08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I92"/>
  <sheetViews>
    <sheetView tabSelected="1" zoomScaleNormal="100" workbookViewId="0">
      <pane xSplit="6" ySplit="2" topLeftCell="G3" activePane="bottomRight" state="frozen"/>
      <selection pane="topRight" activeCell="H1" sqref="H1"/>
      <selection pane="bottomLeft" activeCell="A3" sqref="A3"/>
      <selection pane="bottomRight" activeCell="AF10" sqref="AF10"/>
    </sheetView>
  </sheetViews>
  <sheetFormatPr defaultColWidth="14.6640625" defaultRowHeight="14.4" x14ac:dyDescent="0.3"/>
  <cols>
    <col min="1" max="1" width="12.5546875" bestFit="1" customWidth="1"/>
    <col min="2" max="2" width="10" customWidth="1"/>
    <col min="3" max="3" width="14.44140625" bestFit="1" customWidth="1"/>
    <col min="4" max="4" width="14.44140625" customWidth="1"/>
    <col min="5" max="5" width="8.6640625" bestFit="1" customWidth="1"/>
    <col min="6" max="6" width="17.44140625" bestFit="1" customWidth="1"/>
    <col min="7" max="16" width="12.6640625" customWidth="1"/>
    <col min="17" max="17" width="15.109375" customWidth="1"/>
    <col min="18" max="18" width="16.109375" customWidth="1"/>
    <col min="19" max="30" width="12.6640625" customWidth="1"/>
    <col min="31" max="31" width="12.5546875" customWidth="1"/>
    <col min="32" max="33" width="14.88671875" customWidth="1"/>
    <col min="34" max="35" width="12.6640625" customWidth="1"/>
  </cols>
  <sheetData>
    <row r="1" spans="1:35" ht="21.6" thickBot="1" x14ac:dyDescent="0.45">
      <c r="A1" s="23" t="s">
        <v>0</v>
      </c>
      <c r="B1" s="23"/>
      <c r="C1" s="23"/>
      <c r="D1" s="23"/>
      <c r="E1" s="23"/>
      <c r="F1" s="24"/>
      <c r="G1" s="25" t="s">
        <v>1</v>
      </c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9" t="s">
        <v>2</v>
      </c>
      <c r="AD1" s="31"/>
      <c r="AE1" s="30"/>
      <c r="AF1" s="26" t="s">
        <v>3</v>
      </c>
      <c r="AG1" s="27"/>
      <c r="AH1" s="27"/>
      <c r="AI1" s="28"/>
    </row>
    <row r="2" spans="1:35" ht="30.6" thickBot="1" x14ac:dyDescent="0.35">
      <c r="A2" s="7" t="s">
        <v>4</v>
      </c>
      <c r="B2" s="15" t="s">
        <v>5</v>
      </c>
      <c r="C2" s="15" t="s">
        <v>6</v>
      </c>
      <c r="D2" s="15" t="s">
        <v>8</v>
      </c>
      <c r="E2" s="15" t="s">
        <v>7</v>
      </c>
      <c r="F2" s="6" t="s">
        <v>9</v>
      </c>
      <c r="G2" s="20" t="s">
        <v>10</v>
      </c>
      <c r="H2" s="17" t="s">
        <v>11</v>
      </c>
      <c r="I2" s="18" t="s">
        <v>12</v>
      </c>
      <c r="J2" s="18" t="s">
        <v>13</v>
      </c>
      <c r="K2" s="18" t="s">
        <v>14</v>
      </c>
      <c r="L2" s="18" t="s">
        <v>46</v>
      </c>
      <c r="M2" s="16" t="s">
        <v>15</v>
      </c>
      <c r="N2" s="16" t="s">
        <v>16</v>
      </c>
      <c r="O2" s="16" t="s">
        <v>17</v>
      </c>
      <c r="P2" s="16" t="s">
        <v>18</v>
      </c>
      <c r="Q2" s="16" t="s">
        <v>19</v>
      </c>
      <c r="R2" s="16" t="s">
        <v>20</v>
      </c>
      <c r="S2" s="16" t="s">
        <v>21</v>
      </c>
      <c r="T2" s="16" t="s">
        <v>22</v>
      </c>
      <c r="U2" s="16" t="s">
        <v>47</v>
      </c>
      <c r="V2" s="16" t="s">
        <v>23</v>
      </c>
      <c r="W2" s="16" t="s">
        <v>24</v>
      </c>
      <c r="X2" s="16" t="s">
        <v>25</v>
      </c>
      <c r="Y2" s="16" t="s">
        <v>26</v>
      </c>
      <c r="Z2" s="16" t="s">
        <v>27</v>
      </c>
      <c r="AA2" s="16" t="s">
        <v>28</v>
      </c>
      <c r="AB2" s="8" t="s">
        <v>29</v>
      </c>
      <c r="AC2" s="7" t="s">
        <v>31</v>
      </c>
      <c r="AD2" s="6" t="s">
        <v>50</v>
      </c>
      <c r="AE2" s="6" t="s">
        <v>30</v>
      </c>
      <c r="AF2" s="7" t="s">
        <v>32</v>
      </c>
      <c r="AG2" s="15" t="s">
        <v>49</v>
      </c>
      <c r="AH2" s="15" t="s">
        <v>33</v>
      </c>
      <c r="AI2" s="6" t="s">
        <v>48</v>
      </c>
    </row>
    <row r="3" spans="1:35" x14ac:dyDescent="0.3">
      <c r="A3" s="2" t="s">
        <v>36</v>
      </c>
      <c r="B3" s="3">
        <v>0.25</v>
      </c>
      <c r="C3" s="3" t="s">
        <v>34</v>
      </c>
      <c r="D3" s="3" t="s">
        <v>45</v>
      </c>
      <c r="E3" s="3">
        <v>0</v>
      </c>
      <c r="F3" s="9">
        <v>45792.581944444442</v>
      </c>
      <c r="G3" s="3">
        <v>70.175349999999995</v>
      </c>
      <c r="H3" s="2">
        <v>67.040999999999997</v>
      </c>
      <c r="I3" s="3">
        <v>0.80610000000000004</v>
      </c>
      <c r="J3" s="3">
        <v>0.79600000000000004</v>
      </c>
      <c r="K3" s="3">
        <v>98.8</v>
      </c>
      <c r="L3" s="3">
        <v>15.13</v>
      </c>
      <c r="M3" s="3">
        <v>330</v>
      </c>
      <c r="N3" s="3">
        <v>0.67</v>
      </c>
      <c r="O3" s="3">
        <v>0.32</v>
      </c>
      <c r="P3" s="3">
        <v>3.79</v>
      </c>
      <c r="Q3" s="3">
        <v>0.6</v>
      </c>
      <c r="R3" s="3">
        <v>1.74</v>
      </c>
      <c r="S3" s="3">
        <v>0</v>
      </c>
      <c r="T3" s="3">
        <v>7.08</v>
      </c>
      <c r="U3" s="3">
        <v>67.400000000000006</v>
      </c>
      <c r="V3" s="3">
        <v>140.5</v>
      </c>
      <c r="W3" s="3">
        <v>3.01</v>
      </c>
      <c r="X3" s="3"/>
      <c r="Y3" s="3">
        <v>19.8</v>
      </c>
      <c r="Z3" s="3">
        <v>61.9</v>
      </c>
      <c r="AA3" s="3">
        <v>129.1</v>
      </c>
      <c r="AB3" s="13">
        <v>7.11</v>
      </c>
      <c r="AC3" s="2">
        <v>0</v>
      </c>
      <c r="AD3" s="3">
        <v>0.18721000000000002</v>
      </c>
      <c r="AE3" s="13">
        <v>187.21</v>
      </c>
      <c r="AF3" s="2">
        <v>190</v>
      </c>
      <c r="AG3" s="3">
        <v>35</v>
      </c>
      <c r="AH3" s="3">
        <v>6.75</v>
      </c>
      <c r="AI3" s="13">
        <v>40</v>
      </c>
    </row>
    <row r="4" spans="1:35" x14ac:dyDescent="0.3">
      <c r="A4" s="1" t="s">
        <v>37</v>
      </c>
      <c r="B4">
        <v>0.25</v>
      </c>
      <c r="C4" t="s">
        <v>34</v>
      </c>
      <c r="D4" t="s">
        <v>45</v>
      </c>
      <c r="E4">
        <v>0</v>
      </c>
      <c r="F4" s="10">
        <v>45792.59097222222</v>
      </c>
      <c r="G4">
        <v>70.175349999999995</v>
      </c>
      <c r="H4" s="1">
        <v>66.701099999999997</v>
      </c>
      <c r="I4">
        <v>0.40699999999999997</v>
      </c>
      <c r="J4">
        <v>0.40550000000000003</v>
      </c>
      <c r="K4">
        <v>99.6</v>
      </c>
      <c r="L4">
        <v>15.01</v>
      </c>
      <c r="M4">
        <v>336</v>
      </c>
      <c r="N4">
        <v>0.52</v>
      </c>
      <c r="O4">
        <v>0.23</v>
      </c>
      <c r="P4">
        <v>2.41</v>
      </c>
      <c r="Q4">
        <v>0.3</v>
      </c>
      <c r="R4">
        <v>1.04</v>
      </c>
      <c r="S4">
        <v>0</v>
      </c>
      <c r="T4">
        <v>7.47</v>
      </c>
      <c r="U4">
        <v>15.7</v>
      </c>
      <c r="V4">
        <v>148.5</v>
      </c>
      <c r="Y4">
        <v>11.4</v>
      </c>
      <c r="Z4">
        <v>14.3</v>
      </c>
      <c r="AA4">
        <v>137</v>
      </c>
      <c r="AB4" s="12">
        <v>7.5</v>
      </c>
      <c r="AC4" s="1">
        <v>0</v>
      </c>
      <c r="AD4" s="32">
        <v>0.18721000000000002</v>
      </c>
      <c r="AE4" s="12">
        <v>187.21</v>
      </c>
      <c r="AF4" s="1">
        <v>190</v>
      </c>
      <c r="AG4">
        <v>35</v>
      </c>
      <c r="AH4">
        <v>7.45</v>
      </c>
      <c r="AI4" s="12">
        <v>40</v>
      </c>
    </row>
    <row r="5" spans="1:35" x14ac:dyDescent="0.3">
      <c r="A5" s="1" t="s">
        <v>38</v>
      </c>
      <c r="B5">
        <v>0.25</v>
      </c>
      <c r="C5" t="s">
        <v>34</v>
      </c>
      <c r="D5" t="s">
        <v>45</v>
      </c>
      <c r="E5">
        <v>0</v>
      </c>
      <c r="F5" s="10">
        <v>45792.609722222223</v>
      </c>
      <c r="G5">
        <v>70.175349999999995</v>
      </c>
      <c r="H5" s="1">
        <v>67.47945</v>
      </c>
      <c r="I5">
        <v>0.83479999999999999</v>
      </c>
      <c r="J5">
        <v>0.82899999999999996</v>
      </c>
      <c r="K5">
        <v>99.3</v>
      </c>
      <c r="L5">
        <v>14.86</v>
      </c>
      <c r="M5">
        <v>331</v>
      </c>
      <c r="N5">
        <v>0.96</v>
      </c>
      <c r="O5">
        <v>0.52</v>
      </c>
      <c r="P5">
        <v>6.45</v>
      </c>
      <c r="Q5">
        <v>1.04</v>
      </c>
      <c r="R5">
        <v>3.02</v>
      </c>
      <c r="S5">
        <v>0</v>
      </c>
      <c r="T5">
        <v>7.04</v>
      </c>
      <c r="U5">
        <v>76.3</v>
      </c>
      <c r="V5">
        <v>124.2</v>
      </c>
      <c r="W5">
        <v>5.2</v>
      </c>
      <c r="X5">
        <v>119.6</v>
      </c>
      <c r="Y5">
        <v>21</v>
      </c>
      <c r="Z5">
        <v>79.5</v>
      </c>
      <c r="AA5">
        <v>130.19999999999999</v>
      </c>
      <c r="AB5" s="12">
        <v>7.03</v>
      </c>
      <c r="AC5" s="1">
        <v>0</v>
      </c>
      <c r="AD5" s="32">
        <v>0.18624000000000002</v>
      </c>
      <c r="AE5" s="12">
        <v>186.24</v>
      </c>
      <c r="AF5" s="1">
        <v>190</v>
      </c>
      <c r="AG5">
        <v>38</v>
      </c>
      <c r="AH5">
        <v>6.75</v>
      </c>
      <c r="AI5" s="12">
        <v>40</v>
      </c>
    </row>
    <row r="6" spans="1:35" x14ac:dyDescent="0.3">
      <c r="A6" s="1" t="s">
        <v>39</v>
      </c>
      <c r="B6">
        <v>0.25</v>
      </c>
      <c r="C6" t="s">
        <v>35</v>
      </c>
      <c r="D6" t="s">
        <v>45</v>
      </c>
      <c r="E6">
        <v>0</v>
      </c>
      <c r="F6" s="10">
        <v>45792.601388888892</v>
      </c>
      <c r="G6">
        <v>70.175349999999995</v>
      </c>
      <c r="H6" s="1">
        <v>65.004000000000005</v>
      </c>
      <c r="I6">
        <v>0.60719999999999996</v>
      </c>
      <c r="J6">
        <v>0.59840000000000004</v>
      </c>
      <c r="K6">
        <v>98.6</v>
      </c>
      <c r="L6">
        <v>15.07</v>
      </c>
      <c r="M6">
        <v>327</v>
      </c>
      <c r="N6">
        <v>0.6</v>
      </c>
      <c r="O6">
        <v>0.3</v>
      </c>
      <c r="P6">
        <v>3.43</v>
      </c>
      <c r="Q6">
        <v>0.55000000000000004</v>
      </c>
      <c r="R6">
        <v>1.5</v>
      </c>
      <c r="S6">
        <v>0</v>
      </c>
      <c r="T6">
        <v>7.35</v>
      </c>
      <c r="U6">
        <v>29.8</v>
      </c>
      <c r="V6">
        <v>148.9</v>
      </c>
      <c r="W6">
        <v>2.75</v>
      </c>
      <c r="Y6">
        <v>16.5</v>
      </c>
      <c r="Z6">
        <v>29.2</v>
      </c>
      <c r="AA6">
        <v>146.1</v>
      </c>
      <c r="AB6" s="12">
        <v>7.36</v>
      </c>
      <c r="AC6" s="1">
        <v>0</v>
      </c>
      <c r="AD6" s="32">
        <v>0.18721000000000002</v>
      </c>
      <c r="AE6" s="12">
        <v>187.21</v>
      </c>
      <c r="AF6" s="1">
        <v>190</v>
      </c>
      <c r="AG6">
        <v>36.5</v>
      </c>
      <c r="AH6">
        <v>7.1</v>
      </c>
      <c r="AI6" s="12">
        <v>40</v>
      </c>
    </row>
    <row r="7" spans="1:35" x14ac:dyDescent="0.3">
      <c r="A7" s="1" t="s">
        <v>40</v>
      </c>
      <c r="B7">
        <v>0.25</v>
      </c>
      <c r="C7" t="s">
        <v>35</v>
      </c>
      <c r="D7" t="s">
        <v>45</v>
      </c>
      <c r="E7">
        <v>0</v>
      </c>
      <c r="F7" s="10">
        <v>45792.613888888889</v>
      </c>
      <c r="G7">
        <v>70.175349999999995</v>
      </c>
      <c r="H7" s="1">
        <v>67.943550000000002</v>
      </c>
      <c r="I7">
        <v>0.58350000000000002</v>
      </c>
      <c r="J7">
        <v>0.57569999999999999</v>
      </c>
      <c r="K7">
        <v>98.6</v>
      </c>
      <c r="L7">
        <v>15.26</v>
      </c>
      <c r="M7">
        <v>325</v>
      </c>
      <c r="N7">
        <v>0.85</v>
      </c>
      <c r="O7">
        <v>0.49</v>
      </c>
      <c r="P7">
        <v>6.11</v>
      </c>
      <c r="Q7">
        <v>1</v>
      </c>
      <c r="R7">
        <v>2.78</v>
      </c>
      <c r="S7">
        <v>0</v>
      </c>
      <c r="T7">
        <v>7.26</v>
      </c>
      <c r="U7">
        <v>41.7</v>
      </c>
      <c r="V7">
        <v>148.6</v>
      </c>
      <c r="W7">
        <v>4.8899999999999997</v>
      </c>
      <c r="X7">
        <v>112.3</v>
      </c>
      <c r="Y7">
        <v>18.899999999999999</v>
      </c>
      <c r="Z7">
        <v>40.799999999999997</v>
      </c>
      <c r="AA7">
        <v>145.6</v>
      </c>
      <c r="AB7" s="12">
        <v>7.27</v>
      </c>
      <c r="AC7" s="1">
        <v>0</v>
      </c>
      <c r="AD7" s="32">
        <v>0.18624000000000002</v>
      </c>
      <c r="AE7" s="12">
        <v>186.24</v>
      </c>
      <c r="AF7" s="1">
        <v>190</v>
      </c>
      <c r="AG7">
        <v>36.5</v>
      </c>
      <c r="AH7">
        <v>7.1</v>
      </c>
      <c r="AI7" s="12">
        <v>40</v>
      </c>
    </row>
    <row r="8" spans="1:35" ht="15" thickBot="1" x14ac:dyDescent="0.35">
      <c r="A8" s="4" t="s">
        <v>41</v>
      </c>
      <c r="B8" s="5">
        <v>0.25</v>
      </c>
      <c r="C8" s="5" t="s">
        <v>35</v>
      </c>
      <c r="D8" s="5" t="s">
        <v>45</v>
      </c>
      <c r="E8" s="5">
        <v>0</v>
      </c>
      <c r="F8" s="11">
        <v>45792.618055555555</v>
      </c>
      <c r="G8" s="5">
        <v>70.175349999999995</v>
      </c>
      <c r="H8" s="4">
        <v>70.105050000000006</v>
      </c>
      <c r="I8" s="5">
        <v>0.84550000000000003</v>
      </c>
      <c r="J8" s="5">
        <v>0.84050000000000002</v>
      </c>
      <c r="K8" s="5">
        <v>99.4</v>
      </c>
      <c r="L8" s="5">
        <v>15</v>
      </c>
      <c r="M8" s="5">
        <v>327</v>
      </c>
      <c r="N8" s="5">
        <v>0.93</v>
      </c>
      <c r="O8" s="5">
        <v>0.5</v>
      </c>
      <c r="P8" s="5">
        <v>6.2</v>
      </c>
      <c r="Q8" s="5">
        <v>1</v>
      </c>
      <c r="R8" s="5">
        <v>2.91</v>
      </c>
      <c r="S8" s="5">
        <v>0</v>
      </c>
      <c r="T8" s="5">
        <v>7.44</v>
      </c>
      <c r="U8" s="5">
        <v>23.3</v>
      </c>
      <c r="V8" s="5">
        <v>152.80000000000001</v>
      </c>
      <c r="W8" s="5">
        <v>5.01</v>
      </c>
      <c r="X8" s="5">
        <v>115.4</v>
      </c>
      <c r="Y8" s="5">
        <v>15.8</v>
      </c>
      <c r="Z8" s="5">
        <v>21.4</v>
      </c>
      <c r="AA8" s="5">
        <v>141.5</v>
      </c>
      <c r="AB8" s="14">
        <v>7.47</v>
      </c>
      <c r="AC8" s="4">
        <v>0</v>
      </c>
      <c r="AD8" s="5">
        <v>0.18721000000000002</v>
      </c>
      <c r="AE8" s="14">
        <v>187.21</v>
      </c>
      <c r="AF8" s="4">
        <v>190</v>
      </c>
      <c r="AG8" s="5">
        <v>35</v>
      </c>
      <c r="AH8" s="5">
        <v>7.45</v>
      </c>
      <c r="AI8" s="14">
        <v>40</v>
      </c>
    </row>
    <row r="9" spans="1:35" x14ac:dyDescent="0.3">
      <c r="A9" s="2" t="s">
        <v>36</v>
      </c>
      <c r="B9" s="3">
        <v>0.25</v>
      </c>
      <c r="C9" s="3" t="s">
        <v>34</v>
      </c>
      <c r="D9" s="3" t="s">
        <v>45</v>
      </c>
      <c r="E9" s="3">
        <v>1</v>
      </c>
      <c r="F9" s="9">
        <v>45793.475694444445</v>
      </c>
      <c r="G9" s="3">
        <v>70.441850000000002</v>
      </c>
      <c r="H9" s="2">
        <v>68.127449999999996</v>
      </c>
      <c r="I9" s="3">
        <v>1.0048999999999999</v>
      </c>
      <c r="J9" s="3">
        <v>0.99409999999999998</v>
      </c>
      <c r="K9" s="3">
        <v>98.9</v>
      </c>
      <c r="L9" s="3">
        <v>15.39</v>
      </c>
      <c r="M9" s="3">
        <v>342</v>
      </c>
      <c r="N9" s="3">
        <v>1.0900000000000001</v>
      </c>
      <c r="O9" s="3">
        <v>0.53</v>
      </c>
      <c r="P9" s="3">
        <v>6.51</v>
      </c>
      <c r="Q9" s="3">
        <v>1.1200000000000001</v>
      </c>
      <c r="R9" s="3">
        <v>3.25</v>
      </c>
      <c r="S9" s="3"/>
      <c r="T9" s="3">
        <v>6.67</v>
      </c>
      <c r="U9" s="3">
        <v>195.7</v>
      </c>
      <c r="V9" s="3">
        <v>105.8</v>
      </c>
      <c r="W9" s="3">
        <v>5.17</v>
      </c>
      <c r="X9" s="3">
        <v>121.1</v>
      </c>
      <c r="Y9" s="3">
        <v>22</v>
      </c>
      <c r="Z9" s="3">
        <v>179.4</v>
      </c>
      <c r="AA9" s="3">
        <v>94.3</v>
      </c>
      <c r="AB9" s="13">
        <v>6.69</v>
      </c>
      <c r="AC9" s="2">
        <v>0</v>
      </c>
      <c r="AD9" s="3">
        <v>0.18618000000000001</v>
      </c>
      <c r="AE9" s="13">
        <v>186.18</v>
      </c>
      <c r="AF9" s="2">
        <v>190</v>
      </c>
      <c r="AG9" s="3">
        <v>35</v>
      </c>
      <c r="AH9" s="3">
        <v>6.75</v>
      </c>
      <c r="AI9" s="13">
        <v>40</v>
      </c>
    </row>
    <row r="10" spans="1:35" x14ac:dyDescent="0.3">
      <c r="A10" s="1" t="s">
        <v>37</v>
      </c>
      <c r="B10">
        <v>0.25</v>
      </c>
      <c r="C10" t="s">
        <v>34</v>
      </c>
      <c r="D10" t="s">
        <v>45</v>
      </c>
      <c r="E10">
        <v>1</v>
      </c>
      <c r="F10" s="10">
        <v>45793.480555555558</v>
      </c>
      <c r="G10">
        <v>70.441850000000002</v>
      </c>
      <c r="H10" s="1">
        <v>63.651449999999997</v>
      </c>
      <c r="I10">
        <v>0.59499999999999997</v>
      </c>
      <c r="J10">
        <v>0.59</v>
      </c>
      <c r="K10">
        <v>99.2</v>
      </c>
      <c r="L10">
        <v>15.55</v>
      </c>
      <c r="M10">
        <v>330</v>
      </c>
      <c r="N10">
        <v>0.95</v>
      </c>
      <c r="O10">
        <v>0.52</v>
      </c>
      <c r="P10">
        <v>6.56</v>
      </c>
      <c r="Q10">
        <v>1.1499999999999999</v>
      </c>
      <c r="R10">
        <v>3.28</v>
      </c>
      <c r="T10">
        <v>7.44</v>
      </c>
      <c r="U10">
        <v>25</v>
      </c>
      <c r="V10">
        <v>146.4</v>
      </c>
      <c r="W10">
        <v>5.18</v>
      </c>
      <c r="X10">
        <v>119.6</v>
      </c>
      <c r="Y10">
        <v>16.7</v>
      </c>
      <c r="Z10">
        <v>22.9</v>
      </c>
      <c r="AA10">
        <v>134.9</v>
      </c>
      <c r="AB10" s="12">
        <v>7.47</v>
      </c>
      <c r="AC10" s="1">
        <v>0</v>
      </c>
      <c r="AD10" s="32">
        <v>0.18619999999999998</v>
      </c>
      <c r="AE10" s="12">
        <v>186.2</v>
      </c>
      <c r="AF10" s="1">
        <v>190</v>
      </c>
      <c r="AG10">
        <v>35</v>
      </c>
      <c r="AH10">
        <v>7.45</v>
      </c>
      <c r="AI10" s="12">
        <v>40</v>
      </c>
    </row>
    <row r="11" spans="1:35" x14ac:dyDescent="0.3">
      <c r="A11" s="1" t="s">
        <v>38</v>
      </c>
      <c r="B11">
        <v>0.25</v>
      </c>
      <c r="C11" t="s">
        <v>34</v>
      </c>
      <c r="D11" t="s">
        <v>45</v>
      </c>
      <c r="E11">
        <v>1</v>
      </c>
      <c r="F11" s="10">
        <v>45793.484722222223</v>
      </c>
      <c r="G11">
        <v>70.441850000000002</v>
      </c>
      <c r="H11" s="1">
        <v>69.430949999999996</v>
      </c>
      <c r="I11">
        <v>1.1405000000000001</v>
      </c>
      <c r="J11">
        <v>1.1312</v>
      </c>
      <c r="K11">
        <v>99.2</v>
      </c>
      <c r="L11">
        <v>15.32</v>
      </c>
      <c r="M11">
        <v>338</v>
      </c>
      <c r="N11">
        <v>1.21</v>
      </c>
      <c r="O11">
        <v>0.53</v>
      </c>
      <c r="P11">
        <v>6.42</v>
      </c>
      <c r="Q11">
        <v>1.1100000000000001</v>
      </c>
      <c r="R11">
        <v>3.36</v>
      </c>
      <c r="T11">
        <v>6.89</v>
      </c>
      <c r="U11">
        <v>118.9</v>
      </c>
      <c r="V11">
        <v>108.3</v>
      </c>
      <c r="W11">
        <v>5.15</v>
      </c>
      <c r="X11">
        <v>120.7</v>
      </c>
      <c r="Y11">
        <v>23.5</v>
      </c>
      <c r="Z11">
        <v>124.1</v>
      </c>
      <c r="AA11">
        <v>114.5</v>
      </c>
      <c r="AB11" s="12">
        <v>6.88</v>
      </c>
      <c r="AC11" s="1">
        <v>0</v>
      </c>
      <c r="AD11" s="32">
        <v>0.18340999999999999</v>
      </c>
      <c r="AE11" s="12">
        <v>183.41</v>
      </c>
      <c r="AF11" s="1">
        <v>190</v>
      </c>
      <c r="AG11">
        <v>38</v>
      </c>
      <c r="AH11">
        <v>6.75</v>
      </c>
      <c r="AI11" s="12">
        <v>40</v>
      </c>
    </row>
    <row r="12" spans="1:35" x14ac:dyDescent="0.3">
      <c r="A12" s="1" t="s">
        <v>39</v>
      </c>
      <c r="B12">
        <v>0.25</v>
      </c>
      <c r="C12" t="s">
        <v>35</v>
      </c>
      <c r="D12" t="s">
        <v>45</v>
      </c>
      <c r="E12">
        <v>1</v>
      </c>
      <c r="F12" s="10">
        <v>45793.489583333336</v>
      </c>
      <c r="G12">
        <v>70.441850000000002</v>
      </c>
      <c r="H12" s="1">
        <v>69.332099999999997</v>
      </c>
      <c r="I12">
        <v>0.98909999999999998</v>
      </c>
      <c r="J12">
        <v>0.9819</v>
      </c>
      <c r="K12">
        <v>99.3</v>
      </c>
      <c r="L12">
        <v>15.32</v>
      </c>
      <c r="M12">
        <v>335</v>
      </c>
      <c r="N12">
        <v>1.0900000000000001</v>
      </c>
      <c r="O12">
        <v>0.53</v>
      </c>
      <c r="P12">
        <v>6.49</v>
      </c>
      <c r="Q12">
        <v>1.1399999999999999</v>
      </c>
      <c r="R12">
        <v>3.37</v>
      </c>
      <c r="T12">
        <v>7.16</v>
      </c>
      <c r="U12">
        <v>58.9</v>
      </c>
      <c r="V12">
        <v>127.4</v>
      </c>
      <c r="W12">
        <v>5.23</v>
      </c>
      <c r="X12">
        <v>121.6</v>
      </c>
      <c r="Y12">
        <v>20.8</v>
      </c>
      <c r="Z12">
        <v>57.6</v>
      </c>
      <c r="AA12">
        <v>124.3</v>
      </c>
      <c r="AB12" s="12">
        <v>7.16</v>
      </c>
      <c r="AC12" s="1">
        <v>0</v>
      </c>
      <c r="AD12" s="32">
        <v>0.18439</v>
      </c>
      <c r="AE12" s="12">
        <v>184.39</v>
      </c>
      <c r="AF12" s="1">
        <v>190</v>
      </c>
      <c r="AG12">
        <v>36.5</v>
      </c>
      <c r="AH12">
        <v>7.1</v>
      </c>
      <c r="AI12" s="12">
        <v>40</v>
      </c>
    </row>
    <row r="13" spans="1:35" x14ac:dyDescent="0.3">
      <c r="A13" s="1" t="s">
        <v>40</v>
      </c>
      <c r="B13">
        <v>0.25</v>
      </c>
      <c r="C13" t="s">
        <v>35</v>
      </c>
      <c r="D13" t="s">
        <v>45</v>
      </c>
      <c r="E13">
        <v>1</v>
      </c>
      <c r="F13" s="10">
        <v>45793.493750000001</v>
      </c>
      <c r="G13">
        <v>70.441850000000002</v>
      </c>
      <c r="H13" s="1">
        <v>66.824399999999997</v>
      </c>
      <c r="I13">
        <v>0.99550000000000005</v>
      </c>
      <c r="J13">
        <v>0.98980000000000001</v>
      </c>
      <c r="K13">
        <v>99.4</v>
      </c>
      <c r="L13">
        <v>15.37</v>
      </c>
      <c r="M13">
        <v>335</v>
      </c>
      <c r="N13">
        <v>1.1100000000000001</v>
      </c>
      <c r="O13">
        <v>0.53</v>
      </c>
      <c r="P13">
        <v>6.5</v>
      </c>
      <c r="Q13">
        <v>1.1499999999999999</v>
      </c>
      <c r="R13">
        <v>3.39</v>
      </c>
      <c r="S13">
        <v>0.2</v>
      </c>
      <c r="T13">
        <v>7.22</v>
      </c>
      <c r="U13">
        <v>47.8</v>
      </c>
      <c r="V13">
        <v>130</v>
      </c>
      <c r="W13">
        <v>5.2</v>
      </c>
      <c r="X13">
        <v>121.3</v>
      </c>
      <c r="Y13">
        <v>19.7</v>
      </c>
      <c r="Z13">
        <v>46.7</v>
      </c>
      <c r="AA13">
        <v>126.8</v>
      </c>
      <c r="AB13" s="12">
        <v>7.23</v>
      </c>
      <c r="AC13" s="1">
        <v>0</v>
      </c>
      <c r="AD13" s="32">
        <v>0.18342</v>
      </c>
      <c r="AE13" s="12">
        <v>183.42</v>
      </c>
      <c r="AF13" s="1">
        <v>190</v>
      </c>
      <c r="AG13">
        <v>36.5</v>
      </c>
      <c r="AH13">
        <v>7.1</v>
      </c>
      <c r="AI13" s="12">
        <v>40</v>
      </c>
    </row>
    <row r="14" spans="1:35" ht="15" thickBot="1" x14ac:dyDescent="0.35">
      <c r="A14" s="4" t="s">
        <v>41</v>
      </c>
      <c r="B14" s="5">
        <v>0.25</v>
      </c>
      <c r="C14" s="5" t="s">
        <v>35</v>
      </c>
      <c r="D14" s="5" t="s">
        <v>45</v>
      </c>
      <c r="E14" s="5">
        <v>1</v>
      </c>
      <c r="F14" s="11">
        <v>45793.498611111114</v>
      </c>
      <c r="G14" s="5">
        <v>70.441850000000002</v>
      </c>
      <c r="H14" s="4">
        <v>69.875550000000004</v>
      </c>
      <c r="I14" s="5">
        <v>1.2963</v>
      </c>
      <c r="J14" s="5">
        <v>1.2768999999999999</v>
      </c>
      <c r="K14" s="5">
        <v>98.5</v>
      </c>
      <c r="L14" s="5">
        <v>15.49</v>
      </c>
      <c r="M14" s="5">
        <v>330</v>
      </c>
      <c r="N14" s="5">
        <v>1.23</v>
      </c>
      <c r="O14" s="5">
        <v>0.52</v>
      </c>
      <c r="P14" s="5">
        <v>6.3</v>
      </c>
      <c r="Q14" s="5">
        <v>1.1299999999999999</v>
      </c>
      <c r="R14" s="5">
        <v>3.43</v>
      </c>
      <c r="S14" s="5">
        <v>0.23</v>
      </c>
      <c r="T14" s="5">
        <v>7.42</v>
      </c>
      <c r="U14" s="5">
        <v>25.9</v>
      </c>
      <c r="V14" s="5">
        <v>134.30000000000001</v>
      </c>
      <c r="W14" s="5">
        <v>5.12</v>
      </c>
      <c r="X14" s="5">
        <v>119.8</v>
      </c>
      <c r="Y14" s="5">
        <v>16.8</v>
      </c>
      <c r="Z14" s="5">
        <v>23.7</v>
      </c>
      <c r="AA14" s="5">
        <v>122.5</v>
      </c>
      <c r="AB14" s="14">
        <v>7.45</v>
      </c>
      <c r="AC14" s="4">
        <v>0</v>
      </c>
      <c r="AD14" s="5">
        <v>0.18440000000000001</v>
      </c>
      <c r="AE14" s="14">
        <v>184.4</v>
      </c>
      <c r="AF14" s="4">
        <v>190</v>
      </c>
      <c r="AG14" s="5">
        <v>35</v>
      </c>
      <c r="AH14" s="5">
        <v>7.45</v>
      </c>
      <c r="AI14" s="14">
        <v>40</v>
      </c>
    </row>
    <row r="15" spans="1:35" x14ac:dyDescent="0.3">
      <c r="A15" s="1" t="s">
        <v>36</v>
      </c>
      <c r="B15">
        <v>0.25</v>
      </c>
      <c r="C15" t="s">
        <v>34</v>
      </c>
      <c r="D15" t="s">
        <v>45</v>
      </c>
      <c r="E15">
        <v>2</v>
      </c>
      <c r="F15" s="10">
        <v>45794.476388888892</v>
      </c>
      <c r="G15">
        <v>67.848200000000006</v>
      </c>
      <c r="H15" s="1">
        <v>70.151849999999996</v>
      </c>
      <c r="I15">
        <v>1.5138</v>
      </c>
      <c r="J15">
        <v>1.4886999999999999</v>
      </c>
      <c r="K15">
        <v>98.3</v>
      </c>
      <c r="L15">
        <v>15.27</v>
      </c>
      <c r="M15">
        <v>338</v>
      </c>
      <c r="N15">
        <v>1.31</v>
      </c>
      <c r="O15">
        <v>0.53</v>
      </c>
      <c r="P15">
        <v>6.37</v>
      </c>
      <c r="Q15">
        <v>1.05</v>
      </c>
      <c r="R15">
        <v>3.42</v>
      </c>
      <c r="S15">
        <v>0.21</v>
      </c>
      <c r="T15">
        <v>6.9</v>
      </c>
      <c r="U15">
        <v>124.9</v>
      </c>
      <c r="V15">
        <v>112.3</v>
      </c>
      <c r="W15">
        <v>5.13</v>
      </c>
      <c r="X15">
        <v>121.6</v>
      </c>
      <c r="Y15">
        <v>24</v>
      </c>
      <c r="Z15">
        <v>114.3</v>
      </c>
      <c r="AA15">
        <v>100.5</v>
      </c>
      <c r="AB15" s="12">
        <v>6.93</v>
      </c>
      <c r="AC15" s="1">
        <v>0</v>
      </c>
      <c r="AD15" s="32">
        <v>0.18155000000000002</v>
      </c>
      <c r="AE15" s="12">
        <v>181.55</v>
      </c>
      <c r="AF15" s="1">
        <v>190</v>
      </c>
      <c r="AG15">
        <v>35</v>
      </c>
      <c r="AH15">
        <v>6.75</v>
      </c>
      <c r="AI15" s="12">
        <v>40</v>
      </c>
    </row>
    <row r="16" spans="1:35" x14ac:dyDescent="0.3">
      <c r="A16" s="1" t="s">
        <v>37</v>
      </c>
      <c r="B16">
        <v>0.25</v>
      </c>
      <c r="C16" t="s">
        <v>34</v>
      </c>
      <c r="D16" t="s">
        <v>45</v>
      </c>
      <c r="E16">
        <v>2</v>
      </c>
      <c r="F16" s="10">
        <v>45794.481249999997</v>
      </c>
      <c r="G16">
        <v>67.848200000000006</v>
      </c>
      <c r="H16" s="1">
        <v>68.656949999999995</v>
      </c>
      <c r="I16">
        <v>0.95750000000000002</v>
      </c>
      <c r="J16">
        <v>0.95179999999999998</v>
      </c>
      <c r="K16">
        <v>99.4</v>
      </c>
      <c r="L16">
        <v>16.190000000000001</v>
      </c>
      <c r="M16">
        <v>331</v>
      </c>
      <c r="N16">
        <v>1.22</v>
      </c>
      <c r="O16">
        <v>0.52</v>
      </c>
      <c r="P16">
        <v>6.31</v>
      </c>
      <c r="Q16">
        <v>1.05</v>
      </c>
      <c r="R16">
        <v>3.46</v>
      </c>
      <c r="S16">
        <v>0.25</v>
      </c>
      <c r="T16">
        <v>7.42</v>
      </c>
      <c r="U16">
        <v>25.4</v>
      </c>
      <c r="V16">
        <v>138.9</v>
      </c>
      <c r="W16">
        <v>5.0999999999999996</v>
      </c>
      <c r="X16">
        <v>119</v>
      </c>
      <c r="Y16">
        <v>16.3</v>
      </c>
      <c r="Z16">
        <v>23.3</v>
      </c>
      <c r="AA16">
        <v>127.1</v>
      </c>
      <c r="AB16" s="12">
        <v>7.45</v>
      </c>
      <c r="AC16" s="1">
        <v>0</v>
      </c>
      <c r="AD16" s="32">
        <v>0.18158000000000002</v>
      </c>
      <c r="AE16" s="12">
        <v>181.58</v>
      </c>
      <c r="AF16" s="1">
        <v>190</v>
      </c>
      <c r="AG16">
        <v>35</v>
      </c>
      <c r="AH16">
        <v>7.45</v>
      </c>
      <c r="AI16" s="12">
        <v>40</v>
      </c>
    </row>
    <row r="17" spans="1:35" x14ac:dyDescent="0.3">
      <c r="A17" s="1" t="s">
        <v>38</v>
      </c>
      <c r="B17">
        <v>0.25</v>
      </c>
      <c r="C17" t="s">
        <v>34</v>
      </c>
      <c r="D17" t="s">
        <v>45</v>
      </c>
      <c r="E17">
        <v>2</v>
      </c>
      <c r="F17" s="10">
        <v>45794.486111111109</v>
      </c>
      <c r="G17">
        <v>67.848200000000006</v>
      </c>
      <c r="H17" s="1">
        <v>77.37285</v>
      </c>
      <c r="I17">
        <v>1.8697999999999999</v>
      </c>
      <c r="J17">
        <v>1.8474999999999999</v>
      </c>
      <c r="K17">
        <v>98.8</v>
      </c>
      <c r="L17">
        <v>15.29</v>
      </c>
      <c r="M17">
        <v>335</v>
      </c>
      <c r="N17">
        <v>1.69</v>
      </c>
      <c r="O17">
        <v>0.53</v>
      </c>
      <c r="P17">
        <v>6.19</v>
      </c>
      <c r="Q17">
        <v>0.99</v>
      </c>
      <c r="R17">
        <v>3.67</v>
      </c>
      <c r="S17">
        <v>0.23</v>
      </c>
      <c r="T17">
        <v>6.89</v>
      </c>
      <c r="U17">
        <v>128.9</v>
      </c>
      <c r="V17">
        <v>94.3</v>
      </c>
      <c r="W17">
        <v>5.1100000000000003</v>
      </c>
      <c r="X17">
        <v>122</v>
      </c>
      <c r="Y17">
        <v>25.2</v>
      </c>
      <c r="Z17">
        <v>134.69999999999999</v>
      </c>
      <c r="AA17">
        <v>100.4</v>
      </c>
      <c r="AB17" s="12">
        <v>6.88</v>
      </c>
      <c r="AC17" s="1">
        <v>0</v>
      </c>
      <c r="AD17" s="32">
        <v>0.18058000000000002</v>
      </c>
      <c r="AE17" s="12">
        <v>180.58</v>
      </c>
      <c r="AF17" s="1">
        <v>190</v>
      </c>
      <c r="AG17">
        <v>38</v>
      </c>
      <c r="AH17">
        <v>6.75</v>
      </c>
      <c r="AI17" s="12">
        <v>40</v>
      </c>
    </row>
    <row r="18" spans="1:35" x14ac:dyDescent="0.3">
      <c r="A18" s="1" t="s">
        <v>39</v>
      </c>
      <c r="B18">
        <v>0.25</v>
      </c>
      <c r="C18" t="s">
        <v>35</v>
      </c>
      <c r="D18" t="s">
        <v>45</v>
      </c>
      <c r="E18">
        <v>2</v>
      </c>
      <c r="F18" s="10">
        <v>45794.490972222222</v>
      </c>
      <c r="G18">
        <v>67.848200000000006</v>
      </c>
      <c r="H18" s="1">
        <v>84.662989999999994</v>
      </c>
      <c r="I18">
        <v>1.9321999999999999</v>
      </c>
      <c r="J18">
        <v>1.9229000000000001</v>
      </c>
      <c r="K18">
        <v>99.5</v>
      </c>
      <c r="L18">
        <v>15.28</v>
      </c>
      <c r="M18">
        <v>331</v>
      </c>
      <c r="N18">
        <v>1.5</v>
      </c>
      <c r="O18">
        <v>0.52</v>
      </c>
      <c r="P18">
        <v>6.01</v>
      </c>
      <c r="Q18">
        <v>1.01</v>
      </c>
      <c r="R18">
        <v>3.61</v>
      </c>
      <c r="S18">
        <v>0.38</v>
      </c>
      <c r="T18">
        <v>7.24</v>
      </c>
      <c r="U18">
        <v>44.2</v>
      </c>
      <c r="V18">
        <v>112</v>
      </c>
      <c r="W18">
        <v>5.0199999999999996</v>
      </c>
      <c r="X18">
        <v>119.9</v>
      </c>
      <c r="Y18">
        <v>19.100000000000001</v>
      </c>
      <c r="Z18">
        <v>43.3</v>
      </c>
      <c r="AA18">
        <v>109.1</v>
      </c>
      <c r="AB18" s="12">
        <v>7.25</v>
      </c>
      <c r="AC18" s="1">
        <v>0</v>
      </c>
      <c r="AD18" s="32">
        <v>0.18156999999999998</v>
      </c>
      <c r="AE18" s="12">
        <v>181.57</v>
      </c>
      <c r="AF18" s="1">
        <v>190</v>
      </c>
      <c r="AG18">
        <v>36.5</v>
      </c>
      <c r="AH18">
        <v>7.1</v>
      </c>
      <c r="AI18" s="12">
        <v>40</v>
      </c>
    </row>
    <row r="19" spans="1:35" x14ac:dyDescent="0.3">
      <c r="A19" s="1" t="s">
        <v>40</v>
      </c>
      <c r="B19">
        <v>0.25</v>
      </c>
      <c r="C19" t="s">
        <v>35</v>
      </c>
      <c r="D19" t="s">
        <v>45</v>
      </c>
      <c r="E19">
        <v>2</v>
      </c>
      <c r="F19" s="10">
        <v>45794.495833333334</v>
      </c>
      <c r="G19">
        <v>67.848200000000006</v>
      </c>
      <c r="H19" s="1">
        <v>74.989350000000002</v>
      </c>
      <c r="I19">
        <v>1.9251</v>
      </c>
      <c r="J19">
        <v>1.9136</v>
      </c>
      <c r="K19">
        <v>99.4</v>
      </c>
      <c r="L19">
        <v>15.28</v>
      </c>
      <c r="M19">
        <v>332</v>
      </c>
      <c r="N19">
        <v>1.53</v>
      </c>
      <c r="O19">
        <v>0.52</v>
      </c>
      <c r="P19">
        <v>5.97</v>
      </c>
      <c r="Q19">
        <v>1.02</v>
      </c>
      <c r="R19">
        <v>3.59</v>
      </c>
      <c r="S19">
        <v>0.4</v>
      </c>
      <c r="T19">
        <v>7.23</v>
      </c>
      <c r="U19">
        <v>45.2</v>
      </c>
      <c r="V19">
        <v>112</v>
      </c>
      <c r="W19">
        <v>5.0199999999999996</v>
      </c>
      <c r="X19">
        <v>120.7</v>
      </c>
      <c r="Y19">
        <v>19</v>
      </c>
      <c r="Z19">
        <v>44.2</v>
      </c>
      <c r="AA19">
        <v>108.9</v>
      </c>
      <c r="AB19" s="12">
        <v>7.24</v>
      </c>
      <c r="AC19" s="1">
        <v>0</v>
      </c>
      <c r="AD19" s="32">
        <v>0.18059</v>
      </c>
      <c r="AE19" s="12">
        <v>180.59</v>
      </c>
      <c r="AF19" s="1">
        <v>190</v>
      </c>
      <c r="AG19">
        <v>36.5</v>
      </c>
      <c r="AH19">
        <v>7.1</v>
      </c>
      <c r="AI19" s="12">
        <v>40</v>
      </c>
    </row>
    <row r="20" spans="1:35" ht="15" thickBot="1" x14ac:dyDescent="0.35">
      <c r="A20" s="1" t="s">
        <v>41</v>
      </c>
      <c r="B20">
        <v>0.25</v>
      </c>
      <c r="C20" t="s">
        <v>35</v>
      </c>
      <c r="D20" t="s">
        <v>45</v>
      </c>
      <c r="E20">
        <v>2</v>
      </c>
      <c r="F20" s="10">
        <v>45794.500694444447</v>
      </c>
      <c r="G20">
        <v>67.848200000000006</v>
      </c>
      <c r="H20" s="1">
        <v>72.681449999999998</v>
      </c>
      <c r="I20">
        <v>1.8260000000000001</v>
      </c>
      <c r="J20">
        <v>1.8124</v>
      </c>
      <c r="K20">
        <v>99.3</v>
      </c>
      <c r="L20">
        <v>16.010000000000002</v>
      </c>
      <c r="M20">
        <v>329</v>
      </c>
      <c r="N20">
        <v>1.68</v>
      </c>
      <c r="O20">
        <v>0.52</v>
      </c>
      <c r="P20">
        <v>5.9</v>
      </c>
      <c r="Q20">
        <v>1.03</v>
      </c>
      <c r="R20">
        <v>3.65</v>
      </c>
      <c r="S20">
        <v>0.39</v>
      </c>
      <c r="T20">
        <v>7.37</v>
      </c>
      <c r="U20">
        <v>28.1</v>
      </c>
      <c r="V20">
        <v>117.4</v>
      </c>
      <c r="W20">
        <v>5.0199999999999996</v>
      </c>
      <c r="X20">
        <v>120.7</v>
      </c>
      <c r="Y20">
        <v>16.2</v>
      </c>
      <c r="Z20">
        <v>25.7</v>
      </c>
      <c r="AA20">
        <v>105.6</v>
      </c>
      <c r="AB20" s="12">
        <v>7.4</v>
      </c>
      <c r="AC20" s="1">
        <v>0</v>
      </c>
      <c r="AD20" s="32">
        <v>0.18158000000000002</v>
      </c>
      <c r="AE20" s="12">
        <v>181.58</v>
      </c>
      <c r="AF20" s="1">
        <v>190</v>
      </c>
      <c r="AG20">
        <v>35</v>
      </c>
      <c r="AH20">
        <v>7.45</v>
      </c>
      <c r="AI20" s="12">
        <v>40</v>
      </c>
    </row>
    <row r="21" spans="1:35" x14ac:dyDescent="0.3">
      <c r="A21" s="2" t="s">
        <v>36</v>
      </c>
      <c r="B21" s="3">
        <v>0.25</v>
      </c>
      <c r="C21" s="3" t="s">
        <v>34</v>
      </c>
      <c r="D21" s="3" t="s">
        <v>45</v>
      </c>
      <c r="E21" s="3">
        <v>3</v>
      </c>
      <c r="F21" s="9">
        <v>45795.458333333336</v>
      </c>
      <c r="G21" s="3">
        <v>99.879050000000007</v>
      </c>
      <c r="H21" s="2">
        <v>107.392</v>
      </c>
      <c r="I21" s="3">
        <v>2.0499999999999998</v>
      </c>
      <c r="J21" s="3">
        <v>1.2</v>
      </c>
      <c r="K21" s="3">
        <v>97.3</v>
      </c>
      <c r="L21" s="3">
        <v>15.13</v>
      </c>
      <c r="M21" s="3">
        <v>334</v>
      </c>
      <c r="N21" s="3">
        <v>1.7</v>
      </c>
      <c r="O21" s="3">
        <v>0.52</v>
      </c>
      <c r="P21" s="3">
        <v>6.15</v>
      </c>
      <c r="Q21" s="3">
        <v>1.1399999999999999</v>
      </c>
      <c r="R21" s="3">
        <v>3.76</v>
      </c>
      <c r="S21" s="3">
        <v>0.21</v>
      </c>
      <c r="T21" s="3">
        <v>6.9</v>
      </c>
      <c r="U21" s="3">
        <v>130.19999999999999</v>
      </c>
      <c r="V21" s="3">
        <v>103.6</v>
      </c>
      <c r="W21" s="3">
        <v>5.04</v>
      </c>
      <c r="X21" s="3">
        <v>120.6</v>
      </c>
      <c r="Y21" s="3">
        <v>24.8</v>
      </c>
      <c r="Z21" s="3">
        <v>119.2</v>
      </c>
      <c r="AA21" s="3">
        <v>92.2</v>
      </c>
      <c r="AB21" s="13">
        <v>6.92</v>
      </c>
      <c r="AC21" s="2">
        <v>0</v>
      </c>
      <c r="AD21" s="3">
        <v>0.18052000000000001</v>
      </c>
      <c r="AE21" s="13">
        <v>180.52</v>
      </c>
      <c r="AF21" s="2">
        <v>190</v>
      </c>
      <c r="AG21" s="3">
        <v>35</v>
      </c>
      <c r="AH21" s="3">
        <v>6.75</v>
      </c>
      <c r="AI21" s="13">
        <v>40</v>
      </c>
    </row>
    <row r="22" spans="1:35" x14ac:dyDescent="0.3">
      <c r="A22" s="1" t="s">
        <v>37</v>
      </c>
      <c r="B22">
        <v>0.25</v>
      </c>
      <c r="C22" t="s">
        <v>34</v>
      </c>
      <c r="D22" t="s">
        <v>45</v>
      </c>
      <c r="E22">
        <v>3</v>
      </c>
      <c r="F22" s="10">
        <v>45795.474999999999</v>
      </c>
      <c r="G22">
        <v>99.879050000000007</v>
      </c>
      <c r="H22" s="1">
        <v>75.742810000000006</v>
      </c>
      <c r="I22">
        <v>1.607</v>
      </c>
      <c r="J22">
        <v>1.6</v>
      </c>
      <c r="K22">
        <v>99.6</v>
      </c>
      <c r="L22">
        <v>15.91</v>
      </c>
      <c r="M22">
        <v>325</v>
      </c>
      <c r="N22">
        <v>1.65</v>
      </c>
      <c r="O22">
        <v>0.51</v>
      </c>
      <c r="P22">
        <v>6</v>
      </c>
      <c r="Q22">
        <v>0.91</v>
      </c>
      <c r="R22">
        <v>3.72</v>
      </c>
      <c r="S22">
        <v>0.34</v>
      </c>
      <c r="T22">
        <v>7.38</v>
      </c>
      <c r="U22">
        <v>26.6</v>
      </c>
      <c r="V22">
        <v>127.7</v>
      </c>
      <c r="W22">
        <v>4.99</v>
      </c>
      <c r="X22">
        <v>118.4</v>
      </c>
      <c r="Y22">
        <v>15.6</v>
      </c>
      <c r="Z22">
        <v>24.4</v>
      </c>
      <c r="AA22">
        <v>115.9</v>
      </c>
      <c r="AB22" s="12">
        <v>7.41</v>
      </c>
      <c r="AC22" s="1">
        <v>0</v>
      </c>
      <c r="AD22" s="32">
        <v>0.18056</v>
      </c>
      <c r="AE22" s="12">
        <v>180.56</v>
      </c>
      <c r="AF22" s="1">
        <v>190</v>
      </c>
      <c r="AG22">
        <v>35</v>
      </c>
      <c r="AH22">
        <v>7.45</v>
      </c>
      <c r="AI22" s="12">
        <v>40</v>
      </c>
    </row>
    <row r="23" spans="1:35" x14ac:dyDescent="0.3">
      <c r="A23" s="1" t="s">
        <v>38</v>
      </c>
      <c r="B23">
        <v>0.25</v>
      </c>
      <c r="C23" t="s">
        <v>34</v>
      </c>
      <c r="D23" t="s">
        <v>45</v>
      </c>
      <c r="E23">
        <v>3</v>
      </c>
      <c r="F23" s="10">
        <v>45795.479166666664</v>
      </c>
      <c r="G23">
        <v>99.879050000000007</v>
      </c>
      <c r="H23" s="1">
        <v>123.7766</v>
      </c>
      <c r="I23">
        <v>2.85</v>
      </c>
      <c r="J23">
        <v>2.8</v>
      </c>
      <c r="K23">
        <v>98.4</v>
      </c>
      <c r="L23">
        <v>15.4</v>
      </c>
      <c r="M23">
        <v>332</v>
      </c>
      <c r="N23">
        <v>2.4300000000000002</v>
      </c>
      <c r="O23">
        <v>0.51</v>
      </c>
      <c r="P23">
        <v>5.73</v>
      </c>
      <c r="Q23">
        <v>0.84</v>
      </c>
      <c r="R23">
        <v>4.04</v>
      </c>
      <c r="S23">
        <v>0.23</v>
      </c>
      <c r="T23">
        <v>6.9</v>
      </c>
      <c r="U23">
        <v>126.4</v>
      </c>
      <c r="V23">
        <v>85.3</v>
      </c>
      <c r="W23">
        <v>4.93</v>
      </c>
      <c r="X23">
        <v>120.8</v>
      </c>
      <c r="Y23">
        <v>25.5</v>
      </c>
      <c r="Z23">
        <v>132.1</v>
      </c>
      <c r="AA23">
        <v>91</v>
      </c>
      <c r="AB23" s="12">
        <v>6.89</v>
      </c>
      <c r="AC23" s="1">
        <v>0</v>
      </c>
      <c r="AD23" s="32">
        <v>0.17954000000000001</v>
      </c>
      <c r="AE23" s="12">
        <v>179.54</v>
      </c>
      <c r="AF23" s="1">
        <v>190</v>
      </c>
      <c r="AG23">
        <v>38</v>
      </c>
      <c r="AH23">
        <v>6.75</v>
      </c>
      <c r="AI23" s="12">
        <v>40</v>
      </c>
    </row>
    <row r="24" spans="1:35" x14ac:dyDescent="0.3">
      <c r="A24" s="1" t="s">
        <v>39</v>
      </c>
      <c r="B24">
        <v>0.25</v>
      </c>
      <c r="C24" t="s">
        <v>35</v>
      </c>
      <c r="D24" t="s">
        <v>45</v>
      </c>
      <c r="E24">
        <v>3</v>
      </c>
      <c r="F24" s="10">
        <v>45795.48333333333</v>
      </c>
      <c r="G24">
        <v>99.879050000000007</v>
      </c>
      <c r="H24" s="1">
        <v>124.846</v>
      </c>
      <c r="I24">
        <v>4</v>
      </c>
      <c r="J24">
        <v>3.99</v>
      </c>
      <c r="K24">
        <v>99.6</v>
      </c>
      <c r="L24">
        <v>15</v>
      </c>
      <c r="M24">
        <v>325</v>
      </c>
      <c r="N24">
        <v>2.2799999999999998</v>
      </c>
      <c r="O24">
        <v>0.52</v>
      </c>
      <c r="P24">
        <v>5.34</v>
      </c>
      <c r="Q24">
        <v>0.9</v>
      </c>
      <c r="R24">
        <v>3.99</v>
      </c>
      <c r="S24">
        <v>0.52</v>
      </c>
      <c r="T24">
        <v>7.17</v>
      </c>
      <c r="U24">
        <v>45.6</v>
      </c>
      <c r="V24">
        <v>85</v>
      </c>
      <c r="W24">
        <v>4.84</v>
      </c>
      <c r="X24">
        <v>121.1</v>
      </c>
      <c r="Y24">
        <v>16.5</v>
      </c>
      <c r="Z24">
        <v>44.6</v>
      </c>
      <c r="AA24">
        <v>82.3</v>
      </c>
      <c r="AB24" s="12">
        <v>7.17</v>
      </c>
      <c r="AC24" s="1">
        <v>0</v>
      </c>
      <c r="AD24" s="32">
        <v>0.18055000000000002</v>
      </c>
      <c r="AE24" s="12">
        <v>180.55</v>
      </c>
      <c r="AF24" s="1">
        <v>190</v>
      </c>
      <c r="AG24">
        <v>36.5</v>
      </c>
      <c r="AH24">
        <v>7.1</v>
      </c>
      <c r="AI24" s="12">
        <v>40</v>
      </c>
    </row>
    <row r="25" spans="1:35" x14ac:dyDescent="0.3">
      <c r="A25" s="1" t="s">
        <v>40</v>
      </c>
      <c r="B25">
        <v>0.25</v>
      </c>
      <c r="C25" t="s">
        <v>35</v>
      </c>
      <c r="D25" t="s">
        <v>45</v>
      </c>
      <c r="E25">
        <v>3</v>
      </c>
      <c r="F25" s="10">
        <v>45795.488194444442</v>
      </c>
      <c r="G25">
        <v>99.879050000000007</v>
      </c>
      <c r="H25" s="1">
        <v>124.61579999999999</v>
      </c>
      <c r="I25">
        <v>4.04</v>
      </c>
      <c r="J25">
        <v>4.0199999999999996</v>
      </c>
      <c r="K25">
        <v>99.5</v>
      </c>
      <c r="L25">
        <v>15.04</v>
      </c>
      <c r="M25">
        <v>324</v>
      </c>
      <c r="N25">
        <v>2.2799999999999998</v>
      </c>
      <c r="O25">
        <v>0.51</v>
      </c>
      <c r="P25">
        <v>5.25</v>
      </c>
      <c r="Q25">
        <v>0.88</v>
      </c>
      <c r="R25">
        <v>3.93</v>
      </c>
      <c r="S25">
        <v>0.52</v>
      </c>
      <c r="T25">
        <v>7.18</v>
      </c>
      <c r="U25">
        <v>43.6</v>
      </c>
      <c r="V25">
        <v>80.2</v>
      </c>
      <c r="W25">
        <v>4.74</v>
      </c>
      <c r="X25">
        <v>119.7</v>
      </c>
      <c r="Y25">
        <v>16.3</v>
      </c>
      <c r="Z25">
        <v>42.7</v>
      </c>
      <c r="AA25">
        <v>77.599999999999994</v>
      </c>
      <c r="AB25" s="12">
        <v>7.19</v>
      </c>
      <c r="AC25" s="1">
        <v>0</v>
      </c>
      <c r="AD25" s="32">
        <v>0.17956999999999998</v>
      </c>
      <c r="AE25" s="12">
        <v>179.57</v>
      </c>
      <c r="AF25" s="1">
        <v>190</v>
      </c>
      <c r="AG25">
        <v>36.5</v>
      </c>
      <c r="AH25">
        <v>7.1</v>
      </c>
      <c r="AI25" s="12">
        <v>40</v>
      </c>
    </row>
    <row r="26" spans="1:35" ht="15" thickBot="1" x14ac:dyDescent="0.35">
      <c r="A26" s="4" t="s">
        <v>41</v>
      </c>
      <c r="B26" s="5">
        <v>0.25</v>
      </c>
      <c r="C26" s="5" t="s">
        <v>35</v>
      </c>
      <c r="D26" s="5" t="s">
        <v>45</v>
      </c>
      <c r="E26" s="5">
        <v>3</v>
      </c>
      <c r="F26" s="11">
        <v>45795.491666666669</v>
      </c>
      <c r="G26" s="5">
        <v>99.879050000000007</v>
      </c>
      <c r="H26" s="4">
        <v>144.9469</v>
      </c>
      <c r="I26" s="5">
        <v>3.4554999999999998</v>
      </c>
      <c r="J26" s="5">
        <v>3.4489999999999998</v>
      </c>
      <c r="K26" s="5">
        <v>99.8</v>
      </c>
      <c r="L26" s="5">
        <v>15.74</v>
      </c>
      <c r="M26" s="5">
        <v>325</v>
      </c>
      <c r="N26" s="5">
        <v>2.37</v>
      </c>
      <c r="O26" s="5">
        <v>0.51</v>
      </c>
      <c r="P26" s="5">
        <v>5.33</v>
      </c>
      <c r="Q26" s="5">
        <v>0.9</v>
      </c>
      <c r="R26" s="5">
        <v>3.94</v>
      </c>
      <c r="S26" s="5">
        <v>0.45</v>
      </c>
      <c r="T26" s="5">
        <v>7.31</v>
      </c>
      <c r="U26" s="5">
        <v>32.200000000000003</v>
      </c>
      <c r="V26" s="5">
        <v>90.7</v>
      </c>
      <c r="W26" s="5">
        <v>4.8099999999999996</v>
      </c>
      <c r="X26" s="5">
        <v>120.1</v>
      </c>
      <c r="Y26" s="5">
        <v>15.8</v>
      </c>
      <c r="Z26" s="5">
        <v>29.5</v>
      </c>
      <c r="AA26" s="5">
        <v>80</v>
      </c>
      <c r="AB26" s="14">
        <v>7.33</v>
      </c>
      <c r="AC26" s="4">
        <v>0</v>
      </c>
      <c r="AD26" s="5">
        <v>0.18056</v>
      </c>
      <c r="AE26" s="14">
        <v>180.56</v>
      </c>
      <c r="AF26" s="4">
        <v>190</v>
      </c>
      <c r="AG26" s="5">
        <v>35</v>
      </c>
      <c r="AH26" s="5">
        <v>7.45</v>
      </c>
      <c r="AI26" s="14">
        <v>40</v>
      </c>
    </row>
    <row r="27" spans="1:35" x14ac:dyDescent="0.3">
      <c r="A27" s="1" t="s">
        <v>36</v>
      </c>
      <c r="B27">
        <v>0.25</v>
      </c>
      <c r="C27" t="s">
        <v>34</v>
      </c>
      <c r="D27" t="s">
        <v>45</v>
      </c>
      <c r="E27">
        <v>4</v>
      </c>
      <c r="F27" s="10">
        <v>45796.477083333331</v>
      </c>
      <c r="G27">
        <v>199.21946666666668</v>
      </c>
      <c r="H27" s="1">
        <v>142.5855</v>
      </c>
      <c r="I27">
        <v>2.4203000000000001</v>
      </c>
      <c r="J27">
        <v>2.3256000000000001</v>
      </c>
      <c r="K27">
        <v>96.1</v>
      </c>
      <c r="L27">
        <v>15.41</v>
      </c>
      <c r="M27">
        <v>365</v>
      </c>
      <c r="N27">
        <v>2.81</v>
      </c>
      <c r="O27">
        <v>0.49</v>
      </c>
      <c r="P27">
        <v>5.69</v>
      </c>
      <c r="Q27">
        <v>1.07</v>
      </c>
      <c r="R27">
        <v>4.33</v>
      </c>
      <c r="S27">
        <v>0.21</v>
      </c>
      <c r="T27">
        <v>6.87</v>
      </c>
      <c r="U27">
        <v>153.80000000000001</v>
      </c>
      <c r="V27">
        <v>93.7</v>
      </c>
      <c r="W27">
        <v>6.64</v>
      </c>
      <c r="X27">
        <v>130.4</v>
      </c>
      <c r="Y27">
        <v>27.2</v>
      </c>
      <c r="Z27">
        <v>140.9</v>
      </c>
      <c r="AA27">
        <v>82.9</v>
      </c>
      <c r="AB27" s="12">
        <v>6.89</v>
      </c>
      <c r="AC27" s="1">
        <v>7.6</v>
      </c>
      <c r="AD27" s="32">
        <v>0.1835</v>
      </c>
      <c r="AE27" s="12">
        <v>183.5</v>
      </c>
      <c r="AF27" s="1">
        <v>190</v>
      </c>
      <c r="AG27">
        <v>35</v>
      </c>
      <c r="AH27">
        <v>6.75</v>
      </c>
      <c r="AI27" s="12">
        <v>40</v>
      </c>
    </row>
    <row r="28" spans="1:35" x14ac:dyDescent="0.3">
      <c r="A28" s="1" t="s">
        <v>37</v>
      </c>
      <c r="B28">
        <v>0.25</v>
      </c>
      <c r="C28" t="s">
        <v>34</v>
      </c>
      <c r="D28" t="s">
        <v>45</v>
      </c>
      <c r="E28">
        <v>4</v>
      </c>
      <c r="F28" s="10">
        <v>45796.482638888891</v>
      </c>
      <c r="G28">
        <v>199.21946666666668</v>
      </c>
      <c r="H28" s="1">
        <v>119.2396</v>
      </c>
      <c r="I28">
        <v>2.7002000000000002</v>
      </c>
      <c r="J28">
        <v>2.6888000000000001</v>
      </c>
      <c r="K28">
        <v>99.6</v>
      </c>
      <c r="L28">
        <v>15.61</v>
      </c>
      <c r="M28">
        <v>326</v>
      </c>
      <c r="N28">
        <v>2.3199999999999998</v>
      </c>
      <c r="O28">
        <v>0.52</v>
      </c>
      <c r="P28">
        <v>5.62</v>
      </c>
      <c r="Q28">
        <v>0.89</v>
      </c>
      <c r="R28">
        <v>4</v>
      </c>
      <c r="S28">
        <v>0.41</v>
      </c>
      <c r="T28">
        <v>7.34</v>
      </c>
      <c r="U28">
        <v>28.5</v>
      </c>
      <c r="V28">
        <v>110.5</v>
      </c>
      <c r="W28">
        <v>4.95</v>
      </c>
      <c r="X28">
        <v>120.8</v>
      </c>
      <c r="Y28">
        <v>15.2</v>
      </c>
      <c r="Z28">
        <v>26.1</v>
      </c>
      <c r="AA28">
        <v>98.9</v>
      </c>
      <c r="AB28" s="12">
        <v>7.37</v>
      </c>
      <c r="AC28" s="1">
        <v>11.4</v>
      </c>
      <c r="AD28" s="32">
        <v>0.17596000000000001</v>
      </c>
      <c r="AE28" s="12">
        <v>175.96</v>
      </c>
      <c r="AF28" s="1">
        <v>190</v>
      </c>
      <c r="AG28">
        <v>35</v>
      </c>
      <c r="AH28">
        <v>7.45</v>
      </c>
      <c r="AI28" s="12">
        <v>40</v>
      </c>
    </row>
    <row r="29" spans="1:35" x14ac:dyDescent="0.3">
      <c r="A29" s="1" t="s">
        <v>38</v>
      </c>
      <c r="B29">
        <v>0.25</v>
      </c>
      <c r="C29" t="s">
        <v>34</v>
      </c>
      <c r="D29" t="s">
        <v>45</v>
      </c>
      <c r="E29">
        <v>4</v>
      </c>
      <c r="F29" s="10">
        <v>45796.487500000003</v>
      </c>
      <c r="G29">
        <v>199.21946666666668</v>
      </c>
      <c r="H29" s="1">
        <v>160.7569</v>
      </c>
      <c r="I29">
        <v>3.4782999999999999</v>
      </c>
      <c r="J29">
        <v>3.3849999999999998</v>
      </c>
      <c r="K29">
        <v>97.3</v>
      </c>
      <c r="L29">
        <v>15.58</v>
      </c>
      <c r="M29">
        <v>378</v>
      </c>
      <c r="N29">
        <v>4.28</v>
      </c>
      <c r="O29">
        <v>0.48</v>
      </c>
      <c r="P29">
        <v>5.01</v>
      </c>
      <c r="Q29">
        <v>1.1000000000000001</v>
      </c>
      <c r="R29">
        <v>5.0999999999999996</v>
      </c>
      <c r="S29">
        <v>0.23</v>
      </c>
      <c r="T29">
        <v>6.86</v>
      </c>
      <c r="U29">
        <v>148.30000000000001</v>
      </c>
      <c r="V29">
        <v>84.2</v>
      </c>
      <c r="W29">
        <v>7.28</v>
      </c>
      <c r="X29">
        <v>135.19999999999999</v>
      </c>
      <c r="Y29">
        <v>27.3</v>
      </c>
      <c r="Z29">
        <v>154.9</v>
      </c>
      <c r="AA29">
        <v>89.8</v>
      </c>
      <c r="AB29" s="12">
        <v>6.85</v>
      </c>
      <c r="AC29" s="1">
        <v>11.4</v>
      </c>
      <c r="AD29" s="32">
        <v>0.18633000000000002</v>
      </c>
      <c r="AE29" s="12">
        <v>186.33</v>
      </c>
      <c r="AF29" s="1">
        <v>190</v>
      </c>
      <c r="AG29">
        <v>38</v>
      </c>
      <c r="AH29">
        <v>6.75</v>
      </c>
      <c r="AI29" s="12">
        <v>40</v>
      </c>
    </row>
    <row r="30" spans="1:35" x14ac:dyDescent="0.3">
      <c r="A30" s="1" t="s">
        <v>39</v>
      </c>
      <c r="B30">
        <v>0.25</v>
      </c>
      <c r="C30" t="s">
        <v>35</v>
      </c>
      <c r="D30" t="s">
        <v>45</v>
      </c>
      <c r="E30">
        <v>4</v>
      </c>
      <c r="F30" s="10">
        <v>45796.491666666669</v>
      </c>
      <c r="G30">
        <v>199.21946666666668</v>
      </c>
      <c r="H30" s="1">
        <v>220.3295</v>
      </c>
      <c r="I30">
        <v>6.7678000000000003</v>
      </c>
      <c r="J30">
        <v>6.7449000000000003</v>
      </c>
      <c r="K30">
        <v>99.7</v>
      </c>
      <c r="L30">
        <v>14.94</v>
      </c>
      <c r="M30">
        <v>311</v>
      </c>
      <c r="N30">
        <v>3.07</v>
      </c>
      <c r="O30">
        <v>0.51</v>
      </c>
      <c r="P30">
        <v>4.08</v>
      </c>
      <c r="Q30">
        <v>0.77</v>
      </c>
      <c r="R30">
        <v>4.32</v>
      </c>
      <c r="S30">
        <v>0.69</v>
      </c>
      <c r="T30">
        <v>7.16</v>
      </c>
      <c r="U30">
        <v>36</v>
      </c>
      <c r="V30">
        <v>63</v>
      </c>
      <c r="W30">
        <v>4.45</v>
      </c>
      <c r="X30">
        <v>121.4</v>
      </c>
      <c r="Y30">
        <v>12.8</v>
      </c>
      <c r="Z30">
        <v>35.200000000000003</v>
      </c>
      <c r="AA30">
        <v>60.9</v>
      </c>
      <c r="AB30" s="12">
        <v>7.16</v>
      </c>
      <c r="AC30" s="1">
        <v>9.5</v>
      </c>
      <c r="AD30" s="32">
        <v>0.17593999999999999</v>
      </c>
      <c r="AE30" s="12">
        <v>175.94</v>
      </c>
      <c r="AF30" s="1">
        <v>190</v>
      </c>
      <c r="AG30">
        <v>36.5</v>
      </c>
      <c r="AH30">
        <v>7.1</v>
      </c>
      <c r="AI30" s="12">
        <v>40</v>
      </c>
    </row>
    <row r="31" spans="1:35" x14ac:dyDescent="0.3">
      <c r="A31" s="1" t="s">
        <v>40</v>
      </c>
      <c r="B31">
        <v>0.25</v>
      </c>
      <c r="C31" t="s">
        <v>35</v>
      </c>
      <c r="D31" t="s">
        <v>45</v>
      </c>
      <c r="E31">
        <v>4</v>
      </c>
      <c r="F31" s="10">
        <v>45796.496527777781</v>
      </c>
      <c r="G31">
        <v>199.21946666666668</v>
      </c>
      <c r="H31" s="1">
        <v>237.8022</v>
      </c>
      <c r="I31">
        <v>6.7835999999999999</v>
      </c>
      <c r="J31">
        <v>6.7584999999999997</v>
      </c>
      <c r="K31">
        <v>99.6</v>
      </c>
      <c r="L31">
        <v>14.92</v>
      </c>
      <c r="M31">
        <v>313</v>
      </c>
      <c r="N31">
        <v>3.04</v>
      </c>
      <c r="O31">
        <v>0.51</v>
      </c>
      <c r="P31">
        <v>3.96</v>
      </c>
      <c r="Q31">
        <v>0.75</v>
      </c>
      <c r="R31">
        <v>4.29</v>
      </c>
      <c r="S31">
        <v>0.7</v>
      </c>
      <c r="T31">
        <v>7.17</v>
      </c>
      <c r="U31">
        <v>38.200000000000003</v>
      </c>
      <c r="V31">
        <v>81.2</v>
      </c>
      <c r="W31">
        <v>4.34</v>
      </c>
      <c r="X31">
        <v>119.7</v>
      </c>
      <c r="Y31">
        <v>13.9</v>
      </c>
      <c r="Z31">
        <v>37.4</v>
      </c>
      <c r="AA31">
        <v>78.599999999999994</v>
      </c>
      <c r="AB31" s="12">
        <v>7.18</v>
      </c>
      <c r="AC31" s="1">
        <v>9.5</v>
      </c>
      <c r="AD31" s="32">
        <v>0.17496999999999999</v>
      </c>
      <c r="AE31" s="12">
        <v>174.97</v>
      </c>
      <c r="AF31" s="1">
        <v>190</v>
      </c>
      <c r="AG31">
        <v>36.5</v>
      </c>
      <c r="AH31">
        <v>7.1</v>
      </c>
      <c r="AI31" s="12">
        <v>40</v>
      </c>
    </row>
    <row r="32" spans="1:35" ht="15" thickBot="1" x14ac:dyDescent="0.35">
      <c r="A32" s="1" t="s">
        <v>41</v>
      </c>
      <c r="B32">
        <v>0.25</v>
      </c>
      <c r="C32" t="s">
        <v>35</v>
      </c>
      <c r="D32" t="s">
        <v>45</v>
      </c>
      <c r="E32">
        <v>4</v>
      </c>
      <c r="F32" s="10">
        <v>45796.500694444447</v>
      </c>
      <c r="G32">
        <v>199.21946666666668</v>
      </c>
      <c r="H32" s="1">
        <v>234.4794</v>
      </c>
      <c r="I32">
        <v>5.5548000000000002</v>
      </c>
      <c r="J32">
        <v>5.5404999999999998</v>
      </c>
      <c r="K32">
        <v>99.7</v>
      </c>
      <c r="L32">
        <v>15.53</v>
      </c>
      <c r="M32">
        <v>319</v>
      </c>
      <c r="N32">
        <v>3.2</v>
      </c>
      <c r="O32">
        <v>0.52</v>
      </c>
      <c r="P32">
        <v>4.57</v>
      </c>
      <c r="Q32">
        <v>0.83</v>
      </c>
      <c r="R32">
        <v>4.24</v>
      </c>
      <c r="S32">
        <v>0.52</v>
      </c>
      <c r="T32">
        <v>7.24</v>
      </c>
      <c r="U32">
        <v>37.1</v>
      </c>
      <c r="V32">
        <v>76.2</v>
      </c>
      <c r="W32">
        <v>4.6399999999999997</v>
      </c>
      <c r="X32">
        <v>123.2</v>
      </c>
      <c r="Y32">
        <v>15.7</v>
      </c>
      <c r="Z32">
        <v>34</v>
      </c>
      <c r="AA32">
        <v>66.7</v>
      </c>
      <c r="AB32" s="12">
        <v>7.27</v>
      </c>
      <c r="AC32" s="1">
        <v>7.6</v>
      </c>
      <c r="AD32" s="32">
        <v>0.17595</v>
      </c>
      <c r="AE32" s="12">
        <v>175.95</v>
      </c>
      <c r="AF32" s="1">
        <v>190</v>
      </c>
      <c r="AG32">
        <v>35</v>
      </c>
      <c r="AH32">
        <v>7.45</v>
      </c>
      <c r="AI32" s="12">
        <v>40</v>
      </c>
    </row>
    <row r="33" spans="1:35" x14ac:dyDescent="0.3">
      <c r="A33" s="2" t="s">
        <v>36</v>
      </c>
      <c r="B33" s="3">
        <v>0.25</v>
      </c>
      <c r="C33" s="3" t="s">
        <v>34</v>
      </c>
      <c r="D33" s="3" t="s">
        <v>45</v>
      </c>
      <c r="E33" s="3">
        <v>5</v>
      </c>
      <c r="F33" s="9">
        <v>45797.473611111112</v>
      </c>
      <c r="G33" s="3">
        <v>333.67943333333329</v>
      </c>
      <c r="H33" s="2">
        <v>205.16579999999999</v>
      </c>
      <c r="I33" s="3">
        <v>2.9786999999999999</v>
      </c>
      <c r="J33" s="3">
        <v>2.8409</v>
      </c>
      <c r="K33" s="3">
        <v>95.4</v>
      </c>
      <c r="L33" s="3">
        <v>15.6</v>
      </c>
      <c r="M33" s="3">
        <v>365</v>
      </c>
      <c r="N33" s="3">
        <v>3.6</v>
      </c>
      <c r="O33" s="3">
        <v>0.48</v>
      </c>
      <c r="P33" s="3">
        <v>5.36</v>
      </c>
      <c r="Q33" s="3">
        <v>1.1000000000000001</v>
      </c>
      <c r="R33" s="3">
        <v>4.49</v>
      </c>
      <c r="S33" s="3">
        <v>0.21</v>
      </c>
      <c r="T33" s="3">
        <v>6.83</v>
      </c>
      <c r="U33" s="3">
        <v>179.2</v>
      </c>
      <c r="V33" s="3">
        <v>89.1</v>
      </c>
      <c r="W33" s="3">
        <v>6.61</v>
      </c>
      <c r="X33" s="3">
        <v>130.80000000000001</v>
      </c>
      <c r="Y33" s="3">
        <v>28.9</v>
      </c>
      <c r="Z33" s="3">
        <v>164.4</v>
      </c>
      <c r="AA33" s="3">
        <v>78.7</v>
      </c>
      <c r="AB33" s="13">
        <v>6.85</v>
      </c>
      <c r="AC33" s="2">
        <v>0</v>
      </c>
      <c r="AD33" s="3">
        <v>0.18068999999999999</v>
      </c>
      <c r="AE33" s="13">
        <v>180.69</v>
      </c>
      <c r="AF33" s="2">
        <v>190</v>
      </c>
      <c r="AG33" s="3">
        <v>35</v>
      </c>
      <c r="AH33" s="3">
        <v>6.75</v>
      </c>
      <c r="AI33" s="13">
        <v>40</v>
      </c>
    </row>
    <row r="34" spans="1:35" x14ac:dyDescent="0.3">
      <c r="A34" s="1" t="s">
        <v>37</v>
      </c>
      <c r="B34">
        <v>0.25</v>
      </c>
      <c r="C34" t="s">
        <v>34</v>
      </c>
      <c r="D34" t="s">
        <v>45</v>
      </c>
      <c r="E34">
        <v>5</v>
      </c>
      <c r="F34" s="10">
        <v>45797.477777777778</v>
      </c>
      <c r="G34">
        <v>333.67943333333329</v>
      </c>
      <c r="H34" s="1">
        <v>187.7602</v>
      </c>
      <c r="I34">
        <v>4.3503999999999996</v>
      </c>
      <c r="J34">
        <v>4.3296000000000001</v>
      </c>
      <c r="K34">
        <v>99.5</v>
      </c>
      <c r="L34">
        <v>15.58</v>
      </c>
      <c r="M34">
        <v>369</v>
      </c>
      <c r="N34">
        <v>3.92</v>
      </c>
      <c r="O34">
        <v>0.47</v>
      </c>
      <c r="P34">
        <v>4.5199999999999996</v>
      </c>
      <c r="Q34">
        <v>1.1299999999999999</v>
      </c>
      <c r="R34">
        <v>4.97</v>
      </c>
      <c r="S34">
        <v>0.56999999999999995</v>
      </c>
      <c r="T34">
        <v>7.22</v>
      </c>
      <c r="U34">
        <v>37.9</v>
      </c>
      <c r="V34">
        <v>90.2</v>
      </c>
      <c r="W34">
        <v>7.02</v>
      </c>
      <c r="X34">
        <v>134.80000000000001</v>
      </c>
      <c r="Y34">
        <v>15.1</v>
      </c>
      <c r="Z34">
        <v>34.700000000000003</v>
      </c>
      <c r="AA34">
        <v>79.599999999999994</v>
      </c>
      <c r="AB34" s="12">
        <v>7.24</v>
      </c>
      <c r="AC34" s="1">
        <v>0</v>
      </c>
      <c r="AD34" s="32">
        <v>0.18506999999999998</v>
      </c>
      <c r="AE34" s="12">
        <v>185.07</v>
      </c>
      <c r="AF34" s="1">
        <v>190</v>
      </c>
      <c r="AG34">
        <v>35</v>
      </c>
      <c r="AH34">
        <v>7.45</v>
      </c>
      <c r="AI34" s="12">
        <v>40</v>
      </c>
    </row>
    <row r="35" spans="1:35" x14ac:dyDescent="0.3">
      <c r="A35" s="1" t="s">
        <v>38</v>
      </c>
      <c r="B35">
        <v>0.25</v>
      </c>
      <c r="C35" t="s">
        <v>34</v>
      </c>
      <c r="D35" t="s">
        <v>45</v>
      </c>
      <c r="E35">
        <v>5</v>
      </c>
      <c r="F35" s="10">
        <v>45797.481944444444</v>
      </c>
      <c r="G35">
        <v>333.67943333333329</v>
      </c>
      <c r="H35" s="1">
        <v>239.9847</v>
      </c>
      <c r="I35">
        <v>4.4451000000000001</v>
      </c>
      <c r="J35">
        <v>4.2713999999999999</v>
      </c>
      <c r="K35">
        <v>96.1</v>
      </c>
      <c r="L35">
        <v>15.75</v>
      </c>
      <c r="M35">
        <v>375</v>
      </c>
      <c r="N35">
        <v>5.5</v>
      </c>
      <c r="O35">
        <v>0.47</v>
      </c>
      <c r="P35">
        <v>4.25</v>
      </c>
      <c r="Q35">
        <v>1.19</v>
      </c>
      <c r="R35">
        <v>5.36</v>
      </c>
      <c r="S35">
        <v>0.23</v>
      </c>
      <c r="T35">
        <v>6.89</v>
      </c>
      <c r="U35">
        <v>147</v>
      </c>
      <c r="V35">
        <v>83.9</v>
      </c>
      <c r="W35">
        <v>7.12</v>
      </c>
      <c r="X35">
        <v>134.1</v>
      </c>
      <c r="Y35">
        <v>28.6</v>
      </c>
      <c r="Z35">
        <v>153.5</v>
      </c>
      <c r="AA35">
        <v>89.5</v>
      </c>
      <c r="AB35" s="12">
        <v>6.88</v>
      </c>
      <c r="AC35" s="1">
        <v>0</v>
      </c>
      <c r="AD35" s="32">
        <v>0.18350999999999998</v>
      </c>
      <c r="AE35" s="12">
        <v>183.51</v>
      </c>
      <c r="AF35" s="1">
        <v>190</v>
      </c>
      <c r="AG35">
        <v>38</v>
      </c>
      <c r="AH35">
        <v>6.75</v>
      </c>
      <c r="AI35" s="12">
        <v>40</v>
      </c>
    </row>
    <row r="36" spans="1:35" x14ac:dyDescent="0.3">
      <c r="A36" s="1" t="s">
        <v>39</v>
      </c>
      <c r="B36">
        <v>0.25</v>
      </c>
      <c r="C36" t="s">
        <v>35</v>
      </c>
      <c r="D36" t="s">
        <v>45</v>
      </c>
      <c r="E36">
        <v>5</v>
      </c>
      <c r="F36" s="10">
        <v>45797.486805555556</v>
      </c>
      <c r="G36">
        <v>333.67943333333329</v>
      </c>
      <c r="H36" s="1">
        <v>410.14690000000002</v>
      </c>
      <c r="I36">
        <v>10.228199999999999</v>
      </c>
      <c r="J36">
        <v>10.1708</v>
      </c>
      <c r="K36">
        <v>99.4</v>
      </c>
      <c r="L36">
        <v>14.8</v>
      </c>
      <c r="M36">
        <v>339</v>
      </c>
      <c r="N36">
        <v>4.37</v>
      </c>
      <c r="O36">
        <v>0.46</v>
      </c>
      <c r="P36">
        <v>2.17</v>
      </c>
      <c r="Q36">
        <v>0.92</v>
      </c>
      <c r="R36">
        <v>5.14</v>
      </c>
      <c r="S36">
        <v>0.8</v>
      </c>
      <c r="T36">
        <v>6.99</v>
      </c>
      <c r="U36">
        <v>41.5</v>
      </c>
      <c r="V36">
        <v>69.7</v>
      </c>
      <c r="W36">
        <v>5.86</v>
      </c>
      <c r="X36">
        <v>129.4</v>
      </c>
      <c r="Y36">
        <v>10</v>
      </c>
      <c r="Z36">
        <v>40.6</v>
      </c>
      <c r="AA36">
        <v>67.400000000000006</v>
      </c>
      <c r="AB36" s="12">
        <v>6.99</v>
      </c>
      <c r="AC36" s="1">
        <v>0</v>
      </c>
      <c r="AD36" s="32">
        <v>0.18264</v>
      </c>
      <c r="AE36" s="12">
        <v>182.64</v>
      </c>
      <c r="AF36" s="1">
        <v>190</v>
      </c>
      <c r="AG36">
        <v>36.5</v>
      </c>
      <c r="AH36">
        <v>7.1</v>
      </c>
      <c r="AI36" s="12">
        <v>40</v>
      </c>
    </row>
    <row r="37" spans="1:35" x14ac:dyDescent="0.3">
      <c r="A37" s="1" t="s">
        <v>40</v>
      </c>
      <c r="B37">
        <v>0.25</v>
      </c>
      <c r="C37" t="s">
        <v>35</v>
      </c>
      <c r="D37" t="s">
        <v>45</v>
      </c>
      <c r="E37">
        <v>5</v>
      </c>
      <c r="F37" s="10">
        <v>45797.490972222222</v>
      </c>
      <c r="G37">
        <v>333.67943333333329</v>
      </c>
      <c r="H37" s="1">
        <v>413.64940000000001</v>
      </c>
      <c r="I37">
        <v>10.132</v>
      </c>
      <c r="J37">
        <v>10.0502</v>
      </c>
      <c r="K37">
        <v>99.2</v>
      </c>
      <c r="L37">
        <v>14.74</v>
      </c>
      <c r="M37">
        <v>348</v>
      </c>
      <c r="N37">
        <v>4.41</v>
      </c>
      <c r="O37">
        <v>0.46</v>
      </c>
      <c r="P37">
        <v>4.2300000000000004</v>
      </c>
      <c r="Q37">
        <v>0.91</v>
      </c>
      <c r="R37">
        <v>5.09</v>
      </c>
      <c r="S37">
        <v>0.84</v>
      </c>
      <c r="T37">
        <v>6.96</v>
      </c>
      <c r="U37">
        <v>40.9</v>
      </c>
      <c r="V37">
        <v>74.8</v>
      </c>
      <c r="W37">
        <v>5.81</v>
      </c>
      <c r="X37">
        <v>128.9</v>
      </c>
      <c r="Y37">
        <v>9.3000000000000007</v>
      </c>
      <c r="Z37">
        <v>40.1</v>
      </c>
      <c r="AA37">
        <v>72.400000000000006</v>
      </c>
      <c r="AB37" s="12">
        <v>6.97</v>
      </c>
      <c r="AC37" s="1">
        <v>0</v>
      </c>
      <c r="AD37" s="32">
        <v>0.18261000000000002</v>
      </c>
      <c r="AE37" s="12">
        <v>182.61</v>
      </c>
      <c r="AF37" s="1">
        <v>190</v>
      </c>
      <c r="AG37">
        <v>36.5</v>
      </c>
      <c r="AH37">
        <v>7.1</v>
      </c>
      <c r="AI37" s="12">
        <v>40</v>
      </c>
    </row>
    <row r="38" spans="1:35" ht="15" thickBot="1" x14ac:dyDescent="0.35">
      <c r="A38" s="4" t="s">
        <v>41</v>
      </c>
      <c r="B38" s="5">
        <v>0.25</v>
      </c>
      <c r="C38" s="5" t="s">
        <v>35</v>
      </c>
      <c r="D38" s="5" t="s">
        <v>45</v>
      </c>
      <c r="E38" s="5">
        <v>5</v>
      </c>
      <c r="F38" s="11">
        <v>45797.495138888888</v>
      </c>
      <c r="G38" s="5">
        <v>333.67943333333329</v>
      </c>
      <c r="H38" s="4">
        <v>398.30259999999998</v>
      </c>
      <c r="I38" s="5">
        <v>7.6313000000000004</v>
      </c>
      <c r="J38" s="5">
        <v>7.6032999999999999</v>
      </c>
      <c r="K38" s="5">
        <v>99.6</v>
      </c>
      <c r="L38" s="5">
        <v>15.58</v>
      </c>
      <c r="M38" s="5">
        <v>352</v>
      </c>
      <c r="N38" s="5">
        <v>4.1100000000000003</v>
      </c>
      <c r="O38" s="5">
        <v>0.46</v>
      </c>
      <c r="P38" s="5">
        <v>2.8</v>
      </c>
      <c r="Q38" s="5">
        <v>0.93</v>
      </c>
      <c r="R38" s="5">
        <v>4.83</v>
      </c>
      <c r="S38" s="5">
        <v>0.75</v>
      </c>
      <c r="T38" s="5">
        <v>7.23</v>
      </c>
      <c r="U38" s="5">
        <v>49.6</v>
      </c>
      <c r="V38" s="5">
        <v>78</v>
      </c>
      <c r="W38" s="5">
        <v>5.7</v>
      </c>
      <c r="X38" s="5">
        <v>135.80000000000001</v>
      </c>
      <c r="Y38" s="5">
        <v>20.6</v>
      </c>
      <c r="Z38" s="5">
        <v>45.4</v>
      </c>
      <c r="AA38" s="5">
        <v>68.3</v>
      </c>
      <c r="AB38" s="14">
        <v>7.26</v>
      </c>
      <c r="AC38" s="4">
        <v>0</v>
      </c>
      <c r="AD38" s="5">
        <v>0.18250999999999998</v>
      </c>
      <c r="AE38" s="14">
        <v>182.51</v>
      </c>
      <c r="AF38" s="4">
        <v>190</v>
      </c>
      <c r="AG38" s="5">
        <v>35</v>
      </c>
      <c r="AH38" s="5">
        <v>7.45</v>
      </c>
      <c r="AI38" s="14">
        <v>40</v>
      </c>
    </row>
    <row r="39" spans="1:35" x14ac:dyDescent="0.3">
      <c r="A39" s="1" t="s">
        <v>36</v>
      </c>
      <c r="B39">
        <v>0.25</v>
      </c>
      <c r="C39" t="s">
        <v>34</v>
      </c>
      <c r="D39" t="s">
        <v>45</v>
      </c>
      <c r="E39">
        <v>6</v>
      </c>
      <c r="F39" s="10">
        <v>45798.454861111109</v>
      </c>
      <c r="G39">
        <v>581.69326666666666</v>
      </c>
      <c r="H39" s="1">
        <v>275.41230000000002</v>
      </c>
      <c r="I39">
        <v>3.4653999999999998</v>
      </c>
      <c r="J39">
        <v>3.2852000000000001</v>
      </c>
      <c r="K39">
        <v>94.8</v>
      </c>
      <c r="L39">
        <v>15.5</v>
      </c>
      <c r="M39">
        <v>392</v>
      </c>
      <c r="N39">
        <v>4.8600000000000003</v>
      </c>
      <c r="O39">
        <v>0.45</v>
      </c>
      <c r="P39">
        <v>4.75</v>
      </c>
      <c r="Q39">
        <v>1.32</v>
      </c>
      <c r="R39">
        <v>5.0999999999999996</v>
      </c>
      <c r="S39">
        <v>0.21</v>
      </c>
      <c r="T39">
        <v>6.85</v>
      </c>
      <c r="U39">
        <v>167.5</v>
      </c>
      <c r="V39">
        <v>86.4</v>
      </c>
      <c r="W39">
        <v>7.99</v>
      </c>
      <c r="X39">
        <v>136.80000000000001</v>
      </c>
      <c r="Y39">
        <v>28.2</v>
      </c>
      <c r="Z39">
        <v>153.30000000000001</v>
      </c>
      <c r="AA39">
        <v>75.900000000000006</v>
      </c>
      <c r="AB39" s="12">
        <v>6.87</v>
      </c>
      <c r="AC39" s="1">
        <v>7.6</v>
      </c>
      <c r="AD39" s="32">
        <v>0.18727000000000002</v>
      </c>
      <c r="AE39" s="12">
        <v>187.27</v>
      </c>
      <c r="AF39" s="1">
        <v>190</v>
      </c>
      <c r="AG39">
        <v>35</v>
      </c>
      <c r="AH39">
        <v>6.75</v>
      </c>
      <c r="AI39" s="12">
        <v>40</v>
      </c>
    </row>
    <row r="40" spans="1:35" x14ac:dyDescent="0.3">
      <c r="A40" s="1" t="s">
        <v>37</v>
      </c>
      <c r="B40">
        <v>0.25</v>
      </c>
      <c r="C40" t="s">
        <v>34</v>
      </c>
      <c r="D40" t="s">
        <v>45</v>
      </c>
      <c r="E40">
        <v>6</v>
      </c>
      <c r="F40" s="10">
        <v>45798.459027777775</v>
      </c>
      <c r="G40">
        <v>581.69326666666666</v>
      </c>
      <c r="H40" s="1">
        <v>337.2407</v>
      </c>
      <c r="I40">
        <v>5.8383000000000003</v>
      </c>
      <c r="J40">
        <v>5.8217999999999996</v>
      </c>
      <c r="K40">
        <v>99.7</v>
      </c>
      <c r="L40">
        <v>15.87</v>
      </c>
      <c r="M40">
        <v>374</v>
      </c>
      <c r="N40">
        <v>4.66</v>
      </c>
      <c r="O40">
        <v>0.45</v>
      </c>
      <c r="P40">
        <v>3.05</v>
      </c>
      <c r="Q40">
        <v>1.1100000000000001</v>
      </c>
      <c r="R40">
        <v>5.23</v>
      </c>
      <c r="S40">
        <v>0.96</v>
      </c>
      <c r="T40">
        <v>7.3</v>
      </c>
      <c r="U40">
        <v>48.2</v>
      </c>
      <c r="V40">
        <v>79</v>
      </c>
      <c r="W40">
        <v>6.66</v>
      </c>
      <c r="X40">
        <v>143.80000000000001</v>
      </c>
      <c r="Y40">
        <v>23.3</v>
      </c>
      <c r="Z40">
        <v>44.1</v>
      </c>
      <c r="AA40">
        <v>69.3</v>
      </c>
      <c r="AB40" s="12">
        <v>7.33</v>
      </c>
      <c r="AC40" s="1">
        <v>11.4</v>
      </c>
      <c r="AD40" s="32">
        <v>0.18627000000000002</v>
      </c>
      <c r="AE40" s="12">
        <v>186.27</v>
      </c>
      <c r="AF40" s="1">
        <v>190</v>
      </c>
      <c r="AG40">
        <v>35</v>
      </c>
      <c r="AH40">
        <v>7.45</v>
      </c>
      <c r="AI40" s="12">
        <v>40</v>
      </c>
    </row>
    <row r="41" spans="1:35" x14ac:dyDescent="0.3">
      <c r="A41" s="1" t="s">
        <v>38</v>
      </c>
      <c r="B41">
        <v>0.25</v>
      </c>
      <c r="C41" t="s">
        <v>34</v>
      </c>
      <c r="D41" t="s">
        <v>45</v>
      </c>
      <c r="E41">
        <v>6</v>
      </c>
      <c r="F41" s="10">
        <v>45798.463888888888</v>
      </c>
      <c r="G41">
        <v>581.69326666666666</v>
      </c>
      <c r="H41" s="1">
        <v>337.67700000000002</v>
      </c>
      <c r="I41">
        <v>4.8593000000000002</v>
      </c>
      <c r="J41">
        <v>4.649</v>
      </c>
      <c r="K41">
        <v>95.7</v>
      </c>
      <c r="L41">
        <v>15.75</v>
      </c>
      <c r="M41">
        <v>407</v>
      </c>
      <c r="N41">
        <v>7.38</v>
      </c>
      <c r="O41">
        <v>0.44</v>
      </c>
      <c r="P41">
        <v>3.28</v>
      </c>
      <c r="Q41">
        <v>1.54</v>
      </c>
      <c r="R41">
        <v>6.33</v>
      </c>
      <c r="S41">
        <v>0.23</v>
      </c>
      <c r="T41">
        <v>6.86</v>
      </c>
      <c r="U41">
        <v>151.30000000000001</v>
      </c>
      <c r="V41">
        <v>76.099999999999994</v>
      </c>
      <c r="W41">
        <v>9.2100000000000009</v>
      </c>
      <c r="X41">
        <v>145.30000000000001</v>
      </c>
      <c r="Y41">
        <v>27.6</v>
      </c>
      <c r="Z41">
        <v>158.1</v>
      </c>
      <c r="AA41">
        <v>81.400000000000006</v>
      </c>
      <c r="AB41" s="12">
        <v>6.85</v>
      </c>
      <c r="AC41" s="1">
        <v>11.4</v>
      </c>
      <c r="AD41" s="32">
        <v>0.19388</v>
      </c>
      <c r="AE41" s="12">
        <v>193.88</v>
      </c>
      <c r="AF41" s="1">
        <v>190</v>
      </c>
      <c r="AG41">
        <v>38</v>
      </c>
      <c r="AH41">
        <v>6.75</v>
      </c>
      <c r="AI41" s="12">
        <v>40</v>
      </c>
    </row>
    <row r="42" spans="1:35" x14ac:dyDescent="0.3">
      <c r="A42" s="1" t="s">
        <v>39</v>
      </c>
      <c r="B42">
        <v>0.25</v>
      </c>
      <c r="C42" t="s">
        <v>35</v>
      </c>
      <c r="D42" t="s">
        <v>45</v>
      </c>
      <c r="E42">
        <v>6</v>
      </c>
      <c r="F42" s="10">
        <v>45798.4375</v>
      </c>
      <c r="G42">
        <v>581.69326666666666</v>
      </c>
      <c r="H42" s="1">
        <v>762.88170000000002</v>
      </c>
      <c r="I42">
        <v>13.6965</v>
      </c>
      <c r="J42">
        <v>13.5802</v>
      </c>
      <c r="K42">
        <v>99.2</v>
      </c>
      <c r="L42">
        <v>14.8</v>
      </c>
      <c r="M42">
        <v>342</v>
      </c>
      <c r="N42">
        <v>4.53</v>
      </c>
      <c r="O42">
        <v>0.46</v>
      </c>
      <c r="P42">
        <v>4.2</v>
      </c>
      <c r="Q42">
        <v>0.7</v>
      </c>
      <c r="R42">
        <v>5.8</v>
      </c>
      <c r="S42">
        <v>0.83</v>
      </c>
      <c r="T42">
        <v>6.96</v>
      </c>
      <c r="U42">
        <v>31.7</v>
      </c>
      <c r="V42">
        <v>58.2</v>
      </c>
      <c r="W42">
        <v>5.41</v>
      </c>
      <c r="X42">
        <v>131.6</v>
      </c>
      <c r="Y42">
        <v>7.1</v>
      </c>
      <c r="Z42">
        <v>31.1</v>
      </c>
      <c r="AA42">
        <v>56.2</v>
      </c>
      <c r="AB42" s="12">
        <v>6.96</v>
      </c>
      <c r="AC42" s="1">
        <v>9.5</v>
      </c>
      <c r="AD42" s="32">
        <v>0.18339</v>
      </c>
      <c r="AE42" s="12">
        <v>183.39</v>
      </c>
      <c r="AF42" s="1">
        <v>190</v>
      </c>
      <c r="AG42">
        <v>36.5</v>
      </c>
      <c r="AH42">
        <v>7.1</v>
      </c>
      <c r="AI42" s="12">
        <v>40</v>
      </c>
    </row>
    <row r="43" spans="1:35" x14ac:dyDescent="0.3">
      <c r="A43" s="1" t="s">
        <v>40</v>
      </c>
      <c r="B43">
        <v>0.25</v>
      </c>
      <c r="C43" t="s">
        <v>35</v>
      </c>
      <c r="D43" t="s">
        <v>45</v>
      </c>
      <c r="E43">
        <v>6</v>
      </c>
      <c r="F43" s="10">
        <v>45798.467361111114</v>
      </c>
      <c r="G43">
        <v>581.69326666666666</v>
      </c>
      <c r="H43" s="1">
        <v>786.68820000000005</v>
      </c>
      <c r="I43">
        <v>13.047599999999999</v>
      </c>
      <c r="J43">
        <v>12.922700000000001</v>
      </c>
      <c r="K43">
        <v>99</v>
      </c>
      <c r="L43">
        <v>14.92</v>
      </c>
      <c r="M43">
        <v>332</v>
      </c>
      <c r="N43">
        <v>4.54</v>
      </c>
      <c r="O43">
        <v>0.45</v>
      </c>
      <c r="P43">
        <v>2.25</v>
      </c>
      <c r="Q43">
        <v>0.73</v>
      </c>
      <c r="R43">
        <v>5.36</v>
      </c>
      <c r="S43">
        <v>0.8</v>
      </c>
      <c r="T43">
        <v>6.98</v>
      </c>
      <c r="U43">
        <v>32.4</v>
      </c>
      <c r="V43">
        <v>55.7</v>
      </c>
      <c r="W43">
        <v>5.3</v>
      </c>
      <c r="X43">
        <v>129.9</v>
      </c>
      <c r="Y43">
        <v>7.6</v>
      </c>
      <c r="Z43">
        <v>31.7</v>
      </c>
      <c r="AA43">
        <v>53.8</v>
      </c>
      <c r="AB43" s="12">
        <v>6.98</v>
      </c>
      <c r="AC43" s="1">
        <v>9.5</v>
      </c>
      <c r="AD43" s="32">
        <v>0.18159999999999998</v>
      </c>
      <c r="AE43" s="12">
        <v>181.6</v>
      </c>
      <c r="AF43" s="1">
        <v>190</v>
      </c>
      <c r="AG43">
        <v>36.5</v>
      </c>
      <c r="AH43">
        <v>7.1</v>
      </c>
      <c r="AI43" s="12">
        <v>40</v>
      </c>
    </row>
    <row r="44" spans="1:35" ht="15" thickBot="1" x14ac:dyDescent="0.35">
      <c r="A44" s="1" t="s">
        <v>41</v>
      </c>
      <c r="B44">
        <v>0.25</v>
      </c>
      <c r="C44" t="s">
        <v>35</v>
      </c>
      <c r="D44" t="s">
        <v>45</v>
      </c>
      <c r="E44">
        <v>6</v>
      </c>
      <c r="F44" s="10">
        <v>45798.47152777778</v>
      </c>
      <c r="G44">
        <v>581.69326666666666</v>
      </c>
      <c r="H44" s="1">
        <v>670.1825</v>
      </c>
      <c r="I44">
        <v>10.756500000000001</v>
      </c>
      <c r="J44">
        <v>10.7105</v>
      </c>
      <c r="K44">
        <v>99.6</v>
      </c>
      <c r="L44">
        <v>15.56</v>
      </c>
      <c r="M44">
        <v>357</v>
      </c>
      <c r="N44">
        <v>3.71</v>
      </c>
      <c r="O44">
        <v>0.45</v>
      </c>
      <c r="P44">
        <v>3.93</v>
      </c>
      <c r="Q44">
        <v>0.77</v>
      </c>
      <c r="R44">
        <v>5.0999999999999996</v>
      </c>
      <c r="S44">
        <v>1.17</v>
      </c>
      <c r="T44">
        <v>7.24</v>
      </c>
      <c r="U44">
        <v>40.799999999999997</v>
      </c>
      <c r="V44">
        <v>62.6</v>
      </c>
      <c r="W44">
        <v>5.2</v>
      </c>
      <c r="X44">
        <v>140.30000000000001</v>
      </c>
      <c r="Y44">
        <v>17.100000000000001</v>
      </c>
      <c r="Z44">
        <v>37.4</v>
      </c>
      <c r="AA44">
        <v>54.5</v>
      </c>
      <c r="AB44" s="12">
        <v>7.27</v>
      </c>
      <c r="AC44" s="1">
        <v>7.6</v>
      </c>
      <c r="AD44" s="32">
        <v>0.18395</v>
      </c>
      <c r="AE44" s="12">
        <v>183.95</v>
      </c>
      <c r="AF44" s="1">
        <v>190</v>
      </c>
      <c r="AG44">
        <v>35</v>
      </c>
      <c r="AH44">
        <v>7.45</v>
      </c>
      <c r="AI44" s="12">
        <v>40</v>
      </c>
    </row>
    <row r="45" spans="1:35" x14ac:dyDescent="0.3">
      <c r="A45" s="2" t="s">
        <v>36</v>
      </c>
      <c r="B45" s="3">
        <v>0.25</v>
      </c>
      <c r="C45" s="3" t="s">
        <v>34</v>
      </c>
      <c r="D45" s="3" t="s">
        <v>45</v>
      </c>
      <c r="E45" s="3">
        <v>7</v>
      </c>
      <c r="F45" s="9">
        <v>45799.454861111109</v>
      </c>
      <c r="G45" s="21">
        <v>753.39584533333345</v>
      </c>
      <c r="H45" s="2">
        <v>385.87450000000001</v>
      </c>
      <c r="I45" s="3">
        <v>3.6541999999999999</v>
      </c>
      <c r="J45" s="3">
        <v>3.4043999999999999</v>
      </c>
      <c r="K45" s="3">
        <v>93.2</v>
      </c>
      <c r="L45" s="3">
        <v>15.73</v>
      </c>
      <c r="M45" s="3">
        <v>393</v>
      </c>
      <c r="N45" s="3">
        <v>5.95</v>
      </c>
      <c r="O45" s="3">
        <v>0.45</v>
      </c>
      <c r="P45" s="3">
        <v>4.32</v>
      </c>
      <c r="Q45" s="3">
        <v>1.45</v>
      </c>
      <c r="R45" s="3">
        <v>5.26</v>
      </c>
      <c r="S45" s="3">
        <v>0.21</v>
      </c>
      <c r="T45" s="3">
        <v>6.84</v>
      </c>
      <c r="U45" s="3">
        <v>177.9</v>
      </c>
      <c r="V45" s="3">
        <v>81.5</v>
      </c>
      <c r="W45" s="3">
        <v>7.95</v>
      </c>
      <c r="X45" s="3">
        <v>137</v>
      </c>
      <c r="Y45" s="3">
        <v>29.7</v>
      </c>
      <c r="Z45" s="3">
        <v>163</v>
      </c>
      <c r="AA45" s="3">
        <v>71.599999999999994</v>
      </c>
      <c r="AB45" s="13">
        <v>6.87</v>
      </c>
      <c r="AC45" s="2">
        <v>0</v>
      </c>
      <c r="AD45" s="3">
        <v>0.18446000000000001</v>
      </c>
      <c r="AE45" s="13">
        <v>184.46</v>
      </c>
      <c r="AF45" s="2">
        <v>190</v>
      </c>
      <c r="AG45" s="3">
        <v>35</v>
      </c>
      <c r="AH45" s="3">
        <v>6.75</v>
      </c>
      <c r="AI45" s="13">
        <v>40</v>
      </c>
    </row>
    <row r="46" spans="1:35" x14ac:dyDescent="0.3">
      <c r="A46" s="1" t="s">
        <v>37</v>
      </c>
      <c r="B46">
        <v>0.25</v>
      </c>
      <c r="C46" t="s">
        <v>34</v>
      </c>
      <c r="D46" t="s">
        <v>45</v>
      </c>
      <c r="E46">
        <v>7</v>
      </c>
      <c r="F46" s="10">
        <v>45799.459027777775</v>
      </c>
      <c r="G46" s="19">
        <v>753.39584533333345</v>
      </c>
      <c r="H46" s="1">
        <v>486.97519999999997</v>
      </c>
      <c r="I46">
        <v>7.5423</v>
      </c>
      <c r="J46">
        <v>7.5035999999999996</v>
      </c>
      <c r="K46">
        <v>99.5</v>
      </c>
      <c r="L46">
        <v>16.11</v>
      </c>
      <c r="M46">
        <v>423</v>
      </c>
      <c r="N46">
        <v>5.6</v>
      </c>
      <c r="O46">
        <v>0.42</v>
      </c>
      <c r="P46">
        <v>3.64</v>
      </c>
      <c r="Q46">
        <v>1.36</v>
      </c>
      <c r="R46">
        <v>6.06</v>
      </c>
      <c r="S46">
        <v>1.59</v>
      </c>
      <c r="T46">
        <v>7.25</v>
      </c>
      <c r="U46">
        <v>35.6</v>
      </c>
      <c r="V46">
        <v>67.599999999999994</v>
      </c>
      <c r="W46">
        <v>8.2899999999999991</v>
      </c>
      <c r="X46">
        <v>157.5</v>
      </c>
      <c r="Y46">
        <v>15.5</v>
      </c>
      <c r="Z46">
        <v>32.6</v>
      </c>
      <c r="AA46">
        <v>59</v>
      </c>
      <c r="AB46" s="12">
        <v>7.28</v>
      </c>
      <c r="AC46" s="1">
        <v>0</v>
      </c>
      <c r="AD46" s="32">
        <v>0.19763999999999998</v>
      </c>
      <c r="AE46" s="12">
        <v>197.64</v>
      </c>
      <c r="AF46" s="1">
        <v>190</v>
      </c>
      <c r="AG46">
        <v>35</v>
      </c>
      <c r="AH46">
        <v>7.45</v>
      </c>
      <c r="AI46" s="12">
        <v>40</v>
      </c>
    </row>
    <row r="47" spans="1:35" x14ac:dyDescent="0.3">
      <c r="A47" s="1" t="s">
        <v>38</v>
      </c>
      <c r="B47">
        <v>0.25</v>
      </c>
      <c r="C47" t="s">
        <v>34</v>
      </c>
      <c r="D47" t="s">
        <v>45</v>
      </c>
      <c r="E47">
        <v>7</v>
      </c>
      <c r="F47" s="10">
        <v>45799.463194444441</v>
      </c>
      <c r="G47" s="19">
        <v>753.39584533333345</v>
      </c>
      <c r="H47" s="1">
        <v>447.09879999999998</v>
      </c>
      <c r="I47">
        <v>5.5267999999999997</v>
      </c>
      <c r="J47">
        <v>5.2375999999999996</v>
      </c>
      <c r="K47">
        <v>94.8</v>
      </c>
      <c r="L47">
        <v>15.82</v>
      </c>
      <c r="M47">
        <v>418</v>
      </c>
      <c r="N47">
        <v>8.6199999999999992</v>
      </c>
      <c r="O47">
        <v>0.43</v>
      </c>
      <c r="P47">
        <v>5.04</v>
      </c>
      <c r="Q47">
        <v>1.7</v>
      </c>
      <c r="R47">
        <v>6.73</v>
      </c>
      <c r="S47">
        <v>0.22</v>
      </c>
      <c r="T47">
        <v>6.92</v>
      </c>
      <c r="U47">
        <v>125</v>
      </c>
      <c r="V47">
        <v>74.8</v>
      </c>
      <c r="W47">
        <v>9.0399999999999991</v>
      </c>
      <c r="X47">
        <v>144.5</v>
      </c>
      <c r="Y47">
        <v>26.5</v>
      </c>
      <c r="Z47">
        <v>130.6</v>
      </c>
      <c r="AA47">
        <v>80</v>
      </c>
      <c r="AB47" s="12">
        <v>6.91</v>
      </c>
      <c r="AC47" s="1">
        <v>0</v>
      </c>
      <c r="AD47" s="32">
        <v>0.19238</v>
      </c>
      <c r="AE47" s="12">
        <v>192.38</v>
      </c>
      <c r="AF47" s="1">
        <v>190</v>
      </c>
      <c r="AG47">
        <v>38</v>
      </c>
      <c r="AH47">
        <v>6.75</v>
      </c>
      <c r="AI47" s="12">
        <v>40</v>
      </c>
    </row>
    <row r="48" spans="1:35" x14ac:dyDescent="0.3">
      <c r="A48" s="1" t="s">
        <v>39</v>
      </c>
      <c r="B48">
        <v>0.25</v>
      </c>
      <c r="C48" t="s">
        <v>35</v>
      </c>
      <c r="D48" t="s">
        <v>45</v>
      </c>
      <c r="E48">
        <v>7</v>
      </c>
      <c r="F48" s="10">
        <v>45799.467361111114</v>
      </c>
      <c r="G48" s="19">
        <v>753.39584533333345</v>
      </c>
      <c r="H48" s="1">
        <v>1077.4639999999999</v>
      </c>
      <c r="I48">
        <v>13.377800000000001</v>
      </c>
      <c r="J48">
        <v>13.2012</v>
      </c>
      <c r="K48">
        <v>98.7</v>
      </c>
      <c r="L48">
        <v>15.4</v>
      </c>
      <c r="M48">
        <v>361</v>
      </c>
      <c r="N48">
        <v>5.13</v>
      </c>
      <c r="O48">
        <v>0.41</v>
      </c>
      <c r="P48">
        <v>1.95</v>
      </c>
      <c r="Q48">
        <v>1.24</v>
      </c>
      <c r="R48">
        <v>5.99</v>
      </c>
      <c r="S48">
        <v>0.4</v>
      </c>
      <c r="T48">
        <v>7.02</v>
      </c>
      <c r="U48">
        <v>48.4</v>
      </c>
      <c r="V48">
        <v>56</v>
      </c>
      <c r="W48">
        <v>6.63</v>
      </c>
      <c r="X48">
        <v>137.6</v>
      </c>
      <c r="Y48">
        <v>12.6</v>
      </c>
      <c r="Z48">
        <v>47.4</v>
      </c>
      <c r="AA48">
        <v>54.1</v>
      </c>
      <c r="AB48" s="12">
        <v>7.03</v>
      </c>
      <c r="AC48" s="1">
        <v>0</v>
      </c>
      <c r="AD48" s="32">
        <v>0.19024000000000002</v>
      </c>
      <c r="AE48" s="12">
        <v>190.24</v>
      </c>
      <c r="AF48" s="1">
        <v>190</v>
      </c>
      <c r="AG48">
        <v>36.5</v>
      </c>
      <c r="AH48">
        <v>7.1</v>
      </c>
      <c r="AI48" s="12">
        <v>40</v>
      </c>
    </row>
    <row r="49" spans="1:35" x14ac:dyDescent="0.3">
      <c r="A49" s="1" t="s">
        <v>40</v>
      </c>
      <c r="B49">
        <v>0.25</v>
      </c>
      <c r="C49" t="s">
        <v>35</v>
      </c>
      <c r="D49" t="s">
        <v>45</v>
      </c>
      <c r="E49">
        <v>7</v>
      </c>
      <c r="F49" s="10">
        <v>45799.47152777778</v>
      </c>
      <c r="G49" s="19">
        <v>753.39584533333345</v>
      </c>
      <c r="H49" s="1">
        <v>1013.544</v>
      </c>
      <c r="I49">
        <v>13.637600000000001</v>
      </c>
      <c r="J49">
        <v>13.4467</v>
      </c>
      <c r="K49">
        <v>98.6</v>
      </c>
      <c r="L49">
        <v>15.29</v>
      </c>
      <c r="M49">
        <v>371</v>
      </c>
      <c r="N49">
        <v>5.16</v>
      </c>
      <c r="O49">
        <v>0.41</v>
      </c>
      <c r="P49">
        <v>3.95</v>
      </c>
      <c r="Q49">
        <v>1.25</v>
      </c>
      <c r="R49">
        <v>5.99</v>
      </c>
      <c r="S49">
        <v>0.47</v>
      </c>
      <c r="T49">
        <v>7.02</v>
      </c>
      <c r="U49">
        <v>48</v>
      </c>
      <c r="V49">
        <v>51.9</v>
      </c>
      <c r="W49">
        <v>6.66</v>
      </c>
      <c r="X49">
        <v>140</v>
      </c>
      <c r="Y49">
        <v>12.4</v>
      </c>
      <c r="Z49">
        <v>47</v>
      </c>
      <c r="AA49">
        <v>50.2</v>
      </c>
      <c r="AB49" s="12">
        <v>7.03</v>
      </c>
      <c r="AC49" s="1">
        <v>0</v>
      </c>
      <c r="AD49" s="32">
        <v>0.19043000000000002</v>
      </c>
      <c r="AE49" s="12">
        <v>190.43</v>
      </c>
      <c r="AF49" s="1">
        <v>190</v>
      </c>
      <c r="AG49">
        <v>36.5</v>
      </c>
      <c r="AH49">
        <v>7.1</v>
      </c>
      <c r="AI49" s="12">
        <v>40</v>
      </c>
    </row>
    <row r="50" spans="1:35" ht="15" thickBot="1" x14ac:dyDescent="0.35">
      <c r="A50" s="4" t="s">
        <v>41</v>
      </c>
      <c r="B50" s="5">
        <v>0.25</v>
      </c>
      <c r="C50" s="5" t="s">
        <v>35</v>
      </c>
      <c r="D50" s="5" t="s">
        <v>45</v>
      </c>
      <c r="E50" s="5">
        <v>7</v>
      </c>
      <c r="F50" s="11">
        <v>45799.476388888892</v>
      </c>
      <c r="G50" s="22">
        <v>753.39584533333345</v>
      </c>
      <c r="H50" s="4">
        <v>929.27369999999996</v>
      </c>
      <c r="I50" s="5">
        <v>11.889099999999999</v>
      </c>
      <c r="J50" s="5">
        <v>11.757</v>
      </c>
      <c r="K50" s="5">
        <v>98.9</v>
      </c>
      <c r="L50" s="5">
        <v>15.87</v>
      </c>
      <c r="M50" s="5">
        <v>384</v>
      </c>
      <c r="N50" s="5">
        <v>3.68</v>
      </c>
      <c r="O50" s="5">
        <v>0.41</v>
      </c>
      <c r="P50" s="5">
        <v>3.47</v>
      </c>
      <c r="Q50" s="5">
        <v>1.17</v>
      </c>
      <c r="R50" s="5">
        <v>5.55</v>
      </c>
      <c r="S50" s="5">
        <v>1.24</v>
      </c>
      <c r="T50" s="5">
        <v>7.26</v>
      </c>
      <c r="U50" s="5">
        <v>50.5</v>
      </c>
      <c r="V50" s="5">
        <v>58.4</v>
      </c>
      <c r="W50" s="5">
        <v>6.14</v>
      </c>
      <c r="X50" s="5">
        <v>153.19999999999999</v>
      </c>
      <c r="Y50" s="5">
        <v>22.2</v>
      </c>
      <c r="Z50" s="5">
        <v>46.2</v>
      </c>
      <c r="AA50" s="5">
        <v>50.8</v>
      </c>
      <c r="AB50" s="14">
        <v>7.29</v>
      </c>
      <c r="AC50" s="4">
        <v>0</v>
      </c>
      <c r="AD50" s="5">
        <v>0.19122</v>
      </c>
      <c r="AE50" s="14">
        <v>191.22</v>
      </c>
      <c r="AF50" s="4">
        <v>190</v>
      </c>
      <c r="AG50" s="5">
        <v>35</v>
      </c>
      <c r="AH50" s="5">
        <v>7.45</v>
      </c>
      <c r="AI50" s="14">
        <v>40</v>
      </c>
    </row>
    <row r="51" spans="1:35" x14ac:dyDescent="0.3">
      <c r="A51" s="1" t="s">
        <v>36</v>
      </c>
      <c r="B51">
        <v>0.25</v>
      </c>
      <c r="C51" t="s">
        <v>34</v>
      </c>
      <c r="D51" t="s">
        <v>45</v>
      </c>
      <c r="E51">
        <v>8</v>
      </c>
      <c r="F51" s="10">
        <v>45800.456250000003</v>
      </c>
      <c r="G51" s="19">
        <v>1268.3525340000001</v>
      </c>
      <c r="H51" s="1">
        <v>476.49360000000001</v>
      </c>
      <c r="I51">
        <v>3.9060999999999999</v>
      </c>
      <c r="J51">
        <v>3.5451000000000001</v>
      </c>
      <c r="K51">
        <v>90.8</v>
      </c>
      <c r="L51">
        <v>15.96</v>
      </c>
      <c r="M51">
        <v>416</v>
      </c>
      <c r="N51">
        <v>7.25</v>
      </c>
      <c r="O51">
        <v>0.43</v>
      </c>
      <c r="P51">
        <v>3.69</v>
      </c>
      <c r="Q51">
        <v>1.71</v>
      </c>
      <c r="R51">
        <v>5.75</v>
      </c>
      <c r="S51">
        <v>0.21</v>
      </c>
      <c r="T51">
        <v>6.83</v>
      </c>
      <c r="U51">
        <v>189.9</v>
      </c>
      <c r="V51">
        <v>80.5</v>
      </c>
      <c r="W51">
        <v>9.32</v>
      </c>
      <c r="X51">
        <v>143.69999999999999</v>
      </c>
      <c r="Y51">
        <v>30.8</v>
      </c>
      <c r="Z51">
        <v>174</v>
      </c>
      <c r="AA51">
        <v>70.599999999999994</v>
      </c>
      <c r="AB51" s="12">
        <v>6.85</v>
      </c>
      <c r="AC51" s="1">
        <v>7.6</v>
      </c>
      <c r="AD51" s="32">
        <v>0.18744</v>
      </c>
      <c r="AE51" s="12">
        <v>187.44</v>
      </c>
      <c r="AF51" s="1">
        <v>190</v>
      </c>
      <c r="AG51">
        <v>35</v>
      </c>
      <c r="AH51">
        <v>6.75</v>
      </c>
      <c r="AI51" s="12">
        <v>40</v>
      </c>
    </row>
    <row r="52" spans="1:35" x14ac:dyDescent="0.3">
      <c r="A52" s="1" t="s">
        <v>37</v>
      </c>
      <c r="B52">
        <v>0.25</v>
      </c>
      <c r="C52" t="s">
        <v>34</v>
      </c>
      <c r="D52" t="s">
        <v>45</v>
      </c>
      <c r="E52">
        <v>8</v>
      </c>
      <c r="F52" s="10">
        <v>45800.461111111108</v>
      </c>
      <c r="G52" s="19">
        <v>1268.3525340000001</v>
      </c>
      <c r="H52" s="1">
        <v>699.17989999999998</v>
      </c>
      <c r="I52">
        <v>8.8680000000000003</v>
      </c>
      <c r="J52">
        <v>8.7855000000000008</v>
      </c>
      <c r="K52">
        <v>99.1</v>
      </c>
      <c r="L52">
        <v>16.5</v>
      </c>
      <c r="M52">
        <v>441</v>
      </c>
      <c r="N52">
        <v>5.08</v>
      </c>
      <c r="O52">
        <v>0.39</v>
      </c>
      <c r="P52">
        <v>3.41</v>
      </c>
      <c r="Q52">
        <v>1.53</v>
      </c>
      <c r="R52">
        <v>6.22</v>
      </c>
      <c r="S52">
        <v>2.35</v>
      </c>
      <c r="T52">
        <v>7.32</v>
      </c>
      <c r="U52">
        <v>58.7</v>
      </c>
      <c r="V52">
        <v>59.7</v>
      </c>
      <c r="W52">
        <v>7.63</v>
      </c>
      <c r="X52">
        <v>171.8</v>
      </c>
      <c r="Y52">
        <v>29.7</v>
      </c>
      <c r="Z52">
        <v>53.8</v>
      </c>
      <c r="AA52">
        <v>52</v>
      </c>
      <c r="AB52" s="12">
        <v>7.35</v>
      </c>
      <c r="AC52" s="1">
        <v>11.4</v>
      </c>
      <c r="AD52" s="32">
        <v>0.19797999999999999</v>
      </c>
      <c r="AE52" s="12">
        <v>197.98</v>
      </c>
      <c r="AF52" s="1">
        <v>190</v>
      </c>
      <c r="AG52">
        <v>35</v>
      </c>
      <c r="AH52">
        <v>7.45</v>
      </c>
      <c r="AI52" s="12">
        <v>40</v>
      </c>
    </row>
    <row r="53" spans="1:35" x14ac:dyDescent="0.3">
      <c r="A53" s="1" t="s">
        <v>38</v>
      </c>
      <c r="B53">
        <v>0.25</v>
      </c>
      <c r="C53" t="s">
        <v>34</v>
      </c>
      <c r="D53" t="s">
        <v>45</v>
      </c>
      <c r="E53">
        <v>8</v>
      </c>
      <c r="F53" s="10">
        <v>45800.46597222222</v>
      </c>
      <c r="G53" s="19">
        <v>1268.3525340000001</v>
      </c>
      <c r="H53" s="1">
        <v>536.91480000000001</v>
      </c>
      <c r="I53">
        <v>5.7378</v>
      </c>
      <c r="J53">
        <v>5.3452000000000002</v>
      </c>
      <c r="K53">
        <v>93.2</v>
      </c>
      <c r="L53">
        <v>15.99</v>
      </c>
      <c r="M53">
        <v>451</v>
      </c>
      <c r="N53">
        <v>9.94</v>
      </c>
      <c r="O53">
        <v>0.41</v>
      </c>
      <c r="P53">
        <v>3.61</v>
      </c>
      <c r="Q53">
        <v>2.09</v>
      </c>
      <c r="R53">
        <v>7.33</v>
      </c>
      <c r="S53">
        <v>0.22</v>
      </c>
      <c r="T53">
        <v>6.9</v>
      </c>
      <c r="U53">
        <v>127.5</v>
      </c>
      <c r="V53">
        <v>72.8</v>
      </c>
      <c r="W53">
        <v>10.85</v>
      </c>
      <c r="X53">
        <v>153</v>
      </c>
      <c r="Y53">
        <v>25.8</v>
      </c>
      <c r="Z53">
        <v>133.19999999999999</v>
      </c>
      <c r="AA53">
        <v>77.8</v>
      </c>
      <c r="AB53" s="12">
        <v>6.89</v>
      </c>
      <c r="AC53" s="1">
        <v>11.4</v>
      </c>
      <c r="AD53" s="32">
        <v>0.19914999999999999</v>
      </c>
      <c r="AE53" s="12">
        <v>199.15</v>
      </c>
      <c r="AF53" s="1">
        <v>190</v>
      </c>
      <c r="AG53">
        <v>38</v>
      </c>
      <c r="AH53">
        <v>6.75</v>
      </c>
      <c r="AI53" s="12">
        <v>40</v>
      </c>
    </row>
    <row r="54" spans="1:35" x14ac:dyDescent="0.3">
      <c r="A54" s="1" t="s">
        <v>39</v>
      </c>
      <c r="B54">
        <v>0.25</v>
      </c>
      <c r="C54" t="s">
        <v>35</v>
      </c>
      <c r="D54" t="s">
        <v>45</v>
      </c>
      <c r="E54">
        <v>8</v>
      </c>
      <c r="F54" s="10">
        <v>45800.470138888886</v>
      </c>
      <c r="G54" s="19">
        <v>1268.3525340000001</v>
      </c>
      <c r="H54" s="1">
        <v>1663.7850000000001</v>
      </c>
      <c r="I54">
        <v>14.942500000000001</v>
      </c>
      <c r="J54">
        <v>14.562099999999999</v>
      </c>
      <c r="K54">
        <v>97.5</v>
      </c>
      <c r="L54">
        <v>15.53</v>
      </c>
      <c r="M54">
        <v>357</v>
      </c>
      <c r="N54">
        <v>5.0199999999999996</v>
      </c>
      <c r="O54">
        <v>0.4</v>
      </c>
      <c r="P54">
        <v>3.56</v>
      </c>
      <c r="Q54">
        <v>0.96</v>
      </c>
      <c r="R54">
        <v>6.14</v>
      </c>
      <c r="S54">
        <v>0.28000000000000003</v>
      </c>
      <c r="T54">
        <v>7.09</v>
      </c>
      <c r="U54">
        <v>38</v>
      </c>
      <c r="V54">
        <v>43.8</v>
      </c>
      <c r="W54">
        <v>6.29</v>
      </c>
      <c r="X54">
        <v>137.9</v>
      </c>
      <c r="Y54">
        <v>11.6</v>
      </c>
      <c r="Z54">
        <v>37.1</v>
      </c>
      <c r="AA54">
        <v>42.3</v>
      </c>
      <c r="AB54" s="12">
        <v>7.1</v>
      </c>
      <c r="AC54" s="1">
        <v>9.5</v>
      </c>
      <c r="AD54" s="32">
        <v>0.18753999999999998</v>
      </c>
      <c r="AE54" s="12">
        <v>187.54</v>
      </c>
      <c r="AF54" s="1">
        <v>190</v>
      </c>
      <c r="AG54">
        <v>36.5</v>
      </c>
      <c r="AH54">
        <v>7.1</v>
      </c>
      <c r="AI54" s="12">
        <v>40</v>
      </c>
    </row>
    <row r="55" spans="1:35" x14ac:dyDescent="0.3">
      <c r="A55" s="1" t="s">
        <v>40</v>
      </c>
      <c r="B55">
        <v>0.25</v>
      </c>
      <c r="C55" t="s">
        <v>35</v>
      </c>
      <c r="D55" t="s">
        <v>45</v>
      </c>
      <c r="E55">
        <v>8</v>
      </c>
      <c r="F55" s="10">
        <v>45800.474305555559</v>
      </c>
      <c r="G55" s="19">
        <v>1268.3525340000001</v>
      </c>
      <c r="H55" s="1">
        <v>1462.0070000000001</v>
      </c>
      <c r="I55">
        <v>14.462999999999999</v>
      </c>
      <c r="J55">
        <v>14.1228</v>
      </c>
      <c r="K55">
        <v>97.6</v>
      </c>
      <c r="L55">
        <v>15.57</v>
      </c>
      <c r="M55">
        <v>362</v>
      </c>
      <c r="N55">
        <v>5.0199999999999996</v>
      </c>
      <c r="O55">
        <v>0.4</v>
      </c>
      <c r="P55">
        <v>3.43</v>
      </c>
      <c r="Q55">
        <v>1</v>
      </c>
      <c r="R55">
        <v>6.2</v>
      </c>
      <c r="S55">
        <v>0.3</v>
      </c>
      <c r="T55">
        <v>7.11</v>
      </c>
      <c r="U55">
        <v>38.700000000000003</v>
      </c>
      <c r="V55">
        <v>46.3</v>
      </c>
      <c r="W55">
        <v>6.32</v>
      </c>
      <c r="X55">
        <v>140.80000000000001</v>
      </c>
      <c r="Y55">
        <v>12.4</v>
      </c>
      <c r="Z55">
        <v>37.9</v>
      </c>
      <c r="AA55">
        <v>44.7</v>
      </c>
      <c r="AB55" s="12">
        <v>7.12</v>
      </c>
      <c r="AC55" s="1">
        <v>9.5</v>
      </c>
      <c r="AD55" s="32">
        <v>0.18677000000000002</v>
      </c>
      <c r="AE55" s="12">
        <v>186.77</v>
      </c>
      <c r="AF55" s="1">
        <v>190</v>
      </c>
      <c r="AG55">
        <v>36.5</v>
      </c>
      <c r="AH55">
        <v>7.1</v>
      </c>
      <c r="AI55" s="12">
        <v>40</v>
      </c>
    </row>
    <row r="56" spans="1:35" ht="15" thickBot="1" x14ac:dyDescent="0.35">
      <c r="A56" s="1" t="s">
        <v>41</v>
      </c>
      <c r="B56">
        <v>0.25</v>
      </c>
      <c r="C56" t="s">
        <v>35</v>
      </c>
      <c r="D56" t="s">
        <v>45</v>
      </c>
      <c r="E56">
        <v>8</v>
      </c>
      <c r="F56" s="10">
        <v>45800.478472222225</v>
      </c>
      <c r="G56" s="19">
        <v>1268.3525340000001</v>
      </c>
      <c r="H56" s="1">
        <v>1284.1569999999999</v>
      </c>
      <c r="I56">
        <v>13.7783</v>
      </c>
      <c r="J56">
        <v>13.55</v>
      </c>
      <c r="K56">
        <v>98.3</v>
      </c>
      <c r="L56">
        <v>16.12</v>
      </c>
      <c r="M56">
        <v>378</v>
      </c>
      <c r="N56">
        <v>2.89</v>
      </c>
      <c r="O56">
        <v>0.39</v>
      </c>
      <c r="P56">
        <v>3.71</v>
      </c>
      <c r="Q56">
        <v>0.95</v>
      </c>
      <c r="R56">
        <v>5.66</v>
      </c>
      <c r="S56">
        <v>1.06</v>
      </c>
      <c r="T56">
        <v>7.33</v>
      </c>
      <c r="U56">
        <v>39.200000000000003</v>
      </c>
      <c r="V56">
        <v>54.6</v>
      </c>
      <c r="W56">
        <v>5.62</v>
      </c>
      <c r="X56">
        <v>151.6</v>
      </c>
      <c r="Y56">
        <v>20.399999999999999</v>
      </c>
      <c r="Z56">
        <v>35.9</v>
      </c>
      <c r="AA56">
        <v>47.5</v>
      </c>
      <c r="AB56" s="12">
        <v>7.36</v>
      </c>
      <c r="AC56" s="1">
        <v>7.6</v>
      </c>
      <c r="AD56" s="32">
        <v>0.18778</v>
      </c>
      <c r="AE56" s="12">
        <v>187.78</v>
      </c>
      <c r="AF56" s="1">
        <v>190</v>
      </c>
      <c r="AG56">
        <v>35</v>
      </c>
      <c r="AH56">
        <v>7.45</v>
      </c>
      <c r="AI56" s="12">
        <v>40</v>
      </c>
    </row>
    <row r="57" spans="1:35" x14ac:dyDescent="0.3">
      <c r="A57" s="2" t="s">
        <v>36</v>
      </c>
      <c r="B57" s="3">
        <v>0.25</v>
      </c>
      <c r="C57" s="3" t="s">
        <v>34</v>
      </c>
      <c r="D57" s="3" t="s">
        <v>45</v>
      </c>
      <c r="E57" s="3">
        <v>9</v>
      </c>
      <c r="F57" s="9">
        <v>45801.454861111109</v>
      </c>
      <c r="G57" s="21">
        <v>1592.0958713333334</v>
      </c>
      <c r="H57" s="2">
        <v>574.18230000000005</v>
      </c>
      <c r="I57" s="3">
        <v>4.1645000000000003</v>
      </c>
      <c r="J57" s="3">
        <v>3.6964999999999999</v>
      </c>
      <c r="K57" s="3">
        <v>88.8</v>
      </c>
      <c r="L57" s="3">
        <v>16.170000000000002</v>
      </c>
      <c r="M57" s="3">
        <v>427</v>
      </c>
      <c r="N57" s="3">
        <v>8.3000000000000007</v>
      </c>
      <c r="O57" s="3">
        <v>0.43</v>
      </c>
      <c r="P57" s="3">
        <v>5.52</v>
      </c>
      <c r="Q57" s="3">
        <v>1.98</v>
      </c>
      <c r="R57" s="3">
        <v>6</v>
      </c>
      <c r="S57" s="3">
        <v>0.21</v>
      </c>
      <c r="T57" s="3">
        <v>6.88</v>
      </c>
      <c r="U57" s="3">
        <v>167.9</v>
      </c>
      <c r="V57" s="3">
        <v>93.6</v>
      </c>
      <c r="W57" s="3">
        <v>9.3800000000000008</v>
      </c>
      <c r="X57" s="3">
        <v>145.19999999999999</v>
      </c>
      <c r="Y57" s="3">
        <v>30.3</v>
      </c>
      <c r="Z57" s="3">
        <v>153.80000000000001</v>
      </c>
      <c r="AA57" s="3">
        <v>82.7</v>
      </c>
      <c r="AB57" s="13">
        <v>6.9</v>
      </c>
      <c r="AC57" s="2">
        <v>0</v>
      </c>
      <c r="AD57" s="3">
        <v>0.18752000000000002</v>
      </c>
      <c r="AE57" s="13">
        <v>187.52</v>
      </c>
      <c r="AF57" s="2">
        <v>190</v>
      </c>
      <c r="AG57" s="3">
        <v>35</v>
      </c>
      <c r="AH57" s="3">
        <v>6.75</v>
      </c>
      <c r="AI57" s="13">
        <v>40</v>
      </c>
    </row>
    <row r="58" spans="1:35" x14ac:dyDescent="0.3">
      <c r="A58" s="1" t="s">
        <v>37</v>
      </c>
      <c r="B58">
        <v>0.25</v>
      </c>
      <c r="C58" t="s">
        <v>34</v>
      </c>
      <c r="D58" t="s">
        <v>45</v>
      </c>
      <c r="E58">
        <v>9</v>
      </c>
      <c r="F58" s="10">
        <v>45801.459027777775</v>
      </c>
      <c r="G58" s="19">
        <v>1592.0958713333334</v>
      </c>
      <c r="H58" s="1">
        <v>869.80139999999994</v>
      </c>
      <c r="I58">
        <v>9.5132999999999992</v>
      </c>
      <c r="J58">
        <v>9.3870000000000005</v>
      </c>
      <c r="K58">
        <v>98.7</v>
      </c>
      <c r="L58">
        <v>17.04</v>
      </c>
      <c r="M58">
        <v>469</v>
      </c>
      <c r="N58">
        <v>4.9400000000000004</v>
      </c>
      <c r="O58">
        <v>0.37</v>
      </c>
      <c r="P58">
        <v>3.37</v>
      </c>
      <c r="Q58">
        <v>1.88</v>
      </c>
      <c r="R58">
        <v>6.78</v>
      </c>
      <c r="S58">
        <v>2.5499999999999998</v>
      </c>
      <c r="T58">
        <v>7.22</v>
      </c>
      <c r="U58">
        <v>41.2</v>
      </c>
      <c r="V58">
        <v>68.8</v>
      </c>
      <c r="W58">
        <v>9.09</v>
      </c>
      <c r="X58">
        <v>177</v>
      </c>
      <c r="Y58">
        <v>16.5</v>
      </c>
      <c r="Z58">
        <v>37.700000000000003</v>
      </c>
      <c r="AA58">
        <v>60.1</v>
      </c>
      <c r="AB58" s="12">
        <v>7.25</v>
      </c>
      <c r="AC58" s="1">
        <v>0</v>
      </c>
      <c r="AD58" s="32">
        <v>0.20965</v>
      </c>
      <c r="AE58" s="12">
        <v>209.65</v>
      </c>
      <c r="AF58" s="1">
        <v>190</v>
      </c>
      <c r="AG58">
        <v>35</v>
      </c>
      <c r="AH58">
        <v>7.45</v>
      </c>
      <c r="AI58" s="12">
        <v>40</v>
      </c>
    </row>
    <row r="59" spans="1:35" x14ac:dyDescent="0.3">
      <c r="A59" s="1" t="s">
        <v>38</v>
      </c>
      <c r="B59">
        <v>0.25</v>
      </c>
      <c r="C59" t="s">
        <v>34</v>
      </c>
      <c r="D59" t="s">
        <v>45</v>
      </c>
      <c r="E59">
        <v>9</v>
      </c>
      <c r="F59" s="10">
        <v>45801.463888888888</v>
      </c>
      <c r="G59" s="19">
        <v>1592.0958713333334</v>
      </c>
      <c r="H59" s="1">
        <v>562.27970000000005</v>
      </c>
      <c r="I59">
        <v>6.7893999999999997</v>
      </c>
      <c r="J59">
        <v>6.2381000000000002</v>
      </c>
      <c r="K59">
        <v>91.9</v>
      </c>
      <c r="L59">
        <v>15.58</v>
      </c>
      <c r="M59">
        <v>456</v>
      </c>
      <c r="N59">
        <v>10.96</v>
      </c>
      <c r="O59">
        <v>0.4</v>
      </c>
      <c r="P59">
        <v>4.71</v>
      </c>
      <c r="Q59">
        <v>2.39</v>
      </c>
      <c r="R59">
        <v>7.52</v>
      </c>
      <c r="S59">
        <v>0.28000000000000003</v>
      </c>
      <c r="T59">
        <v>6.88</v>
      </c>
      <c r="U59">
        <v>130.30000000000001</v>
      </c>
      <c r="V59">
        <v>80</v>
      </c>
      <c r="W59">
        <v>10.68</v>
      </c>
      <c r="X59">
        <v>152</v>
      </c>
      <c r="Y59">
        <v>24.9</v>
      </c>
      <c r="Z59">
        <v>136.1</v>
      </c>
      <c r="AA59">
        <v>85.4</v>
      </c>
      <c r="AB59" s="12">
        <v>6.87</v>
      </c>
      <c r="AC59" s="1">
        <v>0</v>
      </c>
      <c r="AD59" s="32">
        <v>0.19932</v>
      </c>
      <c r="AE59" s="12">
        <v>199.32</v>
      </c>
      <c r="AF59" s="1">
        <v>190</v>
      </c>
      <c r="AG59">
        <v>38</v>
      </c>
      <c r="AH59">
        <v>6.75</v>
      </c>
      <c r="AI59" s="12">
        <v>40</v>
      </c>
    </row>
    <row r="60" spans="1:35" x14ac:dyDescent="0.3">
      <c r="A60" s="1" t="s">
        <v>39</v>
      </c>
      <c r="B60">
        <v>0.25</v>
      </c>
      <c r="C60" t="s">
        <v>35</v>
      </c>
      <c r="D60" t="s">
        <v>45</v>
      </c>
      <c r="E60">
        <v>9</v>
      </c>
      <c r="F60" s="10">
        <v>45801.469444444447</v>
      </c>
      <c r="G60" s="19">
        <v>1592.0958713333334</v>
      </c>
      <c r="H60" s="1">
        <v>1534.83</v>
      </c>
      <c r="I60">
        <v>14.9956</v>
      </c>
      <c r="J60">
        <v>14.462999999999999</v>
      </c>
      <c r="K60">
        <v>96.4</v>
      </c>
      <c r="L60">
        <v>15.87</v>
      </c>
      <c r="M60">
        <v>390</v>
      </c>
      <c r="N60">
        <v>7</v>
      </c>
      <c r="O60">
        <v>0.38</v>
      </c>
      <c r="P60">
        <v>3.4</v>
      </c>
      <c r="Q60">
        <v>1.69</v>
      </c>
      <c r="R60">
        <v>6.64</v>
      </c>
      <c r="S60">
        <v>0.28000000000000003</v>
      </c>
      <c r="T60">
        <v>7.06</v>
      </c>
      <c r="U60">
        <v>49.6</v>
      </c>
      <c r="V60">
        <v>47.1</v>
      </c>
      <c r="W60">
        <v>7.83</v>
      </c>
      <c r="X60">
        <v>146.30000000000001</v>
      </c>
      <c r="Y60">
        <v>14.1</v>
      </c>
      <c r="Z60">
        <v>48.6</v>
      </c>
      <c r="AA60">
        <v>45.5</v>
      </c>
      <c r="AB60" s="12">
        <v>7.07</v>
      </c>
      <c r="AC60" s="1">
        <v>0</v>
      </c>
      <c r="AD60" s="32">
        <v>0.19721</v>
      </c>
      <c r="AE60" s="12">
        <v>197.21</v>
      </c>
      <c r="AF60" s="1">
        <v>190</v>
      </c>
      <c r="AG60">
        <v>36.5</v>
      </c>
      <c r="AH60">
        <v>7.1</v>
      </c>
      <c r="AI60" s="12">
        <v>40</v>
      </c>
    </row>
    <row r="61" spans="1:35" x14ac:dyDescent="0.3">
      <c r="A61" s="1" t="s">
        <v>40</v>
      </c>
      <c r="B61">
        <v>0.25</v>
      </c>
      <c r="C61" t="s">
        <v>35</v>
      </c>
      <c r="D61" t="s">
        <v>45</v>
      </c>
      <c r="E61">
        <v>9</v>
      </c>
      <c r="F61" s="10">
        <v>45801.474999999999</v>
      </c>
      <c r="G61" s="19">
        <v>1592.0958713333334</v>
      </c>
      <c r="H61" s="1">
        <v>1845.825</v>
      </c>
      <c r="I61">
        <v>15.1593</v>
      </c>
      <c r="J61">
        <v>14.613799999999999</v>
      </c>
      <c r="K61">
        <v>96.4</v>
      </c>
      <c r="L61">
        <v>15.83</v>
      </c>
      <c r="M61">
        <v>389</v>
      </c>
      <c r="N61">
        <v>7.01</v>
      </c>
      <c r="O61">
        <v>0.37</v>
      </c>
      <c r="P61">
        <v>3.36</v>
      </c>
      <c r="Q61">
        <v>1.74</v>
      </c>
      <c r="R61">
        <v>6.69</v>
      </c>
      <c r="S61">
        <v>0.3</v>
      </c>
      <c r="T61">
        <v>7.07</v>
      </c>
      <c r="U61">
        <v>49.6</v>
      </c>
      <c r="V61">
        <v>44.9</v>
      </c>
      <c r="W61">
        <v>7.82</v>
      </c>
      <c r="X61">
        <v>147.80000000000001</v>
      </c>
      <c r="Y61">
        <v>14.5</v>
      </c>
      <c r="Z61">
        <v>48.6</v>
      </c>
      <c r="AA61">
        <v>43.3</v>
      </c>
      <c r="AB61" s="12">
        <v>7.08</v>
      </c>
      <c r="AC61" s="1">
        <v>0</v>
      </c>
      <c r="AD61" s="32">
        <v>0.19469999999999998</v>
      </c>
      <c r="AE61" s="12">
        <v>194.7</v>
      </c>
      <c r="AF61" s="1">
        <v>190</v>
      </c>
      <c r="AG61">
        <v>36.5</v>
      </c>
      <c r="AH61">
        <v>7.1</v>
      </c>
      <c r="AI61" s="12">
        <v>40</v>
      </c>
    </row>
    <row r="62" spans="1:35" ht="15" thickBot="1" x14ac:dyDescent="0.35">
      <c r="A62" s="4" t="s">
        <v>41</v>
      </c>
      <c r="B62" s="5">
        <v>0.25</v>
      </c>
      <c r="C62" s="5" t="s">
        <v>35</v>
      </c>
      <c r="D62" s="5" t="s">
        <v>45</v>
      </c>
      <c r="E62" s="5">
        <v>9</v>
      </c>
      <c r="F62" s="11">
        <v>45801.479861111111</v>
      </c>
      <c r="G62" s="22">
        <v>1592.0958713333334</v>
      </c>
      <c r="H62" s="4">
        <v>1610.5350000000001</v>
      </c>
      <c r="I62" s="5">
        <v>14.285</v>
      </c>
      <c r="J62" s="5">
        <v>14.029500000000001</v>
      </c>
      <c r="K62" s="5">
        <v>98.2</v>
      </c>
      <c r="L62" s="5">
        <v>16.440000000000001</v>
      </c>
      <c r="M62" s="5">
        <v>399</v>
      </c>
      <c r="N62" s="5">
        <v>3.38</v>
      </c>
      <c r="O62" s="5">
        <v>0.36</v>
      </c>
      <c r="P62" s="5">
        <v>3.89</v>
      </c>
      <c r="Q62" s="5">
        <v>1.53</v>
      </c>
      <c r="R62" s="5">
        <v>5.98</v>
      </c>
      <c r="S62" s="5">
        <v>0.51</v>
      </c>
      <c r="T62" s="5">
        <v>7.35</v>
      </c>
      <c r="U62" s="5">
        <v>48.5</v>
      </c>
      <c r="V62" s="5">
        <v>55.4</v>
      </c>
      <c r="W62" s="5">
        <v>6.71</v>
      </c>
      <c r="X62" s="5">
        <v>155.80000000000001</v>
      </c>
      <c r="Y62" s="5">
        <v>26.6</v>
      </c>
      <c r="Z62" s="5">
        <v>44.5</v>
      </c>
      <c r="AA62" s="5">
        <v>48.3</v>
      </c>
      <c r="AB62" s="14">
        <v>7.38</v>
      </c>
      <c r="AC62" s="4">
        <v>0</v>
      </c>
      <c r="AD62" s="5">
        <v>0.19362000000000001</v>
      </c>
      <c r="AE62" s="14">
        <v>193.62</v>
      </c>
      <c r="AF62" s="4">
        <v>190</v>
      </c>
      <c r="AG62" s="5">
        <v>35</v>
      </c>
      <c r="AH62" s="5">
        <v>7.45</v>
      </c>
      <c r="AI62" s="14">
        <v>40</v>
      </c>
    </row>
    <row r="63" spans="1:35" x14ac:dyDescent="0.3">
      <c r="A63" s="1" t="s">
        <v>36</v>
      </c>
      <c r="B63">
        <v>0.25</v>
      </c>
      <c r="C63" t="s">
        <v>34</v>
      </c>
      <c r="D63" t="s">
        <v>45</v>
      </c>
      <c r="E63">
        <v>10</v>
      </c>
      <c r="F63" s="10">
        <v>45802.454861111109</v>
      </c>
      <c r="G63" s="19">
        <v>2151.9790066666669</v>
      </c>
      <c r="H63" s="1">
        <v>607.76670000000001</v>
      </c>
      <c r="I63">
        <v>3.9413</v>
      </c>
      <c r="J63">
        <v>3.3426</v>
      </c>
      <c r="K63">
        <v>84.8</v>
      </c>
      <c r="L63">
        <v>16.27</v>
      </c>
      <c r="M63">
        <v>449</v>
      </c>
      <c r="N63">
        <v>9.35</v>
      </c>
      <c r="O63">
        <v>0.42</v>
      </c>
      <c r="P63">
        <v>4.71</v>
      </c>
      <c r="Q63">
        <v>2.35</v>
      </c>
      <c r="R63">
        <v>6.42</v>
      </c>
      <c r="S63">
        <v>0.21</v>
      </c>
      <c r="T63">
        <v>6.86</v>
      </c>
      <c r="U63">
        <v>165.6</v>
      </c>
      <c r="V63">
        <v>80.400000000000006</v>
      </c>
      <c r="W63">
        <v>10.69</v>
      </c>
      <c r="X63">
        <v>151.5</v>
      </c>
      <c r="Y63">
        <v>29</v>
      </c>
      <c r="Z63">
        <v>151.69999999999999</v>
      </c>
      <c r="AA63">
        <v>70.5</v>
      </c>
      <c r="AB63" s="12">
        <v>6.89</v>
      </c>
      <c r="AC63" s="1">
        <v>7.6</v>
      </c>
      <c r="AD63" s="32">
        <v>0.1923</v>
      </c>
      <c r="AE63" s="12">
        <v>192.3</v>
      </c>
      <c r="AF63" s="1">
        <v>190</v>
      </c>
      <c r="AG63">
        <v>35</v>
      </c>
      <c r="AH63">
        <v>6.75</v>
      </c>
      <c r="AI63" s="12">
        <v>40</v>
      </c>
    </row>
    <row r="64" spans="1:35" x14ac:dyDescent="0.3">
      <c r="A64" s="1" t="s">
        <v>37</v>
      </c>
      <c r="B64">
        <v>0.25</v>
      </c>
      <c r="C64" t="s">
        <v>34</v>
      </c>
      <c r="D64" t="s">
        <v>45</v>
      </c>
      <c r="E64">
        <v>10</v>
      </c>
      <c r="F64" s="10">
        <v>45802.459027777775</v>
      </c>
      <c r="G64" s="19">
        <v>2151.9790066666669</v>
      </c>
      <c r="H64" s="1">
        <v>1141.143</v>
      </c>
      <c r="I64">
        <v>9.6468000000000007</v>
      </c>
      <c r="J64">
        <v>9.4257000000000009</v>
      </c>
      <c r="K64">
        <v>97.7</v>
      </c>
      <c r="L64">
        <v>17.48</v>
      </c>
      <c r="M64">
        <v>478</v>
      </c>
      <c r="N64">
        <v>4.0999999999999996</v>
      </c>
      <c r="O64">
        <v>0.35</v>
      </c>
      <c r="P64">
        <v>3.76</v>
      </c>
      <c r="Q64">
        <v>2.31</v>
      </c>
      <c r="R64">
        <v>6.75</v>
      </c>
      <c r="S64">
        <v>2.52</v>
      </c>
      <c r="T64">
        <v>7.33</v>
      </c>
      <c r="U64">
        <v>56.3</v>
      </c>
      <c r="V64">
        <v>60.3</v>
      </c>
      <c r="W64">
        <v>8.64</v>
      </c>
      <c r="X64">
        <v>185.8</v>
      </c>
      <c r="Y64">
        <v>29.2</v>
      </c>
      <c r="Z64">
        <v>51.6</v>
      </c>
      <c r="AA64">
        <v>52.6</v>
      </c>
      <c r="AB64" s="12">
        <v>7.36</v>
      </c>
      <c r="AC64" s="1">
        <v>11.4</v>
      </c>
      <c r="AD64" s="32">
        <v>0.21054</v>
      </c>
      <c r="AE64" s="12">
        <v>210.54</v>
      </c>
      <c r="AF64" s="1">
        <v>190</v>
      </c>
      <c r="AG64">
        <v>35</v>
      </c>
      <c r="AH64">
        <v>7.45</v>
      </c>
      <c r="AI64" s="12">
        <v>40</v>
      </c>
    </row>
    <row r="65" spans="1:35" x14ac:dyDescent="0.3">
      <c r="A65" s="1" t="s">
        <v>38</v>
      </c>
      <c r="B65">
        <v>0.25</v>
      </c>
      <c r="C65" t="s">
        <v>34</v>
      </c>
      <c r="D65" t="s">
        <v>45</v>
      </c>
      <c r="E65">
        <v>10</v>
      </c>
      <c r="F65" s="10">
        <v>45802.463194444441</v>
      </c>
      <c r="G65" s="19">
        <v>2151.9790066666669</v>
      </c>
      <c r="H65" s="1">
        <v>675.95309999999995</v>
      </c>
      <c r="I65">
        <v>6.5037000000000003</v>
      </c>
      <c r="J65">
        <v>5.8685</v>
      </c>
      <c r="K65">
        <v>90.2</v>
      </c>
      <c r="L65">
        <v>15.55</v>
      </c>
      <c r="M65">
        <v>485</v>
      </c>
      <c r="N65">
        <v>12.07</v>
      </c>
      <c r="O65">
        <v>0.39</v>
      </c>
      <c r="P65">
        <v>3.27</v>
      </c>
      <c r="Q65">
        <v>2.79</v>
      </c>
      <c r="R65">
        <v>8.1</v>
      </c>
      <c r="S65">
        <v>0.28000000000000003</v>
      </c>
      <c r="T65">
        <v>6.86</v>
      </c>
      <c r="U65">
        <v>123.8</v>
      </c>
      <c r="V65">
        <v>77</v>
      </c>
      <c r="W65">
        <v>12.67</v>
      </c>
      <c r="X65">
        <v>161.6</v>
      </c>
      <c r="Y65">
        <v>22.9</v>
      </c>
      <c r="Z65">
        <v>129.30000000000001</v>
      </c>
      <c r="AA65">
        <v>82.3</v>
      </c>
      <c r="AB65" s="12">
        <v>6.85</v>
      </c>
      <c r="AC65" s="1">
        <v>11.4</v>
      </c>
      <c r="AD65" s="32">
        <v>0.20788999999999999</v>
      </c>
      <c r="AE65" s="12">
        <v>207.89</v>
      </c>
      <c r="AF65" s="1">
        <v>190</v>
      </c>
      <c r="AG65">
        <v>38</v>
      </c>
      <c r="AH65">
        <v>6.75</v>
      </c>
      <c r="AI65" s="12">
        <v>40</v>
      </c>
    </row>
    <row r="66" spans="1:35" x14ac:dyDescent="0.3">
      <c r="A66" s="1" t="s">
        <v>39</v>
      </c>
      <c r="B66">
        <v>0.25</v>
      </c>
      <c r="C66" t="s">
        <v>35</v>
      </c>
      <c r="D66" t="s">
        <v>45</v>
      </c>
      <c r="E66">
        <v>10</v>
      </c>
      <c r="F66" s="10">
        <v>45802.468055555553</v>
      </c>
      <c r="G66" s="19">
        <v>2151.9790066666669</v>
      </c>
      <c r="H66" s="1">
        <v>2114.8649999999998</v>
      </c>
      <c r="I66">
        <v>15.581300000000001</v>
      </c>
      <c r="J66">
        <v>14.7372</v>
      </c>
      <c r="K66">
        <v>94.6</v>
      </c>
      <c r="L66">
        <v>16</v>
      </c>
      <c r="M66">
        <v>383</v>
      </c>
      <c r="N66">
        <v>7.25</v>
      </c>
      <c r="O66">
        <v>0.36</v>
      </c>
      <c r="P66">
        <v>3.22</v>
      </c>
      <c r="Q66">
        <v>1.53</v>
      </c>
      <c r="R66">
        <v>6.61</v>
      </c>
      <c r="S66">
        <v>0.28000000000000003</v>
      </c>
      <c r="T66">
        <v>7.1</v>
      </c>
      <c r="U66">
        <v>39.4</v>
      </c>
      <c r="V66">
        <v>48.9</v>
      </c>
      <c r="W66">
        <v>7.68</v>
      </c>
      <c r="X66">
        <v>145</v>
      </c>
      <c r="Y66">
        <v>12.1</v>
      </c>
      <c r="Z66">
        <v>38.6</v>
      </c>
      <c r="AA66">
        <v>47.3</v>
      </c>
      <c r="AB66" s="12">
        <v>7.1</v>
      </c>
      <c r="AC66" s="1">
        <v>9.5</v>
      </c>
      <c r="AD66" s="32">
        <v>0.19563999999999998</v>
      </c>
      <c r="AE66" s="12">
        <v>195.64</v>
      </c>
      <c r="AF66" s="1">
        <v>190</v>
      </c>
      <c r="AG66">
        <v>36.5</v>
      </c>
      <c r="AH66">
        <v>7.1</v>
      </c>
      <c r="AI66" s="12">
        <v>40</v>
      </c>
    </row>
    <row r="67" spans="1:35" x14ac:dyDescent="0.3">
      <c r="A67" s="1" t="s">
        <v>40</v>
      </c>
      <c r="B67">
        <v>0.25</v>
      </c>
      <c r="C67" t="s">
        <v>35</v>
      </c>
      <c r="D67" t="s">
        <v>45</v>
      </c>
      <c r="E67">
        <v>10</v>
      </c>
      <c r="F67" s="10">
        <v>45802.472222222219</v>
      </c>
      <c r="G67" s="19">
        <v>2151.9790066666669</v>
      </c>
      <c r="H67" s="1">
        <v>2142.0300000000002</v>
      </c>
      <c r="I67">
        <v>15.333</v>
      </c>
      <c r="J67">
        <v>14.5291</v>
      </c>
      <c r="K67">
        <v>94.8</v>
      </c>
      <c r="L67">
        <v>15.99</v>
      </c>
      <c r="M67">
        <v>385</v>
      </c>
      <c r="N67">
        <v>7.25</v>
      </c>
      <c r="O67">
        <v>0.36</v>
      </c>
      <c r="P67">
        <v>3.16</v>
      </c>
      <c r="Q67">
        <v>1.58</v>
      </c>
      <c r="R67">
        <v>6.58</v>
      </c>
      <c r="S67">
        <v>0.3</v>
      </c>
      <c r="T67">
        <v>7.11</v>
      </c>
      <c r="U67">
        <v>39.299999999999997</v>
      </c>
      <c r="V67">
        <v>50.2</v>
      </c>
      <c r="W67">
        <v>7.65</v>
      </c>
      <c r="X67">
        <v>145.5</v>
      </c>
      <c r="Y67">
        <v>12.6</v>
      </c>
      <c r="Z67">
        <v>38.5</v>
      </c>
      <c r="AA67">
        <v>48.4</v>
      </c>
      <c r="AB67" s="12">
        <v>7.12</v>
      </c>
      <c r="AC67" s="1">
        <v>9.5</v>
      </c>
      <c r="AD67" s="32">
        <v>0.19494999999999998</v>
      </c>
      <c r="AE67" s="12">
        <v>194.95</v>
      </c>
      <c r="AF67" s="1">
        <v>190</v>
      </c>
      <c r="AG67">
        <v>36.5</v>
      </c>
      <c r="AH67">
        <v>7.1</v>
      </c>
      <c r="AI67" s="12">
        <v>40</v>
      </c>
    </row>
    <row r="68" spans="1:35" ht="15" thickBot="1" x14ac:dyDescent="0.35">
      <c r="A68" s="1" t="s">
        <v>41</v>
      </c>
      <c r="B68">
        <v>0.25</v>
      </c>
      <c r="C68" t="s">
        <v>35</v>
      </c>
      <c r="D68" t="s">
        <v>45</v>
      </c>
      <c r="E68">
        <v>10</v>
      </c>
      <c r="F68" s="10">
        <v>45802.476388888892</v>
      </c>
      <c r="G68" s="19">
        <v>2151.9790066666669</v>
      </c>
      <c r="H68" s="1">
        <v>2112.06</v>
      </c>
      <c r="I68">
        <v>13.020300000000001</v>
      </c>
      <c r="J68">
        <v>12.66</v>
      </c>
      <c r="K68">
        <v>97.2</v>
      </c>
      <c r="L68">
        <v>16.72</v>
      </c>
      <c r="M68">
        <v>389</v>
      </c>
      <c r="N68">
        <v>3.73</v>
      </c>
      <c r="O68">
        <v>0.35</v>
      </c>
      <c r="P68">
        <v>3.83</v>
      </c>
      <c r="Q68">
        <v>1.53</v>
      </c>
      <c r="R68">
        <v>6.06</v>
      </c>
      <c r="S68">
        <v>0.28000000000000003</v>
      </c>
      <c r="T68">
        <v>7.45</v>
      </c>
      <c r="U68">
        <v>41.3</v>
      </c>
      <c r="V68">
        <v>55.9</v>
      </c>
      <c r="W68">
        <v>6.64</v>
      </c>
      <c r="X68">
        <v>157.9</v>
      </c>
      <c r="Y68">
        <v>28.6</v>
      </c>
      <c r="Z68">
        <v>37.799999999999997</v>
      </c>
      <c r="AA68">
        <v>48.6</v>
      </c>
      <c r="AB68" s="12">
        <v>7.48</v>
      </c>
      <c r="AC68" s="1">
        <v>7.6</v>
      </c>
      <c r="AD68" s="32">
        <v>0.19359000000000001</v>
      </c>
      <c r="AE68" s="12">
        <v>193.59</v>
      </c>
      <c r="AF68" s="1">
        <v>190</v>
      </c>
      <c r="AG68">
        <v>35</v>
      </c>
      <c r="AH68">
        <v>7.45</v>
      </c>
      <c r="AI68" s="12">
        <v>40</v>
      </c>
    </row>
    <row r="69" spans="1:35" x14ac:dyDescent="0.3">
      <c r="A69" s="2" t="s">
        <v>36</v>
      </c>
      <c r="B69" s="3">
        <v>0.25</v>
      </c>
      <c r="C69" s="3" t="s">
        <v>34</v>
      </c>
      <c r="D69" s="3" t="s">
        <v>45</v>
      </c>
      <c r="E69" s="3">
        <v>11</v>
      </c>
      <c r="F69" s="9">
        <v>45803.454861111109</v>
      </c>
      <c r="G69" s="21">
        <v>2589.1378500000001</v>
      </c>
      <c r="H69" s="2">
        <v>691.4556</v>
      </c>
      <c r="I69" s="3">
        <v>4.1896000000000004</v>
      </c>
      <c r="J69" s="3">
        <v>3.5221</v>
      </c>
      <c r="K69" s="3">
        <v>84.1</v>
      </c>
      <c r="L69" s="3">
        <v>16.510000000000002</v>
      </c>
      <c r="M69" s="3">
        <v>446</v>
      </c>
      <c r="N69" s="3">
        <v>10.41</v>
      </c>
      <c r="O69" s="3">
        <v>0.42</v>
      </c>
      <c r="P69" s="3">
        <v>4.05</v>
      </c>
      <c r="Q69" s="3">
        <v>2.39</v>
      </c>
      <c r="R69" s="3">
        <v>6.58</v>
      </c>
      <c r="S69" s="3">
        <v>0.21</v>
      </c>
      <c r="T69" s="3">
        <v>6.88</v>
      </c>
      <c r="U69" s="3">
        <v>166</v>
      </c>
      <c r="V69" s="3">
        <v>85.7</v>
      </c>
      <c r="W69" s="3">
        <v>10.59</v>
      </c>
      <c r="X69" s="3">
        <v>150.69999999999999</v>
      </c>
      <c r="Y69" s="3">
        <v>29.9</v>
      </c>
      <c r="Z69" s="3">
        <v>152.1</v>
      </c>
      <c r="AA69" s="3">
        <v>75.400000000000006</v>
      </c>
      <c r="AB69" s="13">
        <v>6.9</v>
      </c>
      <c r="AC69" s="2">
        <v>0</v>
      </c>
      <c r="AD69" s="3">
        <v>0.18947999999999998</v>
      </c>
      <c r="AE69" s="13">
        <v>189.48</v>
      </c>
      <c r="AF69" s="2">
        <v>190</v>
      </c>
      <c r="AG69" s="3">
        <v>35</v>
      </c>
      <c r="AH69" s="3">
        <v>6.75</v>
      </c>
      <c r="AI69" s="13">
        <v>40</v>
      </c>
    </row>
    <row r="70" spans="1:35" x14ac:dyDescent="0.3">
      <c r="A70" s="1" t="s">
        <v>37</v>
      </c>
      <c r="B70">
        <v>0.25</v>
      </c>
      <c r="C70" t="s">
        <v>34</v>
      </c>
      <c r="D70" t="s">
        <v>45</v>
      </c>
      <c r="E70">
        <v>11</v>
      </c>
      <c r="F70" s="10">
        <v>45803.4375</v>
      </c>
      <c r="G70" s="19">
        <v>2589.1378500000001</v>
      </c>
      <c r="H70" s="1">
        <v>1377.3030000000001</v>
      </c>
      <c r="I70">
        <v>9.6496999999999993</v>
      </c>
      <c r="J70">
        <v>9.3841000000000001</v>
      </c>
      <c r="K70">
        <v>97.2</v>
      </c>
      <c r="L70">
        <v>17.82</v>
      </c>
      <c r="M70">
        <v>505</v>
      </c>
      <c r="N70">
        <v>4.32</v>
      </c>
      <c r="O70">
        <v>0.35</v>
      </c>
      <c r="P70">
        <v>3.53</v>
      </c>
      <c r="Q70">
        <v>2.2999999999999998</v>
      </c>
      <c r="R70">
        <v>8.07</v>
      </c>
      <c r="S70">
        <v>2.3199999999999998</v>
      </c>
      <c r="T70">
        <v>7.32</v>
      </c>
      <c r="U70">
        <v>44.3</v>
      </c>
      <c r="V70">
        <v>52.8</v>
      </c>
      <c r="W70">
        <v>10.210000000000001</v>
      </c>
      <c r="X70">
        <v>194</v>
      </c>
      <c r="Y70">
        <v>22.6</v>
      </c>
      <c r="Z70">
        <v>40.6</v>
      </c>
      <c r="AA70">
        <v>45.9</v>
      </c>
      <c r="AB70" s="12">
        <v>7.35</v>
      </c>
      <c r="AC70" s="1">
        <v>0</v>
      </c>
      <c r="AD70" s="32">
        <v>0.22028999999999999</v>
      </c>
      <c r="AE70" s="12">
        <v>220.29</v>
      </c>
      <c r="AF70" s="1">
        <v>190</v>
      </c>
      <c r="AG70">
        <v>35</v>
      </c>
      <c r="AH70">
        <v>7.45</v>
      </c>
      <c r="AI70" s="12">
        <v>40</v>
      </c>
    </row>
    <row r="71" spans="1:35" x14ac:dyDescent="0.3">
      <c r="A71" s="1" t="s">
        <v>38</v>
      </c>
      <c r="B71">
        <v>0.25</v>
      </c>
      <c r="C71" t="s">
        <v>34</v>
      </c>
      <c r="D71" t="s">
        <v>45</v>
      </c>
      <c r="E71">
        <v>11</v>
      </c>
      <c r="F71" s="10">
        <v>45803.459027777775</v>
      </c>
      <c r="G71" s="19">
        <v>2589.1378500000001</v>
      </c>
      <c r="H71" s="1">
        <v>730.26210000000003</v>
      </c>
      <c r="I71">
        <v>6.8360000000000003</v>
      </c>
      <c r="J71">
        <v>6.1052999999999997</v>
      </c>
      <c r="K71">
        <v>89.3</v>
      </c>
      <c r="L71">
        <v>15.48</v>
      </c>
      <c r="M71">
        <v>490</v>
      </c>
      <c r="N71">
        <v>13.28</v>
      </c>
      <c r="O71">
        <v>0.39</v>
      </c>
      <c r="P71">
        <v>4.55</v>
      </c>
      <c r="Q71">
        <v>2.92</v>
      </c>
      <c r="R71">
        <v>8.48</v>
      </c>
      <c r="S71">
        <v>0.42</v>
      </c>
      <c r="T71">
        <v>6.9</v>
      </c>
      <c r="U71">
        <v>95.4</v>
      </c>
      <c r="V71">
        <v>77.5</v>
      </c>
      <c r="W71">
        <v>12.58</v>
      </c>
      <c r="X71">
        <v>160.30000000000001</v>
      </c>
      <c r="Y71">
        <v>19.2</v>
      </c>
      <c r="Z71">
        <v>99.7</v>
      </c>
      <c r="AA71">
        <v>82.8</v>
      </c>
      <c r="AB71" s="12">
        <v>6.89</v>
      </c>
      <c r="AC71" s="1">
        <v>0</v>
      </c>
      <c r="AD71" s="32">
        <v>0.20648</v>
      </c>
      <c r="AE71" s="12">
        <v>206.48</v>
      </c>
      <c r="AF71" s="1">
        <v>190</v>
      </c>
      <c r="AG71">
        <v>38</v>
      </c>
      <c r="AH71">
        <v>6.75</v>
      </c>
      <c r="AI71" s="12">
        <v>40</v>
      </c>
    </row>
    <row r="72" spans="1:35" x14ac:dyDescent="0.3">
      <c r="A72" s="1" t="s">
        <v>39</v>
      </c>
      <c r="B72">
        <v>0.25</v>
      </c>
      <c r="C72" t="s">
        <v>35</v>
      </c>
      <c r="D72" t="s">
        <v>45</v>
      </c>
      <c r="E72">
        <v>11</v>
      </c>
      <c r="F72" s="10">
        <v>45803.462500000001</v>
      </c>
      <c r="G72" s="19">
        <v>2589.1378500000001</v>
      </c>
      <c r="H72" s="1">
        <v>2270.895</v>
      </c>
      <c r="I72">
        <v>14.646800000000001</v>
      </c>
      <c r="J72">
        <v>13.376300000000001</v>
      </c>
      <c r="K72">
        <v>91.3</v>
      </c>
      <c r="L72">
        <v>16</v>
      </c>
      <c r="M72">
        <v>416</v>
      </c>
      <c r="N72">
        <v>9.08</v>
      </c>
      <c r="O72">
        <v>0.36</v>
      </c>
      <c r="P72">
        <v>3.26</v>
      </c>
      <c r="Q72">
        <v>1.95</v>
      </c>
      <c r="R72">
        <v>6.92</v>
      </c>
      <c r="S72">
        <v>0.28000000000000003</v>
      </c>
      <c r="T72">
        <v>7.02</v>
      </c>
      <c r="U72">
        <v>46.6</v>
      </c>
      <c r="V72">
        <v>54.7</v>
      </c>
      <c r="W72">
        <v>9.2200000000000006</v>
      </c>
      <c r="X72">
        <v>151.4</v>
      </c>
      <c r="Y72">
        <v>12</v>
      </c>
      <c r="Z72">
        <v>45.6</v>
      </c>
      <c r="AA72">
        <v>52.9</v>
      </c>
      <c r="AB72" s="12">
        <v>7.02</v>
      </c>
      <c r="AC72" s="1">
        <v>0</v>
      </c>
      <c r="AD72" s="32">
        <v>0.20371</v>
      </c>
      <c r="AE72" s="12">
        <v>203.71</v>
      </c>
      <c r="AF72" s="1">
        <v>190</v>
      </c>
      <c r="AG72">
        <v>36.5</v>
      </c>
      <c r="AH72">
        <v>7.1</v>
      </c>
      <c r="AI72" s="12">
        <v>40</v>
      </c>
    </row>
    <row r="73" spans="1:35" x14ac:dyDescent="0.3">
      <c r="A73" s="1" t="s">
        <v>40</v>
      </c>
      <c r="B73">
        <v>0.25</v>
      </c>
      <c r="C73" t="s">
        <v>35</v>
      </c>
      <c r="D73" t="s">
        <v>45</v>
      </c>
      <c r="E73">
        <v>11</v>
      </c>
      <c r="F73" s="10">
        <v>45803.466666666667</v>
      </c>
      <c r="G73" s="19">
        <v>2589.1378500000001</v>
      </c>
      <c r="H73" s="1">
        <v>2460.105</v>
      </c>
      <c r="I73">
        <v>14.5406</v>
      </c>
      <c r="J73">
        <v>13.364800000000001</v>
      </c>
      <c r="K73">
        <v>91.9</v>
      </c>
      <c r="L73">
        <v>15.96</v>
      </c>
      <c r="M73">
        <v>418</v>
      </c>
      <c r="N73">
        <v>9.0299999999999994</v>
      </c>
      <c r="O73">
        <v>0.36</v>
      </c>
      <c r="P73">
        <v>3.24</v>
      </c>
      <c r="Q73">
        <v>1.98</v>
      </c>
      <c r="R73">
        <v>6.94</v>
      </c>
      <c r="S73">
        <v>0.3</v>
      </c>
      <c r="T73">
        <v>7.02</v>
      </c>
      <c r="U73">
        <v>48.4</v>
      </c>
      <c r="V73">
        <v>48.3</v>
      </c>
      <c r="W73">
        <v>9.25</v>
      </c>
      <c r="X73">
        <v>152.19999999999999</v>
      </c>
      <c r="Y73">
        <v>12.6</v>
      </c>
      <c r="Z73">
        <v>47.4</v>
      </c>
      <c r="AA73">
        <v>46.8</v>
      </c>
      <c r="AB73" s="12">
        <v>7.03</v>
      </c>
      <c r="AC73" s="1">
        <v>0</v>
      </c>
      <c r="AD73" s="32">
        <v>0.20305000000000001</v>
      </c>
      <c r="AE73" s="12">
        <v>203.05</v>
      </c>
      <c r="AF73" s="1">
        <v>190</v>
      </c>
      <c r="AG73">
        <v>36.5</v>
      </c>
      <c r="AH73">
        <v>7.1</v>
      </c>
      <c r="AI73" s="12">
        <v>40</v>
      </c>
    </row>
    <row r="74" spans="1:35" ht="15" thickBot="1" x14ac:dyDescent="0.35">
      <c r="A74" s="4" t="s">
        <v>41</v>
      </c>
      <c r="B74" s="5">
        <v>0.25</v>
      </c>
      <c r="C74" s="5" t="s">
        <v>35</v>
      </c>
      <c r="D74" s="5" t="s">
        <v>45</v>
      </c>
      <c r="E74" s="5">
        <v>11</v>
      </c>
      <c r="F74" s="11">
        <v>45803.47152777778</v>
      </c>
      <c r="G74" s="22">
        <v>2589.1378500000001</v>
      </c>
      <c r="H74" s="4">
        <v>2309.4299999999998</v>
      </c>
      <c r="I74" s="5">
        <v>13.2486</v>
      </c>
      <c r="J74" s="5">
        <v>12.7332</v>
      </c>
      <c r="K74" s="5">
        <v>96.1</v>
      </c>
      <c r="L74" s="5">
        <v>17.100000000000001</v>
      </c>
      <c r="M74" s="5">
        <v>417</v>
      </c>
      <c r="N74" s="5">
        <v>5.81</v>
      </c>
      <c r="O74" s="5">
        <v>0.34</v>
      </c>
      <c r="P74" s="5">
        <v>3.64</v>
      </c>
      <c r="Q74" s="5">
        <v>1.85</v>
      </c>
      <c r="R74" s="5">
        <v>6.49</v>
      </c>
      <c r="S74" s="5">
        <v>0.28000000000000003</v>
      </c>
      <c r="T74" s="5">
        <v>7.38</v>
      </c>
      <c r="U74" s="5">
        <v>51.1</v>
      </c>
      <c r="V74" s="5">
        <v>51.1</v>
      </c>
      <c r="W74" s="5">
        <v>7.82</v>
      </c>
      <c r="X74" s="5">
        <v>161.5</v>
      </c>
      <c r="Y74" s="5">
        <v>30.1</v>
      </c>
      <c r="Z74" s="5">
        <v>46.8</v>
      </c>
      <c r="AA74" s="5">
        <v>44.5</v>
      </c>
      <c r="AB74" s="14">
        <v>7.41</v>
      </c>
      <c r="AC74" s="4">
        <v>0</v>
      </c>
      <c r="AD74" s="5">
        <v>0.19938999999999998</v>
      </c>
      <c r="AE74" s="14">
        <v>199.39</v>
      </c>
      <c r="AF74" s="4">
        <v>190</v>
      </c>
      <c r="AG74" s="5">
        <v>35</v>
      </c>
      <c r="AH74" s="5">
        <v>7.45</v>
      </c>
      <c r="AI74" s="14">
        <v>40</v>
      </c>
    </row>
    <row r="75" spans="1:35" x14ac:dyDescent="0.3">
      <c r="A75" s="1" t="s">
        <v>36</v>
      </c>
      <c r="B75">
        <v>0.25</v>
      </c>
      <c r="C75" t="s">
        <v>34</v>
      </c>
      <c r="D75" t="s">
        <v>45</v>
      </c>
      <c r="E75">
        <v>12</v>
      </c>
      <c r="F75" s="10">
        <v>45804.454861111109</v>
      </c>
      <c r="G75" s="19">
        <v>2951.6538500000006</v>
      </c>
      <c r="H75" s="1">
        <v>940.74829999999997</v>
      </c>
      <c r="I75">
        <v>3.9706999999999999</v>
      </c>
      <c r="J75">
        <v>3.052</v>
      </c>
      <c r="K75">
        <v>76.900000000000006</v>
      </c>
      <c r="L75">
        <v>16.13</v>
      </c>
      <c r="M75">
        <v>466</v>
      </c>
      <c r="N75">
        <v>11.55</v>
      </c>
      <c r="O75">
        <v>0.41</v>
      </c>
      <c r="P75">
        <v>3.37</v>
      </c>
      <c r="Q75">
        <v>2.71</v>
      </c>
      <c r="R75">
        <v>7.86</v>
      </c>
      <c r="S75">
        <v>0.21</v>
      </c>
      <c r="T75">
        <v>6.84</v>
      </c>
      <c r="U75">
        <v>176.2</v>
      </c>
      <c r="V75">
        <v>88.5</v>
      </c>
      <c r="W75">
        <v>11.8</v>
      </c>
      <c r="X75">
        <v>157.19999999999999</v>
      </c>
      <c r="Y75">
        <v>29.2</v>
      </c>
      <c r="Z75">
        <v>161.4</v>
      </c>
      <c r="AA75">
        <v>78</v>
      </c>
      <c r="AB75" s="12">
        <v>6.86</v>
      </c>
      <c r="AC75" s="1">
        <v>7.6</v>
      </c>
      <c r="AD75" s="32">
        <v>0.19427</v>
      </c>
      <c r="AE75" s="12">
        <v>194.27</v>
      </c>
      <c r="AF75" s="1">
        <v>190</v>
      </c>
      <c r="AG75">
        <v>35</v>
      </c>
      <c r="AH75">
        <v>6.75</v>
      </c>
      <c r="AI75" s="12">
        <v>40</v>
      </c>
    </row>
    <row r="76" spans="1:35" x14ac:dyDescent="0.3">
      <c r="A76" s="1" t="s">
        <v>37</v>
      </c>
      <c r="B76">
        <v>0.25</v>
      </c>
      <c r="C76" t="s">
        <v>34</v>
      </c>
      <c r="D76" t="s">
        <v>45</v>
      </c>
      <c r="E76">
        <v>12</v>
      </c>
      <c r="F76" s="10">
        <v>45804.459027777775</v>
      </c>
      <c r="G76" s="19">
        <v>2951.6538500000006</v>
      </c>
      <c r="H76" s="1">
        <v>2217.4650000000001</v>
      </c>
      <c r="I76">
        <v>10.832599999999999</v>
      </c>
      <c r="J76">
        <v>10.432</v>
      </c>
      <c r="K76">
        <v>96.3</v>
      </c>
      <c r="L76">
        <v>17.510000000000002</v>
      </c>
      <c r="M76">
        <v>499</v>
      </c>
      <c r="N76">
        <v>3.53</v>
      </c>
      <c r="O76">
        <v>0.34</v>
      </c>
      <c r="P76">
        <v>3.88</v>
      </c>
      <c r="Q76">
        <v>2.44</v>
      </c>
      <c r="R76">
        <v>8.69</v>
      </c>
      <c r="S76">
        <v>1.93</v>
      </c>
      <c r="T76">
        <v>7.37</v>
      </c>
      <c r="U76">
        <v>43.1</v>
      </c>
      <c r="V76">
        <v>61.1</v>
      </c>
      <c r="W76">
        <v>9.85</v>
      </c>
      <c r="X76">
        <v>191.4</v>
      </c>
      <c r="Y76">
        <v>24.4</v>
      </c>
      <c r="Z76">
        <v>39.5</v>
      </c>
      <c r="AA76">
        <v>53.2</v>
      </c>
      <c r="AB76" s="12">
        <v>7.4</v>
      </c>
      <c r="AC76" s="1">
        <v>11.4</v>
      </c>
      <c r="AD76" s="32">
        <v>0.21881</v>
      </c>
      <c r="AE76" s="12">
        <v>218.81</v>
      </c>
      <c r="AF76" s="1">
        <v>190</v>
      </c>
      <c r="AG76">
        <v>35</v>
      </c>
      <c r="AH76">
        <v>7.45</v>
      </c>
      <c r="AI76" s="12">
        <v>40</v>
      </c>
    </row>
    <row r="77" spans="1:35" x14ac:dyDescent="0.3">
      <c r="A77" s="1" t="s">
        <v>38</v>
      </c>
      <c r="B77">
        <v>0.25</v>
      </c>
      <c r="C77" t="s">
        <v>34</v>
      </c>
      <c r="D77" t="s">
        <v>45</v>
      </c>
      <c r="E77">
        <v>12</v>
      </c>
      <c r="F77" s="10">
        <v>45804.462500000001</v>
      </c>
      <c r="G77" s="19">
        <v>2951.6538500000006</v>
      </c>
      <c r="H77" s="1">
        <v>911.70119999999997</v>
      </c>
      <c r="I77">
        <v>7.8494999999999999</v>
      </c>
      <c r="J77">
        <v>6.6723999999999997</v>
      </c>
      <c r="K77">
        <v>85</v>
      </c>
      <c r="L77">
        <v>14.84</v>
      </c>
      <c r="M77">
        <v>516</v>
      </c>
      <c r="N77">
        <v>13.95</v>
      </c>
      <c r="O77">
        <v>0.38</v>
      </c>
      <c r="P77">
        <v>3.03</v>
      </c>
      <c r="Q77">
        <v>2.75</v>
      </c>
      <c r="R77">
        <v>11.08</v>
      </c>
      <c r="S77">
        <v>0.42</v>
      </c>
      <c r="T77">
        <v>6.87</v>
      </c>
      <c r="U77">
        <v>84.4</v>
      </c>
      <c r="V77">
        <v>81.3</v>
      </c>
      <c r="W77">
        <v>14.12</v>
      </c>
      <c r="X77">
        <v>167.2</v>
      </c>
      <c r="Y77">
        <v>15.8</v>
      </c>
      <c r="Z77">
        <v>88.2</v>
      </c>
      <c r="AA77">
        <v>86.8</v>
      </c>
      <c r="AB77" s="12">
        <v>6.86</v>
      </c>
      <c r="AC77" s="1">
        <v>11.4</v>
      </c>
      <c r="AD77" s="32">
        <v>0.21505000000000002</v>
      </c>
      <c r="AE77" s="12">
        <v>215.05</v>
      </c>
      <c r="AF77" s="1">
        <v>190</v>
      </c>
      <c r="AG77">
        <v>38</v>
      </c>
      <c r="AH77">
        <v>6.75</v>
      </c>
      <c r="AI77" s="12">
        <v>40</v>
      </c>
    </row>
    <row r="78" spans="1:35" x14ac:dyDescent="0.3">
      <c r="A78" s="1" t="s">
        <v>39</v>
      </c>
      <c r="B78">
        <v>0.25</v>
      </c>
      <c r="C78" t="s">
        <v>35</v>
      </c>
      <c r="D78" t="s">
        <v>45</v>
      </c>
      <c r="E78">
        <v>12</v>
      </c>
      <c r="F78" s="10">
        <v>45804.466666666667</v>
      </c>
      <c r="G78" s="19">
        <v>2951.6538500000006</v>
      </c>
      <c r="H78" s="1">
        <v>3221.9850000000001</v>
      </c>
      <c r="I78">
        <v>16.889099999999999</v>
      </c>
      <c r="J78">
        <v>14.906599999999999</v>
      </c>
      <c r="K78">
        <v>88.3</v>
      </c>
      <c r="L78">
        <v>15.42</v>
      </c>
      <c r="M78">
        <v>412</v>
      </c>
      <c r="N78">
        <v>9.7200000000000006</v>
      </c>
      <c r="O78">
        <v>0.35</v>
      </c>
      <c r="P78">
        <v>3.57</v>
      </c>
      <c r="Q78">
        <v>1.77</v>
      </c>
      <c r="R78">
        <v>8.19</v>
      </c>
      <c r="S78">
        <v>0.28000000000000003</v>
      </c>
      <c r="T78">
        <v>7.02</v>
      </c>
      <c r="U78">
        <v>38.200000000000003</v>
      </c>
      <c r="V78">
        <v>60.2</v>
      </c>
      <c r="W78">
        <v>9.34</v>
      </c>
      <c r="X78">
        <v>150.6</v>
      </c>
      <c r="Y78">
        <v>9.9</v>
      </c>
      <c r="Z78">
        <v>37.4</v>
      </c>
      <c r="AA78">
        <v>58.2</v>
      </c>
      <c r="AB78" s="12">
        <v>7.03</v>
      </c>
      <c r="AC78" s="1">
        <v>9.5</v>
      </c>
      <c r="AD78" s="32">
        <v>0.20225000000000001</v>
      </c>
      <c r="AE78" s="12">
        <v>202.25</v>
      </c>
      <c r="AF78" s="1">
        <v>190</v>
      </c>
      <c r="AG78">
        <v>36.5</v>
      </c>
      <c r="AH78">
        <v>7.1</v>
      </c>
      <c r="AI78" s="12">
        <v>40</v>
      </c>
    </row>
    <row r="79" spans="1:35" x14ac:dyDescent="0.3">
      <c r="A79" s="1" t="s">
        <v>40</v>
      </c>
      <c r="B79">
        <v>0.25</v>
      </c>
      <c r="C79" t="s">
        <v>35</v>
      </c>
      <c r="D79" t="s">
        <v>45</v>
      </c>
      <c r="E79">
        <v>12</v>
      </c>
      <c r="F79" s="10">
        <v>45804.47152777778</v>
      </c>
      <c r="G79" s="19">
        <v>2951.6538500000006</v>
      </c>
      <c r="H79" s="1">
        <v>3267.21</v>
      </c>
      <c r="I79">
        <v>16.5001</v>
      </c>
      <c r="J79">
        <v>14.5563</v>
      </c>
      <c r="K79">
        <v>88.2</v>
      </c>
      <c r="L79">
        <v>15.6</v>
      </c>
      <c r="M79">
        <v>414</v>
      </c>
      <c r="N79">
        <v>9.7799999999999994</v>
      </c>
      <c r="O79">
        <v>0.35</v>
      </c>
      <c r="P79">
        <v>3.51</v>
      </c>
      <c r="Q79">
        <v>1.83</v>
      </c>
      <c r="R79">
        <v>8.2100000000000009</v>
      </c>
      <c r="S79">
        <v>0.3</v>
      </c>
      <c r="T79">
        <v>7.03</v>
      </c>
      <c r="U79">
        <v>38.200000000000003</v>
      </c>
      <c r="V79">
        <v>55</v>
      </c>
      <c r="W79">
        <v>9.4</v>
      </c>
      <c r="X79">
        <v>152.19999999999999</v>
      </c>
      <c r="Y79">
        <v>10.199999999999999</v>
      </c>
      <c r="Z79">
        <v>37.5</v>
      </c>
      <c r="AA79">
        <v>53.3</v>
      </c>
      <c r="AB79" s="12">
        <v>7.04</v>
      </c>
      <c r="AC79" s="1">
        <v>9.5</v>
      </c>
      <c r="AD79" s="32">
        <v>0.2016</v>
      </c>
      <c r="AE79" s="12">
        <v>201.6</v>
      </c>
      <c r="AF79" s="1">
        <v>190</v>
      </c>
      <c r="AG79">
        <v>36.5</v>
      </c>
      <c r="AH79">
        <v>7.1</v>
      </c>
      <c r="AI79" s="12">
        <v>40</v>
      </c>
    </row>
    <row r="80" spans="1:35" ht="15" thickBot="1" x14ac:dyDescent="0.35">
      <c r="A80" s="1" t="s">
        <v>41</v>
      </c>
      <c r="B80">
        <v>0.25</v>
      </c>
      <c r="C80" t="s">
        <v>35</v>
      </c>
      <c r="D80" t="s">
        <v>45</v>
      </c>
      <c r="E80">
        <v>12</v>
      </c>
      <c r="F80" s="10">
        <v>45804.475694444445</v>
      </c>
      <c r="G80" s="19">
        <v>2951.6538500000006</v>
      </c>
      <c r="H80" s="1">
        <v>3155.01</v>
      </c>
      <c r="I80">
        <v>14.2233</v>
      </c>
      <c r="J80">
        <v>13.4625</v>
      </c>
      <c r="K80">
        <v>94.7</v>
      </c>
      <c r="L80">
        <v>16.8</v>
      </c>
      <c r="M80">
        <v>409</v>
      </c>
      <c r="N80">
        <v>6.07</v>
      </c>
      <c r="O80">
        <v>0.34</v>
      </c>
      <c r="P80">
        <v>3.65</v>
      </c>
      <c r="Q80">
        <v>1.7</v>
      </c>
      <c r="R80">
        <v>7.85</v>
      </c>
      <c r="S80">
        <v>0.28000000000000003</v>
      </c>
      <c r="T80">
        <v>7.42</v>
      </c>
      <c r="U80">
        <v>42.7</v>
      </c>
      <c r="V80">
        <v>64.7</v>
      </c>
      <c r="W80">
        <v>7.79</v>
      </c>
      <c r="X80">
        <v>162.6</v>
      </c>
      <c r="Y80">
        <v>27.6</v>
      </c>
      <c r="Z80">
        <v>39.1</v>
      </c>
      <c r="AA80">
        <v>56.4</v>
      </c>
      <c r="AB80" s="12">
        <v>7.45</v>
      </c>
      <c r="AC80" s="1">
        <v>7.6</v>
      </c>
      <c r="AD80" s="32">
        <v>0.19769999999999999</v>
      </c>
      <c r="AE80" s="12">
        <v>197.7</v>
      </c>
      <c r="AF80" s="1">
        <v>190</v>
      </c>
      <c r="AG80">
        <v>35</v>
      </c>
      <c r="AH80">
        <v>7.45</v>
      </c>
      <c r="AI80" s="12">
        <v>40</v>
      </c>
    </row>
    <row r="81" spans="1:35" x14ac:dyDescent="0.3">
      <c r="A81" s="2" t="s">
        <v>36</v>
      </c>
      <c r="B81" s="3">
        <v>0.25</v>
      </c>
      <c r="C81" s="3" t="s">
        <v>34</v>
      </c>
      <c r="D81" s="3" t="s">
        <v>45</v>
      </c>
      <c r="E81" s="3">
        <v>13</v>
      </c>
      <c r="F81" s="9">
        <v>45805.454861111109</v>
      </c>
      <c r="G81" s="21">
        <v>3102.8715999999999</v>
      </c>
      <c r="H81" s="2">
        <v>1051.8119999999999</v>
      </c>
      <c r="I81" s="3">
        <v>4.5865</v>
      </c>
      <c r="J81" s="3">
        <v>3.5931000000000002</v>
      </c>
      <c r="K81" s="3">
        <v>78.3</v>
      </c>
      <c r="L81" s="3">
        <v>16.239999999999998</v>
      </c>
      <c r="M81" s="3">
        <v>477</v>
      </c>
      <c r="N81" s="3">
        <v>12.1</v>
      </c>
      <c r="O81" s="3">
        <v>0.42</v>
      </c>
      <c r="P81" s="3">
        <v>5.1100000000000003</v>
      </c>
      <c r="Q81" s="3">
        <v>3.08</v>
      </c>
      <c r="R81" s="3">
        <v>7.84</v>
      </c>
      <c r="S81" s="3">
        <v>0.21</v>
      </c>
      <c r="T81" s="3">
        <v>6.85</v>
      </c>
      <c r="U81" s="3">
        <v>171</v>
      </c>
      <c r="V81" s="3">
        <v>83.8</v>
      </c>
      <c r="W81" s="3">
        <v>11.7</v>
      </c>
      <c r="X81" s="3">
        <v>155.5</v>
      </c>
      <c r="Y81" s="3">
        <v>29.2</v>
      </c>
      <c r="Z81" s="3">
        <v>156.6</v>
      </c>
      <c r="AA81" s="3">
        <v>73.599999999999994</v>
      </c>
      <c r="AB81" s="13">
        <v>6.88</v>
      </c>
      <c r="AC81" s="2">
        <v>0</v>
      </c>
      <c r="AD81" s="3">
        <v>0.19272</v>
      </c>
      <c r="AE81" s="13">
        <v>192.72</v>
      </c>
      <c r="AF81" s="2">
        <v>190</v>
      </c>
      <c r="AG81" s="3">
        <v>35</v>
      </c>
      <c r="AH81" s="3">
        <v>6.75</v>
      </c>
      <c r="AI81" s="13">
        <v>40</v>
      </c>
    </row>
    <row r="82" spans="1:35" x14ac:dyDescent="0.3">
      <c r="A82" s="1" t="s">
        <v>37</v>
      </c>
      <c r="B82">
        <v>0.25</v>
      </c>
      <c r="C82" t="s">
        <v>34</v>
      </c>
      <c r="D82" t="s">
        <v>45</v>
      </c>
      <c r="E82">
        <v>13</v>
      </c>
      <c r="F82" s="10">
        <v>45805.459027777775</v>
      </c>
      <c r="G82" s="19">
        <v>3102.8715999999999</v>
      </c>
      <c r="H82" s="1">
        <v>2497.8150000000001</v>
      </c>
      <c r="I82">
        <v>9.6510999999999996</v>
      </c>
      <c r="J82">
        <v>9.2462999999999997</v>
      </c>
      <c r="K82">
        <v>95.8</v>
      </c>
      <c r="L82">
        <v>18.32</v>
      </c>
      <c r="M82">
        <v>528</v>
      </c>
      <c r="N82">
        <v>4.17</v>
      </c>
      <c r="O82">
        <v>0.34</v>
      </c>
      <c r="P82">
        <v>3.6</v>
      </c>
      <c r="Q82">
        <v>3.02</v>
      </c>
      <c r="R82">
        <v>8.7799999999999994</v>
      </c>
      <c r="S82">
        <v>1.48</v>
      </c>
      <c r="T82">
        <v>7.3</v>
      </c>
      <c r="U82">
        <v>56.1</v>
      </c>
      <c r="V82">
        <v>55.1</v>
      </c>
      <c r="W82">
        <v>11.25</v>
      </c>
      <c r="X82">
        <v>194.6</v>
      </c>
      <c r="Y82">
        <v>27.4</v>
      </c>
      <c r="Z82">
        <v>51.4</v>
      </c>
      <c r="AA82">
        <v>47.9</v>
      </c>
      <c r="AB82" s="12">
        <v>7.33</v>
      </c>
      <c r="AC82" s="1">
        <v>0</v>
      </c>
      <c r="AD82" s="32">
        <v>0.22853999999999999</v>
      </c>
      <c r="AE82" s="12">
        <v>228.54</v>
      </c>
      <c r="AF82" s="1">
        <v>190</v>
      </c>
      <c r="AG82">
        <v>35</v>
      </c>
      <c r="AH82">
        <v>7.45</v>
      </c>
      <c r="AI82" s="12">
        <v>40</v>
      </c>
    </row>
    <row r="83" spans="1:35" x14ac:dyDescent="0.3">
      <c r="A83" s="1" t="s">
        <v>38</v>
      </c>
      <c r="B83">
        <v>0.25</v>
      </c>
      <c r="C83" t="s">
        <v>34</v>
      </c>
      <c r="D83" t="s">
        <v>45</v>
      </c>
      <c r="E83">
        <v>13</v>
      </c>
      <c r="F83" s="10">
        <v>45805.462500000001</v>
      </c>
      <c r="G83" s="19">
        <v>3102.8715999999999</v>
      </c>
      <c r="H83" s="1">
        <v>1064.423</v>
      </c>
      <c r="I83">
        <v>6.8784000000000001</v>
      </c>
      <c r="J83">
        <v>5.7393000000000001</v>
      </c>
      <c r="K83">
        <v>83.4</v>
      </c>
      <c r="L83">
        <v>15.39</v>
      </c>
      <c r="M83">
        <v>524</v>
      </c>
      <c r="N83">
        <v>14.44</v>
      </c>
      <c r="O83">
        <v>0.39</v>
      </c>
      <c r="P83">
        <v>4.43</v>
      </c>
      <c r="Q83">
        <v>3.36</v>
      </c>
      <c r="R83">
        <v>10.96</v>
      </c>
      <c r="S83">
        <v>0.71</v>
      </c>
      <c r="T83">
        <v>6.89</v>
      </c>
      <c r="U83">
        <v>57.3</v>
      </c>
      <c r="V83">
        <v>80.7</v>
      </c>
      <c r="W83">
        <v>14.1</v>
      </c>
      <c r="X83">
        <v>165.5</v>
      </c>
      <c r="Y83">
        <v>11.3</v>
      </c>
      <c r="Z83">
        <v>59.9</v>
      </c>
      <c r="AA83">
        <v>86.1</v>
      </c>
      <c r="AB83" s="12">
        <v>6.88</v>
      </c>
      <c r="AC83" s="1">
        <v>0</v>
      </c>
      <c r="AD83" s="32">
        <v>0.21383000000000002</v>
      </c>
      <c r="AE83" s="12">
        <v>213.83</v>
      </c>
      <c r="AF83" s="1">
        <v>190</v>
      </c>
      <c r="AG83">
        <v>38</v>
      </c>
      <c r="AH83">
        <v>6.75</v>
      </c>
      <c r="AI83" s="12">
        <v>40</v>
      </c>
    </row>
    <row r="84" spans="1:35" x14ac:dyDescent="0.3">
      <c r="A84" s="1" t="s">
        <v>39</v>
      </c>
      <c r="B84">
        <v>0.25</v>
      </c>
      <c r="C84" t="s">
        <v>35</v>
      </c>
      <c r="D84" t="s">
        <v>45</v>
      </c>
      <c r="E84">
        <v>13</v>
      </c>
      <c r="F84" s="10">
        <v>45805.466666666667</v>
      </c>
      <c r="G84" s="19">
        <v>3102.8715999999999</v>
      </c>
      <c r="H84" s="1">
        <v>3270.9450000000002</v>
      </c>
      <c r="I84">
        <v>14.4688</v>
      </c>
      <c r="J84">
        <v>12.225</v>
      </c>
      <c r="K84">
        <v>84.5</v>
      </c>
      <c r="L84">
        <v>15.48</v>
      </c>
      <c r="M84">
        <v>447</v>
      </c>
      <c r="N84">
        <v>11.31</v>
      </c>
      <c r="O84">
        <v>0.35</v>
      </c>
      <c r="P84">
        <v>3.44</v>
      </c>
      <c r="Q84">
        <v>2.56</v>
      </c>
      <c r="R84">
        <v>8.08</v>
      </c>
      <c r="S84">
        <v>0.28000000000000003</v>
      </c>
      <c r="T84">
        <v>6.96</v>
      </c>
      <c r="U84">
        <v>47.5</v>
      </c>
      <c r="V84">
        <v>62.5</v>
      </c>
      <c r="W84">
        <v>10.93</v>
      </c>
      <c r="X84">
        <v>155.9</v>
      </c>
      <c r="Y84">
        <v>10.6</v>
      </c>
      <c r="Z84">
        <v>46.6</v>
      </c>
      <c r="AA84">
        <v>60.6</v>
      </c>
      <c r="AB84" s="12">
        <v>6.96</v>
      </c>
      <c r="AC84" s="1">
        <v>0</v>
      </c>
      <c r="AD84" s="32">
        <v>0.21038999999999999</v>
      </c>
      <c r="AE84" s="12">
        <v>210.39</v>
      </c>
      <c r="AF84" s="1">
        <v>190</v>
      </c>
      <c r="AG84">
        <v>36.5</v>
      </c>
      <c r="AH84">
        <v>7.1</v>
      </c>
      <c r="AI84" s="12">
        <v>40</v>
      </c>
    </row>
    <row r="85" spans="1:35" x14ac:dyDescent="0.3">
      <c r="A85" s="1" t="s">
        <v>40</v>
      </c>
      <c r="B85">
        <v>0.25</v>
      </c>
      <c r="C85" t="s">
        <v>35</v>
      </c>
      <c r="D85" t="s">
        <v>45</v>
      </c>
      <c r="E85">
        <v>13</v>
      </c>
      <c r="F85" s="10">
        <v>45805.47152777778</v>
      </c>
      <c r="G85" s="19">
        <v>3102.8715999999999</v>
      </c>
      <c r="H85" s="1">
        <v>3291.03</v>
      </c>
      <c r="I85">
        <v>15.1191</v>
      </c>
      <c r="J85">
        <v>12.9055</v>
      </c>
      <c r="K85">
        <v>85.4</v>
      </c>
      <c r="L85">
        <v>15.4</v>
      </c>
      <c r="M85">
        <v>447</v>
      </c>
      <c r="N85">
        <v>11.43</v>
      </c>
      <c r="O85">
        <v>0.36</v>
      </c>
      <c r="P85">
        <v>3.45</v>
      </c>
      <c r="Q85">
        <v>2.58</v>
      </c>
      <c r="R85">
        <v>8.08</v>
      </c>
      <c r="S85">
        <v>0.3</v>
      </c>
      <c r="T85">
        <v>6.95</v>
      </c>
      <c r="U85">
        <v>47.5</v>
      </c>
      <c r="V85">
        <v>63.4</v>
      </c>
      <c r="W85">
        <v>11.04</v>
      </c>
      <c r="X85">
        <v>156.69999999999999</v>
      </c>
      <c r="Y85">
        <v>10.4</v>
      </c>
      <c r="Z85">
        <v>46.5</v>
      </c>
      <c r="AA85">
        <v>61.3</v>
      </c>
      <c r="AB85" s="12">
        <v>6.95</v>
      </c>
      <c r="AC85" s="1">
        <v>0</v>
      </c>
      <c r="AD85" s="32">
        <v>0.20957000000000001</v>
      </c>
      <c r="AE85" s="12">
        <v>209.57</v>
      </c>
      <c r="AF85" s="1">
        <v>190</v>
      </c>
      <c r="AG85">
        <v>36.5</v>
      </c>
      <c r="AH85">
        <v>7.1</v>
      </c>
      <c r="AI85" s="12">
        <v>40</v>
      </c>
    </row>
    <row r="86" spans="1:35" ht="15" thickBot="1" x14ac:dyDescent="0.35">
      <c r="A86" s="4" t="s">
        <v>41</v>
      </c>
      <c r="B86" s="5">
        <v>0.25</v>
      </c>
      <c r="C86" s="5" t="s">
        <v>35</v>
      </c>
      <c r="D86" s="5" t="s">
        <v>45</v>
      </c>
      <c r="E86" s="5">
        <v>13</v>
      </c>
      <c r="F86" s="11">
        <v>45805.475694444445</v>
      </c>
      <c r="G86" s="22">
        <v>3102.8715999999999</v>
      </c>
      <c r="H86" s="4">
        <v>3410.145</v>
      </c>
      <c r="I86" s="5">
        <v>12.639900000000001</v>
      </c>
      <c r="J86" s="5">
        <v>11.817299999999999</v>
      </c>
      <c r="K86" s="5">
        <v>93.5</v>
      </c>
      <c r="L86" s="5">
        <v>17.22</v>
      </c>
      <c r="M86" s="5">
        <v>431</v>
      </c>
      <c r="N86" s="5">
        <v>7.13</v>
      </c>
      <c r="O86" s="5">
        <v>0.34</v>
      </c>
      <c r="P86" s="5">
        <v>3.28</v>
      </c>
      <c r="Q86" s="5">
        <v>2.4300000000000002</v>
      </c>
      <c r="R86" s="5">
        <v>7.53</v>
      </c>
      <c r="S86" s="5">
        <v>0.28000000000000003</v>
      </c>
      <c r="T86" s="5">
        <v>7.58</v>
      </c>
      <c r="U86" s="5">
        <v>51</v>
      </c>
      <c r="V86" s="5">
        <v>64.7</v>
      </c>
      <c r="W86" s="5">
        <v>8.8800000000000008</v>
      </c>
      <c r="X86" s="5">
        <v>164.1</v>
      </c>
      <c r="Y86" s="5">
        <v>47.8</v>
      </c>
      <c r="Z86" s="5">
        <v>46.7</v>
      </c>
      <c r="AA86" s="5">
        <v>56.4</v>
      </c>
      <c r="AB86" s="14">
        <v>7.61</v>
      </c>
      <c r="AC86" s="4">
        <v>0</v>
      </c>
      <c r="AD86" s="5">
        <v>0.20361000000000001</v>
      </c>
      <c r="AE86" s="14">
        <v>203.61</v>
      </c>
      <c r="AF86" s="4">
        <v>190</v>
      </c>
      <c r="AG86" s="5">
        <v>35</v>
      </c>
      <c r="AH86" s="5">
        <v>7.45</v>
      </c>
      <c r="AI86" s="14">
        <v>40</v>
      </c>
    </row>
    <row r="87" spans="1:35" x14ac:dyDescent="0.3">
      <c r="A87" s="2" t="s">
        <v>36</v>
      </c>
      <c r="B87" s="3">
        <v>0.25</v>
      </c>
      <c r="C87" s="3" t="s">
        <v>34</v>
      </c>
      <c r="D87" s="3" t="s">
        <v>45</v>
      </c>
      <c r="E87" s="3">
        <v>14</v>
      </c>
      <c r="F87" s="9">
        <v>45806.456250000003</v>
      </c>
      <c r="G87" s="21">
        <v>3544.1503000000007</v>
      </c>
      <c r="H87" s="2">
        <v>1214.7909999999999</v>
      </c>
      <c r="I87" s="3">
        <v>4.4443999999999999</v>
      </c>
      <c r="J87" s="3">
        <v>3.4281000000000001</v>
      </c>
      <c r="K87" s="3">
        <v>77.099999999999994</v>
      </c>
      <c r="L87" s="3">
        <v>16.170000000000002</v>
      </c>
      <c r="M87" s="3">
        <v>471</v>
      </c>
      <c r="N87" s="3">
        <v>12.63</v>
      </c>
      <c r="O87" s="3">
        <v>0.44</v>
      </c>
      <c r="P87" s="3">
        <v>4.3899999999999997</v>
      </c>
      <c r="Q87" s="3">
        <v>3.57</v>
      </c>
      <c r="R87" s="3">
        <v>8.1</v>
      </c>
      <c r="S87" s="3">
        <v>0.21</v>
      </c>
      <c r="T87" s="3">
        <v>6.87</v>
      </c>
      <c r="U87" s="3">
        <v>162.6</v>
      </c>
      <c r="V87" s="3">
        <v>86.8</v>
      </c>
      <c r="W87" s="3">
        <v>11.81</v>
      </c>
      <c r="X87" s="3">
        <v>156.80000000000001</v>
      </c>
      <c r="Y87" s="3">
        <v>29</v>
      </c>
      <c r="Z87" s="3">
        <v>149</v>
      </c>
      <c r="AA87" s="3">
        <v>76.400000000000006</v>
      </c>
      <c r="AB87" s="13">
        <v>6.89</v>
      </c>
      <c r="AC87" s="2">
        <v>0</v>
      </c>
      <c r="AD87" s="3">
        <v>0.18809999999999999</v>
      </c>
      <c r="AE87" s="13">
        <v>188.1</v>
      </c>
      <c r="AF87" s="2">
        <v>190</v>
      </c>
      <c r="AG87" s="3">
        <v>35</v>
      </c>
      <c r="AH87" s="3">
        <v>6.75</v>
      </c>
      <c r="AI87" s="13">
        <v>40</v>
      </c>
    </row>
    <row r="88" spans="1:35" x14ac:dyDescent="0.3">
      <c r="A88" s="1" t="s">
        <v>37</v>
      </c>
      <c r="B88">
        <v>0.25</v>
      </c>
      <c r="C88" t="s">
        <v>34</v>
      </c>
      <c r="D88" t="s">
        <v>45</v>
      </c>
      <c r="E88">
        <v>14</v>
      </c>
      <c r="F88" s="10">
        <v>45806.461111111108</v>
      </c>
      <c r="G88" s="19">
        <v>3544.1503000000007</v>
      </c>
      <c r="H88" s="1">
        <v>2970.69</v>
      </c>
      <c r="I88">
        <v>10.114800000000001</v>
      </c>
      <c r="J88">
        <v>9.6611999999999991</v>
      </c>
      <c r="K88">
        <v>95.5</v>
      </c>
      <c r="L88">
        <v>18.3</v>
      </c>
      <c r="M88">
        <v>521</v>
      </c>
      <c r="N88">
        <v>3.99</v>
      </c>
      <c r="O88">
        <v>0.35</v>
      </c>
      <c r="P88">
        <v>3.62</v>
      </c>
      <c r="Q88">
        <v>3.56</v>
      </c>
      <c r="R88">
        <v>8.91</v>
      </c>
      <c r="S88">
        <v>1.28</v>
      </c>
      <c r="T88">
        <v>7.41</v>
      </c>
      <c r="U88">
        <v>43.1</v>
      </c>
      <c r="V88">
        <v>57.8</v>
      </c>
      <c r="W88">
        <v>11.07</v>
      </c>
      <c r="X88">
        <v>193.5</v>
      </c>
      <c r="Y88">
        <v>26.9</v>
      </c>
      <c r="Z88">
        <v>39.5</v>
      </c>
      <c r="AA88">
        <v>50.4</v>
      </c>
      <c r="AB88" s="12">
        <v>7.44</v>
      </c>
      <c r="AC88" s="1">
        <v>0</v>
      </c>
      <c r="AD88" s="32">
        <v>0.22525999999999999</v>
      </c>
      <c r="AE88" s="12">
        <v>225.26</v>
      </c>
      <c r="AF88" s="1">
        <v>190</v>
      </c>
      <c r="AG88">
        <v>35</v>
      </c>
      <c r="AH88">
        <v>7.45</v>
      </c>
      <c r="AI88" s="12">
        <v>40</v>
      </c>
    </row>
    <row r="89" spans="1:35" x14ac:dyDescent="0.3">
      <c r="A89" s="1" t="s">
        <v>38</v>
      </c>
      <c r="B89">
        <v>0.25</v>
      </c>
      <c r="C89" t="s">
        <v>34</v>
      </c>
      <c r="D89" t="s">
        <v>45</v>
      </c>
      <c r="E89">
        <v>14</v>
      </c>
      <c r="F89" s="10">
        <v>45806.46597222222</v>
      </c>
      <c r="G89" s="19">
        <v>3544.1503000000007</v>
      </c>
      <c r="H89" s="1">
        <v>1160.7049999999999</v>
      </c>
      <c r="I89">
        <v>6.5468000000000002</v>
      </c>
      <c r="J89">
        <v>5.2476000000000003</v>
      </c>
      <c r="K89">
        <v>80.2</v>
      </c>
      <c r="L89">
        <v>15.65</v>
      </c>
      <c r="M89">
        <v>517</v>
      </c>
      <c r="N89">
        <v>14.81</v>
      </c>
      <c r="O89">
        <v>0.41</v>
      </c>
      <c r="P89">
        <v>3.02</v>
      </c>
      <c r="Q89">
        <v>3.84</v>
      </c>
      <c r="R89">
        <v>11.33</v>
      </c>
      <c r="S89">
        <v>0.91</v>
      </c>
      <c r="T89">
        <v>6.87</v>
      </c>
      <c r="U89">
        <v>37.5</v>
      </c>
      <c r="V89">
        <v>83.2</v>
      </c>
      <c r="W89">
        <v>14.28</v>
      </c>
      <c r="X89">
        <v>166.8</v>
      </c>
      <c r="Y89">
        <v>7.1</v>
      </c>
      <c r="Z89">
        <v>39.1</v>
      </c>
      <c r="AA89">
        <v>88.8</v>
      </c>
      <c r="AB89" s="12">
        <v>6.86</v>
      </c>
      <c r="AC89" s="1">
        <v>0</v>
      </c>
      <c r="AD89" s="32">
        <v>0.20921000000000001</v>
      </c>
      <c r="AE89" s="12">
        <v>209.21</v>
      </c>
      <c r="AF89" s="1">
        <v>190</v>
      </c>
      <c r="AG89">
        <v>38</v>
      </c>
      <c r="AH89">
        <v>6.75</v>
      </c>
      <c r="AI89" s="12">
        <v>40</v>
      </c>
    </row>
    <row r="90" spans="1:35" x14ac:dyDescent="0.3">
      <c r="A90" s="1" t="s">
        <v>39</v>
      </c>
      <c r="B90">
        <v>0.25</v>
      </c>
      <c r="C90" t="s">
        <v>35</v>
      </c>
      <c r="D90" t="s">
        <v>45</v>
      </c>
      <c r="E90">
        <v>14</v>
      </c>
      <c r="F90" s="10">
        <v>45806.470833333333</v>
      </c>
      <c r="G90" s="19">
        <v>3544.1503000000007</v>
      </c>
      <c r="H90" s="1">
        <v>3577.32</v>
      </c>
      <c r="I90">
        <v>14.565</v>
      </c>
      <c r="J90">
        <v>11.851800000000001</v>
      </c>
      <c r="K90">
        <v>81.400000000000006</v>
      </c>
      <c r="L90">
        <v>15.35</v>
      </c>
      <c r="M90">
        <v>446</v>
      </c>
      <c r="N90">
        <v>11.7</v>
      </c>
      <c r="O90">
        <v>0.37</v>
      </c>
      <c r="P90">
        <v>3.77</v>
      </c>
      <c r="Q90">
        <v>2.98</v>
      </c>
      <c r="R90">
        <v>8.01</v>
      </c>
      <c r="S90">
        <v>0.28000000000000003</v>
      </c>
      <c r="T90">
        <v>6.97</v>
      </c>
      <c r="U90">
        <v>34.200000000000003</v>
      </c>
      <c r="V90">
        <v>71.2</v>
      </c>
      <c r="W90">
        <v>11.28</v>
      </c>
      <c r="X90">
        <v>155.19999999999999</v>
      </c>
      <c r="Y90">
        <v>7.9</v>
      </c>
      <c r="Z90">
        <v>33.5</v>
      </c>
      <c r="AA90">
        <v>69</v>
      </c>
      <c r="AB90" s="12">
        <v>6.97</v>
      </c>
      <c r="AC90" s="1">
        <v>0</v>
      </c>
      <c r="AD90" s="32">
        <v>0.20710000000000001</v>
      </c>
      <c r="AE90" s="12">
        <v>207.1</v>
      </c>
      <c r="AF90" s="1">
        <v>190</v>
      </c>
      <c r="AG90">
        <v>36.5</v>
      </c>
      <c r="AH90">
        <v>7.1</v>
      </c>
      <c r="AI90" s="12">
        <v>40</v>
      </c>
    </row>
    <row r="91" spans="1:35" x14ac:dyDescent="0.3">
      <c r="A91" s="1" t="s">
        <v>40</v>
      </c>
      <c r="B91">
        <v>0.25</v>
      </c>
      <c r="C91" t="s">
        <v>35</v>
      </c>
      <c r="D91" t="s">
        <v>45</v>
      </c>
      <c r="E91">
        <v>14</v>
      </c>
      <c r="F91" s="10">
        <v>45806.474999999999</v>
      </c>
      <c r="G91" s="19">
        <v>3544.1503000000007</v>
      </c>
      <c r="H91" s="1">
        <v>3276.87</v>
      </c>
      <c r="I91">
        <v>15.225300000000001</v>
      </c>
      <c r="J91">
        <v>12.481999999999999</v>
      </c>
      <c r="K91">
        <v>82</v>
      </c>
      <c r="L91">
        <v>15.3</v>
      </c>
      <c r="M91">
        <v>445</v>
      </c>
      <c r="N91">
        <v>11.75</v>
      </c>
      <c r="O91">
        <v>0.37</v>
      </c>
      <c r="P91">
        <v>3.72</v>
      </c>
      <c r="Q91">
        <v>2.95</v>
      </c>
      <c r="R91">
        <v>7.81</v>
      </c>
      <c r="S91">
        <v>0.3</v>
      </c>
      <c r="T91">
        <v>6.96</v>
      </c>
      <c r="U91">
        <v>34.299999999999997</v>
      </c>
      <c r="V91">
        <v>68.400000000000006</v>
      </c>
      <c r="W91">
        <v>11.1</v>
      </c>
      <c r="X91">
        <v>153.4</v>
      </c>
      <c r="Y91">
        <v>7.7</v>
      </c>
      <c r="Z91">
        <v>33.6</v>
      </c>
      <c r="AA91">
        <v>66.099999999999994</v>
      </c>
      <c r="AB91" s="12">
        <v>6.96</v>
      </c>
      <c r="AC91" s="1">
        <v>0</v>
      </c>
      <c r="AD91" s="32">
        <v>0.20627000000000001</v>
      </c>
      <c r="AE91" s="12">
        <v>206.27</v>
      </c>
      <c r="AF91" s="1">
        <v>190</v>
      </c>
      <c r="AG91">
        <v>36.5</v>
      </c>
      <c r="AH91">
        <v>7.1</v>
      </c>
      <c r="AI91" s="12">
        <v>40</v>
      </c>
    </row>
    <row r="92" spans="1:35" ht="15" thickBot="1" x14ac:dyDescent="0.35">
      <c r="A92" s="4" t="s">
        <v>41</v>
      </c>
      <c r="B92" s="5">
        <v>0.25</v>
      </c>
      <c r="C92" s="5" t="s">
        <v>35</v>
      </c>
      <c r="D92" s="5" t="s">
        <v>45</v>
      </c>
      <c r="E92" s="5">
        <v>14</v>
      </c>
      <c r="F92" s="11">
        <v>45806.479166666664</v>
      </c>
      <c r="G92" s="22">
        <v>3544.1503000000007</v>
      </c>
      <c r="H92" s="4">
        <v>3611.1149999999998</v>
      </c>
      <c r="I92" s="5">
        <v>12.760400000000001</v>
      </c>
      <c r="J92" s="5">
        <v>11.7004</v>
      </c>
      <c r="K92" s="5">
        <v>91.7</v>
      </c>
      <c r="L92" s="5">
        <v>16.95</v>
      </c>
      <c r="M92" s="5">
        <v>433</v>
      </c>
      <c r="N92" s="5">
        <v>7.45</v>
      </c>
      <c r="O92" s="5">
        <v>0.35</v>
      </c>
      <c r="P92" s="5">
        <v>3.74</v>
      </c>
      <c r="Q92" s="5">
        <v>2.93</v>
      </c>
      <c r="R92" s="5">
        <v>7.39</v>
      </c>
      <c r="S92" s="5">
        <v>0.28000000000000003</v>
      </c>
      <c r="T92" s="5">
        <v>7.28</v>
      </c>
      <c r="U92" s="5">
        <v>49.1</v>
      </c>
      <c r="V92" s="5">
        <v>72.3</v>
      </c>
      <c r="W92" s="5">
        <v>9.02</v>
      </c>
      <c r="X92" s="5">
        <v>164.7</v>
      </c>
      <c r="Y92" s="5">
        <v>22.6</v>
      </c>
      <c r="Z92" s="5">
        <v>45</v>
      </c>
      <c r="AA92" s="5">
        <v>63.3</v>
      </c>
      <c r="AB92" s="14">
        <v>7.31</v>
      </c>
      <c r="AC92" s="4">
        <v>0</v>
      </c>
      <c r="AD92" s="5">
        <v>0.20033999999999999</v>
      </c>
      <c r="AE92" s="14">
        <v>200.34</v>
      </c>
      <c r="AF92" s="4">
        <v>190</v>
      </c>
      <c r="AG92" s="5">
        <v>35</v>
      </c>
      <c r="AH92" s="5">
        <v>7.45</v>
      </c>
      <c r="AI92" s="14">
        <v>40</v>
      </c>
    </row>
  </sheetData>
  <autoFilter ref="A2:AI92" xr:uid="{00000000-0001-0000-0000-000000000000}">
    <sortState xmlns:xlrd2="http://schemas.microsoft.com/office/spreadsheetml/2017/richdata2" ref="A3:AI92">
      <sortCondition ref="E2:E92"/>
    </sortState>
  </autoFilter>
  <mergeCells count="4">
    <mergeCell ref="A1:F1"/>
    <mergeCell ref="G1:AB1"/>
    <mergeCell ref="AF1:AI1"/>
    <mergeCell ref="AC1:AE1"/>
  </mergeCells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DBE78-A1C2-42B9-8531-C1C4562D2F57}">
  <dimension ref="A1:F46"/>
  <sheetViews>
    <sheetView workbookViewId="0">
      <selection activeCell="F2" sqref="F2:F16"/>
    </sheetView>
  </sheetViews>
  <sheetFormatPr defaultRowHeight="14.4" x14ac:dyDescent="0.3"/>
  <sheetData>
    <row r="1" spans="1:6" x14ac:dyDescent="0.3">
      <c r="A1" t="s">
        <v>42</v>
      </c>
      <c r="B1" t="s">
        <v>43</v>
      </c>
      <c r="D1" t="s">
        <v>44</v>
      </c>
    </row>
    <row r="2" spans="1:6" x14ac:dyDescent="0.3">
      <c r="A2">
        <v>0</v>
      </c>
      <c r="B2">
        <v>72.675899999999999</v>
      </c>
      <c r="D2">
        <f>AVERAGE(B2:B4)</f>
        <v>70.175349999999995</v>
      </c>
      <c r="F2">
        <v>70.175349999999995</v>
      </c>
    </row>
    <row r="3" spans="1:6" x14ac:dyDescent="0.3">
      <c r="A3">
        <v>0</v>
      </c>
      <c r="B3">
        <v>69.417749999999998</v>
      </c>
      <c r="D3">
        <f>AVERAGE(B5:B7)</f>
        <v>70.441850000000002</v>
      </c>
      <c r="F3">
        <v>70.441850000000002</v>
      </c>
    </row>
    <row r="4" spans="1:6" x14ac:dyDescent="0.3">
      <c r="A4">
        <v>0</v>
      </c>
      <c r="B4">
        <v>68.432400000000001</v>
      </c>
      <c r="D4">
        <f>AVERAGE(B8:B10)</f>
        <v>67.848200000000006</v>
      </c>
      <c r="F4">
        <v>67.848200000000006</v>
      </c>
    </row>
    <row r="5" spans="1:6" x14ac:dyDescent="0.3">
      <c r="A5">
        <v>1</v>
      </c>
      <c r="B5">
        <v>71.290199999999999</v>
      </c>
      <c r="D5">
        <f>AVERAGE(B11:B13)</f>
        <v>99.879050000000007</v>
      </c>
      <c r="F5">
        <v>99.879050000000007</v>
      </c>
    </row>
    <row r="6" spans="1:6" x14ac:dyDescent="0.3">
      <c r="A6">
        <v>1</v>
      </c>
      <c r="B6">
        <v>68.982900000000001</v>
      </c>
      <c r="D6">
        <f>AVERAGE(B14:B16)</f>
        <v>199.21946666666668</v>
      </c>
      <c r="F6">
        <v>199.21946666666668</v>
      </c>
    </row>
    <row r="7" spans="1:6" x14ac:dyDescent="0.3">
      <c r="A7">
        <v>1</v>
      </c>
      <c r="B7">
        <v>71.052449999999993</v>
      </c>
      <c r="D7">
        <f>AVERAGE(B17:B19)</f>
        <v>333.67943333333329</v>
      </c>
      <c r="F7">
        <v>333.67943333333329</v>
      </c>
    </row>
    <row r="8" spans="1:6" x14ac:dyDescent="0.3">
      <c r="A8">
        <v>2</v>
      </c>
      <c r="B8">
        <v>67.768799999999999</v>
      </c>
      <c r="D8">
        <f>AVERAGE(B20:B22)</f>
        <v>581.69326666666666</v>
      </c>
      <c r="F8">
        <v>581.69326666666666</v>
      </c>
    </row>
    <row r="9" spans="1:6" x14ac:dyDescent="0.3">
      <c r="A9">
        <v>2</v>
      </c>
      <c r="B9">
        <v>64.975049999999996</v>
      </c>
      <c r="D9">
        <f>AVERAGE(B23:B25)</f>
        <v>704.10826666666674</v>
      </c>
      <c r="F9" s="19">
        <v>753.39584533333345</v>
      </c>
    </row>
    <row r="10" spans="1:6" x14ac:dyDescent="0.3">
      <c r="A10">
        <v>2</v>
      </c>
      <c r="B10">
        <v>70.800749999999994</v>
      </c>
      <c r="D10">
        <f>AVERAGE(B26:B28)</f>
        <v>1185.3761999999999</v>
      </c>
      <c r="F10" s="19">
        <v>1268.3525340000001</v>
      </c>
    </row>
    <row r="11" spans="1:6" x14ac:dyDescent="0.3">
      <c r="A11">
        <v>3</v>
      </c>
      <c r="B11">
        <v>98.030100000000004</v>
      </c>
      <c r="D11">
        <f>AVERAGE(B29:B31)</f>
        <v>1487.9400666666668</v>
      </c>
      <c r="F11" s="19">
        <v>1592.0958713333334</v>
      </c>
    </row>
    <row r="12" spans="1:6" x14ac:dyDescent="0.3">
      <c r="A12">
        <v>3</v>
      </c>
      <c r="B12">
        <v>107.5608</v>
      </c>
      <c r="D12">
        <f>AVERAGE(B32:B34)</f>
        <v>2011.1953333333333</v>
      </c>
      <c r="F12" s="19">
        <v>2151.9790066666669</v>
      </c>
    </row>
    <row r="13" spans="1:6" x14ac:dyDescent="0.3">
      <c r="A13">
        <v>3</v>
      </c>
      <c r="B13">
        <v>94.046250000000001</v>
      </c>
      <c r="D13">
        <f>AVERAGE(B35:B37)</f>
        <v>2419.7550000000001</v>
      </c>
      <c r="F13" s="19">
        <v>2589.1378500000001</v>
      </c>
    </row>
    <row r="14" spans="1:6" x14ac:dyDescent="0.3">
      <c r="A14">
        <v>4</v>
      </c>
      <c r="B14">
        <v>235.50200000000001</v>
      </c>
      <c r="D14">
        <f>AVERAGE(B38:B40)</f>
        <v>2758.5550000000003</v>
      </c>
      <c r="F14" s="19">
        <v>2951.6538500000006</v>
      </c>
    </row>
    <row r="15" spans="1:6" x14ac:dyDescent="0.3">
      <c r="A15">
        <v>4</v>
      </c>
      <c r="B15">
        <v>116.53530000000001</v>
      </c>
      <c r="D15">
        <f>AVERAGE(B41:B43)</f>
        <v>2899.8799999999997</v>
      </c>
      <c r="F15" s="19">
        <v>3102.8715999999999</v>
      </c>
    </row>
    <row r="16" spans="1:6" x14ac:dyDescent="0.3">
      <c r="A16">
        <v>4</v>
      </c>
      <c r="B16">
        <v>245.62110000000001</v>
      </c>
      <c r="D16">
        <f>AVERAGE(B44:B46)</f>
        <v>3312.2900000000004</v>
      </c>
      <c r="F16" s="19">
        <v>3544.1503000000007</v>
      </c>
    </row>
    <row r="17" spans="1:2" x14ac:dyDescent="0.3">
      <c r="A17">
        <v>5</v>
      </c>
      <c r="B17">
        <v>408.03620000000001</v>
      </c>
    </row>
    <row r="18" spans="1:2" x14ac:dyDescent="0.3">
      <c r="A18">
        <v>5</v>
      </c>
      <c r="B18">
        <v>175.25470000000001</v>
      </c>
    </row>
    <row r="19" spans="1:2" x14ac:dyDescent="0.3">
      <c r="A19">
        <v>5</v>
      </c>
      <c r="B19">
        <v>417.74740000000003</v>
      </c>
    </row>
    <row r="20" spans="1:2" x14ac:dyDescent="0.3">
      <c r="A20">
        <v>6</v>
      </c>
      <c r="B20">
        <v>693.36239999999998</v>
      </c>
    </row>
    <row r="21" spans="1:2" x14ac:dyDescent="0.3">
      <c r="A21">
        <v>6</v>
      </c>
      <c r="B21">
        <v>306.12569999999999</v>
      </c>
    </row>
    <row r="22" spans="1:2" x14ac:dyDescent="0.3">
      <c r="A22">
        <v>6</v>
      </c>
      <c r="B22">
        <v>745.59169999999995</v>
      </c>
    </row>
    <row r="23" spans="1:2" x14ac:dyDescent="0.3">
      <c r="A23">
        <v>7</v>
      </c>
      <c r="B23">
        <v>823.29169999999999</v>
      </c>
    </row>
    <row r="24" spans="1:2" x14ac:dyDescent="0.3">
      <c r="A24">
        <v>7</v>
      </c>
      <c r="B24">
        <v>372.73790000000002</v>
      </c>
    </row>
    <row r="25" spans="1:2" x14ac:dyDescent="0.3">
      <c r="A25">
        <v>7</v>
      </c>
      <c r="B25">
        <v>916.29520000000002</v>
      </c>
    </row>
    <row r="26" spans="1:2" x14ac:dyDescent="0.3">
      <c r="A26">
        <v>8</v>
      </c>
      <c r="B26">
        <v>1337.0650000000001</v>
      </c>
    </row>
    <row r="27" spans="1:2" x14ac:dyDescent="0.3">
      <c r="A27">
        <v>8</v>
      </c>
      <c r="B27">
        <v>671.00360000000001</v>
      </c>
    </row>
    <row r="28" spans="1:2" x14ac:dyDescent="0.3">
      <c r="A28">
        <v>8</v>
      </c>
      <c r="B28">
        <v>1548.06</v>
      </c>
    </row>
    <row r="29" spans="1:2" x14ac:dyDescent="0.3">
      <c r="A29">
        <v>9</v>
      </c>
      <c r="B29">
        <v>1767.66</v>
      </c>
    </row>
    <row r="30" spans="1:2" x14ac:dyDescent="0.3">
      <c r="A30">
        <v>9</v>
      </c>
      <c r="B30">
        <v>876.37519999999995</v>
      </c>
    </row>
    <row r="31" spans="1:2" x14ac:dyDescent="0.3">
      <c r="A31">
        <v>9</v>
      </c>
      <c r="B31">
        <v>1819.7850000000001</v>
      </c>
    </row>
    <row r="32" spans="1:2" x14ac:dyDescent="0.3">
      <c r="A32">
        <v>10</v>
      </c>
      <c r="B32">
        <v>2326.5450000000001</v>
      </c>
    </row>
    <row r="33" spans="1:2" x14ac:dyDescent="0.3">
      <c r="A33">
        <v>10</v>
      </c>
      <c r="B33">
        <v>1296.181</v>
      </c>
    </row>
    <row r="34" spans="1:2" x14ac:dyDescent="0.3">
      <c r="A34">
        <v>10</v>
      </c>
      <c r="B34">
        <v>2410.86</v>
      </c>
    </row>
    <row r="35" spans="1:2" x14ac:dyDescent="0.3">
      <c r="A35">
        <v>11</v>
      </c>
      <c r="B35">
        <v>2798.2049999999999</v>
      </c>
    </row>
    <row r="36" spans="1:2" x14ac:dyDescent="0.3">
      <c r="A36">
        <v>11</v>
      </c>
      <c r="B36">
        <v>1673.64</v>
      </c>
    </row>
    <row r="37" spans="1:2" x14ac:dyDescent="0.3">
      <c r="A37">
        <v>11</v>
      </c>
      <c r="B37">
        <v>2787.42</v>
      </c>
    </row>
    <row r="38" spans="1:2" x14ac:dyDescent="0.3">
      <c r="A38">
        <v>12</v>
      </c>
      <c r="B38">
        <v>3099.57</v>
      </c>
    </row>
    <row r="39" spans="1:2" x14ac:dyDescent="0.3">
      <c r="A39">
        <v>12</v>
      </c>
      <c r="B39">
        <v>2063.79</v>
      </c>
    </row>
    <row r="40" spans="1:2" x14ac:dyDescent="0.3">
      <c r="A40">
        <v>12</v>
      </c>
      <c r="B40">
        <v>3112.3049999999998</v>
      </c>
    </row>
    <row r="41" spans="1:2" x14ac:dyDescent="0.3">
      <c r="A41">
        <v>13</v>
      </c>
      <c r="B41">
        <v>3206.2649999999999</v>
      </c>
    </row>
    <row r="42" spans="1:2" x14ac:dyDescent="0.3">
      <c r="A42">
        <v>13</v>
      </c>
      <c r="B42">
        <v>2248.2750000000001</v>
      </c>
    </row>
    <row r="43" spans="1:2" x14ac:dyDescent="0.3">
      <c r="A43">
        <v>13</v>
      </c>
      <c r="B43">
        <v>3245.1</v>
      </c>
    </row>
    <row r="44" spans="1:2" x14ac:dyDescent="0.3">
      <c r="A44">
        <v>14</v>
      </c>
      <c r="B44">
        <v>3758.5650000000001</v>
      </c>
    </row>
    <row r="45" spans="1:2" x14ac:dyDescent="0.3">
      <c r="A45">
        <v>14</v>
      </c>
      <c r="B45">
        <v>2667.4050000000002</v>
      </c>
    </row>
    <row r="46" spans="1:2" x14ac:dyDescent="0.3">
      <c r="A46">
        <v>14</v>
      </c>
      <c r="B46">
        <v>3510.9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198008e-c7f6-4ed0-9865-26ace3c97b59" xsi:nil="true"/>
    <lcf76f155ced4ddcb4097134ff3c332f xmlns="34d8c884-fe7e-4d4f-a833-b92a2823f74b">
      <Terms xmlns="http://schemas.microsoft.com/office/infopath/2007/PartnerControls"/>
    </lcf76f155ced4ddcb4097134ff3c332f>
    <SharedWithUsers xmlns="a198008e-c7f6-4ed0-9865-26ace3c97b59">
      <UserInfo>
        <DisplayName/>
        <AccountId xsi:nil="true"/>
        <AccountType/>
      </UserInfo>
    </SharedWithUser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75172DAFC2BB6479729CB287362C7E3" ma:contentTypeVersion="13" ma:contentTypeDescription="Create a new document." ma:contentTypeScope="" ma:versionID="0fc11b0946794a47057850b4f6c92dd7">
  <xsd:schema xmlns:xsd="http://www.w3.org/2001/XMLSchema" xmlns:xs="http://www.w3.org/2001/XMLSchema" xmlns:p="http://schemas.microsoft.com/office/2006/metadata/properties" xmlns:ns2="34d8c884-fe7e-4d4f-a833-b92a2823f74b" xmlns:ns3="a198008e-c7f6-4ed0-9865-26ace3c97b59" targetNamespace="http://schemas.microsoft.com/office/2006/metadata/properties" ma:root="true" ma:fieldsID="fb90ec7fe59ed1d44226abab88cd233b" ns2:_="" ns3:_="">
    <xsd:import namespace="34d8c884-fe7e-4d4f-a833-b92a2823f74b"/>
    <xsd:import namespace="a198008e-c7f6-4ed0-9865-26ace3c97b5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d8c884-fe7e-4d4f-a833-b92a2823f74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c451d461-d530-465a-81eb-73ef42a83da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98008e-c7f6-4ed0-9865-26ace3c97b5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4cd41ce-512c-4471-a627-8bf77c2cc8fd}" ma:internalName="TaxCatchAll" ma:showField="CatchAllData" ma:web="a198008e-c7f6-4ed0-9865-26ace3c97b5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FA2C79D-5C43-4F8C-8CB2-6CBFC459154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1736866-79EE-4C47-B374-7C3565856A36}">
  <ds:schemaRefs>
    <ds:schemaRef ds:uri="http://schemas.microsoft.com/office/2006/metadata/properties"/>
    <ds:schemaRef ds:uri="http://schemas.microsoft.com/office/infopath/2007/PartnerControls"/>
    <ds:schemaRef ds:uri="a198008e-c7f6-4ed0-9865-26ace3c97b59"/>
    <ds:schemaRef ds:uri="34d8c884-fe7e-4d4f-a833-b92a2823f74b"/>
  </ds:schemaRefs>
</ds:datastoreItem>
</file>

<file path=customXml/itemProps3.xml><?xml version="1.0" encoding="utf-8"?>
<ds:datastoreItem xmlns:ds="http://schemas.openxmlformats.org/officeDocument/2006/customXml" ds:itemID="{9F43DC28-AE43-4EFF-8739-4E0C557B415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4d8c884-fe7e-4d4f-a833-b92a2823f74b"/>
    <ds:schemaRef ds:uri="a198008e-c7f6-4ed0-9865-26ace3c97b5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MasterDataTable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Zach Hatzenbeller</dc:creator>
  <cp:keywords/>
  <dc:description/>
  <cp:lastModifiedBy>Zach Hatzenbeller</cp:lastModifiedBy>
  <cp:revision/>
  <dcterms:created xsi:type="dcterms:W3CDTF">2024-02-21T20:31:27Z</dcterms:created>
  <dcterms:modified xsi:type="dcterms:W3CDTF">2025-08-27T20:41:44Z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0x010100B75172DAFC2BB6479729CB287362C7E3</vt:lpwstr>
  </property>
  <property fmtid="{D5CDD505-2E9C-101B-9397-08002B2CF9AE}" pid="3" name="MediaServiceImageTags">
    <vt:lpwstr/>
  </property>
  <property fmtid="{D5CDD505-2E9C-101B-9397-08002B2CF9AE}" pid="4" name="MSIP_Label_bea66b2b-af80-48b6-873b-d341d3035cfa_Enabled">
    <vt:lpwstr>true</vt:lpwstr>
  </property>
  <property fmtid="{D5CDD505-2E9C-101B-9397-08002B2CF9AE}" pid="5" name="MSIP_Label_bea66b2b-af80-48b6-873b-d341d3035cfa_SetDate">
    <vt:lpwstr>2024-02-29T22:36:18Z</vt:lpwstr>
  </property>
  <property fmtid="{D5CDD505-2E9C-101B-9397-08002B2CF9AE}" pid="6" name="MSIP_Label_bea66b2b-af80-48b6-873b-d341d3035cfa_Method">
    <vt:lpwstr>Standard</vt:lpwstr>
  </property>
  <property fmtid="{D5CDD505-2E9C-101B-9397-08002B2CF9AE}" pid="7" name="MSIP_Label_bea66b2b-af80-48b6-873b-d341d3035cfa_Name">
    <vt:lpwstr>Proprietary</vt:lpwstr>
  </property>
  <property fmtid="{D5CDD505-2E9C-101B-9397-08002B2CF9AE}" pid="8" name="MSIP_Label_bea66b2b-af80-48b6-873b-d341d3035cfa_SiteId">
    <vt:lpwstr>63982aff-fb6c-4c22-973b-70e4acfb63e6</vt:lpwstr>
  </property>
  <property fmtid="{D5CDD505-2E9C-101B-9397-08002B2CF9AE}" pid="9" name="MSIP_Label_bea66b2b-af80-48b6-873b-d341d3035cfa_ActionId">
    <vt:lpwstr>91d85dac-42e1-4dc2-93ee-7512b7f20543</vt:lpwstr>
  </property>
  <property fmtid="{D5CDD505-2E9C-101B-9397-08002B2CF9AE}" pid="10" name="MSIP_Label_bea66b2b-af80-48b6-873b-d341d3035cfa_ContentBits">
    <vt:lpwstr>0</vt:lpwstr>
  </property>
</Properties>
</file>