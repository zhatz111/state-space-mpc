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drive.gsk.com/personal/zach_a_hatzenbeller_gsk_com/Documents/Documents/GitHub/state-space-model/data/Test Experiment/"/>
    </mc:Choice>
  </mc:AlternateContent>
  <xr:revisionPtr revIDLastSave="3188" documentId="14_{29998BAB-B97E-4D42-B36C-5857DA37A7C9}" xr6:coauthVersionLast="47" xr6:coauthVersionMax="47" xr10:uidLastSave="{E7DEFA2D-29A5-4EC8-9714-D73B6F088A04}"/>
  <bookViews>
    <workbookView xWindow="19095" yWindow="0" windowWidth="19410" windowHeight="20985" xr2:uid="{00000000-000D-0000-FFFF-FFFF00000000}"/>
  </bookViews>
  <sheets>
    <sheet name="MasterDataTable" sheetId="1" r:id="rId1"/>
    <sheet name="Sheet1" sheetId="4" r:id="rId2"/>
  </sheets>
  <definedNames>
    <definedName name="_xlnm._FilterDatabase" localSheetId="0" hidden="1">MasterDataTable!$A$2:$AJ$17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4" l="1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sharedStrings.xml><?xml version="1.0" encoding="utf-8"?>
<sst xmlns="http://schemas.openxmlformats.org/spreadsheetml/2006/main" count="88" uniqueCount="46">
  <si>
    <t>Batch Data</t>
  </si>
  <si>
    <t>Offline Data</t>
  </si>
  <si>
    <t>Online Data</t>
  </si>
  <si>
    <t>Process Setpoints</t>
  </si>
  <si>
    <t>Batch</t>
  </si>
  <si>
    <t>Scale (L)</t>
  </si>
  <si>
    <t>Controller</t>
  </si>
  <si>
    <t>Day</t>
  </si>
  <si>
    <t>Comments</t>
  </si>
  <si>
    <t>Sample Time</t>
  </si>
  <si>
    <t>Reference Titer</t>
  </si>
  <si>
    <t>IGG</t>
  </si>
  <si>
    <t xml:space="preserve">TCC  </t>
  </si>
  <si>
    <t>VCC</t>
  </si>
  <si>
    <t>Viability</t>
  </si>
  <si>
    <t>Osmolality</t>
  </si>
  <si>
    <t>Ammonium</t>
  </si>
  <si>
    <t>Calcium</t>
  </si>
  <si>
    <t>Glucose</t>
  </si>
  <si>
    <t>Glutamine</t>
  </si>
  <si>
    <t>Glutamate</t>
  </si>
  <si>
    <t>Lactate</t>
  </si>
  <si>
    <t>pH</t>
  </si>
  <si>
    <t>pO2</t>
  </si>
  <si>
    <t>Potassium</t>
  </si>
  <si>
    <t>Sodium</t>
  </si>
  <si>
    <t>Bicarbonate</t>
  </si>
  <si>
    <t>pCO2 at Temp</t>
  </si>
  <si>
    <t>pO2 at Temp</t>
  </si>
  <si>
    <t>pH at Temp</t>
  </si>
  <si>
    <t>Volume from Reactor (mL)</t>
  </si>
  <si>
    <t>Daily Feed Amount (mL)</t>
  </si>
  <si>
    <t>Initial_Volume</t>
  </si>
  <si>
    <t>pH_setpoint</t>
  </si>
  <si>
    <t>Test-Cntrl-2</t>
  </si>
  <si>
    <t>AR25-050-007</t>
  </si>
  <si>
    <t>day</t>
  </si>
  <si>
    <t>titer</t>
  </si>
  <si>
    <t>avg_titer</t>
  </si>
  <si>
    <t>Reference titer is from  B7H4 batches AR25-051-002_004_012</t>
  </si>
  <si>
    <t>Diameter</t>
  </si>
  <si>
    <t>pCO2</t>
  </si>
  <si>
    <t>DO_setpoint</t>
  </si>
  <si>
    <t>Temp_setpoint</t>
  </si>
  <si>
    <t>Volume from Reactor (L)</t>
  </si>
  <si>
    <t>Daily Feed Amount (L)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</si>
</sst>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10" xfId="0" applyBorder="1"/>
    <xf numFmtId="0" fontId="20" fillId="0" borderId="11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22" fontId="0" fillId="0" borderId="11" xfId="0" applyNumberFormat="1" applyBorder="1"/>
    <xf numFmtId="0" fontId="0" fillId="0" borderId="11" xfId="0" applyBorder="1"/>
    <xf numFmtId="0" fontId="20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/>
    <xf numFmtId="0" fontId="21" fillId="0" borderId="0" xfId="0" applyFont="1" applyAlignment="1">
      <alignment horizontal="center" vertical="center" wrapText="1"/>
    </xf>
    <xf numFmtId="0" fontId="19" fillId="36" borderId="12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0" fontId="19" fillId="35" borderId="13" xfId="0" applyFont="1" applyFill="1" applyBorder="1" applyAlignment="1">
      <alignment horizontal="center"/>
    </xf>
    <xf numFmtId="0" fontId="19" fillId="35" borderId="14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4" borderId="13" xfId="0" applyFont="1" applyFill="1" applyBorder="1" applyAlignment="1">
      <alignment horizontal="center"/>
    </xf>
    <xf numFmtId="0" fontId="19" fillId="34" borderId="14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7"/>
  <sheetViews>
    <sheetView tabSelected="1" zoomScaleNormal="100" workbookViewId="0">
      <pane xSplit="6" ySplit="2" topLeftCell="AB3" activePane="bottomRight" state="frozen"/>
      <selection pane="topRight" activeCell="H1" sqref="H1"/>
      <selection pane="bottomLeft" activeCell="A3" sqref="A3"/>
      <selection pane="bottomRight" activeCell="AF21" sqref="AF21"/>
    </sheetView>
  </sheetViews>
  <sheetFormatPr defaultColWidth="14.7109375" defaultRowHeight="15" x14ac:dyDescent="0.25"/>
  <cols>
    <col min="1" max="1" width="12.5703125" bestFit="1" customWidth="1"/>
    <col min="2" max="2" width="10" customWidth="1"/>
    <col min="3" max="3" width="14.42578125" bestFit="1" customWidth="1"/>
    <col min="4" max="4" width="14.42578125" customWidth="1"/>
    <col min="5" max="5" width="8.7109375" bestFit="1" customWidth="1"/>
    <col min="6" max="6" width="17.42578125" bestFit="1" customWidth="1"/>
    <col min="7" max="16" width="12.7109375" customWidth="1"/>
    <col min="17" max="17" width="15.140625" customWidth="1"/>
    <col min="18" max="18" width="16.140625" customWidth="1"/>
    <col min="19" max="31" width="12.7109375" customWidth="1"/>
    <col min="32" max="32" width="12.5703125" customWidth="1"/>
    <col min="33" max="34" width="14.85546875" customWidth="1"/>
    <col min="35" max="36" width="12.7109375" customWidth="1"/>
  </cols>
  <sheetData>
    <row r="1" spans="1:36" ht="21.75" thickBot="1" x14ac:dyDescent="0.4">
      <c r="A1" s="13" t="s">
        <v>0</v>
      </c>
      <c r="B1" s="13"/>
      <c r="C1" s="13"/>
      <c r="D1" s="13"/>
      <c r="E1" s="13"/>
      <c r="F1" s="14"/>
      <c r="G1" s="15" t="s">
        <v>1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9" t="s">
        <v>2</v>
      </c>
      <c r="AD1" s="20"/>
      <c r="AE1" s="20"/>
      <c r="AF1" s="21"/>
      <c r="AG1" s="16" t="s">
        <v>3</v>
      </c>
      <c r="AH1" s="17"/>
      <c r="AI1" s="17"/>
      <c r="AJ1" s="18"/>
    </row>
    <row r="2" spans="1:36" ht="45" x14ac:dyDescent="0.25">
      <c r="A2" s="3" t="s">
        <v>4</v>
      </c>
      <c r="B2" s="7" t="s">
        <v>5</v>
      </c>
      <c r="C2" s="7" t="s">
        <v>6</v>
      </c>
      <c r="D2" s="7" t="s">
        <v>8</v>
      </c>
      <c r="E2" s="7" t="s">
        <v>7</v>
      </c>
      <c r="F2" s="2" t="s">
        <v>9</v>
      </c>
      <c r="G2" s="12" t="s">
        <v>10</v>
      </c>
      <c r="H2" s="9" t="s">
        <v>11</v>
      </c>
      <c r="I2" s="10" t="s">
        <v>12</v>
      </c>
      <c r="J2" s="10" t="s">
        <v>13</v>
      </c>
      <c r="K2" s="10" t="s">
        <v>14</v>
      </c>
      <c r="L2" s="10" t="s">
        <v>40</v>
      </c>
      <c r="M2" s="8" t="s">
        <v>15</v>
      </c>
      <c r="N2" s="8" t="s">
        <v>16</v>
      </c>
      <c r="O2" s="8" t="s">
        <v>17</v>
      </c>
      <c r="P2" s="8" t="s">
        <v>18</v>
      </c>
      <c r="Q2" s="8" t="s">
        <v>19</v>
      </c>
      <c r="R2" s="8" t="s">
        <v>20</v>
      </c>
      <c r="S2" s="8" t="s">
        <v>21</v>
      </c>
      <c r="T2" s="8" t="s">
        <v>22</v>
      </c>
      <c r="U2" s="8" t="s">
        <v>41</v>
      </c>
      <c r="V2" s="8" t="s">
        <v>23</v>
      </c>
      <c r="W2" s="8" t="s">
        <v>24</v>
      </c>
      <c r="X2" s="8" t="s">
        <v>25</v>
      </c>
      <c r="Y2" s="8" t="s">
        <v>26</v>
      </c>
      <c r="Z2" s="8" t="s">
        <v>27</v>
      </c>
      <c r="AA2" s="8" t="s">
        <v>28</v>
      </c>
      <c r="AB2" s="4" t="s">
        <v>29</v>
      </c>
      <c r="AC2" s="3" t="s">
        <v>31</v>
      </c>
      <c r="AD2" s="3" t="s">
        <v>45</v>
      </c>
      <c r="AE2" s="2" t="s">
        <v>44</v>
      </c>
      <c r="AF2" s="2" t="s">
        <v>30</v>
      </c>
      <c r="AG2" s="3" t="s">
        <v>32</v>
      </c>
      <c r="AH2" s="7" t="s">
        <v>43</v>
      </c>
      <c r="AI2" s="7" t="s">
        <v>33</v>
      </c>
      <c r="AJ2" s="2" t="s">
        <v>42</v>
      </c>
    </row>
    <row r="3" spans="1:36" x14ac:dyDescent="0.25">
      <c r="A3" s="1" t="s">
        <v>35</v>
      </c>
      <c r="B3">
        <v>0.25</v>
      </c>
      <c r="C3" t="s">
        <v>34</v>
      </c>
      <c r="D3" t="s">
        <v>39</v>
      </c>
      <c r="E3">
        <v>0</v>
      </c>
      <c r="F3" s="5">
        <v>45792.601388888892</v>
      </c>
      <c r="G3">
        <v>70.175349999999995</v>
      </c>
      <c r="H3">
        <v>65.004000000000005</v>
      </c>
      <c r="I3">
        <v>0.60719999999999996</v>
      </c>
      <c r="J3">
        <v>0.59840000000000004</v>
      </c>
      <c r="K3">
        <v>98.6</v>
      </c>
      <c r="L3">
        <v>15.07</v>
      </c>
      <c r="M3">
        <v>327</v>
      </c>
      <c r="N3">
        <v>0.6</v>
      </c>
      <c r="O3">
        <v>0.3</v>
      </c>
      <c r="P3">
        <v>3.43</v>
      </c>
      <c r="Q3">
        <v>0.55000000000000004</v>
      </c>
      <c r="R3">
        <v>1.5</v>
      </c>
      <c r="S3">
        <v>0</v>
      </c>
      <c r="T3">
        <v>7.35</v>
      </c>
      <c r="U3">
        <v>29.8</v>
      </c>
      <c r="V3">
        <v>148.9</v>
      </c>
      <c r="W3">
        <v>2.75</v>
      </c>
      <c r="Y3">
        <v>16.5</v>
      </c>
      <c r="Z3">
        <v>29.2</v>
      </c>
      <c r="AA3">
        <v>146.1</v>
      </c>
      <c r="AB3" s="6">
        <v>7.36</v>
      </c>
      <c r="AC3" s="1">
        <v>0</v>
      </c>
      <c r="AD3" s="1">
        <v>0</v>
      </c>
      <c r="AE3">
        <v>0.18721000000000002</v>
      </c>
      <c r="AF3" s="6">
        <v>187.21</v>
      </c>
      <c r="AG3" s="1">
        <v>190</v>
      </c>
      <c r="AH3">
        <v>36.5</v>
      </c>
      <c r="AI3">
        <v>7.1</v>
      </c>
      <c r="AJ3" s="6">
        <v>40</v>
      </c>
    </row>
    <row r="4" spans="1:36" x14ac:dyDescent="0.25">
      <c r="A4" s="1" t="s">
        <v>35</v>
      </c>
      <c r="B4">
        <v>0.25</v>
      </c>
      <c r="C4" t="s">
        <v>34</v>
      </c>
      <c r="D4" t="s">
        <v>39</v>
      </c>
      <c r="E4">
        <v>1</v>
      </c>
      <c r="F4" s="5">
        <v>45793.489583333336</v>
      </c>
      <c r="G4">
        <v>70.441850000000002</v>
      </c>
      <c r="H4">
        <v>66.549200820694196</v>
      </c>
      <c r="I4">
        <v>0.98909999999999998</v>
      </c>
      <c r="J4">
        <v>1.4044069877191601</v>
      </c>
      <c r="K4">
        <v>99.3</v>
      </c>
      <c r="L4">
        <v>15.32</v>
      </c>
      <c r="M4">
        <v>329.989868464778</v>
      </c>
      <c r="N4">
        <v>0.95051875803053099</v>
      </c>
      <c r="O4">
        <v>0.53</v>
      </c>
      <c r="P4">
        <v>6.49</v>
      </c>
      <c r="Q4">
        <v>1.1399999999999999</v>
      </c>
      <c r="R4">
        <v>1.7502256583673199</v>
      </c>
      <c r="T4">
        <v>7.16</v>
      </c>
      <c r="U4">
        <v>58.9</v>
      </c>
      <c r="V4">
        <v>127.4</v>
      </c>
      <c r="W4">
        <v>5.23</v>
      </c>
      <c r="X4">
        <v>121.6</v>
      </c>
      <c r="Y4">
        <v>20.8</v>
      </c>
      <c r="Z4">
        <v>57.6</v>
      </c>
      <c r="AA4">
        <v>124.3</v>
      </c>
      <c r="AB4" s="6">
        <v>7.16</v>
      </c>
      <c r="AC4" s="1">
        <v>0</v>
      </c>
      <c r="AD4" s="1">
        <v>0</v>
      </c>
      <c r="AE4">
        <v>0.18439</v>
      </c>
      <c r="AF4" s="6">
        <v>184.39</v>
      </c>
      <c r="AG4" s="1">
        <v>190</v>
      </c>
      <c r="AH4">
        <v>36.5</v>
      </c>
      <c r="AI4">
        <v>7.1</v>
      </c>
      <c r="AJ4" s="6">
        <v>40</v>
      </c>
    </row>
    <row r="5" spans="1:36" x14ac:dyDescent="0.25">
      <c r="A5" s="1" t="s">
        <v>35</v>
      </c>
      <c r="B5">
        <v>0.25</v>
      </c>
      <c r="C5" t="s">
        <v>34</v>
      </c>
      <c r="D5" t="s">
        <v>39</v>
      </c>
      <c r="E5">
        <v>2</v>
      </c>
      <c r="F5" s="5">
        <v>45794.490972222222</v>
      </c>
      <c r="G5">
        <v>67.848200000000006</v>
      </c>
      <c r="H5">
        <v>94.076800481623593</v>
      </c>
      <c r="I5">
        <v>1.9321999999999999</v>
      </c>
      <c r="J5">
        <v>2.44888494189364</v>
      </c>
      <c r="K5">
        <v>99.5</v>
      </c>
      <c r="L5">
        <v>15.28</v>
      </c>
      <c r="M5">
        <v>332.40464673980603</v>
      </c>
      <c r="N5">
        <v>1.3988880979089</v>
      </c>
      <c r="O5">
        <v>0.52</v>
      </c>
      <c r="P5">
        <v>6.01</v>
      </c>
      <c r="Q5">
        <v>1.01</v>
      </c>
      <c r="R5">
        <v>2.1804371055329499</v>
      </c>
      <c r="S5">
        <v>0.38</v>
      </c>
      <c r="T5">
        <v>7.24</v>
      </c>
      <c r="U5">
        <v>44.2</v>
      </c>
      <c r="V5">
        <v>112</v>
      </c>
      <c r="W5">
        <v>5.0199999999999996</v>
      </c>
      <c r="X5">
        <v>119.9</v>
      </c>
      <c r="Y5">
        <v>19.100000000000001</v>
      </c>
      <c r="Z5">
        <v>43.3</v>
      </c>
      <c r="AA5">
        <v>109.1</v>
      </c>
      <c r="AB5" s="6">
        <v>7.25</v>
      </c>
      <c r="AC5" s="1">
        <v>0</v>
      </c>
      <c r="AD5" s="1">
        <v>0</v>
      </c>
      <c r="AE5">
        <v>0.18156999999999998</v>
      </c>
      <c r="AF5" s="6">
        <v>181.57</v>
      </c>
      <c r="AG5" s="1">
        <v>190</v>
      </c>
      <c r="AH5">
        <v>36.5</v>
      </c>
      <c r="AI5">
        <v>7.1</v>
      </c>
      <c r="AJ5" s="6">
        <v>40</v>
      </c>
    </row>
    <row r="6" spans="1:36" x14ac:dyDescent="0.25">
      <c r="A6" s="1" t="s">
        <v>35</v>
      </c>
      <c r="B6">
        <v>0.25</v>
      </c>
      <c r="C6" t="s">
        <v>34</v>
      </c>
      <c r="D6" t="s">
        <v>39</v>
      </c>
      <c r="E6">
        <v>3</v>
      </c>
      <c r="F6" s="5">
        <v>45795.48333333333</v>
      </c>
      <c r="G6">
        <v>99.879050000000007</v>
      </c>
      <c r="H6">
        <v>160.01991391969801</v>
      </c>
      <c r="I6">
        <v>4</v>
      </c>
      <c r="J6">
        <v>3.7656820993209399</v>
      </c>
      <c r="K6">
        <v>99.6</v>
      </c>
      <c r="L6">
        <v>15</v>
      </c>
      <c r="M6">
        <v>336.02895105060202</v>
      </c>
      <c r="N6">
        <v>1.9357871566897</v>
      </c>
      <c r="O6">
        <v>0.52</v>
      </c>
      <c r="P6">
        <v>5.34</v>
      </c>
      <c r="Q6">
        <v>0.9</v>
      </c>
      <c r="R6">
        <v>2.7268017352015299</v>
      </c>
      <c r="S6">
        <v>0.52</v>
      </c>
      <c r="T6">
        <v>7.17</v>
      </c>
      <c r="U6">
        <v>45.6</v>
      </c>
      <c r="V6">
        <v>85</v>
      </c>
      <c r="W6">
        <v>4.84</v>
      </c>
      <c r="X6">
        <v>121.1</v>
      </c>
      <c r="Y6">
        <v>16.5</v>
      </c>
      <c r="Z6">
        <v>44.6</v>
      </c>
      <c r="AA6">
        <v>82.3</v>
      </c>
      <c r="AB6" s="6">
        <v>7.17</v>
      </c>
      <c r="AC6" s="1">
        <v>0</v>
      </c>
      <c r="AD6" s="1">
        <v>0</v>
      </c>
      <c r="AE6">
        <v>0.18055000000000002</v>
      </c>
      <c r="AF6" s="6">
        <v>180.55</v>
      </c>
      <c r="AG6" s="1">
        <v>190</v>
      </c>
      <c r="AH6">
        <v>36.5</v>
      </c>
      <c r="AI6">
        <v>7.1</v>
      </c>
      <c r="AJ6" s="6">
        <v>40</v>
      </c>
    </row>
    <row r="7" spans="1:36" x14ac:dyDescent="0.25">
      <c r="A7" s="1" t="s">
        <v>35</v>
      </c>
      <c r="B7">
        <v>0.25</v>
      </c>
      <c r="C7" t="s">
        <v>34</v>
      </c>
      <c r="D7" t="s">
        <v>39</v>
      </c>
      <c r="E7">
        <v>4</v>
      </c>
      <c r="F7" s="5">
        <v>45796.491666666669</v>
      </c>
      <c r="G7">
        <v>199.21946666666668</v>
      </c>
      <c r="H7">
        <v>277.69844795220598</v>
      </c>
      <c r="I7">
        <v>6.7678000000000003</v>
      </c>
      <c r="J7">
        <v>5.2000747258253304</v>
      </c>
      <c r="K7">
        <v>99.7</v>
      </c>
      <c r="L7">
        <v>14.94</v>
      </c>
      <c r="M7">
        <v>340.84810689303902</v>
      </c>
      <c r="N7">
        <v>2.5248614252914501</v>
      </c>
      <c r="O7">
        <v>0.51</v>
      </c>
      <c r="P7">
        <v>4.08</v>
      </c>
      <c r="Q7">
        <v>0.77</v>
      </c>
      <c r="R7">
        <v>3.2163840533083401</v>
      </c>
      <c r="S7">
        <v>0.69</v>
      </c>
      <c r="T7">
        <v>7.16</v>
      </c>
      <c r="U7">
        <v>36</v>
      </c>
      <c r="V7">
        <v>63</v>
      </c>
      <c r="W7">
        <v>4.45</v>
      </c>
      <c r="X7">
        <v>121.4</v>
      </c>
      <c r="Y7">
        <v>12.8</v>
      </c>
      <c r="Z7">
        <v>35.200000000000003</v>
      </c>
      <c r="AA7">
        <v>60.9</v>
      </c>
      <c r="AB7" s="6">
        <v>7.16</v>
      </c>
      <c r="AC7" s="1">
        <v>9.5</v>
      </c>
      <c r="AD7" s="1">
        <v>9.4999999999999998E-3</v>
      </c>
      <c r="AE7">
        <v>0.17593999999999999</v>
      </c>
      <c r="AF7" s="6">
        <v>175.94</v>
      </c>
      <c r="AG7" s="1">
        <v>190</v>
      </c>
      <c r="AH7">
        <v>36.5</v>
      </c>
      <c r="AI7">
        <v>7.1</v>
      </c>
      <c r="AJ7" s="6">
        <v>40</v>
      </c>
    </row>
    <row r="8" spans="1:36" x14ac:dyDescent="0.25">
      <c r="A8" s="1" t="s">
        <v>35</v>
      </c>
      <c r="B8">
        <v>0.25</v>
      </c>
      <c r="C8" t="s">
        <v>34</v>
      </c>
      <c r="D8" t="s">
        <v>39</v>
      </c>
      <c r="E8">
        <v>5</v>
      </c>
      <c r="F8" s="5">
        <v>45797.486805555556</v>
      </c>
      <c r="G8">
        <v>333.67943333333329</v>
      </c>
      <c r="H8">
        <v>439.12484622865998</v>
      </c>
      <c r="I8">
        <v>10.228199999999999</v>
      </c>
      <c r="J8">
        <v>6.9917894880703404</v>
      </c>
      <c r="K8">
        <v>99.4</v>
      </c>
      <c r="L8">
        <v>14.8</v>
      </c>
      <c r="M8">
        <v>346.59738272386102</v>
      </c>
      <c r="N8">
        <v>3.29064597076417</v>
      </c>
      <c r="O8">
        <v>0.46</v>
      </c>
      <c r="P8">
        <v>2.17</v>
      </c>
      <c r="Q8">
        <v>0.92</v>
      </c>
      <c r="R8">
        <v>3.9696942857285298</v>
      </c>
      <c r="S8">
        <v>0.8</v>
      </c>
      <c r="T8">
        <v>6.99</v>
      </c>
      <c r="U8">
        <v>41.5</v>
      </c>
      <c r="V8">
        <v>69.7</v>
      </c>
      <c r="W8">
        <v>5.86</v>
      </c>
      <c r="X8">
        <v>129.4</v>
      </c>
      <c r="Y8">
        <v>10</v>
      </c>
      <c r="Z8">
        <v>40.6</v>
      </c>
      <c r="AA8">
        <v>67.400000000000006</v>
      </c>
      <c r="AB8" s="6">
        <v>6.99</v>
      </c>
      <c r="AC8" s="1">
        <v>0</v>
      </c>
      <c r="AD8" s="1">
        <v>0</v>
      </c>
      <c r="AE8">
        <v>0.18264</v>
      </c>
      <c r="AF8" s="6">
        <v>182.64</v>
      </c>
      <c r="AG8" s="1">
        <v>190</v>
      </c>
      <c r="AH8">
        <v>36.5</v>
      </c>
      <c r="AI8">
        <v>7.1</v>
      </c>
      <c r="AJ8" s="6">
        <v>40</v>
      </c>
    </row>
    <row r="9" spans="1:36" x14ac:dyDescent="0.25">
      <c r="A9" s="1" t="s">
        <v>35</v>
      </c>
      <c r="B9">
        <v>0.25</v>
      </c>
      <c r="C9" t="s">
        <v>34</v>
      </c>
      <c r="D9" t="s">
        <v>39</v>
      </c>
      <c r="E9">
        <v>6</v>
      </c>
      <c r="F9" s="5">
        <v>45798.4375</v>
      </c>
      <c r="G9">
        <v>581.69326666666666</v>
      </c>
      <c r="H9">
        <v>662.98644269509305</v>
      </c>
      <c r="I9">
        <v>13.6965</v>
      </c>
      <c r="J9">
        <v>8.8558300519685496</v>
      </c>
      <c r="K9">
        <v>99.2</v>
      </c>
      <c r="L9">
        <v>14.8</v>
      </c>
      <c r="M9">
        <v>354.27236485344503</v>
      </c>
      <c r="N9">
        <v>4.0795611841447297</v>
      </c>
      <c r="O9">
        <v>0.46</v>
      </c>
      <c r="P9">
        <v>4.2</v>
      </c>
      <c r="Q9">
        <v>0.7</v>
      </c>
      <c r="R9">
        <v>4.7012363550432301</v>
      </c>
      <c r="S9">
        <v>0.83</v>
      </c>
      <c r="T9">
        <v>6.96</v>
      </c>
      <c r="U9">
        <v>31.7</v>
      </c>
      <c r="V9">
        <v>58.2</v>
      </c>
      <c r="W9">
        <v>5.41</v>
      </c>
      <c r="X9">
        <v>131.6</v>
      </c>
      <c r="Y9">
        <v>7.1</v>
      </c>
      <c r="Z9">
        <v>31.1</v>
      </c>
      <c r="AA9">
        <v>56.2</v>
      </c>
      <c r="AB9" s="6">
        <v>6.96</v>
      </c>
      <c r="AC9" s="1">
        <v>9.5</v>
      </c>
      <c r="AD9" s="1">
        <v>9.4999999999999998E-3</v>
      </c>
      <c r="AE9">
        <v>0.18339</v>
      </c>
      <c r="AF9" s="6">
        <v>183.39</v>
      </c>
      <c r="AG9" s="1">
        <v>190</v>
      </c>
      <c r="AH9">
        <v>36.5</v>
      </c>
      <c r="AI9">
        <v>7.1</v>
      </c>
      <c r="AJ9" s="6">
        <v>40</v>
      </c>
    </row>
    <row r="10" spans="1:36" x14ac:dyDescent="0.25">
      <c r="A10" s="1" t="s">
        <v>35</v>
      </c>
      <c r="B10">
        <v>0.25</v>
      </c>
      <c r="C10" t="s">
        <v>34</v>
      </c>
      <c r="D10" t="s">
        <v>39</v>
      </c>
      <c r="E10">
        <v>7</v>
      </c>
      <c r="F10" s="5">
        <v>45799.467361111114</v>
      </c>
      <c r="G10" s="11">
        <v>753.39584533333345</v>
      </c>
      <c r="H10">
        <v>944.22287772539903</v>
      </c>
      <c r="I10">
        <v>13.377800000000001</v>
      </c>
      <c r="J10">
        <v>10.7473100922554</v>
      </c>
      <c r="K10">
        <v>98.7</v>
      </c>
      <c r="L10">
        <v>15.4</v>
      </c>
      <c r="M10">
        <v>364.06400326017001</v>
      </c>
      <c r="N10">
        <v>4.8755061334376997</v>
      </c>
      <c r="O10">
        <v>0.41</v>
      </c>
      <c r="P10">
        <v>1.95</v>
      </c>
      <c r="Q10">
        <v>1.24</v>
      </c>
      <c r="R10">
        <v>5.5070872367851997</v>
      </c>
      <c r="S10">
        <v>0.4</v>
      </c>
      <c r="T10">
        <v>7.02</v>
      </c>
      <c r="U10">
        <v>48.4</v>
      </c>
      <c r="V10">
        <v>56</v>
      </c>
      <c r="W10">
        <v>6.63</v>
      </c>
      <c r="X10">
        <v>137.6</v>
      </c>
      <c r="Y10">
        <v>12.6</v>
      </c>
      <c r="Z10">
        <v>47.4</v>
      </c>
      <c r="AA10">
        <v>54.1</v>
      </c>
      <c r="AB10" s="6">
        <v>7.03</v>
      </c>
      <c r="AC10" s="1">
        <v>0</v>
      </c>
      <c r="AD10" s="1">
        <v>0</v>
      </c>
      <c r="AE10">
        <v>0.19024000000000002</v>
      </c>
      <c r="AF10" s="6">
        <v>190.24</v>
      </c>
      <c r="AG10" s="1">
        <v>190</v>
      </c>
      <c r="AH10">
        <v>36.5</v>
      </c>
      <c r="AI10">
        <v>7.1</v>
      </c>
      <c r="AJ10" s="6">
        <v>40</v>
      </c>
    </row>
    <row r="11" spans="1:36" x14ac:dyDescent="0.25">
      <c r="A11" s="1" t="s">
        <v>35</v>
      </c>
      <c r="B11">
        <v>0.25</v>
      </c>
      <c r="C11" t="s">
        <v>34</v>
      </c>
      <c r="D11" t="s">
        <v>39</v>
      </c>
      <c r="E11">
        <v>8</v>
      </c>
      <c r="F11" s="5">
        <v>45800.470138888886</v>
      </c>
      <c r="G11" s="11">
        <v>1268.3525340000001</v>
      </c>
      <c r="H11">
        <v>1287.48074034144</v>
      </c>
      <c r="I11">
        <v>14.942500000000001</v>
      </c>
      <c r="J11">
        <v>12.246784871274601</v>
      </c>
      <c r="K11">
        <v>97.5</v>
      </c>
      <c r="L11">
        <v>15.53</v>
      </c>
      <c r="M11">
        <v>374.96322203604097</v>
      </c>
      <c r="N11">
        <v>5.5839316479671099</v>
      </c>
      <c r="O11">
        <v>0.4</v>
      </c>
      <c r="P11">
        <v>3.56</v>
      </c>
      <c r="Q11">
        <v>0.96</v>
      </c>
      <c r="R11">
        <v>5.9970167126606704</v>
      </c>
      <c r="S11">
        <v>0.28000000000000003</v>
      </c>
      <c r="T11">
        <v>7.09</v>
      </c>
      <c r="U11">
        <v>38</v>
      </c>
      <c r="V11">
        <v>43.8</v>
      </c>
      <c r="W11">
        <v>6.29</v>
      </c>
      <c r="X11">
        <v>137.9</v>
      </c>
      <c r="Y11">
        <v>11.6</v>
      </c>
      <c r="Z11">
        <v>37.1</v>
      </c>
      <c r="AA11">
        <v>42.3</v>
      </c>
      <c r="AB11" s="6">
        <v>7.1</v>
      </c>
      <c r="AC11" s="1">
        <v>9.5</v>
      </c>
      <c r="AD11" s="1">
        <v>9.4999999999999998E-3</v>
      </c>
      <c r="AE11">
        <v>0.18753999999999998</v>
      </c>
      <c r="AF11" s="6">
        <v>187.54</v>
      </c>
      <c r="AG11" s="1">
        <v>190</v>
      </c>
      <c r="AH11">
        <v>36.5</v>
      </c>
      <c r="AI11">
        <v>7.1</v>
      </c>
      <c r="AJ11" s="6">
        <v>40</v>
      </c>
    </row>
    <row r="12" spans="1:36" x14ac:dyDescent="0.25">
      <c r="A12" s="1" t="s">
        <v>35</v>
      </c>
      <c r="B12">
        <v>0.25</v>
      </c>
      <c r="C12" t="s">
        <v>34</v>
      </c>
      <c r="D12" t="s">
        <v>39</v>
      </c>
      <c r="E12">
        <v>9</v>
      </c>
      <c r="F12" s="5">
        <v>45801.469444444447</v>
      </c>
      <c r="G12" s="11">
        <v>1592.0958713333334</v>
      </c>
      <c r="H12">
        <v>1667.2536451004601</v>
      </c>
      <c r="I12">
        <v>14.9956</v>
      </c>
      <c r="J12">
        <v>13.442944700051299</v>
      </c>
      <c r="K12">
        <v>96.4</v>
      </c>
      <c r="L12">
        <v>15.87</v>
      </c>
      <c r="M12">
        <v>386.46695000216698</v>
      </c>
      <c r="N12">
        <v>6.2772681034764997</v>
      </c>
      <c r="O12">
        <v>0.38</v>
      </c>
      <c r="P12">
        <v>3.4</v>
      </c>
      <c r="Q12">
        <v>1.69</v>
      </c>
      <c r="R12">
        <v>6.5347512674036503</v>
      </c>
      <c r="S12">
        <v>0.28000000000000003</v>
      </c>
      <c r="T12">
        <v>7.06</v>
      </c>
      <c r="U12">
        <v>49.6</v>
      </c>
      <c r="V12">
        <v>47.1</v>
      </c>
      <c r="W12">
        <v>7.83</v>
      </c>
      <c r="X12">
        <v>146.30000000000001</v>
      </c>
      <c r="Y12">
        <v>14.1</v>
      </c>
      <c r="Z12">
        <v>48.6</v>
      </c>
      <c r="AA12">
        <v>45.5</v>
      </c>
      <c r="AB12" s="6">
        <v>7.07</v>
      </c>
      <c r="AC12" s="1">
        <v>0</v>
      </c>
      <c r="AD12" s="1">
        <v>0</v>
      </c>
      <c r="AE12">
        <v>0.19721</v>
      </c>
      <c r="AF12" s="6">
        <v>197.21</v>
      </c>
      <c r="AG12" s="1">
        <v>190</v>
      </c>
      <c r="AH12">
        <v>36.5</v>
      </c>
      <c r="AI12">
        <v>7.1</v>
      </c>
      <c r="AJ12" s="6">
        <v>40</v>
      </c>
    </row>
    <row r="13" spans="1:36" x14ac:dyDescent="0.25">
      <c r="A13" s="1" t="s">
        <v>35</v>
      </c>
      <c r="B13">
        <v>0.25</v>
      </c>
      <c r="C13" t="s">
        <v>34</v>
      </c>
      <c r="D13" t="s">
        <v>39</v>
      </c>
      <c r="E13">
        <v>10</v>
      </c>
      <c r="F13" s="5">
        <v>45802.468055555553</v>
      </c>
      <c r="G13" s="11">
        <v>2151.9790066666669</v>
      </c>
      <c r="H13">
        <v>2085.1468749150499</v>
      </c>
      <c r="I13">
        <v>15.581300000000001</v>
      </c>
      <c r="J13">
        <v>13.789394402402699</v>
      </c>
      <c r="K13">
        <v>94.6</v>
      </c>
      <c r="L13">
        <v>16</v>
      </c>
      <c r="M13">
        <v>397.90293483369197</v>
      </c>
      <c r="N13">
        <v>6.8075926544427299</v>
      </c>
      <c r="O13">
        <v>0.36</v>
      </c>
      <c r="P13">
        <v>3.22</v>
      </c>
      <c r="Q13">
        <v>1.53</v>
      </c>
      <c r="R13">
        <v>6.5942318324398297</v>
      </c>
      <c r="S13">
        <v>0.28000000000000003</v>
      </c>
      <c r="T13">
        <v>7.1</v>
      </c>
      <c r="U13">
        <v>39.4</v>
      </c>
      <c r="V13">
        <v>48.9</v>
      </c>
      <c r="W13">
        <v>7.68</v>
      </c>
      <c r="X13">
        <v>145</v>
      </c>
      <c r="Y13">
        <v>12.1</v>
      </c>
      <c r="Z13">
        <v>38.6</v>
      </c>
      <c r="AA13">
        <v>47.3</v>
      </c>
      <c r="AB13" s="6">
        <v>7.1</v>
      </c>
      <c r="AC13" s="1">
        <v>9.5</v>
      </c>
      <c r="AD13" s="1">
        <v>9.4999999999999998E-3</v>
      </c>
      <c r="AE13">
        <v>0.19563999999999998</v>
      </c>
      <c r="AF13" s="6">
        <v>195.64</v>
      </c>
      <c r="AG13" s="1">
        <v>190</v>
      </c>
      <c r="AH13">
        <v>36.5</v>
      </c>
      <c r="AI13">
        <v>7.1</v>
      </c>
      <c r="AJ13" s="6">
        <v>40</v>
      </c>
    </row>
    <row r="14" spans="1:36" x14ac:dyDescent="0.25">
      <c r="A14" s="1" t="s">
        <v>35</v>
      </c>
      <c r="B14">
        <v>0.25</v>
      </c>
      <c r="C14" t="s">
        <v>34</v>
      </c>
      <c r="D14" t="s">
        <v>39</v>
      </c>
      <c r="E14">
        <v>11</v>
      </c>
      <c r="F14" s="5">
        <v>45803.462500000001</v>
      </c>
      <c r="G14" s="11">
        <v>2589.1378500000001</v>
      </c>
      <c r="H14">
        <v>2496.7639911572601</v>
      </c>
      <c r="I14">
        <v>14.646800000000001</v>
      </c>
      <c r="J14">
        <v>13.5330103487965</v>
      </c>
      <c r="K14">
        <v>91.3</v>
      </c>
      <c r="L14">
        <v>16</v>
      </c>
      <c r="M14">
        <v>407.18136437418798</v>
      </c>
      <c r="N14">
        <v>7.4069423623739699</v>
      </c>
      <c r="O14">
        <v>0.36</v>
      </c>
      <c r="P14">
        <v>3.26</v>
      </c>
      <c r="Q14">
        <v>1.95</v>
      </c>
      <c r="R14">
        <v>6.6449834578863802</v>
      </c>
      <c r="S14">
        <v>0.28000000000000003</v>
      </c>
      <c r="T14">
        <v>7.02</v>
      </c>
      <c r="U14">
        <v>46.6</v>
      </c>
      <c r="V14">
        <v>54.7</v>
      </c>
      <c r="W14">
        <v>9.2200000000000006</v>
      </c>
      <c r="X14">
        <v>151.4</v>
      </c>
      <c r="Y14">
        <v>12</v>
      </c>
      <c r="Z14">
        <v>45.6</v>
      </c>
      <c r="AA14">
        <v>52.9</v>
      </c>
      <c r="AB14" s="6">
        <v>7.02</v>
      </c>
      <c r="AC14" s="1">
        <v>0</v>
      </c>
      <c r="AD14" s="1">
        <v>0</v>
      </c>
      <c r="AE14">
        <v>0.20371</v>
      </c>
      <c r="AF14" s="6">
        <v>203.71</v>
      </c>
      <c r="AG14" s="1">
        <v>190</v>
      </c>
      <c r="AH14">
        <v>36.5</v>
      </c>
      <c r="AI14">
        <v>7.1</v>
      </c>
      <c r="AJ14" s="6">
        <v>40</v>
      </c>
    </row>
    <row r="15" spans="1:36" x14ac:dyDescent="0.25">
      <c r="A15" s="1" t="s">
        <v>35</v>
      </c>
      <c r="B15">
        <v>0.25</v>
      </c>
      <c r="C15" t="s">
        <v>34</v>
      </c>
      <c r="D15" t="s">
        <v>39</v>
      </c>
      <c r="E15">
        <v>12</v>
      </c>
      <c r="F15" s="5">
        <v>45804.466666666667</v>
      </c>
      <c r="G15" s="11">
        <v>2951.6538500000006</v>
      </c>
      <c r="H15">
        <v>2879.9396996423402</v>
      </c>
      <c r="I15">
        <v>16.889099999999999</v>
      </c>
      <c r="J15">
        <v>12.735577391353401</v>
      </c>
      <c r="K15">
        <v>88.3</v>
      </c>
      <c r="L15">
        <v>15.42</v>
      </c>
      <c r="M15">
        <v>413.92187279730899</v>
      </c>
      <c r="N15">
        <v>8.1711254396332702</v>
      </c>
      <c r="O15">
        <v>0.35</v>
      </c>
      <c r="P15">
        <v>3.57</v>
      </c>
      <c r="Q15">
        <v>1.77</v>
      </c>
      <c r="R15">
        <v>6.6964939006797497</v>
      </c>
      <c r="S15">
        <v>0.28000000000000003</v>
      </c>
      <c r="T15">
        <v>7.02</v>
      </c>
      <c r="U15">
        <v>38.200000000000003</v>
      </c>
      <c r="V15">
        <v>60.2</v>
      </c>
      <c r="W15">
        <v>9.34</v>
      </c>
      <c r="X15">
        <v>150.6</v>
      </c>
      <c r="Y15">
        <v>9.9</v>
      </c>
      <c r="Z15">
        <v>37.4</v>
      </c>
      <c r="AA15">
        <v>58.2</v>
      </c>
      <c r="AB15" s="6">
        <v>7.03</v>
      </c>
      <c r="AC15" s="1">
        <v>9.5</v>
      </c>
      <c r="AD15" s="1">
        <v>9.4999999999999998E-3</v>
      </c>
      <c r="AE15">
        <v>0.20225000000000001</v>
      </c>
      <c r="AF15" s="6">
        <v>202.25</v>
      </c>
      <c r="AG15" s="1">
        <v>190</v>
      </c>
      <c r="AH15">
        <v>36.5</v>
      </c>
      <c r="AI15">
        <v>7.1</v>
      </c>
      <c r="AJ15" s="6">
        <v>40</v>
      </c>
    </row>
    <row r="16" spans="1:36" x14ac:dyDescent="0.25">
      <c r="A16" s="1" t="s">
        <v>35</v>
      </c>
      <c r="B16">
        <v>0.25</v>
      </c>
      <c r="C16" t="s">
        <v>34</v>
      </c>
      <c r="D16" t="s">
        <v>39</v>
      </c>
      <c r="E16">
        <v>13</v>
      </c>
      <c r="F16" s="5">
        <v>45805.466666666667</v>
      </c>
      <c r="G16" s="11">
        <v>3102.8715999999999</v>
      </c>
      <c r="H16">
        <v>3201.0304761307998</v>
      </c>
      <c r="I16">
        <v>14.4688</v>
      </c>
      <c r="J16">
        <v>11.8455487025661</v>
      </c>
      <c r="K16">
        <v>84.5</v>
      </c>
      <c r="L16">
        <v>15.48</v>
      </c>
      <c r="M16">
        <v>417.69014132453299</v>
      </c>
      <c r="N16">
        <v>9.3506117476614001</v>
      </c>
      <c r="O16">
        <v>0.35</v>
      </c>
      <c r="P16">
        <v>3.44</v>
      </c>
      <c r="Q16">
        <v>2.56</v>
      </c>
      <c r="R16">
        <v>7.1095688218028696</v>
      </c>
      <c r="S16">
        <v>0.28000000000000003</v>
      </c>
      <c r="T16">
        <v>6.96</v>
      </c>
      <c r="U16">
        <v>47.5</v>
      </c>
      <c r="V16">
        <v>62.5</v>
      </c>
      <c r="W16">
        <v>10.93</v>
      </c>
      <c r="X16">
        <v>155.9</v>
      </c>
      <c r="Y16">
        <v>10.6</v>
      </c>
      <c r="Z16">
        <v>46.6</v>
      </c>
      <c r="AA16">
        <v>60.6</v>
      </c>
      <c r="AB16" s="6">
        <v>6.96</v>
      </c>
      <c r="AC16" s="1">
        <v>0</v>
      </c>
      <c r="AD16" s="1">
        <v>0</v>
      </c>
      <c r="AE16">
        <v>0.21038999999999999</v>
      </c>
      <c r="AF16" s="6">
        <v>210.39</v>
      </c>
      <c r="AG16" s="1">
        <v>190</v>
      </c>
      <c r="AH16">
        <v>36.5</v>
      </c>
      <c r="AI16">
        <v>7.1</v>
      </c>
      <c r="AJ16" s="6">
        <v>40</v>
      </c>
    </row>
    <row r="17" spans="1:36" x14ac:dyDescent="0.25">
      <c r="A17" s="1" t="s">
        <v>35</v>
      </c>
      <c r="B17">
        <v>0.25</v>
      </c>
      <c r="C17" t="s">
        <v>34</v>
      </c>
      <c r="D17" t="s">
        <v>39</v>
      </c>
      <c r="E17">
        <v>14</v>
      </c>
      <c r="F17" s="5">
        <v>45806.470833333333</v>
      </c>
      <c r="G17" s="11">
        <v>3544.1503000000007</v>
      </c>
      <c r="H17">
        <v>3472.9818594625399</v>
      </c>
      <c r="I17">
        <v>14.565</v>
      </c>
      <c r="J17">
        <v>10.434933712894001</v>
      </c>
      <c r="K17">
        <v>81.400000000000006</v>
      </c>
      <c r="L17">
        <v>15.35</v>
      </c>
      <c r="M17">
        <v>417.95402427447902</v>
      </c>
      <c r="N17">
        <v>10.805007880454299</v>
      </c>
      <c r="O17">
        <v>0.37</v>
      </c>
      <c r="P17">
        <v>3.77</v>
      </c>
      <c r="Q17">
        <v>2.98</v>
      </c>
      <c r="R17">
        <v>7.2835330686283903</v>
      </c>
      <c r="S17">
        <v>0.28000000000000003</v>
      </c>
      <c r="T17">
        <v>6.97</v>
      </c>
      <c r="U17">
        <v>34.200000000000003</v>
      </c>
      <c r="V17">
        <v>71.2</v>
      </c>
      <c r="W17">
        <v>11.28</v>
      </c>
      <c r="X17">
        <v>155.19999999999999</v>
      </c>
      <c r="Y17">
        <v>7.9</v>
      </c>
      <c r="Z17">
        <v>33.5</v>
      </c>
      <c r="AA17">
        <v>69</v>
      </c>
      <c r="AB17" s="6">
        <v>6.97</v>
      </c>
      <c r="AC17" s="1">
        <v>0</v>
      </c>
      <c r="AD17" s="1">
        <v>0</v>
      </c>
      <c r="AE17">
        <v>0.20710000000000001</v>
      </c>
      <c r="AF17" s="6">
        <v>207.1</v>
      </c>
      <c r="AG17" s="1">
        <v>190</v>
      </c>
      <c r="AH17">
        <v>36.5</v>
      </c>
      <c r="AI17">
        <v>7.1</v>
      </c>
      <c r="AJ17" s="6">
        <v>40</v>
      </c>
    </row>
  </sheetData>
  <autoFilter ref="A2:AJ17" xr:uid="{00000000-0001-0000-0000-000000000000}">
    <sortState xmlns:xlrd2="http://schemas.microsoft.com/office/spreadsheetml/2017/richdata2" ref="A3:AJ17">
      <sortCondition ref="E2:E17"/>
    </sortState>
  </autoFilter>
  <mergeCells count="4">
    <mergeCell ref="A1:F1"/>
    <mergeCell ref="G1:AB1"/>
    <mergeCell ref="AG1:AJ1"/>
    <mergeCell ref="AC1:AF1"/>
  </mergeCells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DBE78-A1C2-42B9-8531-C1C4562D2F57}">
  <dimension ref="A1:F46"/>
  <sheetViews>
    <sheetView workbookViewId="0">
      <selection activeCell="F2" sqref="F2:F16"/>
    </sheetView>
  </sheetViews>
  <sheetFormatPr defaultRowHeight="15" x14ac:dyDescent="0.25"/>
  <sheetData>
    <row r="1" spans="1:6" x14ac:dyDescent="0.25">
      <c r="A1" t="s">
        <v>36</v>
      </c>
      <c r="B1" t="s">
        <v>37</v>
      </c>
      <c r="D1" t="s">
        <v>38</v>
      </c>
    </row>
    <row r="2" spans="1:6" x14ac:dyDescent="0.25">
      <c r="A2">
        <v>0</v>
      </c>
      <c r="B2">
        <v>72.675899999999999</v>
      </c>
      <c r="D2">
        <f>AVERAGE(B2:B4)</f>
        <v>70.175349999999995</v>
      </c>
      <c r="F2">
        <v>70.175349999999995</v>
      </c>
    </row>
    <row r="3" spans="1:6" x14ac:dyDescent="0.25">
      <c r="A3">
        <v>0</v>
      </c>
      <c r="B3">
        <v>69.417749999999998</v>
      </c>
      <c r="D3">
        <f>AVERAGE(B5:B7)</f>
        <v>70.441850000000002</v>
      </c>
      <c r="F3">
        <v>70.441850000000002</v>
      </c>
    </row>
    <row r="4" spans="1:6" x14ac:dyDescent="0.25">
      <c r="A4">
        <v>0</v>
      </c>
      <c r="B4">
        <v>68.432400000000001</v>
      </c>
      <c r="D4">
        <f>AVERAGE(B8:B10)</f>
        <v>67.848200000000006</v>
      </c>
      <c r="F4">
        <v>67.848200000000006</v>
      </c>
    </row>
    <row r="5" spans="1:6" x14ac:dyDescent="0.25">
      <c r="A5">
        <v>1</v>
      </c>
      <c r="B5">
        <v>71.290199999999999</v>
      </c>
      <c r="D5">
        <f>AVERAGE(B11:B13)</f>
        <v>99.879050000000007</v>
      </c>
      <c r="F5">
        <v>99.879050000000007</v>
      </c>
    </row>
    <row r="6" spans="1:6" x14ac:dyDescent="0.25">
      <c r="A6">
        <v>1</v>
      </c>
      <c r="B6">
        <v>68.982900000000001</v>
      </c>
      <c r="D6">
        <f>AVERAGE(B14:B16)</f>
        <v>199.21946666666668</v>
      </c>
      <c r="F6">
        <v>199.21946666666668</v>
      </c>
    </row>
    <row r="7" spans="1:6" x14ac:dyDescent="0.25">
      <c r="A7">
        <v>1</v>
      </c>
      <c r="B7">
        <v>71.052449999999993</v>
      </c>
      <c r="D7">
        <f>AVERAGE(B17:B19)</f>
        <v>333.67943333333329</v>
      </c>
      <c r="F7">
        <v>333.67943333333329</v>
      </c>
    </row>
    <row r="8" spans="1:6" x14ac:dyDescent="0.25">
      <c r="A8">
        <v>2</v>
      </c>
      <c r="B8">
        <v>67.768799999999999</v>
      </c>
      <c r="D8">
        <f>AVERAGE(B20:B22)</f>
        <v>581.69326666666666</v>
      </c>
      <c r="F8">
        <v>581.69326666666666</v>
      </c>
    </row>
    <row r="9" spans="1:6" x14ac:dyDescent="0.25">
      <c r="A9">
        <v>2</v>
      </c>
      <c r="B9">
        <v>64.975049999999996</v>
      </c>
      <c r="D9">
        <f>AVERAGE(B23:B25)</f>
        <v>704.10826666666674</v>
      </c>
      <c r="F9" s="11">
        <v>753.39584533333345</v>
      </c>
    </row>
    <row r="10" spans="1:6" x14ac:dyDescent="0.25">
      <c r="A10">
        <v>2</v>
      </c>
      <c r="B10">
        <v>70.800749999999994</v>
      </c>
      <c r="D10">
        <f>AVERAGE(B26:B28)</f>
        <v>1185.3761999999999</v>
      </c>
      <c r="F10" s="11">
        <v>1268.3525340000001</v>
      </c>
    </row>
    <row r="11" spans="1:6" x14ac:dyDescent="0.25">
      <c r="A11">
        <v>3</v>
      </c>
      <c r="B11">
        <v>98.030100000000004</v>
      </c>
      <c r="D11">
        <f>AVERAGE(B29:B31)</f>
        <v>1487.9400666666668</v>
      </c>
      <c r="F11" s="11">
        <v>1592.0958713333334</v>
      </c>
    </row>
    <row r="12" spans="1:6" x14ac:dyDescent="0.25">
      <c r="A12">
        <v>3</v>
      </c>
      <c r="B12">
        <v>107.5608</v>
      </c>
      <c r="D12">
        <f>AVERAGE(B32:B34)</f>
        <v>2011.1953333333333</v>
      </c>
      <c r="F12" s="11">
        <v>2151.9790066666669</v>
      </c>
    </row>
    <row r="13" spans="1:6" x14ac:dyDescent="0.25">
      <c r="A13">
        <v>3</v>
      </c>
      <c r="B13">
        <v>94.046250000000001</v>
      </c>
      <c r="D13">
        <f>AVERAGE(B35:B37)</f>
        <v>2419.7550000000001</v>
      </c>
      <c r="F13" s="11">
        <v>2589.1378500000001</v>
      </c>
    </row>
    <row r="14" spans="1:6" x14ac:dyDescent="0.25">
      <c r="A14">
        <v>4</v>
      </c>
      <c r="B14">
        <v>235.50200000000001</v>
      </c>
      <c r="D14">
        <f>AVERAGE(B38:B40)</f>
        <v>2758.5550000000003</v>
      </c>
      <c r="F14" s="11">
        <v>2951.6538500000006</v>
      </c>
    </row>
    <row r="15" spans="1:6" x14ac:dyDescent="0.25">
      <c r="A15">
        <v>4</v>
      </c>
      <c r="B15">
        <v>116.53530000000001</v>
      </c>
      <c r="D15">
        <f>AVERAGE(B41:B43)</f>
        <v>2899.8799999999997</v>
      </c>
      <c r="F15" s="11">
        <v>3102.8715999999999</v>
      </c>
    </row>
    <row r="16" spans="1:6" x14ac:dyDescent="0.25">
      <c r="A16">
        <v>4</v>
      </c>
      <c r="B16">
        <v>245.62110000000001</v>
      </c>
      <c r="D16">
        <f>AVERAGE(B44:B46)</f>
        <v>3312.2900000000004</v>
      </c>
      <c r="F16" s="11">
        <v>3544.1503000000007</v>
      </c>
    </row>
    <row r="17" spans="1:2" x14ac:dyDescent="0.25">
      <c r="A17">
        <v>5</v>
      </c>
      <c r="B17">
        <v>408.03620000000001</v>
      </c>
    </row>
    <row r="18" spans="1:2" x14ac:dyDescent="0.25">
      <c r="A18">
        <v>5</v>
      </c>
      <c r="B18">
        <v>175.25470000000001</v>
      </c>
    </row>
    <row r="19" spans="1:2" x14ac:dyDescent="0.25">
      <c r="A19">
        <v>5</v>
      </c>
      <c r="B19">
        <v>417.74740000000003</v>
      </c>
    </row>
    <row r="20" spans="1:2" x14ac:dyDescent="0.25">
      <c r="A20">
        <v>6</v>
      </c>
      <c r="B20">
        <v>693.36239999999998</v>
      </c>
    </row>
    <row r="21" spans="1:2" x14ac:dyDescent="0.25">
      <c r="A21">
        <v>6</v>
      </c>
      <c r="B21">
        <v>306.12569999999999</v>
      </c>
    </row>
    <row r="22" spans="1:2" x14ac:dyDescent="0.25">
      <c r="A22">
        <v>6</v>
      </c>
      <c r="B22">
        <v>745.59169999999995</v>
      </c>
    </row>
    <row r="23" spans="1:2" x14ac:dyDescent="0.25">
      <c r="A23">
        <v>7</v>
      </c>
      <c r="B23">
        <v>823.29169999999999</v>
      </c>
    </row>
    <row r="24" spans="1:2" x14ac:dyDescent="0.25">
      <c r="A24">
        <v>7</v>
      </c>
      <c r="B24">
        <v>372.73790000000002</v>
      </c>
    </row>
    <row r="25" spans="1:2" x14ac:dyDescent="0.25">
      <c r="A25">
        <v>7</v>
      </c>
      <c r="B25">
        <v>916.29520000000002</v>
      </c>
    </row>
    <row r="26" spans="1:2" x14ac:dyDescent="0.25">
      <c r="A26">
        <v>8</v>
      </c>
      <c r="B26">
        <v>1337.0650000000001</v>
      </c>
    </row>
    <row r="27" spans="1:2" x14ac:dyDescent="0.25">
      <c r="A27">
        <v>8</v>
      </c>
      <c r="B27">
        <v>671.00360000000001</v>
      </c>
    </row>
    <row r="28" spans="1:2" x14ac:dyDescent="0.25">
      <c r="A28">
        <v>8</v>
      </c>
      <c r="B28">
        <v>1548.06</v>
      </c>
    </row>
    <row r="29" spans="1:2" x14ac:dyDescent="0.25">
      <c r="A29">
        <v>9</v>
      </c>
      <c r="B29">
        <v>1767.66</v>
      </c>
    </row>
    <row r="30" spans="1:2" x14ac:dyDescent="0.25">
      <c r="A30">
        <v>9</v>
      </c>
      <c r="B30">
        <v>876.37519999999995</v>
      </c>
    </row>
    <row r="31" spans="1:2" x14ac:dyDescent="0.25">
      <c r="A31">
        <v>9</v>
      </c>
      <c r="B31">
        <v>1819.7850000000001</v>
      </c>
    </row>
    <row r="32" spans="1:2" x14ac:dyDescent="0.25">
      <c r="A32">
        <v>10</v>
      </c>
      <c r="B32">
        <v>2326.5450000000001</v>
      </c>
    </row>
    <row r="33" spans="1:2" x14ac:dyDescent="0.25">
      <c r="A33">
        <v>10</v>
      </c>
      <c r="B33">
        <v>1296.181</v>
      </c>
    </row>
    <row r="34" spans="1:2" x14ac:dyDescent="0.25">
      <c r="A34">
        <v>10</v>
      </c>
      <c r="B34">
        <v>2410.86</v>
      </c>
    </row>
    <row r="35" spans="1:2" x14ac:dyDescent="0.25">
      <c r="A35">
        <v>11</v>
      </c>
      <c r="B35">
        <v>2798.2049999999999</v>
      </c>
    </row>
    <row r="36" spans="1:2" x14ac:dyDescent="0.25">
      <c r="A36">
        <v>11</v>
      </c>
      <c r="B36">
        <v>1673.64</v>
      </c>
    </row>
    <row r="37" spans="1:2" x14ac:dyDescent="0.25">
      <c r="A37">
        <v>11</v>
      </c>
      <c r="B37">
        <v>2787.42</v>
      </c>
    </row>
    <row r="38" spans="1:2" x14ac:dyDescent="0.25">
      <c r="A38">
        <v>12</v>
      </c>
      <c r="B38">
        <v>3099.57</v>
      </c>
    </row>
    <row r="39" spans="1:2" x14ac:dyDescent="0.25">
      <c r="A39">
        <v>12</v>
      </c>
      <c r="B39">
        <v>2063.79</v>
      </c>
    </row>
    <row r="40" spans="1:2" x14ac:dyDescent="0.25">
      <c r="A40">
        <v>12</v>
      </c>
      <c r="B40">
        <v>3112.3049999999998</v>
      </c>
    </row>
    <row r="41" spans="1:2" x14ac:dyDescent="0.25">
      <c r="A41">
        <v>13</v>
      </c>
      <c r="B41">
        <v>3206.2649999999999</v>
      </c>
    </row>
    <row r="42" spans="1:2" x14ac:dyDescent="0.25">
      <c r="A42">
        <v>13</v>
      </c>
      <c r="B42">
        <v>2248.2750000000001</v>
      </c>
    </row>
    <row r="43" spans="1:2" x14ac:dyDescent="0.25">
      <c r="A43">
        <v>13</v>
      </c>
      <c r="B43">
        <v>3245.1</v>
      </c>
    </row>
    <row r="44" spans="1:2" x14ac:dyDescent="0.25">
      <c r="A44">
        <v>14</v>
      </c>
      <c r="B44">
        <v>3758.5650000000001</v>
      </c>
    </row>
    <row r="45" spans="1:2" x14ac:dyDescent="0.25">
      <c r="A45">
        <v>14</v>
      </c>
      <c r="B45">
        <v>2667.4050000000002</v>
      </c>
    </row>
    <row r="46" spans="1:2" x14ac:dyDescent="0.25">
      <c r="A46">
        <v>14</v>
      </c>
      <c r="B46">
        <v>3510.9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schemas.microsoft.com/office/infopath/2007/PartnerControls"/>
    <ds:schemaRef ds:uri="a198008e-c7f6-4ed0-9865-26ace3c97b59"/>
    <ds:schemaRef ds:uri="34d8c884-fe7e-4d4f-a833-b92a2823f74b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ea66b2b-af80-48b6-873b-d341d3035cfa}" enabled="1" method="Standard" siteId="{63982aff-fb6c-4c22-973b-70e4acfb63e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2025-10-01T15:45:40Z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